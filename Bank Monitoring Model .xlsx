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9255" documentId="8_{CDDB89CF-5CE4-4A65-99F7-7EF0C0A12C4C}" xr6:coauthVersionLast="47" xr6:coauthVersionMax="47" xr10:uidLastSave="{091EC4DE-1DB3-4004-9951-F89237ADD216}"/>
  <bookViews>
    <workbookView xWindow="-110" yWindow="-110" windowWidth="19420" windowHeight="11500" firstSheet="1" activeTab="1" xr2:uid="{A93B9CC2-92A3-4946-B0CF-93E1751ADFB7}"/>
  </bookViews>
  <sheets>
    <sheet name="_CIQHiddenCacheSheet" sheetId="493" state="veryHidden" r:id="rId1"/>
    <sheet name="Report" sheetId="1" r:id="rId2"/>
    <sheet name="Risk Score Model" sheetId="466" r:id="rId3"/>
    <sheet name="CDS from CapitalIQ" sheetId="3" r:id="rId4"/>
  </sheets>
  <externalReferences>
    <externalReference r:id="rId5"/>
  </externalReferences>
  <definedNames>
    <definedName name="bank_bloom">'[1]Bloomberg Codes'!$N$2:$U$23</definedName>
    <definedName name="CIQWBGuid" hidden="1">"e3126759-5a80-4f33-8144-f76d0533cddf"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v_bloom">'[1]Bloomberg Codes'!$A$3:$J$43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X7" i="3"/>
  <c r="X21" i="3"/>
  <c r="X30" i="3"/>
  <c r="X43" i="3"/>
  <c r="X45" i="3"/>
  <c r="X46" i="3"/>
  <c r="X47" i="3"/>
  <c r="X55" i="3"/>
  <c r="X59" i="3"/>
  <c r="X62" i="3"/>
  <c r="X67" i="3"/>
  <c r="X70" i="3"/>
  <c r="X72" i="3"/>
  <c r="X78" i="3"/>
  <c r="C3" i="3"/>
  <c r="C4" i="3"/>
  <c r="C5" i="3"/>
  <c r="C6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4" i="3"/>
  <c r="C48" i="3"/>
  <c r="C49" i="3"/>
  <c r="C50" i="3"/>
  <c r="C51" i="3"/>
  <c r="C52" i="3"/>
  <c r="C53" i="3"/>
  <c r="C54" i="3"/>
  <c r="C56" i="3"/>
  <c r="C57" i="3"/>
  <c r="C58" i="3"/>
  <c r="C60" i="3"/>
  <c r="C61" i="3"/>
  <c r="C63" i="3"/>
  <c r="C64" i="3"/>
  <c r="C65" i="3"/>
  <c r="C66" i="3"/>
  <c r="C68" i="3"/>
  <c r="C69" i="3"/>
  <c r="C71" i="3"/>
  <c r="C73" i="3"/>
  <c r="C74" i="3"/>
  <c r="C75" i="3"/>
  <c r="C76" i="3"/>
  <c r="C77" i="3"/>
  <c r="C79" i="3"/>
  <c r="C80" i="3"/>
  <c r="C81" i="3"/>
  <c r="C82" i="3"/>
  <c r="C83" i="3"/>
  <c r="C84" i="3"/>
  <c r="I3" i="3"/>
  <c r="I4" i="3"/>
  <c r="I5" i="3"/>
  <c r="I6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2" i="3"/>
  <c r="I23" i="3"/>
  <c r="I24" i="3"/>
  <c r="I25" i="3"/>
  <c r="I26" i="3"/>
  <c r="I27" i="3"/>
  <c r="I28" i="3"/>
  <c r="I29" i="3"/>
  <c r="I31" i="3"/>
  <c r="I32" i="3"/>
  <c r="I33" i="3"/>
  <c r="I34" i="3"/>
  <c r="I35" i="3"/>
  <c r="I36" i="3"/>
  <c r="I37" i="3"/>
  <c r="I38" i="3"/>
  <c r="I39" i="3"/>
  <c r="I40" i="3"/>
  <c r="I42" i="3"/>
  <c r="I44" i="3"/>
  <c r="I48" i="3"/>
  <c r="I49" i="3"/>
  <c r="I50" i="3"/>
  <c r="I51" i="3"/>
  <c r="I52" i="3"/>
  <c r="I53" i="3"/>
  <c r="I54" i="3"/>
  <c r="I56" i="3"/>
  <c r="I57" i="3"/>
  <c r="I58" i="3"/>
  <c r="I60" i="3"/>
  <c r="I61" i="3"/>
  <c r="I63" i="3"/>
  <c r="I64" i="3"/>
  <c r="I65" i="3"/>
  <c r="I66" i="3"/>
  <c r="I68" i="3"/>
  <c r="I69" i="3"/>
  <c r="I71" i="3"/>
  <c r="I73" i="3"/>
  <c r="I74" i="3"/>
  <c r="I75" i="3"/>
  <c r="I76" i="3"/>
  <c r="I77" i="3"/>
  <c r="I79" i="3"/>
  <c r="I80" i="3"/>
  <c r="I81" i="3"/>
  <c r="I82" i="3"/>
  <c r="I83" i="3"/>
  <c r="I84" i="3"/>
  <c r="D3" i="3"/>
  <c r="D4" i="3"/>
  <c r="D5" i="3"/>
  <c r="D6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1" i="3"/>
  <c r="D32" i="3"/>
  <c r="D33" i="3"/>
  <c r="D34" i="3"/>
  <c r="D35" i="3"/>
  <c r="D36" i="3"/>
  <c r="D37" i="3"/>
  <c r="D38" i="3"/>
  <c r="D39" i="3"/>
  <c r="D40" i="3"/>
  <c r="D42" i="3"/>
  <c r="D44" i="3"/>
  <c r="D48" i="3"/>
  <c r="D49" i="3"/>
  <c r="D50" i="3"/>
  <c r="D51" i="3"/>
  <c r="D52" i="3"/>
  <c r="D53" i="3"/>
  <c r="D54" i="3"/>
  <c r="D56" i="3"/>
  <c r="D57" i="3"/>
  <c r="D58" i="3"/>
  <c r="D60" i="3"/>
  <c r="D61" i="3"/>
  <c r="D63" i="3"/>
  <c r="D64" i="3"/>
  <c r="D65" i="3"/>
  <c r="D66" i="3"/>
  <c r="D68" i="3"/>
  <c r="D69" i="3"/>
  <c r="D71" i="3"/>
  <c r="D73" i="3"/>
  <c r="D74" i="3"/>
  <c r="D75" i="3"/>
  <c r="D76" i="3"/>
  <c r="D77" i="3"/>
  <c r="D79" i="3"/>
  <c r="D80" i="3"/>
  <c r="D81" i="3"/>
  <c r="D82" i="3"/>
  <c r="D83" i="3"/>
  <c r="D84" i="3"/>
  <c r="E3" i="3"/>
  <c r="E4" i="3"/>
  <c r="E5" i="3"/>
  <c r="E6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1" i="3"/>
  <c r="E32" i="3"/>
  <c r="E33" i="3"/>
  <c r="E34" i="3"/>
  <c r="E35" i="3"/>
  <c r="E36" i="3"/>
  <c r="E37" i="3"/>
  <c r="E38" i="3"/>
  <c r="E39" i="3"/>
  <c r="E40" i="3"/>
  <c r="E42" i="3"/>
  <c r="E44" i="3"/>
  <c r="E48" i="3"/>
  <c r="E49" i="3"/>
  <c r="E50" i="3"/>
  <c r="E51" i="3"/>
  <c r="E52" i="3"/>
  <c r="E53" i="3"/>
  <c r="E54" i="3"/>
  <c r="E56" i="3"/>
  <c r="E57" i="3"/>
  <c r="E58" i="3"/>
  <c r="E60" i="3"/>
  <c r="E61" i="3"/>
  <c r="E63" i="3"/>
  <c r="E64" i="3"/>
  <c r="E65" i="3"/>
  <c r="E66" i="3"/>
  <c r="E68" i="3"/>
  <c r="E69" i="3"/>
  <c r="E71" i="3"/>
  <c r="E73" i="3"/>
  <c r="E74" i="3"/>
  <c r="E75" i="3"/>
  <c r="E76" i="3"/>
  <c r="E77" i="3"/>
  <c r="E79" i="3"/>
  <c r="E80" i="3"/>
  <c r="E81" i="3"/>
  <c r="E82" i="3"/>
  <c r="E83" i="3"/>
  <c r="E84" i="3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1" i="3"/>
  <c r="F32" i="3"/>
  <c r="F33" i="3"/>
  <c r="F34" i="3"/>
  <c r="F35" i="3"/>
  <c r="F36" i="3"/>
  <c r="F37" i="3"/>
  <c r="F38" i="3"/>
  <c r="F39" i="3"/>
  <c r="F40" i="3"/>
  <c r="F42" i="3"/>
  <c r="F44" i="3"/>
  <c r="F48" i="3"/>
  <c r="F49" i="3"/>
  <c r="F50" i="3"/>
  <c r="F51" i="3"/>
  <c r="F52" i="3"/>
  <c r="F53" i="3"/>
  <c r="F54" i="3"/>
  <c r="F56" i="3"/>
  <c r="F57" i="3"/>
  <c r="F58" i="3"/>
  <c r="F60" i="3"/>
  <c r="F61" i="3"/>
  <c r="F63" i="3"/>
  <c r="F64" i="3"/>
  <c r="F65" i="3"/>
  <c r="F66" i="3"/>
  <c r="F68" i="3"/>
  <c r="F69" i="3"/>
  <c r="F71" i="3"/>
  <c r="F73" i="3"/>
  <c r="F74" i="3"/>
  <c r="F75" i="3"/>
  <c r="F76" i="3"/>
  <c r="F77" i="3"/>
  <c r="F79" i="3"/>
  <c r="F80" i="3"/>
  <c r="F81" i="3"/>
  <c r="F82" i="3"/>
  <c r="F83" i="3"/>
  <c r="F84" i="3"/>
  <c r="G3" i="3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2" i="3"/>
  <c r="G23" i="3"/>
  <c r="G24" i="3"/>
  <c r="G25" i="3"/>
  <c r="G26" i="3"/>
  <c r="G27" i="3"/>
  <c r="G28" i="3"/>
  <c r="G29" i="3"/>
  <c r="G31" i="3"/>
  <c r="G32" i="3"/>
  <c r="G33" i="3"/>
  <c r="G34" i="3"/>
  <c r="G35" i="3"/>
  <c r="G36" i="3"/>
  <c r="G37" i="3"/>
  <c r="G38" i="3"/>
  <c r="G39" i="3"/>
  <c r="G40" i="3"/>
  <c r="G42" i="3"/>
  <c r="G44" i="3"/>
  <c r="G48" i="3"/>
  <c r="G49" i="3"/>
  <c r="G50" i="3"/>
  <c r="G51" i="3"/>
  <c r="G52" i="3"/>
  <c r="G53" i="3"/>
  <c r="G54" i="3"/>
  <c r="G56" i="3"/>
  <c r="G57" i="3"/>
  <c r="G58" i="3"/>
  <c r="G60" i="3"/>
  <c r="G61" i="3"/>
  <c r="G63" i="3"/>
  <c r="G64" i="3"/>
  <c r="G65" i="3"/>
  <c r="G66" i="3"/>
  <c r="G68" i="3"/>
  <c r="G69" i="3"/>
  <c r="G71" i="3"/>
  <c r="G73" i="3"/>
  <c r="G74" i="3"/>
  <c r="G75" i="3"/>
  <c r="G76" i="3"/>
  <c r="G77" i="3"/>
  <c r="G79" i="3"/>
  <c r="G80" i="3"/>
  <c r="G81" i="3"/>
  <c r="G82" i="3"/>
  <c r="G83" i="3"/>
  <c r="G84" i="3"/>
  <c r="H3" i="3"/>
  <c r="H4" i="3"/>
  <c r="H5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H24" i="3"/>
  <c r="H25" i="3"/>
  <c r="H26" i="3"/>
  <c r="H27" i="3"/>
  <c r="H28" i="3"/>
  <c r="H29" i="3"/>
  <c r="H31" i="3"/>
  <c r="H32" i="3"/>
  <c r="H33" i="3"/>
  <c r="H34" i="3"/>
  <c r="H35" i="3"/>
  <c r="H36" i="3"/>
  <c r="H37" i="3"/>
  <c r="H38" i="3"/>
  <c r="H39" i="3"/>
  <c r="H40" i="3"/>
  <c r="H42" i="3"/>
  <c r="H44" i="3"/>
  <c r="H48" i="3"/>
  <c r="H49" i="3"/>
  <c r="H50" i="3"/>
  <c r="H51" i="3"/>
  <c r="H52" i="3"/>
  <c r="H53" i="3"/>
  <c r="H54" i="3"/>
  <c r="H56" i="3"/>
  <c r="H57" i="3"/>
  <c r="H58" i="3"/>
  <c r="H60" i="3"/>
  <c r="H61" i="3"/>
  <c r="H63" i="3"/>
  <c r="H64" i="3"/>
  <c r="H65" i="3"/>
  <c r="H66" i="3"/>
  <c r="H68" i="3"/>
  <c r="H69" i="3"/>
  <c r="H71" i="3"/>
  <c r="H73" i="3"/>
  <c r="H74" i="3"/>
  <c r="H75" i="3"/>
  <c r="H76" i="3"/>
  <c r="H77" i="3"/>
  <c r="H79" i="3"/>
  <c r="H80" i="3"/>
  <c r="H81" i="3"/>
  <c r="H82" i="3"/>
  <c r="H83" i="3"/>
  <c r="H84" i="3"/>
  <c r="N3" i="3"/>
  <c r="N4" i="3"/>
  <c r="N5" i="3"/>
  <c r="N6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2" i="3"/>
  <c r="N23" i="3"/>
  <c r="N24" i="3"/>
  <c r="N25" i="3"/>
  <c r="N26" i="3"/>
  <c r="N27" i="3"/>
  <c r="N28" i="3"/>
  <c r="N29" i="3"/>
  <c r="N31" i="3"/>
  <c r="N32" i="3"/>
  <c r="N33" i="3"/>
  <c r="N34" i="3"/>
  <c r="N35" i="3"/>
  <c r="N36" i="3"/>
  <c r="N37" i="3"/>
  <c r="N38" i="3"/>
  <c r="N39" i="3"/>
  <c r="N40" i="3"/>
  <c r="N42" i="3"/>
  <c r="N44" i="3"/>
  <c r="N48" i="3"/>
  <c r="N49" i="3"/>
  <c r="N50" i="3"/>
  <c r="N51" i="3"/>
  <c r="N52" i="3"/>
  <c r="N53" i="3"/>
  <c r="N54" i="3"/>
  <c r="N56" i="3"/>
  <c r="N57" i="3"/>
  <c r="N58" i="3"/>
  <c r="N60" i="3"/>
  <c r="N61" i="3"/>
  <c r="N63" i="3"/>
  <c r="N64" i="3"/>
  <c r="N65" i="3"/>
  <c r="N66" i="3"/>
  <c r="N68" i="3"/>
  <c r="N69" i="3"/>
  <c r="N71" i="3"/>
  <c r="N73" i="3"/>
  <c r="N74" i="3"/>
  <c r="N75" i="3"/>
  <c r="N76" i="3"/>
  <c r="N77" i="3"/>
  <c r="N79" i="3"/>
  <c r="N80" i="3"/>
  <c r="N81" i="3"/>
  <c r="N82" i="3"/>
  <c r="N83" i="3"/>
  <c r="N84" i="3"/>
  <c r="O3" i="3"/>
  <c r="O4" i="3"/>
  <c r="O5" i="3"/>
  <c r="O6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2" i="3"/>
  <c r="O23" i="3"/>
  <c r="O24" i="3"/>
  <c r="O25" i="3"/>
  <c r="O26" i="3"/>
  <c r="O27" i="3"/>
  <c r="O28" i="3"/>
  <c r="O29" i="3"/>
  <c r="O31" i="3"/>
  <c r="O32" i="3"/>
  <c r="O33" i="3"/>
  <c r="O34" i="3"/>
  <c r="O35" i="3"/>
  <c r="O36" i="3"/>
  <c r="O37" i="3"/>
  <c r="O38" i="3"/>
  <c r="O39" i="3"/>
  <c r="O40" i="3"/>
  <c r="O42" i="3"/>
  <c r="O44" i="3"/>
  <c r="O48" i="3"/>
  <c r="O49" i="3"/>
  <c r="O50" i="3"/>
  <c r="O51" i="3"/>
  <c r="O52" i="3"/>
  <c r="O53" i="3"/>
  <c r="O54" i="3"/>
  <c r="O56" i="3"/>
  <c r="O57" i="3"/>
  <c r="O58" i="3"/>
  <c r="O60" i="3"/>
  <c r="O61" i="3"/>
  <c r="O63" i="3"/>
  <c r="O64" i="3"/>
  <c r="O65" i="3"/>
  <c r="O66" i="3"/>
  <c r="O68" i="3"/>
  <c r="O69" i="3"/>
  <c r="O71" i="3"/>
  <c r="O73" i="3"/>
  <c r="O74" i="3"/>
  <c r="O75" i="3"/>
  <c r="O76" i="3"/>
  <c r="O77" i="3"/>
  <c r="O79" i="3"/>
  <c r="O80" i="3"/>
  <c r="O81" i="3"/>
  <c r="O82" i="3"/>
  <c r="O83" i="3"/>
  <c r="O84" i="3"/>
  <c r="P3" i="3"/>
  <c r="P4" i="3"/>
  <c r="P5" i="3"/>
  <c r="P6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1" i="3"/>
  <c r="P32" i="3"/>
  <c r="P33" i="3"/>
  <c r="P34" i="3"/>
  <c r="P35" i="3"/>
  <c r="P36" i="3"/>
  <c r="P37" i="3"/>
  <c r="P38" i="3"/>
  <c r="P39" i="3"/>
  <c r="P40" i="3"/>
  <c r="P42" i="3"/>
  <c r="P44" i="3"/>
  <c r="P48" i="3"/>
  <c r="P49" i="3"/>
  <c r="P50" i="3"/>
  <c r="P51" i="3"/>
  <c r="P52" i="3"/>
  <c r="P53" i="3"/>
  <c r="P54" i="3"/>
  <c r="P56" i="3"/>
  <c r="P57" i="3"/>
  <c r="P58" i="3"/>
  <c r="P60" i="3"/>
  <c r="P61" i="3"/>
  <c r="P63" i="3"/>
  <c r="P64" i="3"/>
  <c r="P65" i="3"/>
  <c r="P66" i="3"/>
  <c r="P68" i="3"/>
  <c r="P69" i="3"/>
  <c r="P71" i="3"/>
  <c r="P73" i="3"/>
  <c r="P74" i="3"/>
  <c r="P75" i="3"/>
  <c r="P76" i="3"/>
  <c r="P77" i="3"/>
  <c r="P79" i="3"/>
  <c r="P80" i="3"/>
  <c r="P81" i="3"/>
  <c r="P82" i="3"/>
  <c r="P83" i="3"/>
  <c r="P84" i="3"/>
  <c r="K3" i="3"/>
  <c r="K4" i="3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2" i="3"/>
  <c r="K44" i="3"/>
  <c r="K48" i="3"/>
  <c r="K49" i="3"/>
  <c r="K50" i="3"/>
  <c r="K51" i="3"/>
  <c r="K52" i="3"/>
  <c r="K53" i="3"/>
  <c r="K54" i="3"/>
  <c r="K56" i="3"/>
  <c r="K57" i="3"/>
  <c r="K58" i="3"/>
  <c r="K60" i="3"/>
  <c r="K61" i="3"/>
  <c r="K63" i="3"/>
  <c r="K64" i="3"/>
  <c r="K65" i="3"/>
  <c r="K66" i="3"/>
  <c r="K68" i="3"/>
  <c r="K69" i="3"/>
  <c r="K71" i="3"/>
  <c r="K73" i="3"/>
  <c r="K74" i="3"/>
  <c r="K75" i="3"/>
  <c r="K76" i="3"/>
  <c r="K77" i="3"/>
  <c r="K79" i="3"/>
  <c r="K80" i="3"/>
  <c r="K81" i="3"/>
  <c r="K82" i="3"/>
  <c r="K83" i="3"/>
  <c r="K84" i="3"/>
  <c r="Q3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1" i="3"/>
  <c r="Q32" i="3"/>
  <c r="Q33" i="3"/>
  <c r="Q34" i="3"/>
  <c r="Q35" i="3"/>
  <c r="Q36" i="3"/>
  <c r="Q37" i="3"/>
  <c r="Q38" i="3"/>
  <c r="Q39" i="3"/>
  <c r="Q40" i="3"/>
  <c r="Q42" i="3"/>
  <c r="Q44" i="3"/>
  <c r="Q48" i="3"/>
  <c r="Q49" i="3"/>
  <c r="Q50" i="3"/>
  <c r="Q51" i="3"/>
  <c r="Q52" i="3"/>
  <c r="Q53" i="3"/>
  <c r="Q54" i="3"/>
  <c r="Q56" i="3"/>
  <c r="Q57" i="3"/>
  <c r="Q58" i="3"/>
  <c r="Q60" i="3"/>
  <c r="Q61" i="3"/>
  <c r="Q63" i="3"/>
  <c r="Q64" i="3"/>
  <c r="Q65" i="3"/>
  <c r="Q66" i="3"/>
  <c r="Q68" i="3"/>
  <c r="Q69" i="3"/>
  <c r="Q71" i="3"/>
  <c r="Q73" i="3"/>
  <c r="Q74" i="3"/>
  <c r="Q75" i="3"/>
  <c r="Q76" i="3"/>
  <c r="Q77" i="3"/>
  <c r="Q79" i="3"/>
  <c r="Q80" i="3"/>
  <c r="Q81" i="3"/>
  <c r="Q82" i="3"/>
  <c r="Q83" i="3"/>
  <c r="Q84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37" i="3"/>
  <c r="J38" i="3"/>
  <c r="J39" i="3"/>
  <c r="J40" i="3"/>
  <c r="J42" i="3"/>
  <c r="J44" i="3"/>
  <c r="J48" i="3"/>
  <c r="J49" i="3"/>
  <c r="J50" i="3"/>
  <c r="J51" i="3"/>
  <c r="J52" i="3"/>
  <c r="J53" i="3"/>
  <c r="J54" i="3"/>
  <c r="J56" i="3"/>
  <c r="J57" i="3"/>
  <c r="J58" i="3"/>
  <c r="J60" i="3"/>
  <c r="J61" i="3"/>
  <c r="J63" i="3"/>
  <c r="J64" i="3"/>
  <c r="J65" i="3"/>
  <c r="J66" i="3"/>
  <c r="J68" i="3"/>
  <c r="J69" i="3"/>
  <c r="J71" i="3"/>
  <c r="J73" i="3"/>
  <c r="J74" i="3"/>
  <c r="J75" i="3"/>
  <c r="J76" i="3"/>
  <c r="J77" i="3"/>
  <c r="J79" i="3"/>
  <c r="J80" i="3"/>
  <c r="J81" i="3"/>
  <c r="J82" i="3"/>
  <c r="J83" i="3"/>
  <c r="J84" i="3"/>
  <c r="L3" i="3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2" i="3"/>
  <c r="L44" i="3"/>
  <c r="L48" i="3"/>
  <c r="L49" i="3"/>
  <c r="L50" i="3"/>
  <c r="L51" i="3"/>
  <c r="L52" i="3"/>
  <c r="L53" i="3"/>
  <c r="L54" i="3"/>
  <c r="L56" i="3"/>
  <c r="L57" i="3"/>
  <c r="L58" i="3"/>
  <c r="L60" i="3"/>
  <c r="L61" i="3"/>
  <c r="L63" i="3"/>
  <c r="L64" i="3"/>
  <c r="L65" i="3"/>
  <c r="L66" i="3"/>
  <c r="L68" i="3"/>
  <c r="L69" i="3"/>
  <c r="L71" i="3"/>
  <c r="L73" i="3"/>
  <c r="L74" i="3"/>
  <c r="L75" i="3"/>
  <c r="L76" i="3"/>
  <c r="L77" i="3"/>
  <c r="L79" i="3"/>
  <c r="L80" i="3"/>
  <c r="L81" i="3"/>
  <c r="L82" i="3"/>
  <c r="L83" i="3"/>
  <c r="L84" i="3"/>
  <c r="S3" i="3"/>
  <c r="S4" i="3"/>
  <c r="S5" i="3"/>
  <c r="S6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2" i="3"/>
  <c r="S23" i="3"/>
  <c r="S24" i="3"/>
  <c r="S25" i="3"/>
  <c r="S26" i="3"/>
  <c r="S27" i="3"/>
  <c r="S28" i="3"/>
  <c r="S29" i="3"/>
  <c r="S31" i="3"/>
  <c r="S32" i="3"/>
  <c r="S33" i="3"/>
  <c r="S34" i="3"/>
  <c r="S35" i="3"/>
  <c r="S36" i="3"/>
  <c r="S37" i="3"/>
  <c r="S38" i="3"/>
  <c r="S39" i="3"/>
  <c r="S40" i="3"/>
  <c r="S42" i="3"/>
  <c r="S44" i="3"/>
  <c r="S48" i="3"/>
  <c r="S49" i="3"/>
  <c r="S50" i="3"/>
  <c r="S51" i="3"/>
  <c r="S52" i="3"/>
  <c r="S53" i="3"/>
  <c r="S54" i="3"/>
  <c r="S56" i="3"/>
  <c r="S57" i="3"/>
  <c r="S58" i="3"/>
  <c r="S60" i="3"/>
  <c r="S61" i="3"/>
  <c r="S63" i="3"/>
  <c r="S64" i="3"/>
  <c r="S65" i="3"/>
  <c r="S66" i="3"/>
  <c r="S68" i="3"/>
  <c r="S69" i="3"/>
  <c r="S71" i="3"/>
  <c r="S73" i="3"/>
  <c r="S74" i="3"/>
  <c r="S75" i="3"/>
  <c r="S76" i="3"/>
  <c r="S77" i="3"/>
  <c r="S79" i="3"/>
  <c r="S80" i="3"/>
  <c r="S81" i="3"/>
  <c r="S82" i="3"/>
  <c r="S83" i="3"/>
  <c r="S84" i="3"/>
  <c r="R3" i="3"/>
  <c r="R4" i="3"/>
  <c r="R5" i="3"/>
  <c r="R6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2" i="3"/>
  <c r="R23" i="3"/>
  <c r="R24" i="3"/>
  <c r="R25" i="3"/>
  <c r="R26" i="3"/>
  <c r="R27" i="3"/>
  <c r="R28" i="3"/>
  <c r="R29" i="3"/>
  <c r="R31" i="3"/>
  <c r="R32" i="3"/>
  <c r="R33" i="3"/>
  <c r="R34" i="3"/>
  <c r="R35" i="3"/>
  <c r="R36" i="3"/>
  <c r="R37" i="3"/>
  <c r="R38" i="3"/>
  <c r="R39" i="3"/>
  <c r="R40" i="3"/>
  <c r="R42" i="3"/>
  <c r="R44" i="3"/>
  <c r="R48" i="3"/>
  <c r="R49" i="3"/>
  <c r="R50" i="3"/>
  <c r="R51" i="3"/>
  <c r="R52" i="3"/>
  <c r="R53" i="3"/>
  <c r="R54" i="3"/>
  <c r="R56" i="3"/>
  <c r="R57" i="3"/>
  <c r="R58" i="3"/>
  <c r="R60" i="3"/>
  <c r="R61" i="3"/>
  <c r="R63" i="3"/>
  <c r="R64" i="3"/>
  <c r="R65" i="3"/>
  <c r="R66" i="3"/>
  <c r="R68" i="3"/>
  <c r="R69" i="3"/>
  <c r="R71" i="3"/>
  <c r="R73" i="3"/>
  <c r="R74" i="3"/>
  <c r="R75" i="3"/>
  <c r="R76" i="3"/>
  <c r="R77" i="3"/>
  <c r="R79" i="3"/>
  <c r="R80" i="3"/>
  <c r="R81" i="3"/>
  <c r="R82" i="3"/>
  <c r="R83" i="3"/>
  <c r="R84" i="3"/>
  <c r="M3" i="3"/>
  <c r="M4" i="3"/>
  <c r="M5" i="3"/>
  <c r="M6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2" i="3"/>
  <c r="M44" i="3"/>
  <c r="M48" i="3"/>
  <c r="M49" i="3"/>
  <c r="M50" i="3"/>
  <c r="M51" i="3"/>
  <c r="M52" i="3"/>
  <c r="M53" i="3"/>
  <c r="M54" i="3"/>
  <c r="M56" i="3"/>
  <c r="M57" i="3"/>
  <c r="M58" i="3"/>
  <c r="M60" i="3"/>
  <c r="M61" i="3"/>
  <c r="M63" i="3"/>
  <c r="M64" i="3"/>
  <c r="M65" i="3"/>
  <c r="M66" i="3"/>
  <c r="M68" i="3"/>
  <c r="M69" i="3"/>
  <c r="M71" i="3"/>
  <c r="M73" i="3"/>
  <c r="M74" i="3"/>
  <c r="M75" i="3"/>
  <c r="M76" i="3"/>
  <c r="M77" i="3"/>
  <c r="M79" i="3"/>
  <c r="M80" i="3"/>
  <c r="M81" i="3"/>
  <c r="M82" i="3"/>
  <c r="M83" i="3"/>
  <c r="M84" i="3"/>
  <c r="M2" i="1" a="1"/>
  <c r="T84" i="3" l="1"/>
  <c r="U84" i="3"/>
  <c r="V84" i="3"/>
  <c r="W84" i="3"/>
  <c r="X84" i="3"/>
  <c r="X83" i="3"/>
  <c r="T83" i="3"/>
  <c r="W83" i="3"/>
  <c r="U83" i="3"/>
  <c r="V83" i="3"/>
  <c r="T82" i="3"/>
  <c r="U82" i="3"/>
  <c r="V82" i="3"/>
  <c r="W82" i="3"/>
  <c r="X82" i="3"/>
  <c r="U81" i="3"/>
  <c r="V81" i="3"/>
  <c r="W81" i="3"/>
  <c r="T81" i="3"/>
  <c r="X81" i="3"/>
  <c r="T80" i="3"/>
  <c r="U80" i="3"/>
  <c r="W80" i="3"/>
  <c r="V80" i="3"/>
  <c r="X80" i="3"/>
  <c r="X79" i="3"/>
  <c r="V79" i="3"/>
  <c r="W79" i="3"/>
  <c r="T79" i="3"/>
  <c r="U79" i="3"/>
  <c r="U77" i="3"/>
  <c r="V77" i="3"/>
  <c r="W77" i="3"/>
  <c r="X77" i="3"/>
  <c r="T77" i="3"/>
  <c r="T76" i="3"/>
  <c r="W76" i="3"/>
  <c r="V76" i="3"/>
  <c r="U76" i="3"/>
  <c r="X76" i="3"/>
  <c r="T75" i="3"/>
  <c r="U75" i="3"/>
  <c r="V75" i="3"/>
  <c r="X75" i="3"/>
  <c r="W75" i="3"/>
  <c r="T74" i="3"/>
  <c r="U74" i="3"/>
  <c r="V74" i="3"/>
  <c r="W74" i="3"/>
  <c r="X74" i="3"/>
  <c r="U73" i="3"/>
  <c r="V73" i="3"/>
  <c r="W73" i="3"/>
  <c r="T73" i="3"/>
  <c r="X73" i="3"/>
  <c r="T71" i="3"/>
  <c r="U71" i="3"/>
  <c r="V71" i="3"/>
  <c r="W71" i="3"/>
  <c r="X71" i="3"/>
  <c r="V69" i="3"/>
  <c r="W69" i="3"/>
  <c r="X69" i="3"/>
  <c r="T69" i="3"/>
  <c r="U69" i="3"/>
  <c r="T68" i="3"/>
  <c r="U68" i="3"/>
  <c r="X68" i="3"/>
  <c r="V68" i="3"/>
  <c r="W68" i="3"/>
  <c r="X66" i="3"/>
  <c r="T66" i="3"/>
  <c r="U66" i="3"/>
  <c r="V66" i="3"/>
  <c r="W66" i="3"/>
  <c r="T65" i="3"/>
  <c r="V65" i="3"/>
  <c r="W65" i="3"/>
  <c r="U65" i="3"/>
  <c r="X65" i="3"/>
  <c r="W64" i="3"/>
  <c r="X64" i="3"/>
  <c r="T64" i="3"/>
  <c r="U64" i="3"/>
  <c r="V64" i="3"/>
  <c r="T63" i="3"/>
  <c r="U63" i="3"/>
  <c r="V63" i="3"/>
  <c r="X63" i="3"/>
  <c r="W63" i="3"/>
  <c r="W61" i="3"/>
  <c r="X61" i="3"/>
  <c r="T61" i="3"/>
  <c r="V61" i="3"/>
  <c r="U61" i="3"/>
  <c r="T60" i="3"/>
  <c r="U60" i="3"/>
  <c r="V60" i="3"/>
  <c r="W60" i="3"/>
  <c r="X60" i="3"/>
  <c r="X58" i="3"/>
  <c r="T58" i="3"/>
  <c r="W58" i="3"/>
  <c r="U58" i="3"/>
  <c r="V58" i="3"/>
  <c r="U57" i="3"/>
  <c r="V57" i="3"/>
  <c r="W57" i="3"/>
  <c r="T57" i="3"/>
  <c r="X57" i="3"/>
  <c r="T56" i="3"/>
  <c r="U56" i="3"/>
  <c r="W56" i="3"/>
  <c r="V56" i="3"/>
  <c r="X56" i="3"/>
  <c r="U54" i="3"/>
  <c r="V54" i="3"/>
  <c r="W54" i="3"/>
  <c r="X54" i="3"/>
  <c r="T54" i="3"/>
  <c r="X53" i="3"/>
  <c r="W53" i="3"/>
  <c r="U53" i="3"/>
  <c r="V53" i="3"/>
  <c r="T53" i="3"/>
  <c r="V52" i="3"/>
  <c r="W52" i="3"/>
  <c r="X52" i="3"/>
  <c r="T52" i="3"/>
  <c r="U52" i="3"/>
  <c r="T51" i="3"/>
  <c r="U51" i="3"/>
  <c r="X51" i="3"/>
  <c r="W51" i="3"/>
  <c r="V51" i="3"/>
  <c r="U50" i="3"/>
  <c r="V50" i="3"/>
  <c r="W50" i="3"/>
  <c r="X50" i="3"/>
  <c r="T50" i="3"/>
  <c r="T49" i="3"/>
  <c r="U49" i="3"/>
  <c r="V49" i="3"/>
  <c r="W49" i="3"/>
  <c r="X49" i="3"/>
  <c r="V48" i="3"/>
  <c r="W48" i="3"/>
  <c r="X48" i="3"/>
  <c r="T48" i="3"/>
  <c r="U48" i="3"/>
  <c r="T44" i="3"/>
  <c r="U44" i="3"/>
  <c r="W44" i="3"/>
  <c r="V44" i="3"/>
  <c r="X44" i="3"/>
  <c r="V42" i="3"/>
  <c r="U42" i="3"/>
  <c r="T42" i="3"/>
  <c r="W42" i="3"/>
  <c r="X42" i="3"/>
  <c r="U40" i="3"/>
  <c r="V40" i="3"/>
  <c r="W40" i="3"/>
  <c r="X40" i="3"/>
  <c r="T40" i="3"/>
  <c r="T39" i="3"/>
  <c r="U39" i="3"/>
  <c r="V39" i="3"/>
  <c r="W39" i="3"/>
  <c r="X39" i="3"/>
  <c r="T38" i="3"/>
  <c r="U38" i="3"/>
  <c r="V38" i="3"/>
  <c r="X38" i="3"/>
  <c r="W38" i="3"/>
  <c r="T37" i="3"/>
  <c r="U37" i="3"/>
  <c r="V37" i="3"/>
  <c r="W37" i="3"/>
  <c r="X37" i="3"/>
  <c r="U36" i="3"/>
  <c r="V36" i="3"/>
  <c r="W36" i="3"/>
  <c r="T36" i="3"/>
  <c r="X36" i="3"/>
  <c r="T35" i="3"/>
  <c r="X35" i="3"/>
  <c r="W35" i="3"/>
  <c r="V35" i="3"/>
  <c r="U35" i="3"/>
  <c r="T34" i="3"/>
  <c r="U34" i="3"/>
  <c r="V34" i="3"/>
  <c r="X34" i="3"/>
  <c r="W34" i="3"/>
  <c r="W33" i="3"/>
  <c r="T33" i="3"/>
  <c r="U33" i="3"/>
  <c r="V33" i="3"/>
  <c r="X33" i="3"/>
  <c r="U32" i="3"/>
  <c r="V32" i="3"/>
  <c r="W32" i="3"/>
  <c r="T32" i="3"/>
  <c r="X32" i="3"/>
  <c r="T31" i="3"/>
  <c r="V31" i="3"/>
  <c r="U31" i="3"/>
  <c r="W31" i="3"/>
  <c r="X31" i="3"/>
  <c r="U29" i="3"/>
  <c r="V29" i="3"/>
  <c r="W29" i="3"/>
  <c r="X29" i="3"/>
  <c r="T29" i="3"/>
  <c r="U28" i="3"/>
  <c r="T28" i="3"/>
  <c r="V28" i="3"/>
  <c r="X28" i="3"/>
  <c r="W28" i="3"/>
  <c r="V27" i="3"/>
  <c r="W27" i="3"/>
  <c r="X27" i="3"/>
  <c r="T27" i="3"/>
  <c r="U27" i="3"/>
  <c r="T26" i="3"/>
  <c r="U26" i="3"/>
  <c r="V26" i="3"/>
  <c r="W26" i="3"/>
  <c r="X26" i="3"/>
  <c r="U25" i="3"/>
  <c r="V25" i="3"/>
  <c r="W25" i="3"/>
  <c r="X25" i="3"/>
  <c r="T25" i="3"/>
  <c r="X24" i="3"/>
  <c r="U24" i="3"/>
  <c r="T24" i="3"/>
  <c r="V24" i="3"/>
  <c r="W24" i="3"/>
  <c r="V23" i="3"/>
  <c r="W23" i="3"/>
  <c r="X23" i="3"/>
  <c r="T23" i="3"/>
  <c r="U23" i="3"/>
  <c r="T22" i="3"/>
  <c r="U22" i="3"/>
  <c r="V22" i="3"/>
  <c r="X22" i="3"/>
  <c r="W22" i="3"/>
  <c r="V20" i="3"/>
  <c r="W20" i="3"/>
  <c r="X20" i="3"/>
  <c r="T20" i="3"/>
  <c r="U20" i="3"/>
  <c r="T19" i="3"/>
  <c r="U19" i="3"/>
  <c r="X19" i="3"/>
  <c r="V19" i="3"/>
  <c r="W19" i="3"/>
  <c r="W18" i="3"/>
  <c r="X18" i="3"/>
  <c r="T18" i="3"/>
  <c r="V18" i="3"/>
  <c r="U18" i="3"/>
  <c r="T17" i="3"/>
  <c r="U17" i="3"/>
  <c r="V17" i="3"/>
  <c r="X17" i="3"/>
  <c r="W17" i="3"/>
  <c r="V16" i="3"/>
  <c r="W16" i="3"/>
  <c r="X16" i="3"/>
  <c r="T16" i="3"/>
  <c r="U16" i="3"/>
  <c r="T15" i="3"/>
  <c r="V15" i="3"/>
  <c r="W15" i="3"/>
  <c r="U15" i="3"/>
  <c r="X15" i="3"/>
  <c r="W14" i="3"/>
  <c r="X14" i="3"/>
  <c r="T14" i="3"/>
  <c r="U14" i="3"/>
  <c r="V14" i="3"/>
  <c r="U13" i="3"/>
  <c r="T13" i="3"/>
  <c r="V13" i="3"/>
  <c r="W13" i="3"/>
  <c r="X13" i="3"/>
  <c r="V12" i="3"/>
  <c r="W12" i="3"/>
  <c r="X12" i="3"/>
  <c r="T12" i="3"/>
  <c r="U12" i="3"/>
  <c r="T11" i="3"/>
  <c r="W11" i="3"/>
  <c r="X11" i="3"/>
  <c r="U11" i="3"/>
  <c r="V11" i="3"/>
  <c r="W10" i="3"/>
  <c r="X10" i="3"/>
  <c r="V10" i="3"/>
  <c r="T10" i="3"/>
  <c r="U10" i="3"/>
  <c r="U9" i="3"/>
  <c r="T9" i="3"/>
  <c r="V9" i="3"/>
  <c r="W9" i="3"/>
  <c r="X9" i="3"/>
  <c r="V8" i="3"/>
  <c r="W8" i="3"/>
  <c r="X8" i="3"/>
  <c r="U8" i="3"/>
  <c r="T8" i="3"/>
  <c r="T6" i="3"/>
  <c r="U6" i="3"/>
  <c r="V6" i="3"/>
  <c r="W6" i="3"/>
  <c r="X6" i="3"/>
  <c r="X5" i="3"/>
  <c r="T5" i="3"/>
  <c r="U5" i="3"/>
  <c r="W5" i="3"/>
  <c r="V5" i="3"/>
  <c r="T4" i="3"/>
  <c r="V4" i="3"/>
  <c r="W4" i="3"/>
  <c r="X4" i="3"/>
  <c r="U4" i="3"/>
  <c r="W3" i="3"/>
  <c r="X3" i="3"/>
  <c r="T3" i="3"/>
  <c r="U3" i="3"/>
  <c r="V3" i="3"/>
  <c r="M2" i="1"/>
  <c r="M5" i="1" a="1"/>
  <c r="M5" i="1"/>
  <c r="C8" i="1"/>
  <c r="C8" i="466" s="1"/>
  <c r="D8" i="1"/>
  <c r="E8" i="1"/>
  <c r="F8" i="1"/>
  <c r="G8" i="1"/>
  <c r="H8" i="1" a="1"/>
  <c r="H8" i="1" l="1"/>
  <c r="I8" i="1" a="1"/>
  <c r="I8" i="1"/>
  <c r="D8" i="466" s="1"/>
  <c r="J8" i="1" a="1"/>
  <c r="J8" i="1" l="1"/>
  <c r="K8" i="1" a="1"/>
  <c r="K8" i="1"/>
  <c r="C9" i="1"/>
  <c r="C9" i="466" s="1"/>
  <c r="D9" i="1"/>
  <c r="E9" i="1"/>
  <c r="F9" i="1"/>
  <c r="G9" i="1"/>
  <c r="H9" i="1" a="1"/>
  <c r="H9" i="1" l="1"/>
  <c r="I9" i="1" a="1"/>
  <c r="I9" i="1"/>
  <c r="D9" i="466" s="1"/>
  <c r="J9" i="1" a="1"/>
  <c r="J9" i="1" l="1"/>
  <c r="K9" i="1" a="1"/>
  <c r="K9" i="1"/>
  <c r="C10" i="1"/>
  <c r="C10" i="466" s="1"/>
  <c r="D10" i="1"/>
  <c r="E10" i="1"/>
  <c r="F10" i="1"/>
  <c r="G10" i="1"/>
  <c r="H10" i="1" a="1"/>
  <c r="H10" i="1" l="1"/>
  <c r="I10" i="1" a="1"/>
  <c r="I10" i="1"/>
  <c r="D10" i="466" s="1"/>
  <c r="J10" i="1" a="1"/>
  <c r="J10" i="1" l="1"/>
  <c r="K10" i="1" a="1"/>
  <c r="K10" i="1"/>
  <c r="C11" i="1"/>
  <c r="C11" i="466" s="1"/>
  <c r="D11" i="1"/>
  <c r="E11" i="1"/>
  <c r="F11" i="1"/>
  <c r="G11" i="1"/>
  <c r="H11" i="1" a="1"/>
  <c r="H11" i="1" l="1"/>
  <c r="I11" i="1" a="1"/>
  <c r="I11" i="1"/>
  <c r="D11" i="466" s="1"/>
  <c r="J11" i="1" a="1"/>
  <c r="J11" i="1" l="1"/>
  <c r="K11" i="1" a="1"/>
  <c r="K11" i="1"/>
  <c r="C12" i="1"/>
  <c r="C12" i="466" s="1"/>
  <c r="D12" i="1"/>
  <c r="E12" i="1"/>
  <c r="F12" i="1"/>
  <c r="G12" i="1"/>
  <c r="H12" i="1" a="1"/>
  <c r="H12" i="1" l="1"/>
  <c r="I12" i="1" a="1"/>
  <c r="I12" i="1"/>
  <c r="D12" i="466" s="1"/>
  <c r="J12" i="1" a="1"/>
  <c r="J12" i="1" l="1"/>
  <c r="K12" i="1" a="1"/>
  <c r="K12" i="1"/>
  <c r="C13" i="1"/>
  <c r="C13" i="466" s="1"/>
  <c r="D13" i="1"/>
  <c r="E13" i="1"/>
  <c r="F13" i="1"/>
  <c r="G13" i="1"/>
  <c r="H13" i="1" a="1"/>
  <c r="H13" i="1" l="1"/>
  <c r="I13" i="1" a="1"/>
  <c r="I13" i="1"/>
  <c r="D13" i="466" s="1"/>
  <c r="J13" i="1" a="1"/>
  <c r="J13" i="1" l="1"/>
  <c r="K13" i="1" a="1"/>
  <c r="K13" i="1"/>
  <c r="C14" i="1"/>
  <c r="C14" i="466" s="1"/>
  <c r="D14" i="1"/>
  <c r="E14" i="1"/>
  <c r="F14" i="1"/>
  <c r="G14" i="1"/>
  <c r="H14" i="1" a="1"/>
  <c r="E14" i="466" l="1"/>
  <c r="E8" i="466"/>
  <c r="E13" i="466"/>
  <c r="E12" i="466"/>
  <c r="E11" i="466"/>
  <c r="E9" i="466"/>
  <c r="E10" i="466"/>
  <c r="H14" i="1"/>
  <c r="I14" i="1" a="1"/>
  <c r="I14" i="1" l="1"/>
  <c r="D14" i="466" s="1"/>
  <c r="J14" i="1" a="1"/>
  <c r="F14" i="466" l="1"/>
  <c r="G14" i="466" s="1"/>
  <c r="H14" i="466" s="1"/>
  <c r="F8" i="466"/>
  <c r="G8" i="466" s="1"/>
  <c r="H8" i="466" s="1"/>
  <c r="F13" i="466"/>
  <c r="G13" i="466" s="1"/>
  <c r="H13" i="466" s="1"/>
  <c r="F10" i="466"/>
  <c r="G10" i="466" s="1"/>
  <c r="H10" i="466" s="1"/>
  <c r="F11" i="466"/>
  <c r="G11" i="466" s="1"/>
  <c r="H11" i="466" s="1"/>
  <c r="F9" i="466"/>
  <c r="G9" i="466" s="1"/>
  <c r="H9" i="466" s="1"/>
  <c r="F12" i="466"/>
  <c r="G12" i="466" s="1"/>
  <c r="H12" i="466" s="1"/>
  <c r="J14" i="1"/>
  <c r="K14" i="1" a="1"/>
  <c r="K14" i="1"/>
  <c r="C16" i="1"/>
  <c r="C16" i="466" s="1"/>
  <c r="D16" i="1"/>
  <c r="E16" i="1"/>
  <c r="F16" i="1"/>
  <c r="G16" i="1"/>
  <c r="H16" i="1" a="1"/>
  <c r="H16" i="1" l="1"/>
  <c r="I16" i="1" a="1"/>
  <c r="I16" i="1"/>
  <c r="D16" i="466" s="1"/>
  <c r="J16" i="1" a="1"/>
  <c r="J16" i="1" l="1"/>
  <c r="K16" i="1" a="1"/>
  <c r="K16" i="1"/>
  <c r="C17" i="1"/>
  <c r="C17" i="466" s="1"/>
  <c r="D17" i="1"/>
  <c r="E17" i="1"/>
  <c r="F17" i="1"/>
  <c r="G17" i="1"/>
  <c r="H17" i="1" a="1"/>
  <c r="H17" i="1" l="1"/>
  <c r="I17" i="1" a="1"/>
  <c r="I17" i="1"/>
  <c r="D17" i="466" s="1"/>
  <c r="J17" i="1" a="1"/>
  <c r="J17" i="1" l="1"/>
  <c r="K17" i="1" a="1"/>
  <c r="K17" i="1"/>
  <c r="C18" i="1"/>
  <c r="C18" i="466" s="1"/>
  <c r="D18" i="1"/>
  <c r="E18" i="1"/>
  <c r="F18" i="1"/>
  <c r="G18" i="1"/>
  <c r="H18" i="1" a="1"/>
  <c r="E18" i="466" l="1"/>
  <c r="E17" i="466"/>
  <c r="E16" i="466"/>
  <c r="H18" i="1"/>
  <c r="I18" i="1" a="1"/>
  <c r="I18" i="1" l="1"/>
  <c r="D18" i="466" s="1"/>
  <c r="J18" i="1" a="1"/>
  <c r="F18" i="466" l="1"/>
  <c r="G18" i="466" s="1"/>
  <c r="H18" i="466" s="1"/>
  <c r="F17" i="466"/>
  <c r="G17" i="466" s="1"/>
  <c r="H17" i="466" s="1"/>
  <c r="F16" i="466"/>
  <c r="G16" i="466" s="1"/>
  <c r="H16" i="466" s="1"/>
  <c r="J18" i="1"/>
  <c r="K18" i="1" a="1"/>
  <c r="K18" i="1"/>
  <c r="C20" i="1"/>
  <c r="C20" i="466" s="1"/>
  <c r="E20" i="466" s="1"/>
  <c r="D20" i="1"/>
  <c r="E20" i="1"/>
  <c r="F20" i="1"/>
  <c r="G20" i="1"/>
  <c r="H20" i="1" a="1"/>
  <c r="H20" i="1" l="1"/>
  <c r="I20" i="1" a="1"/>
  <c r="I20" i="1"/>
  <c r="D20" i="466" s="1"/>
  <c r="F20" i="466" s="1"/>
  <c r="G20" i="466" s="1"/>
  <c r="H20" i="466" s="1"/>
  <c r="J20" i="1" a="1"/>
  <c r="J20" i="1"/>
  <c r="K20" i="1" a="1"/>
  <c r="K20" i="1"/>
  <c r="C22" i="1"/>
  <c r="C22" i="466" s="1"/>
  <c r="D22" i="1"/>
  <c r="E22" i="1"/>
  <c r="F22" i="1"/>
  <c r="G22" i="1"/>
  <c r="H22" i="1" a="1"/>
  <c r="H22" i="1" l="1"/>
  <c r="I22" i="1" a="1"/>
  <c r="I22" i="1"/>
  <c r="D22" i="466" s="1"/>
  <c r="J22" i="1" a="1"/>
  <c r="J22" i="1" l="1"/>
  <c r="K22" i="1" a="1"/>
  <c r="K22" i="1"/>
  <c r="C23" i="1"/>
  <c r="C23" i="466" s="1"/>
  <c r="D23" i="1"/>
  <c r="E23" i="1"/>
  <c r="F23" i="1"/>
  <c r="G23" i="1"/>
  <c r="H23" i="1" a="1"/>
  <c r="H23" i="1" l="1"/>
  <c r="I23" i="1" a="1"/>
  <c r="I23" i="1"/>
  <c r="D23" i="466" s="1"/>
  <c r="J23" i="1" a="1"/>
  <c r="J23" i="1" l="1"/>
  <c r="K23" i="1" a="1"/>
  <c r="K23" i="1"/>
  <c r="C24" i="1"/>
  <c r="C24" i="466" s="1"/>
  <c r="D24" i="1"/>
  <c r="E24" i="1"/>
  <c r="F24" i="1"/>
  <c r="G24" i="1"/>
  <c r="H24" i="1" a="1"/>
  <c r="H24" i="1" l="1"/>
  <c r="I24" i="1" a="1"/>
  <c r="I24" i="1"/>
  <c r="D24" i="466" s="1"/>
  <c r="J24" i="1" a="1"/>
  <c r="J24" i="1" l="1"/>
  <c r="K24" i="1" a="1"/>
  <c r="K24" i="1"/>
  <c r="C25" i="1"/>
  <c r="C25" i="466" s="1"/>
  <c r="D25" i="1"/>
  <c r="E25" i="1"/>
  <c r="F25" i="1"/>
  <c r="G25" i="1"/>
  <c r="H25" i="1" a="1"/>
  <c r="E25" i="466" l="1"/>
  <c r="E24" i="466"/>
  <c r="E23" i="466"/>
  <c r="E22" i="466"/>
  <c r="H25" i="1"/>
  <c r="I25" i="1" a="1"/>
  <c r="I25" i="1" l="1"/>
  <c r="D25" i="466" s="1"/>
  <c r="J25" i="1" a="1"/>
  <c r="F25" i="466" l="1"/>
  <c r="G25" i="466" s="1"/>
  <c r="H25" i="466" s="1"/>
  <c r="F24" i="466"/>
  <c r="G24" i="466" s="1"/>
  <c r="H24" i="466" s="1"/>
  <c r="F22" i="466"/>
  <c r="G22" i="466" s="1"/>
  <c r="H22" i="466" s="1"/>
  <c r="F23" i="466"/>
  <c r="G23" i="466" s="1"/>
  <c r="H23" i="466" s="1"/>
  <c r="J25" i="1"/>
  <c r="K25" i="1" a="1"/>
  <c r="K25" i="1"/>
  <c r="C27" i="1"/>
  <c r="C27" i="466" s="1"/>
  <c r="D27" i="1"/>
  <c r="E27" i="1"/>
  <c r="F27" i="1"/>
  <c r="G27" i="1"/>
  <c r="H27" i="1" a="1"/>
  <c r="H27" i="1" l="1"/>
  <c r="I27" i="1" a="1"/>
  <c r="I27" i="1"/>
  <c r="D27" i="466" s="1"/>
  <c r="J27" i="1" a="1"/>
  <c r="J27" i="1" l="1"/>
  <c r="K27" i="1" a="1"/>
  <c r="K27" i="1"/>
  <c r="C28" i="1"/>
  <c r="C28" i="466" s="1"/>
  <c r="D28" i="1"/>
  <c r="E28" i="1"/>
  <c r="F28" i="1"/>
  <c r="G28" i="1"/>
  <c r="H28" i="1" a="1"/>
  <c r="E28" i="466" l="1"/>
  <c r="E27" i="466"/>
  <c r="H28" i="1"/>
  <c r="I28" i="1" a="1"/>
  <c r="I28" i="1" l="1"/>
  <c r="D28" i="466" s="1"/>
  <c r="J28" i="1" a="1"/>
  <c r="F28" i="466" l="1"/>
  <c r="G28" i="466" s="1"/>
  <c r="H28" i="466" s="1"/>
  <c r="F27" i="466"/>
  <c r="G27" i="466" s="1"/>
  <c r="H27" i="466" s="1"/>
  <c r="J28" i="1"/>
  <c r="K28" i="1" a="1"/>
  <c r="K28" i="1"/>
  <c r="C30" i="1"/>
  <c r="C30" i="466" s="1"/>
  <c r="E30" i="466" s="1"/>
  <c r="D30" i="1"/>
  <c r="E30" i="1"/>
  <c r="F30" i="1"/>
  <c r="G30" i="1"/>
  <c r="H30" i="1" a="1"/>
  <c r="H30" i="1" l="1"/>
  <c r="I30" i="1" a="1"/>
  <c r="I30" i="1"/>
  <c r="D30" i="466" s="1"/>
  <c r="F30" i="466" s="1"/>
  <c r="G30" i="466" s="1"/>
  <c r="H30" i="466" s="1"/>
  <c r="J30" i="1" a="1"/>
  <c r="J30" i="1"/>
  <c r="K30" i="1" a="1"/>
  <c r="K30" i="1"/>
  <c r="C32" i="1"/>
  <c r="C32" i="466" s="1"/>
  <c r="D32" i="1"/>
  <c r="E32" i="1"/>
  <c r="F32" i="1"/>
  <c r="G32" i="1"/>
  <c r="H32" i="1" a="1"/>
  <c r="H32" i="1" l="1"/>
  <c r="I32" i="1" a="1"/>
  <c r="I32" i="1"/>
  <c r="D32" i="466" s="1"/>
  <c r="J32" i="1" a="1"/>
  <c r="J32" i="1" l="1"/>
  <c r="K32" i="1" a="1"/>
  <c r="K32" i="1"/>
  <c r="C33" i="1"/>
  <c r="C33" i="466" s="1"/>
  <c r="D33" i="1"/>
  <c r="E33" i="1"/>
  <c r="F33" i="1"/>
  <c r="G33" i="1"/>
  <c r="H33" i="1" a="1"/>
  <c r="H33" i="1" l="1"/>
  <c r="I33" i="1" a="1"/>
  <c r="I33" i="1"/>
  <c r="D33" i="466" s="1"/>
  <c r="J33" i="1" a="1"/>
  <c r="J33" i="1" l="1"/>
  <c r="K33" i="1" a="1"/>
  <c r="K33" i="1"/>
  <c r="C34" i="1"/>
  <c r="C34" i="466" s="1"/>
  <c r="D34" i="1"/>
  <c r="E34" i="1"/>
  <c r="F34" i="1"/>
  <c r="G34" i="1"/>
  <c r="H34" i="1" a="1"/>
  <c r="H34" i="1" l="1"/>
  <c r="I34" i="1" a="1"/>
  <c r="I34" i="1"/>
  <c r="D34" i="466" s="1"/>
  <c r="J34" i="1" a="1"/>
  <c r="J34" i="1" l="1"/>
  <c r="K34" i="1" a="1"/>
  <c r="K34" i="1"/>
  <c r="C35" i="1"/>
  <c r="C35" i="466" s="1"/>
  <c r="D35" i="1"/>
  <c r="E35" i="1"/>
  <c r="F35" i="1"/>
  <c r="G35" i="1"/>
  <c r="H35" i="1" a="1"/>
  <c r="H35" i="1" l="1"/>
  <c r="I35" i="1" a="1"/>
  <c r="I35" i="1"/>
  <c r="D35" i="466" s="1"/>
  <c r="J35" i="1" a="1"/>
  <c r="J35" i="1" l="1"/>
  <c r="K35" i="1" a="1"/>
  <c r="K35" i="1"/>
  <c r="C36" i="1"/>
  <c r="C36" i="466" s="1"/>
  <c r="D36" i="1"/>
  <c r="E36" i="1"/>
  <c r="F36" i="1"/>
  <c r="G36" i="1"/>
  <c r="H36" i="1" a="1"/>
  <c r="E36" i="466" l="1"/>
  <c r="E35" i="466"/>
  <c r="E34" i="466"/>
  <c r="E33" i="466"/>
  <c r="E32" i="466"/>
  <c r="H36" i="1"/>
  <c r="I36" i="1" a="1"/>
  <c r="I36" i="1" l="1"/>
  <c r="D36" i="466" s="1"/>
  <c r="J36" i="1" a="1"/>
  <c r="F36" i="466" l="1"/>
  <c r="G36" i="466" s="1"/>
  <c r="H36" i="466" s="1"/>
  <c r="F35" i="466"/>
  <c r="G35" i="466" s="1"/>
  <c r="H35" i="466" s="1"/>
  <c r="F34" i="466"/>
  <c r="G34" i="466" s="1"/>
  <c r="H34" i="466" s="1"/>
  <c r="F33" i="466"/>
  <c r="G33" i="466" s="1"/>
  <c r="H33" i="466" s="1"/>
  <c r="F32" i="466"/>
  <c r="G32" i="466" s="1"/>
  <c r="H32" i="466" s="1"/>
  <c r="J36" i="1"/>
  <c r="K36" i="1" a="1"/>
  <c r="K36" i="1"/>
  <c r="C38" i="1"/>
  <c r="C38" i="466" s="1"/>
  <c r="D38" i="1"/>
  <c r="E38" i="1"/>
  <c r="F38" i="1"/>
  <c r="G38" i="1"/>
  <c r="H38" i="1" a="1"/>
  <c r="H38" i="1" l="1"/>
  <c r="I38" i="1" a="1"/>
  <c r="I38" i="1"/>
  <c r="D38" i="466" s="1"/>
  <c r="J38" i="1" a="1"/>
  <c r="J38" i="1" l="1"/>
  <c r="K38" i="1" a="1"/>
  <c r="K38" i="1"/>
  <c r="C39" i="1"/>
  <c r="C39" i="466" s="1"/>
  <c r="D39" i="1"/>
  <c r="E39" i="1"/>
  <c r="F39" i="1"/>
  <c r="G39" i="1"/>
  <c r="H39" i="1" a="1"/>
  <c r="H39" i="1" l="1"/>
  <c r="I39" i="1" a="1"/>
  <c r="I39" i="1"/>
  <c r="D39" i="466" s="1"/>
  <c r="J39" i="1" a="1"/>
  <c r="J39" i="1" l="1"/>
  <c r="K39" i="1" a="1"/>
  <c r="K39" i="1"/>
  <c r="C40" i="1"/>
  <c r="C40" i="466" s="1"/>
  <c r="D40" i="1"/>
  <c r="E40" i="1"/>
  <c r="F40" i="1"/>
  <c r="G40" i="1"/>
  <c r="H40" i="1" a="1"/>
  <c r="H40" i="1" l="1"/>
  <c r="I40" i="1" a="1"/>
  <c r="I40" i="1"/>
  <c r="D40" i="466" s="1"/>
  <c r="J40" i="1" a="1"/>
  <c r="J40" i="1" l="1"/>
  <c r="K40" i="1" a="1"/>
  <c r="K40" i="1"/>
  <c r="C41" i="1"/>
  <c r="C41" i="466" s="1"/>
  <c r="D41" i="1"/>
  <c r="E41" i="1"/>
  <c r="F41" i="1"/>
  <c r="G41" i="1"/>
  <c r="H41" i="1" a="1"/>
  <c r="H41" i="1" l="1"/>
  <c r="I41" i="1" a="1"/>
  <c r="I41" i="1"/>
  <c r="D41" i="466" s="1"/>
  <c r="J41" i="1" a="1"/>
  <c r="J41" i="1" l="1"/>
  <c r="K41" i="1" a="1"/>
  <c r="K41" i="1"/>
  <c r="C42" i="1"/>
  <c r="C42" i="466" s="1"/>
  <c r="D42" i="1" a="1"/>
  <c r="D42" i="1" l="1"/>
  <c r="E42" i="1"/>
  <c r="F42" i="1"/>
  <c r="G42" i="1"/>
  <c r="H42" i="1" a="1"/>
  <c r="H42" i="1"/>
  <c r="I42" i="1" a="1"/>
  <c r="I42" i="1"/>
  <c r="D42" i="466" s="1"/>
  <c r="J42" i="1" a="1"/>
  <c r="J42" i="1" l="1"/>
  <c r="K42" i="1" a="1"/>
  <c r="K42" i="1"/>
  <c r="C43" i="1"/>
  <c r="C43" i="466" s="1"/>
  <c r="D43" i="1"/>
  <c r="E43" i="1"/>
  <c r="F43" i="1"/>
  <c r="G43" i="1"/>
  <c r="H43" i="1" a="1"/>
  <c r="E43" i="466" l="1"/>
  <c r="E42" i="466"/>
  <c r="E41" i="466"/>
  <c r="E40" i="466"/>
  <c r="E39" i="466"/>
  <c r="E38" i="466"/>
  <c r="E44" i="466"/>
  <c r="G44" i="466" s="1"/>
  <c r="H44" i="466" s="1"/>
  <c r="H43" i="1"/>
  <c r="I43" i="1" a="1"/>
  <c r="I43" i="1" l="1"/>
  <c r="D43" i="466" s="1"/>
  <c r="J43" i="1" a="1"/>
  <c r="F43" i="466" l="1"/>
  <c r="G43" i="466" s="1"/>
  <c r="H43" i="466" s="1"/>
  <c r="F42" i="466"/>
  <c r="G42" i="466" s="1"/>
  <c r="H42" i="466" s="1"/>
  <c r="F40" i="466"/>
  <c r="G40" i="466" s="1"/>
  <c r="H40" i="466" s="1"/>
  <c r="F38" i="466"/>
  <c r="G38" i="466" s="1"/>
  <c r="H38" i="466" s="1"/>
  <c r="F41" i="466"/>
  <c r="G41" i="466" s="1"/>
  <c r="H41" i="466" s="1"/>
  <c r="F39" i="466"/>
  <c r="G39" i="466" s="1"/>
  <c r="H39" i="466" s="1"/>
  <c r="J43" i="1"/>
  <c r="K43" i="1" a="1"/>
  <c r="K43" i="1"/>
  <c r="C44" i="1" a="1"/>
  <c r="C44" i="1"/>
  <c r="D44" i="1" a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H46" i="1"/>
  <c r="I46" i="1"/>
  <c r="J46" i="1"/>
  <c r="K46" i="1"/>
  <c r="H47" i="1"/>
  <c r="I47" i="1"/>
  <c r="J47" i="1"/>
  <c r="K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<sst xmlns="http://schemas.openxmlformats.org/spreadsheetml/2006/main" count="540" uniqueCount="372">
  <si>
    <t>CDS (bps)</t>
  </si>
  <si>
    <t>Equity Price (%)</t>
  </si>
  <si>
    <t>Bank</t>
  </si>
  <si>
    <t>Now</t>
  </si>
  <si>
    <t>5d Δ</t>
  </si>
  <si>
    <t>2wk Δ</t>
  </si>
  <si>
    <t>3m Δ</t>
  </si>
  <si>
    <t>1yr Δ</t>
  </si>
  <si>
    <t>America</t>
  </si>
  <si>
    <t>Dow Jones US Banks Index</t>
  </si>
  <si>
    <t>Citigroup</t>
  </si>
  <si>
    <t>Bank of America</t>
  </si>
  <si>
    <t>JPMorgan Chase</t>
  </si>
  <si>
    <t>Goldman Sachs</t>
  </si>
  <si>
    <t>Morgan Stanley</t>
  </si>
  <si>
    <t>Wells Fargo</t>
  </si>
  <si>
    <t>State Street Bank</t>
  </si>
  <si>
    <t>France</t>
  </si>
  <si>
    <t>BNP Paribas SA</t>
  </si>
  <si>
    <t>Credit Agricole SA</t>
  </si>
  <si>
    <t>Societe Generale</t>
  </si>
  <si>
    <t>Switzerland</t>
  </si>
  <si>
    <t>UBS Group AG</t>
  </si>
  <si>
    <t>U.K.</t>
  </si>
  <si>
    <t>Barclays Bank PLC</t>
  </si>
  <si>
    <t>HSBC Holdings PLC</t>
  </si>
  <si>
    <t>RBS Group PLC</t>
  </si>
  <si>
    <t>Standard Chartered</t>
  </si>
  <si>
    <t>Germany</t>
  </si>
  <si>
    <t>Deutsche Bank AG</t>
  </si>
  <si>
    <t>Commerzbank</t>
  </si>
  <si>
    <t>Denmark</t>
  </si>
  <si>
    <t>Danske</t>
  </si>
  <si>
    <t>Japan</t>
  </si>
  <si>
    <t>TOPIX Banks Index</t>
  </si>
  <si>
    <t>Mitsubishi</t>
  </si>
  <si>
    <t>Sumitomo</t>
  </si>
  <si>
    <t>Mizuho</t>
  </si>
  <si>
    <t>Daiwa</t>
  </si>
  <si>
    <t>Nomura</t>
  </si>
  <si>
    <t>Canada</t>
  </si>
  <si>
    <t>S&amp;P/TSX Composite Banks Index</t>
  </si>
  <si>
    <t>Bank of Nova Scotia</t>
  </si>
  <si>
    <t>BMO</t>
  </si>
  <si>
    <t>CIBC</t>
  </si>
  <si>
    <t>TD</t>
  </si>
  <si>
    <t>RBC</t>
  </si>
  <si>
    <t>Nationale</t>
  </si>
  <si>
    <t>Laurentian</t>
  </si>
  <si>
    <t>Equity RIC</t>
  </si>
  <si>
    <t>C.N</t>
  </si>
  <si>
    <t>BAC.N</t>
  </si>
  <si>
    <t>JPM.N</t>
  </si>
  <si>
    <t>GS.N</t>
  </si>
  <si>
    <t>MS.N</t>
  </si>
  <si>
    <t>WFC.N</t>
  </si>
  <si>
    <t>STT.N</t>
  </si>
  <si>
    <t>BNPP.PA</t>
  </si>
  <si>
    <t>CAGR.PA</t>
  </si>
  <si>
    <t>SOGN.PA</t>
  </si>
  <si>
    <t>UBSG.S</t>
  </si>
  <si>
    <t>BARC.L</t>
  </si>
  <si>
    <t>HSBA.L</t>
  </si>
  <si>
    <t>NWG.L</t>
  </si>
  <si>
    <t>STAN.L</t>
  </si>
  <si>
    <t>DBKGn.DE</t>
  </si>
  <si>
    <t>CBKG.DE</t>
  </si>
  <si>
    <t>DANSKE.CO</t>
  </si>
  <si>
    <t>Mitsubishi UFJ</t>
  </si>
  <si>
    <t>8306.T</t>
  </si>
  <si>
    <t>8316.T</t>
  </si>
  <si>
    <t>8411.T</t>
  </si>
  <si>
    <t>8601.T</t>
  </si>
  <si>
    <t>8604.T</t>
  </si>
  <si>
    <t>BNS.TO</t>
  </si>
  <si>
    <t>BMO.TO</t>
  </si>
  <si>
    <t>CM.TO</t>
  </si>
  <si>
    <t>TD.TO</t>
  </si>
  <si>
    <t>RY.TO</t>
  </si>
  <si>
    <t>NA.TO</t>
  </si>
  <si>
    <t>LB.TO</t>
  </si>
  <si>
    <t>C5YUSAX=R</t>
  </si>
  <si>
    <t>BAC5YUSAX=R</t>
  </si>
  <si>
    <t>JPM5YUSAX=R</t>
  </si>
  <si>
    <t>GS5YUSAX=R</t>
  </si>
  <si>
    <t>MS5YUSAX=R</t>
  </si>
  <si>
    <t>WFC5YUSAX=R</t>
  </si>
  <si>
    <t>STT5YUSAX=R</t>
  </si>
  <si>
    <t>FORB5YEUAM=R</t>
  </si>
  <si>
    <t>CAGR5YEUAM=R</t>
  </si>
  <si>
    <t>SG5YEUAM=R</t>
  </si>
  <si>
    <t>UBSJ5YEUAM=R</t>
  </si>
  <si>
    <t>BARC5YEUAM=R</t>
  </si>
  <si>
    <t>STAN5YEUAM=R</t>
  </si>
  <si>
    <t>HSBA5YEUAM=R</t>
  </si>
  <si>
    <t>RBS5YEUAM=R</t>
  </si>
  <si>
    <t>DB5YEUAM=R</t>
  </si>
  <si>
    <t>CBKG5YEUAM=R</t>
  </si>
  <si>
    <t>DDBA5YEUAM=R</t>
  </si>
  <si>
    <t>MTFB5YJPAC=R</t>
  </si>
  <si>
    <t>SANG5YJPAC=R</t>
  </si>
  <si>
    <t>MZFC5YUSAC=R</t>
  </si>
  <si>
    <t>DWAS5YJPAC=R</t>
  </si>
  <si>
    <t>NMH5YJPAC=R</t>
  </si>
  <si>
    <t>BNS5YUSAX=R</t>
  </si>
  <si>
    <t>CM5YUSAX=R</t>
  </si>
  <si>
    <t>RY5YUSAX=R</t>
  </si>
  <si>
    <t>NA5YUSAX=R</t>
  </si>
  <si>
    <t>BMO5YUSAX=FN</t>
  </si>
  <si>
    <t>TD5YUSAX=FN</t>
  </si>
  <si>
    <t>LB5YUSAX=FN</t>
  </si>
  <si>
    <t>IQT313313524</t>
  </si>
  <si>
    <t>IQT313317344</t>
  </si>
  <si>
    <t>IQT46220329</t>
  </si>
  <si>
    <t>IQT313315429</t>
  </si>
  <si>
    <t>IQT313314976</t>
  </si>
  <si>
    <t>IQT313310854</t>
  </si>
  <si>
    <t>IQT62270106</t>
  </si>
  <si>
    <t>IQT46200317</t>
  </si>
  <si>
    <t>IQT79634901</t>
  </si>
  <si>
    <t>IQT62270107</t>
  </si>
  <si>
    <t xml:space="preserve">IQT46225715 </t>
  </si>
  <si>
    <t>IQT46200364</t>
  </si>
  <si>
    <t>IQT46225083</t>
  </si>
  <si>
    <t>IQT46200412</t>
  </si>
  <si>
    <t>Deutche Bank AG</t>
  </si>
  <si>
    <t>IQT254955233</t>
  </si>
  <si>
    <t>Standard Chartered Bank</t>
  </si>
  <si>
    <t>IQT263213132</t>
  </si>
  <si>
    <t>IQT46225374</t>
  </si>
  <si>
    <t>IQT286096131</t>
  </si>
  <si>
    <t>IQT46199841</t>
  </si>
  <si>
    <t>Credit Suisse Group AG</t>
  </si>
  <si>
    <t>IQT528936812</t>
  </si>
  <si>
    <t>UBS Group AG**</t>
  </si>
  <si>
    <t>IQT46226132</t>
  </si>
  <si>
    <t>Societe Generale SA</t>
  </si>
  <si>
    <t>IQT46224740</t>
  </si>
  <si>
    <t>IQT46225006</t>
  </si>
  <si>
    <t>IQT323680130</t>
  </si>
  <si>
    <t>State Street Bank &amp; Trust</t>
  </si>
  <si>
    <t>IQT46223646</t>
  </si>
  <si>
    <t>IQT46470877</t>
  </si>
  <si>
    <t>IQT46204957</t>
  </si>
  <si>
    <t>Goldman Sachs Group</t>
  </si>
  <si>
    <t>IQT46207872</t>
  </si>
  <si>
    <t>JPMorgan Chase &amp; Co</t>
  </si>
  <si>
    <t>IQT46195491</t>
  </si>
  <si>
    <t>IQT46197694</t>
  </si>
  <si>
    <t>IQT46218674</t>
  </si>
  <si>
    <t>South Africa</t>
  </si>
  <si>
    <t>Africa</t>
  </si>
  <si>
    <t>IQT46220803</t>
  </si>
  <si>
    <t>Thailand</t>
  </si>
  <si>
    <t>Taiwan</t>
  </si>
  <si>
    <t>IQT46208634</t>
  </si>
  <si>
    <t>South Korea</t>
  </si>
  <si>
    <t>IQT313305879</t>
  </si>
  <si>
    <t>Singapore</t>
  </si>
  <si>
    <t>IQT46216986</t>
  </si>
  <si>
    <t>Russia</t>
  </si>
  <si>
    <t>IQT46213472</t>
  </si>
  <si>
    <t>New Zealand</t>
  </si>
  <si>
    <t>IQT46210032</t>
  </si>
  <si>
    <t>Malaysia</t>
  </si>
  <si>
    <t>IQT46207789</t>
  </si>
  <si>
    <t>IQT60388057</t>
  </si>
  <si>
    <t>India</t>
  </si>
  <si>
    <t>IQT79639953</t>
  </si>
  <si>
    <t>Hong Kong</t>
  </si>
  <si>
    <t>IQT46215111</t>
  </si>
  <si>
    <t>China</t>
  </si>
  <si>
    <t>IQT51023260</t>
  </si>
  <si>
    <t>Australia</t>
  </si>
  <si>
    <t>Asia/Pacific</t>
  </si>
  <si>
    <t>IQT46222292</t>
  </si>
  <si>
    <t>Ukraine</t>
  </si>
  <si>
    <t>IQT60389516</t>
  </si>
  <si>
    <t>IQT46219922</t>
  </si>
  <si>
    <t>Sweden</t>
  </si>
  <si>
    <t>IQT46214879</t>
  </si>
  <si>
    <t>Poland</t>
  </si>
  <si>
    <t>IQT51023480</t>
  </si>
  <si>
    <t>Norway</t>
  </si>
  <si>
    <t>IQT79639913</t>
  </si>
  <si>
    <t>IQT46200276</t>
  </si>
  <si>
    <t>Czech Republic</t>
  </si>
  <si>
    <t>IQT46262378</t>
  </si>
  <si>
    <t>United Kingdom</t>
  </si>
  <si>
    <t>Rest of Europe</t>
  </si>
  <si>
    <t>IQT46206779</t>
  </si>
  <si>
    <t>Spain</t>
  </si>
  <si>
    <t>IQT46218516</t>
  </si>
  <si>
    <t>Slovenia</t>
  </si>
  <si>
    <t>IQT46214954</t>
  </si>
  <si>
    <t>Portugal</t>
  </si>
  <si>
    <t>IQT79640024</t>
  </si>
  <si>
    <t>Netherlands</t>
  </si>
  <si>
    <t>IQT644701797</t>
  </si>
  <si>
    <t>Luxembourg</t>
  </si>
  <si>
    <t>IQT46207571</t>
  </si>
  <si>
    <t>Italy</t>
  </si>
  <si>
    <t>IQT46207308</t>
  </si>
  <si>
    <t>Ireland</t>
  </si>
  <si>
    <t>IQT46204884</t>
  </si>
  <si>
    <t>Greece</t>
  </si>
  <si>
    <t>IQT46204300</t>
  </si>
  <si>
    <t>IQT46203714</t>
  </si>
  <si>
    <t>IQT46203332</t>
  </si>
  <si>
    <t>Finland</t>
  </si>
  <si>
    <t>IQT46196225</t>
  </si>
  <si>
    <t>Belgium</t>
  </si>
  <si>
    <t>IQT46194995</t>
  </si>
  <si>
    <t>Austria</t>
  </si>
  <si>
    <t>Euro Area</t>
  </si>
  <si>
    <t>IQT49751196</t>
  </si>
  <si>
    <t>United States</t>
  </si>
  <si>
    <t>IQT46210560</t>
  </si>
  <si>
    <t>Mexico</t>
  </si>
  <si>
    <t>IQT313310184</t>
  </si>
  <si>
    <t>CDS Change</t>
  </si>
  <si>
    <t>CDS</t>
  </si>
  <si>
    <t>IQT46197138</t>
  </si>
  <si>
    <t>Brazil</t>
  </si>
  <si>
    <t>Thresholds</t>
  </si>
  <si>
    <t>1 year change</t>
  </si>
  <si>
    <t>3 month change</t>
  </si>
  <si>
    <t>14 day change</t>
  </si>
  <si>
    <t>10 day change</t>
  </si>
  <si>
    <t xml:space="preserve"> 5 Day Change</t>
  </si>
  <si>
    <t>Americas</t>
  </si>
  <si>
    <t>CIQ Code</t>
  </si>
  <si>
    <t>Country</t>
  </si>
  <si>
    <t>CDS RIC</t>
  </si>
  <si>
    <t>CDS Change (%)</t>
  </si>
  <si>
    <t>Threshold Green</t>
  </si>
  <si>
    <t>Threshold Red</t>
  </si>
  <si>
    <t>Distribution</t>
  </si>
  <si>
    <t>US</t>
  </si>
  <si>
    <t>High</t>
  </si>
  <si>
    <t>&gt;75–100</t>
  </si>
  <si>
    <t>Elevated</t>
  </si>
  <si>
    <t>&gt;50–75</t>
  </si>
  <si>
    <t>Moderate</t>
  </si>
  <si>
    <t>&gt;25–50</t>
  </si>
  <si>
    <t>Low</t>
  </si>
  <si>
    <t>0–25</t>
  </si>
  <si>
    <t>Risk Category</t>
  </si>
  <si>
    <t>Score</t>
  </si>
  <si>
    <t>Composite Risk Score</t>
  </si>
  <si>
    <t>Equity Risk Percentile</t>
  </si>
  <si>
    <t>CDS Risk Percentile</t>
  </si>
  <si>
    <t>2-Week Equity Return (%)</t>
  </si>
  <si>
    <t>5Y CDS (bps)</t>
  </si>
  <si>
    <t>Region</t>
  </si>
  <si>
    <t>Within-region percentile</t>
  </si>
  <si>
    <t>Scoring Basis</t>
  </si>
  <si>
    <t>2-week return</t>
  </si>
  <si>
    <t>Equity Horizon</t>
  </si>
  <si>
    <t>Equity Weight</t>
  </si>
  <si>
    <t>CDS Weight</t>
  </si>
  <si>
    <t>Model Assumptions</t>
  </si>
  <si>
    <t>Bank Market Risk Monitor — CDS &amp; Equity Composite Score</t>
  </si>
  <si>
    <t xml:space="preserve">America </t>
  </si>
  <si>
    <t>Europe Stoxx 600 Banks Index</t>
  </si>
  <si>
    <t>Asia</t>
  </si>
  <si>
    <t xml:space="preserve">Other Euro </t>
  </si>
  <si>
    <t>BAABTAVMT0NBTAFI/////wFQ1QMAACNDSVEuSVFUNDYyMDQ5NTcuSVFfQ0RTX01JRC4xOC8wNy8yNgEAAAAhFQYAAgAAAAc1NS4yNjQxAMDQGFxg5t4IBqIhamDm3ggjQ0lRLklRVDYyMjcwMTA2LklRX0NEU19NSUQuMTgvMDcvMjYBAAAArXeDAAIAAAAHNzUuMjE4MQCsAsdbYObeCBHJIWpg5t4II0NJUS5JUVQ3OTY0MDAyNC5JUV9DRFNfTUlELjE2LzA3LzI2AQAAADWPmwECAAAABjcuODk2NwBkyhhcYObeCIABI2pg5t4IJENJUS5JUVQzMTMzMDU4NzkuSVFfQ0RTX01JRC4xNi8wNy8yNgEAAACE1twBAwAAAAAAwNAYXGDm3gitTyNqYObeCCNDSVEuSVFUNDYyMDA0MTIuSVFfQ0RTX01JRC4xNi8wNy8yNgEAAABjQwYAAgAAAAc0NS4zNTU1ACb7GFxg5t4Iu50jamDm3ggjQ0lRLklRVDQ2MjAzMzMyLklRX0NEU19NSUQuMTUvMDcvMjYBAAAAXx43AAIAAAAHMTEuMTY2NwCjohhcYObeCMzEI2pg5t4II0NJUS5JUVQ0NjIxNTExMS5JUV9DRFNfTUlELjE1LzA3LzI2AQAAAKBLsgECAAAABzM3LjAzODYAwNAYXGDm3gjqEiRqYObeCCNDSVEuSVFUNDYyMjYxMzIuSVFfQ0RTX01JRC4xNS8wNy8yNgEAAADdWQAAAgAAAAc0Mi4xMjg5ACb7GFxg5t4I+TkkamDm3ggkQ0lRLklRVDMxMzMxMzUyNC5JUV9DRFNfTUlELjE1LzA3LzI2AQAAAO9VDQACAAAABzYwLjU1NDEAKCfHW2Dm3gj0myRqYObeCCNDSVEuSVFU</t>
  </si>
  <si>
    <t>Nzk2Mzk5MTMuSVFfQ0RTX01JRC4xMC8wNy8yNgEAAAAgYxwCAgAAAAY3LjkxNjMAwNAYXGDm3gjYEy1qYObeCCNDSVEuSVFUNDYyMDc4NzIuSVFfQ0RTX01JRC4xMC8wNy8yNgEAAABYDQoAAgAAAAc0MC40MzAzAMDQGFxg5t4ItWEtamDm3ggjQ0lRLklRVDQ2MjAwMzE3LklRX0NEU19NSUQuMTAvMDcvMjYBAAAA/lQNAAIAAAAHNjUuNDYxNwCsAsdbYObeCKmdLWpg5t4IJENJUS5JUVQ2NDQ3MDE3OTcuSVFfQ0RTX01JRC4wOC8wNy8yNgEAAABTP30BAgAAAAY5Ljk0OTgAZMoYXGDm3ghNryVqYObeCCNDSVEuSVFUNDYyMTY5ODYuSVFfQ0RTX01JRC4wOC8wNy8yNgEAAADORDgBAwAAAAAAwNAYXGDm3ggH6yVqYObeCCRDSVEuSVFUMjU0OTU1MjMzLklRX0NEU19NSUQuMDgvMDcvMjYBAAAAOVYKAAIAAAAGNDMuMzY1ACb7GFxg5t4IYkAmamDm3ggjQ0lRLklRVDQ2MjEzNDcyLklRX0NEU19NSUQuMDcvMDcvMjYBAAAAuVo4AAIAAAAHMTQuNzQzNQDA0BhcYObeCMa+Jmpg5t4II0NJUS5JUVQ0NjIyNTAwNi5JUV9DRFNfTUlELjEyLzA3LzI2AQAAAPhVDQACAAAABzQxLjQxOTEAk/gYXGDm3gj75SdqYObeCCNDSVEuSVFUNDYyMTg1MTYuSVFfQ0RTX01JRC4xNy8wNy8yNgEAAACmVaMBAgAAAAczNS40MTcyAL/OGFxg5t4I6hciamDm3ggjQ0lRLklRVDQ2MjIwODAzLklRX0NEU19NSUQuMTcvMDcvMjYBAAAA</t>
  </si>
  <si>
    <t>1sk2AAIAAAAHNDIuNTAwNQDA0BhcYObeCDRtImpg5t4II0NJUS5JUVQ0NjIwMDM2NC5JUV9DRFNfTUlELjE3LzA3LzI2AQAAAFeGCAACAAAABTI1LjE2ACb7GFxg5t4IYZ4iamDm3ggjQ0lRLklRVDQ2NDcwODc3LklRX0NEU19NSUQuMTgvMDcvMjYBAAAAQjcHAAIAAAAGNTguMzE0AMDQGFxg5t4IBqIhamDm3ggkQ0lRLklRVDMxMzMxMDg1NC5JUV9DRFNfTUlELjE4LzA3LzI2AQAAAK9UDQACAAAABzYxLjE2NjcArALHW2Dm3ggRySFqYObeCCNDSVEuSVFUNDYyMTQ5NTQuSVFfQ0RTX01JRC4xNi8wNy8yNgEAAAA6PTkBAgAAAAYxNC4zNzUAZMoYXGDm3giAASNqYObeCCNDSVEuSVFUNDYyMDg2MzQuSVFfQ0RTX01JRC4xNi8wNy8yNgEAAAADH8IAAgAAAAcyMi40MTgzAMDQGFxg5t4IrU8jamDm3ggjQ0lRLklRVDQ2MjI1MDgzLklRX0NEU19NSUQuMTYvMDcvMjYBAAAAVkQGAAIAAAAEMzcuMQAm+xhcYObeCLudI2pg5t4II0NJUS5JUVQ0NjIwMzcxNC5JUV9DRFNfTUlELjE1LzA3LzI2AQAAAF8FNQACAAAABzMxLjE2MDkAo6IYXGDm3gjMxCNqYObeCCNDSVEuSVFUNjAzODgwNTcuSVFfQ0RTX01JRC4xNS8wNy8yNgEAAADfyX0BAwAAAAAAwNAYXGDm3gjqEiRqYObeCCRDSVEuSVFUMzEzMzEwODU0LklRX0NEU19NSUQuMTAvMDcvMjYBAAAAr1QNAAIAAAAENjEuNQCsAsdbYObeCKmdLWpg5t4II0NJUS5J</t>
  </si>
  <si>
    <t>UVQ0NjIwODYzNC5JUV9DRFNfTUlELjA4LzA3LzI2AQAAAAMfwgACAAAABzIyLjQ2ODgAwNAYXGDm3ggH6yVqYObeCCNDSVEuSVFUNDYyMTY5ODYuSVFfQ0RTX01JRC4wOS8wNy8yNgEAAADORDgBAwAAAAAAwNAYXGDm3ghEESVqYObeCCNDSVEuSVFUNDYyMjQ3NDAuSVFfQ0RTX01JRC4yMC8wNC8yNgEAAADTcggAAgAAAAUzNC41OAAm+xhcYObeCP13LGpg5t4II0NJUS5JUVQ0NjE5NzY5NC5JUV9DRFNfTUlELjE4LzA3LzI2AQAAAAf6BQACAAAABzUzLjY2OTIAwNAYXGDm3ggteyFqYObeCCNDSVEuSVFUNDYyMDM3MTQuSVFfQ0RTX01JRC4yMC8wNC8yNgEAAABfBTUAAgAAAAYyNy4wNjcAo6IYXGDm3giMASxqYObeCCRDSVEuSVFUMzEzMzE3MzQ0LklRX0NEU19NSUQuMTgvMDcvMjYBAAAA8awBAAIAAAAHNjAuODEyMwAoJ8dbYObeCBHJIWpg5t4IJENJUS5JUVQyNjMyMTMxMzIuSVFfQ0RTX01JRC4xNS8wNy8yNgEAAADhmggAAgAAAAc1NS4xMjY3ACb7GFxg5t4ICGEkamDm3ggjQ0lRLklRVDQ2MjI1MDA2LklRX0NEU19NSUQuMTAvMDcvMjYBAAAA+FUNAAIAAAAHNDEuNDE5MQCT+BhcYObeCLVhLWpg5t4II0NJUS5JUVQ2MjI3MDEwNy5JUV9DRFNfTUlELjA4LzA3LzI2AQAAABVZAAACAAAABzQzLjEzOTEAJvsYXGDm3ghiQCZqYObeCCNDSVEuSVFUNjIyNzAxMDcuSVFfQ0RTX01JRC4xOC8wNy8yNgEA</t>
  </si>
  <si>
    <t>AAAVWQAAAgAAAAc0MS4zMTI1ACb7GFxg5t4IEckhamDm3ggjQ0lRLklRVDQ2MjA3MzA4LklRX0NEU19NSUQuMTYvMDcvMjYBAAAAOYl6AQIAAAAHMTQuNDM3NQCjohhcYObeCIABI2pg5t4II0NJUS5JUVQ0NjIxODUxNi5JUV9DRFNfTUlELjA5LzA3LzI2AQAAAKZVowECAAAABzM2Ljk2NzIAv84YXGDm3ggmwyRqYObeCCNDSVEuSVFUNDYyMTAwMzIuSVFfQ0RTX01JRC4xNi8wNy8yNgEAAACPVaMBAgAAAAYzNi42NzUAwNAYXGDm3gitTyNqYObeCCNDSVEuSVFUNDYyMDAyNzYuSVFfQ0RTX01JRC4xNy8wNy8yNgEAAACWd3wBAgAAAAcyOS41MTAzAMDQGFxg5t4I6hciamDm3ggjQ0lRLklRVDQ2MjI1Mzc0LklRX0NEU19NSUQuMTYvMDcvMjYBAAAAtdYFAAIAAAAGMzguNDE1ACb7GFxg5t4IsHYjamDm3ggjQ0lRLklRVDQ2MTk1NDkxLklRX0NEU19NSUQuMTcvMDcvMjYBAAAAaUoAAAIAAAAHNTUuNjE3NgDA0BhcYObeCDRtImpg5t4II0NJUS5JUVQ3OTYzNDkwMS5JUV9DRFNfTUlELjE3LzA3LzI2AQAAAJwGEAACAAAABzQxLjA0MjUAJvsYXGDm3ghhniJqYObeCCNDSVEuSVFUNDYyMjUwMDYuSVFfQ0RTX01JRC4xOC8wNy8yNgEAAAD4VQ0AAgAAAAc0My41NDg4AJP4GFxg5t4IBqIhamDm3ggjQ0lRLklRVDQ2MjIwMzI5LklRX0NEU19NSUQuMTgvMDcvMjYBAAAA21sAAAIAAAACNTYAKCfHW2Dm3ggRySFq</t>
  </si>
  <si>
    <t>YObeCCNDSVEuSVFUNDk3NTExOTYuSVFfQ0RTX01JRC4xNS8wNy8yNgEAAADNmb0AAgAAAAU0MS43NQCjohhcYObeCMzEI2pg5t4II0NJUS5JUVQ0NjI2MjM3OC5JUV9DRFNfTUlELjE2LzA3LzI2AQAAAEDSiQECAAAABDE4LjQAwNAYXGDm3giAASNqYObeCCNDSVEuSVFUNDYxOTc2OTQuSVFfQ0RTX01JRC4xNi8wNy8yNgEAAAAH+gUAAgAAAAc1My4xOTY3AMDQGFxg5t4IrU8jamDm3ggjQ0lRLklRVDYyMjcwMTA3LklRX0NEU19NSUQuMTYvMDcvMjYBAAAAFVkAAAIAAAAHNDEuMzMwOQAm+xhcYObeCLudI2pg5t4II0NJUS5JUVQ0NjIwNzMwOC5JUV9DRFNfTUlELjE1LzA3LzI2AQAAADmJegECAAAABzE0LjU2MjUAo6IYXGDm3gjY6yNqYObeCCNDSVEuSVFUNDYyMTAwMzIuSVFfQ0RTX01JRC4xNS8wNy8yNgEAAACPVaMBAgAAAAUzNi45MwDA0BhcYObeCOoSJGpg5t4II0NJUS5JUVQ0NjIyNTM3NC5JUV9DRFNfTUlELjE1LzA3LzI2AQAAALXWBQACAAAABzM4LjUwMTUAJvsYXGDm3ggIYSRqYObeCCNDSVEuSVFUNDk3NTExOTYuSVFfQ0RTX01JRC4xMC8wNy8yNgEAAADNmb0AAgAAAAc0MS44MzMzAKOiGFxg5t4IEsYsamDm3ggjQ0lRLklRVDYwMzg5NTE2LklRX0NEU19NSUQuMTAvMDcvMjYBAAAApfDDAQIAAAAGNy4yNDMzAMDQGFxg5t4I2BMtamDm3ggkQ0lRLklRVDMyMzY4MDEzMC5JUV9DRFNfTUlE</t>
  </si>
  <si>
    <t>LjEwLzA3LzI2AQAAAHHhAgACAAAABzUyLjUzMzUAk/gYXGDm3gi1YS1qYObeCCRDSVEuSVFUMzEzMzE1NDI5LklRX0NEU19NSUQuMTAvMDcvMjYBAAAAOecFAAIAAAAHNjIuMTAwOQAoJ8dbYObeCKmdLWpg5t4II0NJUS5JUVQ0NjIwNjc3OS5JUV9DRFNfTUlELjA4LzA3LzI2AQAAAPzvNgACAAAABzE2LjAyMDQAwNAYXGDm3ghNryVqYObeCCNDSVEuSVFUNDYyMTg2NzQuSVFfQ0RTX01JRC4wOC8wNy8yNgEAAABXyjYAAgAAAAgxMjUuMjUzNwDA0BhcYObeCAfrJWpg5t4II0NJUS5JUVQ0NjIyNTcxNS5JUV9DRFNfTUlELjA4LzA3LzI2AQAAALflBAACAAAABzQwLjUxNjEAJvsYXGDm3ghiQCZqYObeCCNDSVEuSVFUNDYyMDAzNjQuSVFfQ0RTX01JRC4wNy8wNy8yNgEAAABXhggAAgAAAAQyNC44ACb7GFxg5t4Ijg0namDm3ggkQ0lRLklRVDUyODkzNjgxMi5JUV9DRFNfTUlELjIwLzA0LzI2AQAAAGxbBgACAAAABzU1LjM3MjcAJvsYXGDm3gj9dyxqYObeCCNDSVEuSVFUNDYyMDc4NzIuSVFfQ0RTX01JRC4xNy8wNy8yNgEAAABYDQoAAgAAAAc0MC44MDMyAMDQGFxg5t4ING0iamDm3ggjQ0lRLklRVDQ2MTk0OTk1LklRX0NEU19NSUQuMTAvMDcvMjYBAAAAbhAxAAIAAAAGMTAuOTk5AKOiGFxg5t4IEsYsamDm3ggjQ0lRLklRVDQ2MjA3Nzg5LklRX0NEU19NSUQuMTIvMDcvMjYBAAAAKlijAQIAAAAHMjYu</t>
  </si>
  <si>
    <t>NTE2MwDA0BhcYObeCCWXJ2pg5t4II0NJUS5JUVQ0NjIxOTkyMi5JUV9DRFNfTUlELjExLzA3LzI2AQAAANZHOQECAAAABjYuNzI3NgDA0BhcYObeCGx4Kmpg5t4II0NJUS5JUVQ0NjE5NzEzOC5JUV9DRFNfTUlELjE3LzA3LzI2AQAAAO6UOAECAAAACDEyNS40NzMyAKOiGFxg5t4ITvEhamDm3ggjQ0lRLklRVDUxMDIzNDgwLklRX0NEU19NSUQuMTcvMDcvMjYBAAAAwkXxAQIAAAAGNC43NjI3AMDQGFxg5t4I6hciamDm3ggjQ0lRLklRVDQ2MjA0OTU3LklRX0NEU19NSUQuMTcvMDcvMjYBAAAAIRUGAAIAAAAHNTUuMjY0MQDA0BhcYObeCDRtImpg5t4II0NJUS5JUVQ2MjI3MDEwNi5JUV9DRFNfTUlELjE3LzA3LzI2AQAAAK13gwACAAAABzc1LjIxODEArALHW2Dm3ghhniJqYObeCCNDSVEuSVFUNDYyMTUxMTEuSVFfQ0RTX01JRC4xOC8wNy8yNgEAAACgS7IBAgAAAAczNy42OTE1AMDQGFxg5t4IZ1MhamDm3ggjQ0lRLklRVDQ2MjI2MTMyLklRX0NEU19NSUQuMTgvMDcvMjYBAAAA3VkAAAIAAAAHNDMuODgxMQAm+xhcYObeCAaiIWpg5t4IJENJUS5JUVQzMTMzMTM1MjQuSVFfQ0RTX01JRC4xOC8wNy8yNgEAAADvVQ0AAgAAAAc2MC4wMDY2ACgnx1tg5t4ITvEhamDm3ggjQ0lRLklRVDc5NjM5OTEzLklRX0NEU19NSUQuMTYvMDcvMjYBAAAAIGMcAgIAAAAGNy44MzMzAMDQGFxg5t4IgAEjamDm3ggjQ0lR</t>
  </si>
  <si>
    <t>LklRVDQ2MjA3ODcyLklRX0NEU19NSUQuMTYvMDcvMjYBAAAAWA0KAAIAAAAHNDAuNDY2NwDA0BhcYObeCK1PI2pg5t4II0NJUS5JUVQ0NjIwMDMxNy5JUV9DRFNfTUlELjE2LzA3LzI2AQAAAP5UDQACAAAABjYzLjU5NQCsAsdbYObeCLudI2pg5t4IJENJUS5JUVQ2NDQ3MDE3OTcuSVFfQ0RTX01JRC4xNS8wNy8yNgEAAABTP30BAgAAAAcxMC42MjM4AGTKGFxg5t4I2OsjamDm3ggjQ0lRLklRVDQ2MjE2OTg2LklRX0NEU19NSUQuMTUvMDcvMjYBAAAAzkQ4AQMAAAAAAMDQGFxg5t4I6hIkamDm3ggkQ0lRLklRVDI1NDk1NTIzMy5JUV9DRFNfTUlELjE1LzA3LzI2AQAAADlWCgACAAAABjQzLjEyNQAm+xhcYObeCLl0JGpg5t4II0NJUS5JUVQ0NjE5NjIyNS5JUV9DRFNfTUlELjEwLzA3LzI2AQAAAL5VowECAAAABzE3LjQyNzQAo6IYXGDm3ggSxixqYObeCCNDSVEuSVFUNTEwMjMyNjAuSVFfQ0RTX01JRC4xMC8wNy8yNgEAAACxEX8BAgAAAAcxMy45NDU5AMDQGFxg5t4I2BMtamDm3ggjQ0lRLklRVDQ2MjI0NzQwLklRX0NEU19NSUQuMTAvMDcvMjYBAAAA03IIAAIAAAAHMzMuNjA2NgAm+xhcYObeCLVhLWpg5t4IJENJUS5JUVQzMTMzMTczNDQuSVFfQ0RTX01JRC4xMC8wNy8yNgEAAADxrAEAAgAAAAc2MC41MDAzACgnx1tg5t4I98UtamDm3ggjQ0lRLklRVDQ2MjAwMjc2LklRX0NEU19NSUQuMDgvMDcv</t>
  </si>
  <si>
    <t>MjYBAAAAlnd8AQIAAAAHMjYuMjY1NgDA0BhcYObeCE2vJWpg5t4II0NJUS5JUVQ0NjE5NTQ5MS5JUV9DRFNfTUlELjA4LzA3LzI2AQAAAGlKAAACAAAABzU0LjE0NzIAwNAYXGDm3gixEiZqYObeCCNDSVEuSVFUNzk2MzQ5MDEuSVFfQ0RTX01JRC4wOC8wNy8yNgEAAACcBhAAAgAAAAc0MS44ODgyACb7GFxg5t4IYkAmamDm3ggjQ0lRLklRVDQ2MjEwMDMyLklRX0NEU19NSUQuMTIvMDcvMjYBAAAAj1WjAQIAAAAHMzYuNTU3MgDA0BhcYObeCCWXJ2pg5t4II0NJUS5JUVQ0NjIyNTM3NC5JUV9DRFNfTUlELjEyLzA3LzI2AQAAALXWBQACAAAABzM4LjAzNDkAJvsYXGDm3gj75SdqYObeCCNDSVEuSVFUNDYyNjIzNzguSVFfQ0RTX01JRC4wNy8wNy8yNgEAAABA0okBAgAAAAUxNy43NQDA0BhcYObeCMiXJmpg5t4II0NJUS5JUVQ0OTc1MTE5Ni5JUV9DRFNfTUlELjExLzA3LzI2AQAAAM2ZvQACAAAABzQxLjgzMzMAo6IYXGDm3gjAKSpqYObeCCNDSVEuSVFUNDYxOTc2OTQuSVFfQ0RTX01JRC4wNy8wNy8yNgEAAAAH+gUAAgAAAAc1MS4yNzMyAMDQGFxg5t4I1uUmamDm3ggjQ0lRLklRVDYwMzg5NTE2LklRX0NEU19NSUQuMTEvMDcvMjYBAAAApfDDAQIAAAAGNy4yNDMzAMDQGFxg5t4IbHgqamDm3ggjQ0lRLklRVDYyMjcwMTA3LklRX0NEU19NSUQuMDcvMDcvMjYBAAAAFVkAAAIAAAAHNDEuNTAxMQAm+xhc</t>
  </si>
  <si>
    <t>YObeCAY0J2pg5t4IJENJUS5JUVQzMjM2ODAxMzAuSVFfQ0RTX01JRC4xMS8wNy8yNgEAAABx4QIAAgAAAAc1Mi41MzM1AJP4GFxg5t4IgrMqamDm3ggjQ0lRLklRVDQ2MjA3MzA4LklRX0NEU19NSUQuMTIvMDcvMjYBAAAAOYl6AQIAAAAHMTQuMzMzMwCjohhcYObeCJZvJ2pg5t4IJENJUS5JUVQzMTMzMTU0MjkuSVFfQ0RTX01JRC4xMS8wNy8yNgEAAAA55wUAAgAAAAc2Mi4xMDA5ACgnx1tg5t4IPAIramDm3ggjQ0lRLklRVDQ2MjA2Nzc5LklRX0NEU19NSUQuMDkvMDcvMjYBAAAA/O82AAIAAAAHMTYuMTY2NwDA0BhcYObeCCbDJGpg5t4II0NJUS5JUVQ0NjIxODY3NC5JUV9DRFNfTUlELjA5LzA3LzI2AQAAAFfKNgACAAAACDEyNC4yMDY0AMDQGFxg5t4IRBElamDm3ggjQ0lRLklRVDQ2MjI1NzE1LklRX0NEU19NSUQuMDkvMDcvMjYBAAAAt+UEAAIAAAAHNDAuMzkxMQAm+xhcYObeCGlfJWpg5t4II0NJUS5JUVQ0NjIwNDg4NC5JUV9DRFNfTUlELjIwLzA0LzI2AQAAAIFRwAECAAAABzMwLjc4NzgAo6IYXGDm3giMASxqYObeCCNDSVEuSVFUNDYyMDc3ODkuSVFfQ0RTX01JRC4yMC8wNC8yNgEAAAAqWKMBAgAAAAYyNy41MTgAwNAYXGDm3gj5UCxqYObeCCRDSVEuSVFUMjg2MDk2MTMxLklRX0NEU19NSUQuMjAvMDQvMjYBAAAAO/EEAAIAAAAHNjguNjQ3MwAm+xhcYObeCP13LGpg5t4II0NJUS5JUVQ0</t>
  </si>
  <si>
    <t>NjIxMDU2MC5JUV9DRFNfTUlELjIwLzA3LzI1AQAAAPYaNwACAAAACDEwNy4yODcxAKOiGFxg5t4IPAIramDm3ggjQ0lRLklRVDQ2MjE5OTIyLklRX0NEU19NSUQuMjAvMDcvMjUBAAAA1kc5AQIAAAAHMTAuMTUwNQDA0BhcYObeCJ1PK2pg5t4II0NJUS5JUVQ0NjIyMzY0Ni5JUV9DRFNfTUlELjIwLzA3LzI1AQAAABt4BAACAAAABzUwLjIxNDkAwNAYXGDm3gitnitqYObeCCRDSVEuSVFUMzEzMzE0OTc2LklRX0NEU19NSUQuMjAvMDcvMjUBAAAAbUoAAAIAAAAHNDIuNzY2MgAoJ8dbYObeCIXFK2pg5t4II0NJUS5JUVQ0NjIwMDMxNy5JUV9DRFNfTUlELjA4LzA3LzI2AQAAAP5UDQACAAAABzY0Ljc0NjgArALHW2Dm3ghiQCZqYObeCCNDSVEuSVFUNDYxOTU0OTEuSVFfQ0RTX01JRC4wNy8wNy8yNgEAAABpSgAAAgAAAAc1My45MjMzAMDQGFxg5t4I1uUmamDm3ggjQ0lRLklRVDQ2MjEzNDcyLklRX0NEU19NSUQuMTIvMDcvMjYBAAAAuVo4AAIAAAAHMTUuMDAwNQDA0BhcYObeCC++J2pg5t4IJENJUS5JUVQyNjMyMTMxMzIuSVFfQ0RTX01JRC4xMi8wNy8yNgEAAADhmggAAgAAAAc1NC45OTQ0ACb7GFxg5t4I++UnamDm3ggjQ0lRLklRVDQ2MjI1MDA2LklRX0NEU19NSUQuMTEvMDcvMjYBAAAA+FUNAAIAAAAHNDEuNDE5MQCT+BhcYObeCIKzKmpg5t4II0NJUS5JUVQ0NjIyMDMyOS5JUV9DRFNfTUlELjEx</t>
  </si>
  <si>
    <t>LzA3LzI2AQAAANtbAAACAAAABDU2LjUAKCfHW2Dm3gg8AitqYObeCCNDSVEuSVFUNDYyNjIzNzguSVFfQ0RTX01JRC4wOS8wNy8yNgEAAABA0okBAgAAAAcxNy45Mzc1AMDQGFxg5t4IJsMkamDm3ggjQ0lRLklRVDQ2MTk3Njk0LklRX0NEU19NSUQuMDkvMDcvMjYBAAAAB/oFAAIAAAAFNTEuNzMAwNAYXGDm3ghEESVqYObeCCNDSVEuSVFUNDYyMDczMDguSVFfQ0RTX01JRC4yMC8wNC8yNgEAAAA5iXoBAgAAAAUxNS43NQCjohhcYObeCIwBLGpg5t4II0NJUS5JUVQ0NjIxMDAzMi5JUV9DRFNfTUlELjIwLzA0LzI2AQAAAI9VowECAAAABTM3LjA5AMDQGFxg5t4I+VAsamDm3ggjQ0lRLklRVDQ5NzUxMTk2LklRX0NEU19NSUQuMjAvMDcvMjUBAAAAzZm9AAIAAAAENDAuMQCjohhcYObeCDwCK2pg5t4IJENJUS5JUVQzMjM2ODAxMzAuSVFfQ0RTX01JRC4yMC8wNy8yNQEAAABx4QIAAgAAAAc0OS44NTY4AJP4GFxg5t4IrZ4ramDm3ggkQ0lRLklRVDMxMzMxNDk3Ni5JUV9DRFNfTUlELjE3LzA3LzI2AQAAAG1KAAACAAAABzU3LjgzNjQArALHW2Dm3ghhniJqYObeCCNDSVEuSVFUNjAzODgwNTcuSVFfQ0RTX01JRC4xOC8wNy8yNgEAAADfyX0BAwAAAAAAwNAYXGDm3ghnUyFqYObeCCRDSVEuSVFUMzEzMzEwMTg0LklRX0NEU19NSUQuMTYvMDcvMjYBAAAAYEQ+AAIAAAAHMTEuMTMyMQCjohhcYObeCOXZImpg</t>
  </si>
  <si>
    <t>5t4IJENJUS5JUVQzMTMzMTA4NTQuSVFfQ0RTX01JRC4xNi8wNy8yNgEAAACvVA0AAgAAAAc2MS4xNjY3AKwCx1tg5t4Iu50jamDm3ggjQ0lRLklRVDQ2MjE0OTU0LklRX0NEU19NSUQuMTUvMDcvMjYBAAAAOj05AQIAAAAHMTQuMzEyNQBkyhhcYObeCNjrI2pg5t4IJENJUS5JUVQ1Mjg5MzY4MTIuSVFfQ0RTX01JRC4xMC8wNy8yNgEAAABsWwYAAgAAAAY0Ni43MjcAJvsYXGDm3gi8iC1qYObeCCNDSVEuSVFUNTEwMjM0ODAuSVFfQ0RTX01JRC4wOC8wNy8yNgEAAADCRfEBAgAAAAY0LjcyMjQAwNAYXGDm3ghNryVqYObeCCNDSVEuSVFUNDYyMDQ5NTcuSVFfQ0RTX01JRC4wOC8wNy8yNgEAAAAhFQYAAgAAAAY1My4zMjMAwNAYXGDm3gixEiZqYObeCCNDSVEuSVFUNjIyNzAxMDYuSVFfQ0RTX01JRC4wOC8wNy8yNgEAAACtd4MAAgAAAAc3NS44Nzg0AKwCx1tg5t4IYkAmamDm3ggjQ0lRLklRVDc5NjM5OTEzLklRX0NEU19NSUQuMDcvMDcvMjYBAAAAIGMcAgIAAAAGNy44MzMzAMDQGFxg5t4IyJcmamDm3ggkQ0lRLklRVDY0NDcwMTc5Ny5JUV9DRFNfTUlELjEyLzA3LzI2AQAAAFM/fQECAAAABzEwLjUzNzgAZMoYXGDm3giWbydqYObeCCRDSVEuSVFUMjU0OTU1MjMzLklRX0NEU19NSUQuMTIvMDcvMjYBAAAAOVYKAAIAAAAHNDIuNzAxNAAm+xhcYObeCPvlJ2pg5t4IJENJUS5JUVQzMTMzMTczNDQuSVFf</t>
  </si>
  <si>
    <t>Q0RTX01JRC4xMS8wNy8yNgEAAADxrAEAAgAAAAc2MC41MDAzACgnx1tg5t4IPAIramDm3ggjQ0lRLklRVDQ2MjAwMjc2LklRX0NEU19NSUQuMDkvMDcvMjYBAAAAlnd8AQIAAAAGMjcuNzg1AMDQGFxg5t4INeokamDm3ggjQ0lRLklRVDc5NjM0OTAxLklRX0NEU19NSUQuMDkvMDcvMjYBAAAAnAYQAAIAAAAHNDEuNDY2NQAm+xhcYObeCGlfJWpg5t4II0NJUS5JUVQ0NjIyMDMyOS5JUV9DRFNfTUlELjIwLzA3LzI1AQAAANtbAAACAAAABzQ2LjE0NzgAKCfHW2Dm3giFxStqYObeCCNDSVEuSVFUNzk2Mzk5NTMuSVFfQ0RTX01JRC4xMS8wNy8yNgEAAAA0m1YBAgAAAAcyNC45MTkxAMDQGFxg5t4IIowqamDm3ggjQ0lRLklRVDQ2MTk3MTM4LklRX0NEU19NSUQuMDkvMDcvMjYBAAAA7pQ4AQIAAAAIMTI0Ljg3NjMAo6IYXGDm3gj0myRqYObeCCNDSVEuSVFUNjIyNzAxMDYuSVFfQ0RTX01JRC4wOS8wNy8yNgEAAACtd4MAAgAAAAc3NS44ODc5AKwCx1tg5t4IaV8lamDm3ggjQ0lRLklRVDQ2MjAzMzMyLklRX0NEU19NSUQuMjAvMDcvMjUBAAAAXx43AAIAAAAHMTYuMTc3NACjohhcYObeCEwpK2pg5t4IJENJUS5JUVQzMjM2ODAxMzAuSVFfQ0RTX01JRC4xOC8wNy8yNgEAAABx4QIAAgAAAAc1MS40NDc4AMDQGFxg5t4IBqIhamDm3ggjQ0lRLklRVDQ2MjE4NTE2LklRX0NEU19NSUQuMDgvMDcvMjYBAAAAplWj</t>
  </si>
  <si>
    <t>AQIAAAAHMzcuMTg3MwC/zhhcYObeCE2vJWpg5t4II0NJUS5JUVQ0NjIwNDk1Ny5JUV9DRFNfTUlELjIwLzA3LzI1AQAAACEVBgACAAAABzU4LjE2NjcAwNAYXGDm3gjBditqYObeCCNDSVEuSVFUNDYyMTg2NzQuSVFfQ0RTX01JRC4wNy8wNy8yNgEAAABXyjYAAgAAAAgxMjIuNDEwMQDA0BhcYObeCNblJmpg5t4IJENJUS5JUVQzMTMzMTQ5NzYuSVFfQ0RTX01JRC4xMS8wNy8yNgEAAABtSgAAAgAAAAQ1Ni41ACgnx1tg5t4IPAIramDm3ggjQ0lRLklRVDQ2MTk5ODQxLklRX0NEU19NSUQuMjAvMDQvMjYBAAAA6zAGAAMAAAAAACb7GFxg5t4I/XcsamDm3ggkQ0lRLklRVDMxMzMxMDg1NC5JUV9DRFNfTUlELjIwLzA3LzI1AQAAAK9UDQACAAAABzQwLjUxNDkArALHW2Dm3giFxStqYObeCCNDSVEuSVFUNDYyMjUwODMuSVFfQ0RTX01JRC4wNi8wNy8yNgEAAABWRAYAAgAAAAczNi45NTMyACb7GFxg5t4IYQopamDm3ggkQ0lRLklRVDMxMzMxMDE4NC5JUV9DRFNfTUlELjE3LzA3LzI2AQAAAGBEPgACAAAABzExLjA5ODcAo6IYXGDm3ghO8SFqYObeCCNDSVEuSVFUNDYyMTQ4NzkuSVFfQ0RTX01JRC4xNy8wNy8yNgEAAAD1GjcAAgAAAAc1MC45MTM0AMDQGFxg5t4I6hciamDm3ggjQ0lRLklRVDQ2NDcwODc3LklRX0NEU19NSUQuMTcvMDcvMjYBAAAAQjcHAAIAAAAGNTguMzE0AMDQGFxg5t4ING0iamDm3ggk</t>
  </si>
  <si>
    <t>Q0lRLklRVDMxMzMxMDg1NC5JUV9DRFNfTUlELjE3LzA3LzI2AQAAAK9UDQACAAAABzYxLjE2NjcArALHW2Dm3ghhniJqYObeCCNDSVEuSVFUNzk2Mzk5NTMuSVFfQ0RTX01JRC4xOC8wNy8yNgEAAAA0m1YBAgAAAAcyNC45NDI4AMDQGFxg5t4IZ1MhamDm3ggkQ0lRLklRVDUyODkzNjgxMi5JUV9DRFNfTUlELjE4LzA3LzI2AQAAAGxbBgACAAAABzQ3Ljk1OTQAJvsYXGDm3ggGoiFqYObeCCNDSVEuSVFUNDYxOTcxMzguSVFfQ0RTX01JRC4xNi8wNy8yNgEAAADulDgBAgAAAAgxMjMuNjQ0MwCjohhcYObeCOXZImpg5t4II0NJUS5JUVQ1MTAyMzQ4MC5JUV9DRFNfTUlELjE2LzA3LzI2AQAAAMJF8QECAAAABjQuNzkyNwDA0BhcYObeCFYpI2pg5t4II0NJUS5JUVQ0NjIwNDk1Ny5JUV9DRFNfTUlELjE2LzA3LzI2AQAAACEVBgACAAAABjU1LjAxMgDA0BhcYObeCLB2I2pg5t4II0NJUS5JUVQ2MjI3MDEwNi5JUV9DRFNfTUlELjE2LzA3LzI2AQAAAK13gwACAAAABzc1LjIxMzUArALHW2Dm3gi7nSNqYObeCCNDSVEuSVFUNzk2NDAwMjQuSVFfQ0RTX01JRC4xNS8wNy8yNgEAAAA1j5sBAgAAAAU3Ljg3NQBkyhhcYObeCNjrI2pg5t4IJENJUS5JUVQzMTMzMDU4NzkuSVFfQ0RTX01JRC4xNS8wNy8yNgEAAACE1twBAwAAAAAAwNAYXGDm3gjqEiRqYObeCCNDSVEuSVFUNDYyMDA0MTIuSVFfQ0RTX01JRC4xNS8w</t>
  </si>
  <si>
    <t>Ny8yNgEAAABjQwYAAgAAAAc0Ni4xNTA4ACb7GFxg5t4IuXQkamDm3ggjQ0lRLklRVDQ2MjAzMzMyLklRX0NEU19NSUQuMTAvMDcvMjYBAAAAXx43AAIAAAAFMTEuMjUAo6IYXGDm3ggSxixqYObeCCNDSVEuSVFUNDYyMTUxMTEuSVFfQ0RTX01JRC4xMC8wNy8yNgEAAACgS7IBAgAAAAczNi42OTU0AMDQGFxg5t4I2BMtamDm3ggjQ0lRLklRVDQ2MjI2MTMyLklRX0NEU19NSUQuMTAvMDcvMjYBAAAA3VkAAAIAAAAHNDEuNjc3NgAm+xhcYObeCLVhLWpg5t4IJENJUS5JUVQzMTMzMTM1MjQuSVFfQ0RTX01JRC4xMC8wNy8yNgEAAADvVQ0AAgAAAAc2MC41MTQ5ACgnx1tg5t4IpcstamDm3ggjQ0lRLklRVDc5NjM5OTEzLklRX0NEU19NSUQuMDgvMDcvMjYBAAAAIGMcAgIAAAAGNy44MzMzAMDQGFxg5t4ITa8lamDm3ggjQ0lRLklRVDQ2MjA3ODcyLklRX0NEU19NSUQuMDgvMDcvMjYBAAAAWA0KAAIAAAAHMzkuNzY0MQDA0BhcYObeCLESJmpg5t4II0NJUS5JUVQ0NjIwMDI3Ni5JUV9DRFNfTUlELjA3LzA3LzI2AQAAAJZ3fAECAAAABzI4Ljg2NzEAwNAYXGDm3gjIlyZqYObeCCNDSVEuSVFUNzk2MzQ5MDEuSVFfQ0RTX01JRC4wNy8wNy8yNgEAAACcBhAAAgAAAAc0Mi44MTI0ACb7GFxg5t4IBjQnamDm3ggjQ0lRLklRVDQ2MjA3NTcxLklRX0NEU19NSUQuMTIvMDcvMjYBAAAAbe81AAIAAAAGMjkuMzA1AKOi</t>
  </si>
  <si>
    <t>GFxg5t4Ilm8namDm3ggjQ0lRLklRVDQ2MTk0OTk1LklRX0NEU19NSUQuMTEvMDcvMjYBAAAAbhAxAAIAAAAGMTAuOTk5AKOiGFxg5t4IwCkqamDm3ggjQ0lRLklRVDQ2MjIyMjkyLklRX0NEU19NSUQuMTEvMDcvMjYBAAAA0ZGbAQIAAAAINzU5Ljg1NTcAwNAYXGDm3ghseCpqYObeCCNDSVEuSVFUNjIyNzAxMDcuSVFfQ0RTX01JRC4wOS8wNy8yNgEAAAAVWQAAAgAAAAc0MC4zMDg4ACb7GFxg5t4IaV8lamDm3ggjQ0lRLklRVDQ2MjI1Mzc0LklRX0NEU19NSUQuMjAvMDQvMjYBAAAAtdYFAAIAAAAHNDcuMzYzNAAm+xhcYObeCAWfLGpg5t4II0NJUS5JUVQ2MDM4OTUxNi5JUV9DRFNfTUlELjIwLzA3LzI1AQAAAKXwwwECAAAABjguMTY2NwDA0BhcYObeCJ1PK2pg5t4IJENJUS5JUVQzMTMzMTU0MjkuSVFfQ0RTX01JRC4yMC8wNy8yNQEAAAA55wUAAgAAAAc0Mi45ODg1ACgnx1tg5t4IhcUramDm3ggjQ0lRLklRVDQ2MjE4Njc0LklRX0NEU19NSUQuMDYvMDcvMjYBAAAAV8o2AAIAAAAIMTIzLjEwODEAwNAYXGDm3giozyhqYObeCCNDSVEuSVFUNDYyMjU3MTUuSVFfQ0RTX01JRC4wNi8wNy8yNgEAAAC35QQAAgAAAAczOS40MjQ0ACb7GFxg5t4IYQopamDm3ggjQ0lRLklRVDQ2MTk5ODQxLklRX0NEU19NSUQuMTgvMDcvMjYBAAAA6zAGAAMAAAAAACb7GFxg5t4IBqIhamDm3ggjQ0lRLklRVDQ2MjE0ODc5</t>
  </si>
  <si>
    <t>LklRX0NEU19NSUQuMTYvMDcvMjYBAAAA9Ro3AAIAAAAHNTAuNjYyMgDA0BhcYObeCFYpI2pg5t4II0NJUS5JUVQ0NjQ3MDg3Ny5JUV9DRFNfTUlELjE2LzA3LzI2AQAAAEI3BwACAAAABzU3LjQ1NjEAwNAYXGDm3giwdiNqYObeCCNDSVEuSVFUNDYyMDg2MzQuSVFfQ0RTX01JRC4xNS8wNy8yNgEAAAADH8IAAgAAAAcyMi42NTYzAMDQGFxg5t4I+TkkamDm3ggjQ0lRLklRVDQ2MjI1MDgzLklRX0NEU19NSUQuMTUvMDcvMjYBAAAAVkQGAAIAAAAEMzcuNQAm+xhcYObeCLl0JGpg5t4II0NJUS5JUVQ3OTYzOTk1My5JUV9DRFNfTUlELjEwLzA3LzI2AQAAADSbVgECAAAABzI0LjkxOTEAwNAYXGDm3gjYEy1qYObeCCNDSVEuSVFUNTEwMjMyNjAuSVFfQ0RTX01JRC4xMS8wNy8yNgEAAACxEX8BAgAAAAcxMy45NDU5AMDQGFxg5t4IbHgqamDm3ggjQ0lRLklRVDQ2MTk1NDkxLklRX0NEU19NSUQuMDkvMDcvMjYBAAAAaUoAAAIAAAAHNTQuNTAzMwDA0BhcYObeCEQRJWpg5t4IJENJUS5JUVQyNjMyMTMxMzIuSVFfQ0RTX01JRC4yMC8wNC8yNgEAAADhmggAAgAAAAc2Mi4zNTI1ACb7GFxg5t4IBZ8samDm3ggjQ0lRLklRVDQ2MjI1MDA2LklRX0NEU19NSUQuMjAvMDcvMjUBAAAA+FUNAAIAAAAHNDIuMzAxNgCT+BhcYObeCK2eK2pg5t4II0NJUS5JUVQ2MjI3MDEwNy5JUV9DRFNfTUlELjA2LzA3LzI2AQAAABVZ</t>
  </si>
  <si>
    <t>AAACAAAABzQxLjUxMTYAJvsYXGDm3ghhCilqYObeCCNDSVEuSVFUNDYyMDg2MzQuSVFfQ0RTX01JRC4xMi8wNy8yNgEAAAADH8IAAgAAAAcyMi4xMDY2AMDQGFxg5t4IL74namDm3ggjQ0lRLklRVDUxMDIzNDgwLklRX0NEU19NSUQuMDkvMDcvMjYBAAAAwkXxAQIAAAAGNC41MDA4AMDQGFxg5t4INeokamDm3ggjQ0lRLklRVDQ2MjE1MTExLklRX0NEU19NSUQuMjAvMDcvMjUBAAAAoEuyAQIAAAAHNDMuNTI2NgDA0BhcYObeCJ1PK2pg5t4II0NJUS5JUVQ0NjIyNjEzMi5JUV9DRFNfTUlELjIwLzA3LzI1AQAAAN1ZAAACAAAABzQ2Ljc3NzkAJvsYXGDm3gitnitqYObeCCNDSVEuSVFUNDYyMTk5MjIuSVFfQ0RTX01JRC4xMC8wNy8yNgEAAADWRzkBAgAAAAY2LjcyNzYAwNAYXGDm3gjYEy1qYObeCCNDSVEuSVFUNjIyNzAxMDYuSVFfQ0RTX01JRC4xMS8wNy8yNgEAAACtd4MAAgAAAAc3NC44ODc5AKwCx1tg5t4IPAIramDm3ggjQ0lRLklRVDQ2MjAzMzMyLklRX0NEU19NSUQuMjAvMDQvMjYBAAAAXx43AAIAAAAHMTIuNjY2NwCjohhcYObeCIwBLGpg5t4II0NJUS5JUVQ3OTYzOTkxMy5JUV9DRFNfTUlELjIwLzA3LzI1AQAAACBjHAICAAAABjkuNDExMwDA0BhcYObeCJ1PK2pg5t4II0NJUS5JUVQ0NjIxODUxNi5JUV9DRFNfTUlELjA3LzA3LzI2AQAAAKZVowECAAAABzM4LjU3OTQAv84YXGDm3gjIlyZq</t>
  </si>
  <si>
    <t>YObeCCNDSVEuSVFUNDY0NzA4NzcuSVFfQ0RTX01JRC4xMS8wNy8yNgEAAABCNwcAAgAAAAc1NS45NzQ5AMDQGFxg5t4IgrMqamDm3ggjQ0lRLklRVDQ2MjA3NTcxLklRX0NEU19NSUQuMTUvMDcvMjYBAAAAbe81AAIAAAAFMjkuODUAo6IYXGDm3gjY6yNqYObeCCNDSVEuSVFUNDYyMTA1NjAuSVFfQ0RTX01JRC4xNy8wNy8yNgEAAAD2GjcAAgAAAAc4Ni45NTQxAKOiGFxg5t4ITvEhamDm3ggjQ0lRLklRVDQ2MjE5OTIyLklRX0NEU19NSUQuMTcvMDcvMjYBAAAA1kc5AQIAAAAENy4yNQDA0BhcYObeCFE+Impg5t4II0NJUS5JUVQ0NjIyMzY0Ni5JUV9DRFNfTUlELjE3LzA3LzI2AQAAABt4BAACAAAABzQ5Ljc2NjQAwNAYXGDm3gg0bSJqYObeCCNDSVEuSVFUNDYyMDM3MTQuSVFfQ0RTX01JRC4xMC8wNy8yNgEAAABfBTUAAgAAAAczMC43MDM5AKOiGFxg5t4IIu0samDm3ggjQ0lRLklRVDQ2MTk3MTM4LklRX0NEU19NSUQuMDgvMDcvMjYBAAAA7pQ4AQIAAAAIMTI2LjgzOTUAo6IYXGDm3gh5hiVqYObeCCNDSVEuSVFUNDYyMDc4NzIuSVFfQ0RTX01JRC4wNy8wNy8yNgEAAABYDQoAAgAAAAczOS43OTY0AMDQGFxg5t4I1uUmamDm3ggjQ0lRLklRVDQ2MjAwMzE3LklRX0NEU19NSUQuMDcvMDcvMjYBAAAA/lQNAAIAAAAHNjUuMzU1NgCsAsdbYObeCAY0J2pg5t4II0NJUS5JUVQ0NjIxNjk4Ni5JUV9DRFNf</t>
  </si>
  <si>
    <t>TUlELjEyLzA3LzI2AQAAAM5EOAEDAAAAAADA0BhcYObeCC++J2pg5t4II0NJUS5JUVQ0NjE5NjIyNS5JUV9DRFNfTUlELjExLzA3LzI2AQAAAL5VowECAAAABzE3LjQyNzQAo6IYXGDm3gjAKSpqYObeCCNDSVEuSVFUNDYyMjQ3NDAuSVFfQ0RTX01JRC4xMS8wNy8yNgEAAADTcggAAgAAAAczMy42MDY2ACb7GFxg5t4IgrMqamDm3ggjQ0lRLklRVDQ2MjA3NTcxLklRX0NEU19NSUQuMjAvMDQvMjYBAAAAbe81AAIAAAAHMzAuMjAyOACjohhcYObeCIwBLGpg5t4II0NJUS5JUVQ0NjIxMzQ3Mi5JUV9DRFNfTUlELjIwLzA0LzI2AQAAALlaOAACAAAABjE1Ljc1MwDA0BhcYObeCPlQLGpg5t4II0NJUS5JUVQ0NjE5NDk5NS5JUV9DRFNfTUlELjIwLzA3LzI1AQAAAG4QMQACAAAABzE0Ljk2ODgAo6IYXGDm3gg8AitqYObeCCNDSVEuSVFUNDYyMjIyOTIuSVFfQ0RTX01JRC4yMC8wNy8yNQEAAADRkZsBAgAAAAoxNDc4Ny4zMjkzAMDQGFxg5t4InU8ramDm3ggjQ0lRLklRVDQ2MTk3Njk0LklRX0NEU19NSUQuMDYvMDcvMjYBAAAAB/oFAAIAAAAGNTEuMDk3AMDQGFxg5t4IqM8oamDm3ggkQ0lRLklRVDUyODkzNjgxMi5JUV9DRFNfTUlELjExLzA3LzI2AQAAAGxbBgACAAAABjQ2LjcyNwAm+xhcYObeCIKzKmpg5t4II0NJUS5JUVQ0NjIxODY3NC5JUV9DRFNfTUlELjE2LzA3LzI2AQAAAFfKNgACAAAABjEyNS42</t>
  </si>
  <si>
    <t>NADA0BhcYObeCK1PI2pg5t4II0NJUS5JUVQ0NjIwMDMxNy5JUV9DRFNfTUlELjE3LzA3LzI2AQAAAP5UDQACAAAABzYzLjY1MzMArALHW2Dm3ghhniJqYObeCCNDSVEuSVFUNDYyMjAzMjkuSVFfQ0RTX01JRC4xMC8wNy8yNgEAAADbWwAAAgAAAAQ1Ni41ACgnx1tg5t4IqZ0tamDm3ggjQ0lRLklRVDQ2MjA0MzAwLklRX0NEU19NSUQuMjAvMDQvMjYBAAAA9iV9AAIAAAAGOC44MzMzAKOiGFxg5t4IjAEsamDm3ggjQ0lRLklRVDQ5NzUxMTk2LklRX0NEU19NSUQuMTcvMDcvMjYBAAAAzZm9AAIAAAAHNDEuODMzMwCjohhcYObeCE7xIWpg5t4II0NJUS5JUVQ2MDM4OTUxNi5JUV9DRFNfTUlELjE3LzA3LzI2AQAAAKXwwwECAAAABjcuMjQ3NwDA0BhcYObeCFE+Impg5t4IJENJUS5JUVQzMjM2ODAxMzAuSVFfQ0RTX01JRC4xNy8wNy8yNgEAAABx4QIAAgAAAAc1MS40NDc4AMDQGFxg5t4ING0iamDm3ggkQ0lRLklRVDMxMzMxNTQyOS5JUV9DRFNfTUlELjE3LzA3LzI2AQAAADnnBQACAAAABzYyLjEyODYAKCfHW2Dm3ghhniJqYObeCCNDSVEuSVFUNDYyMDc3ODkuSVFfQ0RTX01JRC4xOC8wNy8yNgEAAAAqWKMBAgAAAAcyNi42ODc5AMDQGFxg5t4ILXshamDm3ggkQ0lRLklRVDI4NjA5NjEzMS5JUV9DRFNfTUlELjE4LzA3LzI2AQAAADvxBAACAAAABzYwLjY2NjcAJvsYXGDm3ggGoiFqYObeCCNDSVEuSVFU</t>
  </si>
  <si>
    <t>NDYyMTA1NjAuSVFfQ0RTX01JRC4xNi8wNy8yNgEAAAD2GjcAAgAAAAc4Ni4xMDAzAKOiGFxg5t4I5dkiamDm3ggjQ0lRLklRVDQ2MjE5OTIyLklRX0NEU19NSUQuMTYvMDcvMjYBAAAA1kc5AQIAAAAGNi40ODA5AMDQGFxg5t4IVikjamDm3ggjQ0lRLklRVDQ2MjIzNjQ2LklRX0NEU19NSUQuMTYvMDcvMjYBAAAAG3gEAAIAAAAHNDkuNjk3NgDA0BhcYObeCLB2I2pg5t4IJENJUS5JUVQzMTMzMTQ5NzYuSVFfQ0RTX01JRC4xNi8wNy8yNgEAAABtSgAAAgAAAAY1Ny44MzcArALHW2Dm3gi7nSNqYObeCCNDSVEuSVFUNDYyMTg1MTYuSVFfQ0RTX01JRC4xNS8wNy8yNgEAAACmVaMBAgAAAAczNS42NDc3AL/OGFxg5t4I2OsjamDm3ggjQ0lRLklRVDQ2MjIwODAzLklRX0NEU19NSUQuMTUvMDcvMjYBAAAA1sk2AAIAAAAHNDEuODE1NwDA0BhcYObeCPk5JGpg5t4II0NJUS5JUVQ0NjIwMDM2NC5JUV9DRFNfTUlELjE1LzA3LzI2AQAAAFeGCAACAAAABTI0Ljg2ACb7GFxg5t4IuXQkamDm3ggjQ0lRLklRVDQ2MjA0MzAwLklRX0NEU19NSUQuMTAvMDcvMjYBAAAA9iV9AAIAAAAFNy4wMDIAo6IYXGDm3ggi7SxqYObeCCNDSVEuSVFUNjAzODgwNTcuSVFfQ0RTX01JRC4xMC8wNy8yNgEAAADfyX0BAwAAAAAAwNAYXGDm3givOi1qYObeCCNDSVEuSVFUNDYxOTk4NDEuSVFfQ0RTX01JRC4xMC8wNy8yNgEAAADrMAYA</t>
  </si>
  <si>
    <t>AwAAAAAAJvsYXGDm3gi8iC1qYObeCCRDSVEuSVFUMzEzMzEwMTg0LklRX0NEU19NSUQuMDgvMDcvMjYBAAAAYEQ+AAIAAAAHMTEuMjk3OQCjohhcYObeCHmGJWpg5t4II0NJUS5JUVQ0NjIxNDg3OS5JUV9DRFNfTUlELjA4LzA3LzI2AQAAAPUaNwACAAAABjUwLjU1MwDA0BhcYObeCE2vJWpg5t4II0NJUS5JUVQ0NjQ3MDg3Ny5JUV9DRFNfTUlELjA4LzA3LzI2AQAAAEI3BwACAAAABzU1LjA1NDIAwNAYXGDm3gixEiZqYObeCCRDSVEuSVFUMzEzMzEwODU0LklRX0NEU19NSUQuMDgvMDcvMjYBAAAAr1QNAAIAAAAHNjEuNjY2NwCsAsdbYObeCGJAJmpg5t4II0NJUS5JUVQ0NjE5NzEzOC5JUV9DRFNfTUlELjA3LzA3LzI2AQAAAO6UOAECAAAACDEyNi41MzgzAKOiGFxg5t4IOG8mamDm3ggjQ0lRLklRVDUxMDIzNDgwLklRX0NEU19NSUQuMDcvMDcvMjYBAAAAwkXxAQIAAAAGNC44MDgxAMDQGFxg5t4IyJcmamDm3ggjQ0lRLklRVDQ2MjA0OTU3LklRX0NEU19NSUQuMDcvMDcvMjYBAAAAIRUGAAIAAAAHNTMuMDEwNADA0BhcYObeCNblJmpg5t4II0NJUS5JUVQ2MjI3MDEwNi5JUV9DRFNfTUlELjA3LzA3LzI2AQAAAK13gwACAAAABzc1Ljg4MjYArALHW2Dm3ggGNCdqYObeCCNDSVEuSVFUNzk2NDAwMjQuSVFfQ0RTX01JRC4xMi8wNy8yNgEAAAA1j5sBAgAAAAY3LjY3MTkAZMoYXGDm3giWbydqYObeCCRD</t>
  </si>
  <si>
    <t>SVEuSVFUMzEzMzA1ODc5LklRX0NEU19NSUQuMTIvMDcvMjYBAAAAhNbcAQMAAAAAAMDQGFxg5t4IL74namDm3ggjQ0lRLklRVDQ2MjAwNDEyLklRX0NEU19NSUQuMTIvMDcvMjYBAAAAY0MGAAIAAAAHNDUuODU2MQAm+xhcYObeCPvlJ2pg5t4II0NJUS5JUVQ0NjIwMzMzMi5JUV9DRFNfTUlELjExLzA3LzI2AQAAAF8eNwACAAAABTExLjI1AKOiGFxg5t4IwCkqamDm3ggjQ0lRLklRVDQ2MjE1MTExLklRX0NEU19NSUQuMTEvMDcvMjYBAAAAoEuyAQIAAAAHMzYuNjk1NADA0BhcYObeCGx4Kmpg5t4II0NJUS5JUVQ0NjIyNjEzMi5JUV9DRFNfTUlELjExLzA3LzI2AQAAAN1ZAAACAAAABzQxLjY3NzYAJvsYXGDm3giCsypqYObeCCRDSVEuSVFUMzEzMzEzNTI0LklRX0NEU19NSUQuMTEvMDcvMjYBAAAA71UNAAIAAAAHNjAuNTE0OQAoJ8dbYObeCDwCK2pg5t4II0NJUS5JUVQ3OTYzOTkxMy5JUV9DRFNfTUlELjA5LzA3LzI2AQAAACBjHAICAAAABjcuOTM3NQDA0BhcYObeCDXqJGpg5t4II0NJUS5JUVQ0NjIwNzg3Mi5JUV9DRFNfTUlELjA5LzA3LzI2AQAAAFgNCgACAAAABzM5Ljc5OTIAwNAYXGDm3ghEESVqYObeCCNDSVEuSVFUNDYyMDAzMTcuSVFfQ0RTX01JRC4wOS8wNy8yNgEAAAD+VA0AAgAAAAc2NC45NTY0AKwCx1tg5t4IaV8lamDm3ggkQ0lRLklRVDY0NDcwMTc5Ny5JUV9DRFNfTUlELjIwLzA0</t>
  </si>
  <si>
    <t>LzI2AQAAAFM/fQECAAAABjEwLjI4NABkyhhcYObeCIwBLGpg5t4II0NJUS5JUVQ0NjIxNjk4Ni5JUV9DRFNfTUlELjIwLzA0LzI2AQAAAM5EOAEDAAAAAADA0BhcYObeCPlQLGpg5t4IJENJUS5JUVQyNTQ5NTUyMzMuSVFfQ0RTX01JRC4yMC8wNC8yNgEAAAA5VgoAAgAAAAc1NC40OTgxACb7GFxg5t4IBZ8samDm3ggjQ0lRLklRVDQ2MTk2MjI1LklRX0NEU19NSUQuMjAvMDcvMjUBAAAAvlWjAQIAAAAHMjMuMzMzMwCjohhcYObeCDwCK2pg5t4II0NJUS5JUVQ1MTAyMzI2MC5JUV9DRFNfTUlELjIwLzA3LzI1AQAAALERfwECAAAABjEwLjU0OQDA0BhcYObeCJ1PK2pg5t4II0NJUS5JUVQ0NjIyNDc0MC5JUV9DRFNfTUlELjIwLzA3LzI1AQAAANNyCAACAAAABzM4LjY5NTgAJvsYXGDm3gitnitqYObeCCRDSVEuSVFUMzEzMzE3MzQ0LklRX0NEU19NSUQuMjAvMDcvMjUBAAAA8awBAAIAAAAHNDEuMTcxOAAoJ8dbYObeCIXFK2pg5t4II0NJUS5JUVQ0NjE5NTQ5MS5JUV9DRFNfTUlELjA2LzA3LzI2AQAAAGlKAAACAAAABzU0LjQ2NzMAwNAYXGDm3giozyhqYObeCCNDSVEuSVFUNzk2MzQ5MDEuSVFfQ0RTX01JRC4wNi8wNy8yNgEAAACcBhAAAgAAAAc0My4yMzc1AKOiGFxg5t4IYQopamDm3ggjQ0lRLklRVDQ2MjE5OTIyLklRX0NEU19NSUQuMDgvMDcvMjYBAAAA1kc5AQIAAAAGNy4zMzMzAMDQGFxg5t4I</t>
  </si>
  <si>
    <t>Ta8lamDm3ggjQ0lRLklRVDQ2MjIzNjQ2LklRX0NEU19NSUQuMDgvMDcvMjYBAAAAG3gEAAIAAAAHNDguMzY5NADA0BhcYObeCLESJmpg5t4IJENJUS5JUVQzMTMzMTQ5NzYuSVFfQ0RTX01JRC4wOC8wNy8yNgEAAABtSgAAAgAAAAQ1Ni41ACgnx1tg5t4IYkAmamDm3ggkQ0lRLklRVDMxMzMxMDE4NC5JUV9DRFNfTUlELjA3LzA3LzI2AQAAAGBEPgACAAAABzExLjI2OTUAo6IYXGDm3gg4byZqYObeCCNDSVEuSVFUNDYyMTQ4NzkuSVFfQ0RTX01JRC4wNy8wNy8yNgEAAAD1GjcAAgAAAAc1MC41NjE5AMDQGFxg5t4IyJcmamDm3ggjQ0lRLklRVDQ2NDcwODc3LklRX0NEU19NSUQuMDcvMDcvMjYBAAAAQjcHAAIAAAAHNTQuMjM1MwDA0BhcYObeCNblJmpg5t4IJENJUS5JUVQzMTMzMTA4NTQuSVFfQ0RTX01JRC4wNy8wNy8yNgEAAACvVA0AAgAAAAc2MS4zMzMzAKwCx1tg5t4IBjQnamDm3ggjQ0lRLklRVDQ2MjE0OTU0LklRX0NEU19NSUQuMTIvMDcvMjYBAAAAOj05AQIAAAAGMTQuMTI1AGTKGFxg5t4Ilm8namDm3ggjQ0lRLklRVDQ2MjAzNzE0LklRX0NEU19NSUQuMTEvMDcvMjYBAAAAXwU1AAIAAAAHMzAuNzAzOQCjohhcYObeCMApKmpg5t4II0NJUS5JUVQ0NjIwMDQxMi5JUV9DRFNfTUlELjIwLzA0LzI2AQAAAGNDBgACAAAABjU2LjE4NAAm+xhcYObeCAWfLGpg5t4IJENJUS5JUVQzMTMzMTM1MjQu</t>
  </si>
  <si>
    <t>SVFfQ0RTX01JRC4yMC8wNy8yNQEAAADvVQ0AAgAAAAc1Mi4yNjcxACgnx1tg5t4IhcUramDm3ggjQ0lRLklRVDQ2MjA3ODcyLklRX0NEU19NSUQuMDYvMDcvMjYBAAAAWA0KAAIAAAAGMzkuODQ2AMDQGFxg5t4IqM8oamDm3ggjQ0lRLklRVDQ2MjAwMzE3LklRX0NEU19NSUQuMDYvMDcvMjYBAAAA/lQNAAIAAAAGNjUuMTY5AKwCx1tg5t4IYQopamDm3ggkQ0lRLklRVDMxMzMxNTQyOS5JUV9DRFNfTUlELjE4LzA3LzI2AQAAADnnBQACAAAABzYyLjEyODYAKCfHW2Dm3ggRySFqYObeCCNDSVEuSVFUNDYyMjM2NDYuSVFfQ0RTX01JRC4xMC8wNy8yNgEAAAAbeAQAAgAAAAc0OS40MzExAMDQGFxg5t4ItWEtamDm3ggjQ0lRLklRVDQ2MjAwMzY0LklRX0NEU19NSUQuMDgvMDcvMjYBAAAAV4YIAAIAAAACMjUAJvsYXGDm3ghiQCZqYObeCCNDSVEuSVFUNDYyMDQ5NTcuSVFfQ0RTX01JRC4xMS8wNy8yNgEAAAAhFQYAAgAAAAc1My44NjI3AMDQGFxg5t4IgrMqamDm3ggjQ0lRLklRVDQ2MjE2OTg2LklRX0NEU19NSUQuMDYvMDcvMjYBAAAAzkQ4AQMAAAAAAMDQGFxg5t4IqM8oamDm3ggkQ0lRLklRVDMxMzMxMDE4NC5JUV9DRFNfTUlELjExLzA3LzI2AQAAAGBEPgACAAAABzExLjIyNzkAo6IYXGDm3gjAKSpqYObeCCNDSVEuSVFUNDYyMTQ4NzkuSVFfQ0RTX01JRC4xMS8wNy8yNgEAAAD1GjcAAgAAAAc1MC41</t>
  </si>
  <si>
    <t>NDYyAMDQGFxg5t4IUFIqamDm3ggjQ0lRLklRVDQ2MjA4NjM0LklRX0NEU19NSUQuMDkvMDcvMjYBAAAAAx/CAAIAAAAHMjIuNTIzNgDA0BhcYObeCEQRJWpg5t4II0NJUS5JUVQ1MTAyMzI2MC5JUV9DRFNfTUlELjE4LzA3LzI2AQAAALERfwECAAAABzE0LjA0NTgAwNAYXGDm3ghnUyFqYObeCCNDSVEuSVFUNDYxOTQ5OTUuSVFfQ0RTX01JRC4xNy8wNy8yNgEAAABuEDEAAgAAAAUxMC45OACjohhcYObeCE7xIWpg5t4II0NJUS5JUVQ0NjIyMjI5Mi5JUV9DRFNfTUlELjE3LzA3LzI2AQAAANGRmwECAAAACDc2MC44MTQ4AMDQGFxg5t4IUT4iamDm3ggjQ0lRLklRVDQ2MjI1MDA2LklRX0NEU19NSUQuMTcvMDcvMjYBAAAA+FUNAAIAAAAHNDMuNTQ4OACT+BhcYObeCDRtImpg5t4II0NJUS5JUVQ0NjIyMDMyOS5JUV9DRFNfTUlELjE3LzA3LzI2AQAAANtbAAACAAAAAjU2ACgnx1tg5t4I5dkiamDm3ggjQ0lRLklRVDQ2MjEwMDMyLklRX0NEU19NSUQuMTgvMDcvMjYBAAAAj1WjAQIAAAAHMzcuMzA1MQDA0BhcYObeCC17IWpg5t4II0NJUS5JUVQ0NjIyNTM3NC5JUV9DRFNfTUlELjE4LzA3LzI2AQAAALXWBQACAAAABzM5LjAzNjcAJvsYXGDm3ggGoiFqYObeCCNDSVEuSVFUNDk3NTExOTYuSVFfQ0RTX01JRC4xNi8wNy8yNgEAAADNmb0AAgAAAAc0MS45MzgzAKOiGFxg5t4I5dkiamDm3ggjQ0lRLklRVDYw</t>
  </si>
  <si>
    <t>Mzg5NTE2LklRX0NEU19NSUQuMTYvMDcvMjYBAAAApfDDAQIAAAAGNy4yNDg4AMDQGFxg5t4IVikjamDm3ggkQ0lRLklRVDMyMzY4MDEzMC5JUV9DRFNfTUlELjE2LzA3LzI2AQAAAHHhAgACAAAABzUxLjQzNjQAwNAYXGDm3giwdiNqYObeCCRDSVEuSVFUMzEzMzE1NDI5LklRX0NEU19NSUQuMTYvMDcvMjYBAAAAOecFAAIAAAAHNjIuMTY2NgAoJ8dbYObeCLudI2pg5t4II0NJUS5JUVQ0NjIwNjc3OS5JUV9DRFNfTUlELjE1LzA3LzI2AQAAAPzvNgACAAAABzE2LjU4MzcAv84YXGDm3gjY6yNqYObeCCNDSVEuSVFUNDYyMTg2NzQuSVFfQ0RTX01JRC4xNS8wNy8yNgEAAABXyjYAAgAAAAgxMjQuODQyMwDA0BhcYObeCPk5JGpg5t4II0NJUS5JUVQ0NjIyNTcxNS5JUV9DRFNfTUlELjE1LzA3LzI2AQAAALflBAACAAAABjQzLjMzMgAm+xhcYObeCLl0JGpg5t4II0NJUS5JUVQ0NjIwNDg4NC5JUV9DRFNfTUlELjEwLzA3LzI2AQAAAIFRwAECAAAABzI5LjE4NzUAo6IYXGDm3ggi7SxqYObeCCNDSVEuSVFUNDYyMDc3ODkuSVFfQ0RTX01JRC4xMC8wNy8yNgEAAAAqWKMBAgAAAAcyNi41MTYzAMDQGFxg5t4IrzotamDm3ggkQ0lRLklRVDI4NjA5NjEzMS5JUV9DRFNfTUlELjEwLzA3LzI2AQAAADvxBAACAAAABzYwLjE4OTQAJvsYXGDm3gi8iC1qYObeCCNDSVEuSVFUNDYyMTA1NjAuSVFfQ0RTX01JRC4wOC8w</t>
  </si>
  <si>
    <t>Ny8yNgEAAAD2GjcAAgAAAAY4Ni4wNDkAo6IYXGDm3gh5hiVqYObeCCNDSVEuSVFUNDYyMjUwODMuSVFfQ0RTX01JRC4xMi8wNy8yNgEAAABWRAYAAgAAAAczNi44NzA1ACb7GFxg5t4IGA0oamDm3ggjQ0lRLklRVDQ2MjA0OTU3LklRX0NEU19NSUQuMDkvMDcvMjYBAAAAIRUGAAIAAAAENTMuMwDA0BhcYObeCEQRJWpg5t4II0NJUS5JUVQ3OTY0MDAyNC5JUV9DRFNfTUlELjIwLzA0LzI2AQAAADWPmwECAAAABjguOTE3NQBkyhhcYObeCIwBLGpg5t4IJENJUS5JUVQzMTMzMDU4NzkuSVFfQ0RTX01JRC4yMC8wNC8yNgEAAACE1twBAgAAAAYyLjMzMzQAwNAYXGDm3gj5UCxqYObeCCNDSVEuSVFUNDYyMDQ4ODQuSVFfQ0RTX01JRC4xNS8wNy8yNgEAAACBUcABAgAAAAcyOS40Mzc1AKOiGFxg5t4I2OsjamDm3ggjQ0lRLklRVDQ2MjA4NjM0LklRX0NEU19NSUQuMDcvMDcvMjYBAAAAAx/CAAIAAAAHMjIuMTQ2NQDA0BhcYObeCMa+Jmpg5t4II0NJUS5JUVQ3OTY0MDAyNC5JUV9DRFNfTUlELjA5LzA3LzI2AQAAADWPmwECAAAABDcuNzUAZMoYXGDm3ggmwyRqYObeCCRDSVEuSVFUMzEzMzEzNTI0LklRX0NEU19NSUQuMjAvMDQvMjYBAAAA71UNAAIAAAAHNTEuMzIzMQAoJ8dbYObeCBLGLGpg5t4II0NJUS5JUVQ0NjIwMDMxNy5JUV9DRFNfTUlELjIwLzA3LzI1AQAAAP5UDQACAAAABzY5LjUxNjYArALHW2Dm</t>
  </si>
  <si>
    <t>3giFxStqYObeCCNDSVEuSVFUNDYyMDQzMDAuSVFfQ0RTX01JRC4xMi8wNy8yNgEAAAD2JX0AAgAAAAU3LjAwMgCjohhcYObeCAY0J2pg5t4II0NJUS5JUVQ2MDM4OTUxNi5JUV9DRFNfTUlELjE1LzA3LzI2AQAAAKXwwwECAAAABjcuMjUwMwDA0BhcYObeCOoSJGpg5t4IJENJUS5JUVQzMjM2ODAxMzAuSVFfQ0RTX01JRC4xNS8wNy8yNgEAAABx4QIAAgAAAAY1MS44NjIAwNAYXGDm3gj5OSRqYObeCCRDSVEuSVFUMzEzMzE1NDI5LklRX0NEU19NSUQuMTUvMDcvMjYBAAAAOecFAAIAAAAHNjIuNTA2NgAoJ8dbYObeCPSbJGpg5t4II0NJUS5JUVQ0NjIwNjc3OS5JUV9DRFNfTUlELjEwLzA3LzI2AQAAAPzvNgACAAAABzE2LjE2NjcAwNAYXGDm3ggi7SxqYObeCCNDSVEuSVFUNDYyMTg2NzQuSVFfQ0RTX01JRC4xMC8wNy8yNgEAAABXyjYAAgAAAAgxMjMuMzM3OADA0BhcYObeCK86LWpg5t4II0NJUS5JUVQ0NjIyNTA4My5JUV9DRFNfTUlELjA4LzA3LzI2AQAAAFZEBgACAAAABDM3LjIAJvsYXGDm3ghiQCZqYObeCCRDSVEuSVFUMzEzMzA1ODc5LklRX0NEU19NSUQuMDcvMDcvMjYBAAAAhNbcAQMAAAAAAMDQGFxg5t4Ixr4mamDm3ggjQ0lRLklRVDQ2MjAwNDEyLklRX0NEU19NSUQuMDcvMDcvMjYBAAAAY0MGAAIAAAAHNDcuNjg2OQAm+xhcYObeCI4NJ2pg5t4IJENJUS5JUVQzMTMzMTM1MjQuSVFfQ0RT</t>
  </si>
  <si>
    <t>X01JRC4xMi8wNy8yNgEAAADvVQ0AAgAAAAc2MC41MTQ5ACgnx1tg5t4IgTMoamDm3ggjQ0lRLklRVDQ2MTk2MjI1LklRX0NEU19NSUQuMTcvMDcvMjYBAAAAvlWjAQIAAAAGMTcuMzc1AKOiGFxg5t4ITvEhamDm3ggjQ0lRLklRVDUxMDIzMjYwLklRX0NEU19NSUQuMTcvMDcvMjYBAAAAsRF/AQIAAAAHMTQuMDQ1OADA0BhcYObeCFE+Impg5t4II0NJUS5JUVQ0NjIyNDc0MC5JUV9DRFNfTUlELjE3LzA3LzI2AQAAANNyCAACAAAABzM1LjIzMzcAk/gYXGDm3ggVlSJqYObeCCRDSVEuSVFUMzEzMzE3MzQ0LklRX0NEU19NSUQuMTcvMDcvMjYBAAAA8awBAAIAAAAHNjAuODEyMwAoJ8dbYObeCOXZImpg5t4IJENJUS5JUVQ2NDQ3MDE3OTcuSVFfQ0RTX01JRC4xNy8wNy8yNgEAAABTP30BAgAAAAcxMC4zODE3AGTKGFxg5t4I6hciamDm3ggjQ0lRLklRVDQ2MjEzNDcyLklRX0NEU19NSUQuMTgvMDcvMjYBAAAAuVo4AAIAAAACMTUAwNAYXGDm3ggteyFqYObeCCNDSVEuSVFUNDYyMTY5ODYuSVFfQ0RTX01JRC4xNy8wNy8yNgEAAADORDgBAwAAAAAAwNAYXGDm3ghYZSJqYObeCCRDSVEuSVFUMjYzMjEzMTMyLklRX0NEU19NSUQuMTgvMDcvMjYBAAAA4ZoIAAIAAAAHNTUuODc5NAAm+xhcYObeCAaiIWpg5t4IJENJUS5JUVQyNTQ5NTUyMzMuSVFfQ0RTX01JRC4xNy8wNy8yNgEAAAA5VgoAAgAAAAc0My4zMzg2</t>
  </si>
  <si>
    <t>ACb7GFxg5t4IYZ4iamDm3ggjQ0lRLklRVDQ2MTk0OTk1LklRX0NEU19NSUQuMTYvMDcvMjYBAAAAbhAxAAIAAAAEMTAuOQCjohhcYObeCOXZImpg5t4II0NJUS5JUVQ0NjIyMjI5Mi5JUV9DRFNfTUlELjE2LzA3LzI2AQAAANGRmwECAAAACDc2MC41NzIzAMDQGFxg5t4IVikjamDm3ggjQ0lRLklRVDQ2MjI1MDA2LklRX0NEU19NSUQuMTYvMDcvMjYBAAAA+FUNAAIAAAAHNDIuNTQzOACT+BhcYObeCLB2I2pg5t4II0NJUS5JUVQ0NjIyMDMyOS5JUV9DRFNfTUlELjE2LzA3LzI2AQAAANtbAAACAAAAAjU2ACgnx1tg5t4IzMQjamDm3ggjQ0lRLklRVDQ2MjYyMzc4LklRX0NEU19NSUQuMTUvMDcvMjYBAAAAQNKJAQIAAAAHMTguNTQ5NwDA0BhcYObeCNjrI2pg5t4II0NJUS5JUVQ0NjE5NzY5NC5JUV9DRFNfTUlELjE1LzA3LzI2AQAAAAf6BQACAAAABzUyLjkzNDYAwNAYXGDm3gj5OSRqYObeCCNDSVEuSVFUNjIyNzAxMDcuSVFfQ0RTX01JRC4xNS8wNy8yNgEAAAAVWQAAAgAAAAc0MS44MTc4ACb7GFxg5t4IuXQkamDm3ggjQ0lRLklRVDQ2MTk1NDkxLklRX0NEU19NSUQuMTgvMDcvMjYBAAAAaUoAAAIAAAAHNTUuNjE3NgDA0BhcYObeCC17IWpg5t4II0NJUS5JUVQ0NjIwNzMwOC5JUV9DRFNfTUlELjEwLzA3LzI2AQAAADmJegECAAAABzE0LjMzMzMAo6IYXGDm3ggi7SxqYObeCCNDSVEuSVFUNDYyMTAw</t>
  </si>
  <si>
    <t>MzIuSVFfQ0RTX01JRC4xMC8wNy8yNgEAAACPVaMBAgAAAAczNi41NTcyAMDQGFxg5t4IrzotamDm3ggjQ0lRLklRVDQ2MjI1Mzc0LklRX0NEU19NSUQuMTAvMDcvMjYBAAAAtdYFAAIAAAAHMzguMDM0OQAm+xhcYObeCLyILWpg5t4II0NJUS5JUVQ0OTc1MTE5Ni5JUV9DRFNfTUlELjA4LzA3LzI2AQAAAM2ZvQACAAAABzQxLjk0ODEAo6IYXGDm3gh5hiVqYObeCCNDSVEuSVFUNjAzODk1MTYuSVFfQ0RTX01JRC4wOC8wNy8yNgEAAACl8MMBAgAAAAY3LjI0MTkAwNAYXGDm3ghNryVqYObeCCRDSVEuSVFUMzIzNjgwMTMwLklRX0NEU19NSUQuMDgvMDcvMjYBAAAAceECAAIAAAAHNTIuNTYyNACT+BhcYObeCLESJmpg5t4IJENJUS5JUVQzMTMzMTU0MjkuSVFfQ0RTX01JRC4wOC8wNy8yNgEAAAA55wUAAgAAAAc2Mi42NDAyACgnx1tg5t4IYkAmamDm3ggjQ0lRLklRVDQ2MjEwNTYwLklRX0NEU19NSUQuMDcvMDcvMjYBAAAA9ho3AAIAAAAHODUuNDk2NQCjohhcYObeCDhvJmpg5t4II0NJUS5JUVQ0NjIxOTkyMi5JUV9DRFNfTUlELjA3LzA3LzI2AQAAANZHOQECAAAAAzcuNQDA0BhcYObeCMiXJmpg5t4II0NJUS5JUVQ0NjIyMzY0Ni5JUV9DRFNfTUlELjA3LzA3LzI2AQAAABt4BAACAAAABzQ3LjU5OTYAwNAYXGDm3gjW5SZqYObeCCRDSVEuSVFUMzEzMzE0OTc2LklRX0NEU19NSUQuMDcvMDcvMjYBAAAA</t>
  </si>
  <si>
    <t>bUoAAAIAAAACNTYAKCfHW2Dm3ggGNCdqYObeCCNDSVEuSVFUNDYyMTg1MTYuSVFfQ0RTX01JRC4xMi8wNy8yNgEAAACmVaMBAgAAAAczNi40NjgyAL/OGFxg5t4Ilm8namDm3ggjQ0lRLklRVDQ2MjIwODAzLklRX0NEU19NSUQuMTIvMDcvMjYBAAAA1sk2AAIAAAAHNDEuMTA2NADA0BhcYObeCC++J2pg5t4II0NJUS5JUVQ0NjIwMDM2NC5JUV9DRFNfTUlELjEyLzA3LzI2AQAAAFeGCAACAAAABTI0Ljg2ACb7GFxg5t4IGA0oamDm3ggjQ0lRLklRVDQ2MjA0MzAwLklRX0NEU19NSUQuMTEvMDcvMjYBAAAA9iV9AAIAAAAFNy4wMDIAo6IYXGDm3gjAKSpqYObeCCNDSVEuSVFUNjAzODgwNTcuSVFfQ0RTX01JRC4xMS8wNy8yNgEAAADfyX0BAwAAAAAAwNAYXGDm3ggijCpqYObeCCNDSVEuSVFUNDYxOTk4NDEuSVFfQ0RTX01JRC4xMS8wNy8yNgEAAADrMAYAAwAAAAAAJvsYXGDm3giCsypqYObeCCRDSVEuSVFUMzEzMzEwMTg0LklRX0NEU19NSUQuMDkvMDcvMjYBAAAAYEQ+AAIAAAAHMTEuMjY3NQCjohhcYObeCPSbJGpg5t4II0NJUS5JUVQ0NjIxNDg3OS5JUV9DRFNfTUlELjA5LzA3LzI2AQAAAPUaNwACAAAABzUwLjU0MzcAwNAYXGDm3gg16iRqYObeCCNDSVEuSVFUNDY0NzA4NzcuSVFfQ0RTX01JRC4wOS8wNy8yNgEAAABCNwcAAgAAAAc1NS4wMjQzAMDQGFxg5t4IRBElamDm3ggjQ0lRLklRVDc5NjM0</t>
  </si>
  <si>
    <t>OTAxLklRX0NEU19NSUQuMTgvMDcvMjYBAAAAnAYQAAIAAAAHNDEuMDQyNQAm+xhcYObeCBHJIWpg5t4IJENJUS5JUVQzMTMzMTA4NTQuSVFfQ0RTX01JRC4wOS8wNy8yNgEAAACvVA0AAgAAAAQ2MS41AKwCx1tg5t4IaV8lamDm3ggjQ0lRLklRVDQ2MjA3NTcxLklRX0NEU19NSUQuMTYvMDcvMjYBAAAAbe81AAIAAAACMzAAo6IYXGDm3giAASNqYObeCCNDSVEuSVFUNDYyMTQ5NTQuSVFfQ0RTX01JRC4yMC8wNC8yNgEAAAA6PTkBAgAAAAYxNi40OTYAZMoYXGDm3ggjKSxqYObeCCNDSVEuSVFUNDYyMDg2MzQuSVFfQ0RTX01JRC4yMC8wNC8yNgEAAAADH8IAAgAAAAUyOS4yNQDA0BhcYObeCPlQLGpg5t4II0NJUS5JUVQ0NjIyNTA4My5JUV9DRFNfTUlELjIwLzA0LzI2AQAAAFZEBgACAAAABTQ0LjI1ACb7GFxg5t4IBZ8samDm3ggjQ0lRLklRVDQ2MjAzNzE0LklRX0NEU19NSUQuMjAvMDcvMjUBAAAAXwU1AAIAAAAHMzMuNTMyOQCjohhcYObeCEwpK2pg5t4II0NJUS5JUVQ0NjIxMzQ3Mi5JUV9DRFNfTUlELjE2LzA3LzI2AQAAALlaOAACAAAABzE1LjA2MjUAwNAYXGDm3gitTyNqYObeCCNDSVEuSVFUNzk2Mzk5NTMuSVFfQ0RTX01JRC4yMC8wNy8yNQEAAAA0m1YBAgAAAAczNC41MDc4AMDQGFxg5t4InU8ramDm3ggkQ0lRLklRVDI2MzIxMzEzMi5JUV9DRFNfTUlELjE2LzA3LzI2AQAAAOGaCAACAAAA</t>
  </si>
  <si>
    <t>BzU1LjA5ODcAJvsYXGDm3giwdiNqYObeCCRDSVEuSVFUNTI4OTM2ODEyLklRX0NEU19NSUQuMjAvMDcvMjUBAAAAbFsGAAIAAAAHNDcuMjA2OQAm+xhcYObeCK2eK2pg5t4II0NJUS5JUVQ0NjIwNDk1Ny5JUV9DRFNfTUlELjA2LzA3LzI2AQAAACEVBgACAAAABzUyLjk4OTMAwNAYXGDm3giozyhqYObeCCNDSVEuSVFUNjIyNzAxMDYuSVFfQ0RTX01JRC4wNi8wNy8yNgEAAACtd4MAAgAAAAc3NS44Nzg2AKwCx1tg5t4IlTEpamDm3ggjQ0lRLklRVDQ2MjE0ODc5LklRX0NEU19NSUQuMDYvMDcvMjYBAAAA9Ro3AAIAAAAGNTAuNTQ4AMDQGFxg5t4InKgoamDm3ggjQ0lRLklRVDQ2NDcwODc3LklRX0NEU19NSUQuMDYvMDcvMjYBAAAAQjcHAAIAAAAHNTQuMTgwNQDA0BhcYObeCKjPKGpg5t4IJENJUS5JUVQzMTMzMTA4NTQuSVFfQ0RTX01JRC4wNi8wNy8yNgEAAACvVA0AAgAAAAc2MS4zMzMzAKwCx1tg5t4IlTEpamDm3ggjQ0lRLklRVDYwMzg5NTE2LklRX0NEU19NSUQuMDkvMDcvMjYBAAAApfDDAQIAAAAGNy4yNDYxAMDQGFxg5t4INeokamDm3ggjQ0lRLklRVDQ2MTk0OTk1LklRX0NEU19NSUQuMTUvMDcvMjYBAAAAbhAxAAIAAAACMTEAo6IYXGDm3gjMxCNqYObeCCNDSVEuSVFUNDYyMjIyOTIuSVFfQ0RTX01JRC4xNS8wNy8yNgEAAADRkZsBAgAAAAg3NjEuMTEyNgDA0BhcYObeCOoSJGpg5t4II0NJ</t>
  </si>
  <si>
    <t>US5JUVQ0NjIyNTAwNi5JUV9DRFNfTUlELjE1LzA3LzI2AQAAAPhVDQACAAAABzQyLjExNDMAk/gYXGDm3gj5OSRqYObeCCNDSVEuSVFUNDYyMTg2NzQuSVFfQ0RTX01JRC4yMC8wNC8yNgEAAABXyjYAAgAAAAcxNDYuODI1AMDQGFxg5t4I+VAsamDm3ggjQ0lRLklRVDQ2MjIwMzI5LklRX0NEU19NSUQuMTUvMDcvMjYBAAAA21sAAAIAAAAENTYuNQAoJ8dbYObeCPSbJGpg5t4II0NJUS5JUVQ0NjIxMDAzMi5JUV9DRFNfTUlELjA3LzA3LzI2AQAAAI9VowECAAAABzM2LjQxNTEAwNAYXGDm3gjGviZqYObeCCNDSVEuSVFUNDYyMjU3MTUuSVFfQ0RTX01JRC4xMS8wNy8yNgEAAAC35QQAAgAAAAc0MC4yNzY2ACb7GFxg5t4Id9oqamDm3ggjQ0lRLklRVDQ2MjYyMzc4LklRX0NEU19NSUQuMTAvMDcvMjYBAAAAQNKJAQIAAAAHMTcuODMzMwDA0BhcYObeCNgTLWpg5t4IJENJUS5JUVQyODYwOTYxMzEuSVFfQ0RTX01JRC4wOS8wNy8yNgEAAAA78QQAAgAAAAc2MC44Mzc3ACb7GFxg5t4IVDglamDm3ggjQ0lRLklRVDQ2MTk3Njk0LklRX0NEU19NSUQuMTAvMDcvMjYBAAAAB/oFAAIAAAAHNTEuNjU2MwDA0BhcYObeCK86LWpg5t4II0NJUS5JUVQ0NjIxODUxNi5JUV9DRFNfTUlELjIwLzA3LzI1AQAAAKZVowECAAAABzMyLjk3MzgAv84YXGDm3ghMKStqYObeCCNDSVEuSVFUNDYyMDAzNjQuSVFfQ0RTX01JRC4y</t>
  </si>
  <si>
    <t>MC8wNy8yNQEAAABXhggAAgAAAAczOC40OTM4ACb7GFxg5t4IhcUramDm3ggjQ0lRLklRVDYyMjcwMTA3LklRX0NEU19NSUQuMTAvMDcvMjYBAAAAFVkAAAIAAAAHNDEuNTIyNgAm+xhcYObeCKmdLWpg5t4IJENJUS5JUVQyNjMyMTMxMzIuSVFfQ0RTX01JRC4wNy8wNy8yNgEAAADhmggAAgAAAAc1NC43NTIzACb7GFxg5t4Ijg0namDm3ggjQ0lRLklRVDQ2MjIwMzI5LklRX0NEU19NSUQuMTIvMDcvMjYBAAAA21sAAAIAAAAENTYuNQAoJ8dbYObeCIEzKGpg5t4II0NJUS5JUVQ0NjIwNzMwOC5JUV9DRFNfTUlELjA4LzA3LzI2AQAAADmJegECAAAABjE0LjM3NQCjohhcYObeCE2vJWpg5t4II0NJUS5JUVQ0NjIwNjc3OS5JUV9DRFNfTUlELjIwLzA3LzI1AQAAAPzvNgACAAAABzI4LjM5MzIAwNAYXGDm3ghMKStqYObeCCNDSVEuSVFUNDYyMDc3ODkuSVFfQ0RTX01JRC4wNi8wNy8yNgEAAAAqWKMBAgAAAAcyNi43MzM5AMDQGFxg5t4InKgoamDm3ggjQ0lRLklRVDQ2MjEwMDMyLklRX0NEU19NSUQuMDgvMDcvMjYBAAAAj1WjAQIAAAAHMzYuOTU0MgDA0BhcYObeCAfrJWpg5t4IJENJUS5JUVQyODYwOTYxMzEuSVFfQ0RTX01JRC4wNi8wNy8yNgEAAAA78QQAAgAAAAc2MC44NDk2ACb7GFxg5t4IYQopamDm3ggkQ0lRLklRVDUyODkzNjgxMi5JUV9DRFNfTUlELjE1LzA3LzI2AQAAAGxbBgACAAAABzQ3LjI1</t>
  </si>
  <si>
    <t>NDEAJvsYXGDm3ggIYSRqYObeCCNDSVEuSVFUNDYyMDQ5NTcuSVFfQ0RTX01JRC4xMC8wNy8yNgEAAAAhFQYAAgAAAAc1My44NjI3AMDQGFxg5t4ItWEtamDm3ggjQ0lRLklRVDc5NjQwMDI0LklRX0NEU19NSUQuMDgvMDcvMjYBAAAANY+bAQIAAAAGNy44MTI1AGTKGFxg5t4ITa8lamDm3ggjQ0lRLklRVDQ2MjI1Mzc0LklRX0NEU19NSUQuMDgvMDcvMjYBAAAAtdYFAAIAAAAHMzguNDIzNAAm+xhcYObeCKA6Jmpg5t4II0NJUS5JUVQ0NjIwNzU3MS5JUV9DRFNfTUlELjA5LzA3LzI2AQAAAG3vNQACAAAABzI5LjQ0MTEAo6IYXGDm3ggmwyRqYObeCCNDSVEuSVFUNDYyMjUwMDYuSVFfQ0RTX01JRC4yMC8wNC8yNgEAAAD4VQ0AAgAAAAUzOS43MQCT+BhcYObeCP13LGpg5t4II0NJUS5JUVQ0NjIyNTcxNS5JUV9DRFNfTUlELjE3LzA3LzI2AQAAALflBAACAAAABzQzLjQzMzkAJvsYXGDm3ghhniJqYObeCCNDSVEuSVFUNDYyMDQ4ODQuSVFfQ0RTX01JRC4wNy8wNy8yNgEAAACBUcABAgAAAAUyOC40NQCjohhcYObeCDhvJmpg5t4II0NJUS5JUVQ0NjIwNzc4OS5JUV9DRFNfTUlELjA3LzA3LzI2AQAAACpYowECAAAABzI2LjU0NTQAwNAYXGDm3gjGviZqYObeCCRDSVEuSVFUMjg2MDk2MTMxLklRX0NEU19NSUQuMDcvMDcvMjYBAAAAO/EEAAIAAAAHNjEuMjE5OAAm+xhcYObeCI4NJ2pg5t4II0NJUS5JUVQ0</t>
  </si>
  <si>
    <t>NjIxMDU2MC5JUV9DRFNfTUlELjEyLzA3LzI2AQAAAPYaNwACAAAABzg0LjY1NDcAo6IYXGDm3ggGNCdqYObeCCNDSVEuSVFUNDYyMTk5MjIuSVFfQ0RTX01JRC4xMi8wNy8yNgEAAADWRzkBAgAAAAY2LjcyNzYAwNAYXGDm3ggllydqYObeCCNDSVEuSVFUNDYyMjM2NDYuSVFfQ0RTX01JRC4xMi8wNy8yNgEAAAAbeAQAAgAAAAc0OS40MzExAMDQGFxg5t4IL74namDm3ggkQ0lRLklRVDMxMzMxNDk3Ni5JUV9DRFNfTUlELjEyLzA3LzI2AQAAAG1KAAACAAAABDU2LjUAKCfHW2Dm3giBMyhqYObeCCNDSVEuSVFUNDYyMTg1MTYuSVFfQ0RTX01JRC4xMS8wNy8yNgEAAACmVaMBAgAAAAczNi40NjgyAL/OGFxg5t4IUFIqamDm3ggjQ0lRLklRVDQ2MjIwODAzLklRX0NEU19NSUQuMTEvMDcvMjYBAAAA1sk2AAIAAAAHNDEuMTA2NADA0BhcYObeCCKMKmpg5t4IJENJUS5JUVQzMTMzMTAxODQuSVFfQ0RTX01JRC4yMC8wNC8yNgEAAABgRD4AAgAAAAYxMi41NTYAo6IYXGDm3giMASxqYObeCCRDSVEuSVFUMzEzMzEwODU0LklRX0NEU19NSUQuMjAvMDQvMjYBAAAAr1QNAAIAAAAHNTIuNDIyNQCsAsdbYObeCAWfLGpg5t4II0NJUS5JUVQ0NjIwMDQxMi5JUV9DRFNfTUlELjE3LzA3LzI2AQAAAGNDBgACAAAABzQ1LjgzMzMAJvsYXGDm3ghhniJqYObeCCNDSVEuSVFUNDYyMTY5ODYuSVFfQ0RTX01JRC4xNi8wNy8y</t>
  </si>
  <si>
    <t>NgEAAADORDgBAwAAAAAAwNAYXGDm3gitTyNqYObeCCNDSVEuSVFUNTEwMjMyNjAuSVFfQ0RTX01JRC4xNS8wNy8yNgEAAACxEX8BAgAAAAYxNC4xMjUAwNAYXGDm3gjqEiRqYObeCCNDSVEuSVFUNDYyMDAyNzYuSVFfQ0RTX01JRC4xMC8wNy8yNgEAAACWd3wBAgAAAAcyOC4wMjkyAMDQGFxg5t4I2BMtamDm3ggjQ0lRLklRVDQ2MTk1NDkxLklRX0NEU19NSUQuMTAvMDcvMjYBAAAAaUoAAAIAAAAHNTQuMjk5NgDA0BhcYObeCLVhLWpg5t4IJENJUS5JUVQyNjMyMTMxMzIuSVFfQ0RTX01JRC4wOC8wNy8yNgEAAADhmggAAgAAAAc1NS4zMzg0ACb7GFxg5t4IoDomamDm3ggjQ0lRLklRVDYwMzg5NTE2LklRX0NEU19NSUQuMTIvMDcvMjYBAAAApfDDAQIAAAAGNy4yNDMzAMDQGFxg5t4IJZcnamDm3ggkQ0lRLklRVDMyMzY4MDEzMC5JUV9DRFNfTUlELjEyLzA3LzI2AQAAAHHhAgACAAAABzUyLjUzMzUAwNAYXGDm3gj75SdqYObeCCNDSVEuSVFUNDYyMTg2NzQuSVFfQ0RTX01JRC4xMS8wNy8yNgEAAABXyjYAAgAAAAgxMjMuMzM3OADA0BhcYObeCCKMKmpg5t4II0NJUS5JUVQ0NjIwNDg4NC5JUV9DRFNfTUlELjA5LzA3LzI2AQAAAIFRwAECAAAABzI5LjQ0ODQAo6IYXGDm3ggmwyRqYObeCCNDSVEuSVFUNDYyMTk5MjIuSVFfQ0RTX01JRC4yMC8wNC8yNgEAAADWRzkBAgAAAAY3LjgzMzMAwNAYXGDm3ggj</t>
  </si>
  <si>
    <t>KSxqYObeCCNDSVEuSVFUNDYyMjM2NDYuSVFfQ0RTX01JRC4yMC8wNC8yNgEAAAAbeAQAAgAAAAY1My4yNzIAwNAYXGDm3gj9dyxqYObeCCNDSVEuSVFUNDYyMjA4MDMuSVFfQ0RTX01JRC4yMC8wNy8yNQEAAADWyTYAAgAAAAc0Mi4zODkyAMDQGFxg5t4IwXYramDm3ggjQ0lRLklRVDQ2MTk0OTk1LklRX0NEU19NSUQuMTIvMDcvMjYBAAAAbhAxAAIAAAAGMTAuOTk5AKOiGFxg5t4IBjQnamDm3ggkQ0lRLklRVDMxMzMxNDk3Ni5JUV9DRFNfTUlELjE4LzA3LzI2AQAAAG1KAAACAAAABzU3LjgzNjQArALHW2Dm3ggRySFqYObeCCNDSVEuSVFUNDYyMTQ5NTQuSVFfQ0RTX01JRC4wOC8wNy8yNgEAAAA6PTkBAgAAAAcxNC4zMTI1AGTKGFxg5t4ITa8lamDm3ggjQ0lRLklRVDc5NjM5OTEzLklRX0NEU19NSUQuMTEvMDcvMjYBAAAAIGMcAgIAAAAGNy45MTYzAMDQGFxg5t4IUFIqamDm3ggjQ0lRLklRVDQ2MjAwMzE3LklRX0NEU19NSUQuMTEvMDcvMjYBAAAA/lQNAAIAAAAHNjUuNDYxNwCsAsdbYObeCHfaKmpg5t4II0NJUS5JUVQ0NjE5NjIyNS5JUV9DRFNfTUlELjIwLzA0LzI2AQAAAL5VowECAAAABTE3Ljk1AKOiGFxg5t4IjAEsamDm3ggjQ0lRLklRVDc5NjM0OTAxLklRX0NEU19NSUQuMjAvMDcvMjUBAAAAnAYQAAIAAAAHNTUuODAyNQCsAsdbYObeCIXFK2pg5t4II0NJUS5JUVQ2MDM4OTUxNi5JUV9D</t>
  </si>
  <si>
    <t>RFNfTUlELjE4LzA3LzI2AQAAAKXwwwECAAAABjcuMjQ3NwDA0BhcYObeCGdTIWpg5t4II0NJUS5JUVQ0NjE5OTg0MS5JUV9DRFNfTUlELjEyLzA3LzI2AQAAAOswBgADAAAAAAAm+xhcYObeCPvlJ2pg5t4II0NJUS5JUVQ0NjE5NzEzOC5JUV9DRFNfTUlELjIwLzA3LzI1AQAAAO6UOAECAAAACDE0Ny43NzY2AKOiGFxg5t4IPAIramDm3ggkQ0lRLklRVDMxMzMwNTg3OS5JUV9DRFNfTUlELjA2LzA3LzI2AQAAAITW3AEDAAAAAADA0BhcYObeCKjPKGpg5t4II0NJUS5JUVQ0NjIwMDI3Ni5JUV9DRFNfTUlELjE2LzA3LzI2AQAAAJZ3fAECAAAABzI5LjgyODgAwNAYXGDm3giAASNqYObeCCNDSVEuSVFUNzk2MzQ5MDEuSVFfQ0RTX01JRC4xNi8wNy8yNgEAAACcBhAAAgAAAAc0MS4wNTI1ACb7GFxg5t4Iu50jamDm3ggjQ0lRLklRVDQ2MjYyMzc4LklRX0NEU19NSUQuMDgvMDcvMjYBAAAAQNKJAQIAAAAEMTguMQDA0BhcYObeCE2vJWpg5t4II0NJUS5JUVQ0NjIwNjc3OS5JUV9DRFNfTUlELjA3LzA3LzI2AQAAAPzvNgACAAAABzE1LjgzMzMAwNAYXGDm3gjIlyZqYObeCCNDSVEuSVFUNDYyMDQ4ODQuSVFfQ0RTX01JRC4xMi8wNy8yNgEAAACBUcABAgAAAAcyOS4xODc1AKOiGFxg5t4Ilm8namDm3ggjQ0lRLklRVDQ2MjAzMzMyLklRX0NEU19NSUQuMTcvMDcvMjYBAAAAXx43AAIAAAAHMTEuMTY2NwCjohhc</t>
  </si>
  <si>
    <t>YObeCE7xIWpg5t4II0NJUS5JUVQ0NjIxNTExMS5JUV9DRFNfTUlELjE3LzA3LzI2AQAAAKBLsgECAAAABzM3LjY5MTUAwNAYXGDm3ghRPiJqYObeCCNDSVEuSVFUNDYyMjYxMzIuSVFfQ0RTX01JRC4xNy8wNy8yNgEAAADdWQAAAgAAAAc0My44ODExACb7GFxg5t4IFZUiamDm3ggkQ0lRLklRVDMxMzMxMzUyNC5JUV9DRFNfTUlELjE3LzA3LzI2AQAAAO9VDQACAAAABzYwLjAwNjYAKCfHW2Dm3gjl2SJqYObeCCNDSVEuSVFUNDYyMTY5ODYuSVFfQ0RTX01JRC4xOC8wNy8yNgEAAADORDgBAwAAAAAAwNAYXGDm3ggteyFqYObeCCRDSVEuSVFUMjU0OTU1MjMzLklRX0NEU19NSUQuMTgvMDcvMjYBAAAAOVYKAAIAAAAHNDMuMzM4NgAm+xhcYObeCAaiIWpg5t4II0NJUS5JUVQ0NjE5NjIyNS5JUV9DRFNfTUlELjE2LzA3LzI2AQAAAL5VowECAAAABjE3LjM3NQCjohhcYObeCOXZImpg5t4II0NJUS5JUVQ1MTAyMzI2MC5JUV9DRFNfTUlELjE2LzA3LzI2AQAAALERfwECAAAAAjE0AMDQGFxg5t4IVikjamDm3ggjQ0lRLklRVDQ2MjI0NzQwLklRX0NEU19NSUQuMTYvMDcvMjYBAAAA03IIAAIAAAAFMzUuMDYAk/gYXGDm3giwdiNqYObeCCRDSVEuSVFUMzEzMzE3MzQ0LklRX0NEU19NSUQuMTYvMDcvMjYBAAAA8awBAAIAAAAHNjAuMjE5NQAoJ8dbYObeCMzEI2pg5t4II0NJUS5JUVQ0NjIwMDI3Ni5JUV9DRFNf</t>
  </si>
  <si>
    <t>TUlELjE1LzA3LzI2AQAAAJZ3fAECAAAABzI5Ljc0ODUAwNAYXGDm3gjY6yNqYObeCCNDSVEuSVFUNDYxOTU0OTEuSVFfQ0RTX01JRC4xNS8wNy8yNgEAAABpSgAAAgAAAAU1NC45OQDA0BhcYObeCPk5JGpg5t4II0NJUS5JUVQ3OTYzNDkwMS5JUV9DRFNfTUlELjE1LzA3LzI2AQAAAJwGEAACAAAABzQxLjA4OTIAJvsYXGDm3gi5dCRqYObeCCNDSVEuSVFUNDYyMDc1NzEuSVFfQ0RTX01JRC4xMC8wNy8yNgEAAABt7zUAAgAAAAYyOS4zMDUAo6IYXGDm3ggi7SxqYObeCCNDSVEuSVFUNDYyMTM0NzIuSVFfQ0RTX01JRC4xMC8wNy8yNgEAAAC5WjgAAgAAAAcxNS4wMDA1AMDQGFxg5t4IrzotamDm3ggkQ0lRLklRVDI2MzIxMzEzMi5JUV9DRFNfTUlELjEwLzA3LzI2AQAAAOGaCAACAAAABzU0Ljk5NDQAJvsYXGDm3gi8iC1qYObeCCNDSVEuSVFUNDYxOTQ5OTUuSVFfQ0RTX01JRC4wOC8wNy8yNgEAAABuEDEAAgAAAAUxMC45OACjohhcYObeCHmGJWpg5t4II0NJUS5JUVQ0NjIyMjI5Mi5JUV9DRFNfTUlELjA4LzA3LzI2AQAAANGRmwECAAAACDc1OS42MjUyAMDQGFxg5t4ITa8lamDm3ggjQ0lRLklRVDQ2MjI1MDA2LklRX0NEU19NSUQuMDgvMDcvMjYBAAAA+FUNAAIAAAAHNDEuNTcwMQCT+BhcYObeCLESJmpg5t4II0NJUS5JUVQ0NjIyMDMyOS5JUV9DRFNfTUlELjA4LzA3LzI2AQAAANtbAAACAAAABDU2</t>
  </si>
  <si>
    <t>LjUAKCfHW2Dm3gi+aSZqYObeCCNDSVEuSVFUNDk3NTExOTYuSVFfQ0RTX01JRC4wNy8wNy8yNgEAAADNmb0AAgAAAAc0MS44MjE0AKOiGFxg5t4IOG8mamDm3ggjQ0lRLklRVDYwMzg5NTE2LklRX0NEU19NSUQuMDcvMDcvMjYBAAAApfDDAQIAAAAGNy4yMzk5AMDQGFxg5t4Ixr4mamDm3ggkQ0lRLklRVDMyMzY4MDEzMC5JUV9DRFNfTUlELjA3LzA3LzI2AQAAAHHhAgACAAAABDUzLjEAk/gYXGDm3gjW5SZqYObeCCRDSVEuSVFUMzEzMzE1NDI5LklRX0NEU19NSUQuMDcvMDcvMjYBAAAAOecFAAIAAAAHNjEuODYyOQAoJ8dbYObeCAY0J2pg5t4II0NJUS5JUVQ0NjIwNjc3OS5JUV9DRFNfTUlELjEyLzA3LzI2AQAAAPzvNgACAAAABzE2LjE2NjcAwNAYXGDm3giWbydqYObeCCNDSVEuSVFUNDYyMTg2NzQuSVFfQ0RTX01JRC4xMi8wNy8yNgEAAABXyjYAAgAAAAgxMjMuMzM3OADA0BhcYObeCC++J2pg5t4II0NJUS5JUVQ0NjIyNTcxNS5JUV9DRFNfTUlELjEyLzA3LzI2AQAAALflBAACAAAABzQwLjI3NjYAJvsYXGDm3ggYDShqYObeCCNDSVEuSVFUNDYyMDQ4ODQuSVFfQ0RTX01JRC4xMS8wNy8yNgEAAACBUcABAgAAAAcyOS4xODc1AKOiGFxg5t4IwCkqamDm3ggjQ0lRLklRVDQ2MjA3Nzg5LklRX0NEU19NSUQuMTEvMDcvMjYBAAAAKlijAQIAAAAHMjYuNTE2MwDA0BhcYObeCCKMKmpg5t4IJENJUS5J</t>
  </si>
  <si>
    <t>UVQyODYwOTYxMzEuSVFfQ0RTX01JRC4xMS8wNy8yNgEAAAA78QQAAgAAAAc2MC4xODk0ACb7GFxg5t4Id9oqamDm3ggjQ0lRLklRVDQ2MjEwNTYwLklRX0NEU19NSUQuMDkvMDcvMjYBAAAA9ho3AAIAAAAHODUuMTExNQCjohhcYObeCPSbJGpg5t4II0NJUS5JUVQ0NjIxOTkyMi5JUV9DRFNfTUlELjA5LzA3LzI2AQAAANZHOQECAAAABjcuMzMzMwDA0BhcYObeCDXqJGpg5t4II0NJUS5JUVQ0NjIyMzY0Ni5JUV9DRFNfTUlELjA5LzA3LzI2AQAAABt4BAACAAAABzQ4LjI5OTIAwNAYXGDm3ghUOCVqYObeCCRDSVEuSVFUMzEzMzE0OTc2LklRX0NEU19NSUQuMDkvMDcvMjYBAAAAbUoAAAIAAAAENTYuNQAoJ8dbYObeCGlfJWpg5t4II0NJUS5JUVQ0NjIxODUxNi5JUV9DRFNfTUlELjIwLzA0LzI2AQAAAKZVowECAAAABzM4LjYxMTUAv84YXGDm3ggjKSxqYObeCCNDSVEuSVFUNDYyMjA4MDMuSVFfQ0RTX01JRC4yMC8wNC8yNgEAAADWyTYAAgAAAAc0OC45Mzc1AMDQGFxg5t4I+VAsamDm3ggjQ0lRLklRVDQ2MjAwMzY0LklRX0NEU19NSUQuMjAvMDQvMjYBAAAAV4YIAAIAAAAGMjguNjI1ACb7GFxg5t4IBZ8samDm3ggjQ0lRLklRVDQ2MjA0MzAwLklRX0NEU19NSUQuMjAvMDcvMjUBAAAA9iV9AAIAAAAGOS4xNjY3AKOiGFxg5t4ITCkramDm3ggjQ0lRLklRVDYwMzg4MDU3LklRX0NEU19NSUQuMjAvMDcv</t>
  </si>
  <si>
    <t>MjUBAAAA38l9AQIAAAAHNDYuNDg2NQDA0BhcYObeCJ1PK2pg5t4II0NJUS5JUVQ0NjE5OTg0MS5JUV9DRFNfTUlELjIwLzA3LzI1AQAAAOswBgADAAAAAAAm+xhcYObeCK2eK2pg5t4II0NJUS5JUVQ0NjIwNzg3Mi5JUV9DRFNfTUlELjE4LzA3LzI2AQAAAFgNCgACAAAABzQwLjgwMzIAwNAYXGDm3ggteyFqYObeCCRDSVEuSVFUNjQ0NzAxNzk3LklRX0NEU19NSUQuMTYvMDcvMjYBAAAAUz99AQIAAAAHMTAuMzQxNABkyhhcYObeCIABI2pg5t4II0NJUS5JUVQ0NjIxMzQ3Mi5JUV9DRFNfTUlELjA4LzA3LzI2AQAAALlaOAACAAAABzE0LjgxMjUAwNAYXGDm3ggH6yVqYObeCCNDSVEuSVFUNDYyMDczMDguSVFfQ0RTX01JRC4wNy8wNy8yNgEAAAA5iXoBAgAAAAQxNC41AKOiGFxg5t4IOG8mamDm3ggjQ0lRLklRVDQ2MjA3Nzg5LklRX0NEU19NSUQuMDkvMDcvMjYBAAAAKlijAQIAAAAHMjYuNTgzMwDA0BhcYObeCDXqJGpg5t4II0NJUS5JUVQ2MDM4ODA1Ny5JUV9DRFNfTUlELjA2LzA3LzI2AQAAAN/JfQEDAAAAAADA0BhcYObeCJyoKGpg5t4II0NJUS5JUVQ0NjIwNzU3MS5JUV9DRFNfTUlELjA3LzA3LzI2AQAAAG3vNQACAAAABzI4LjY4MTkAo6IYXGDm3gjIlyZqYObeCCRDSVEuSVFUMzEzMzE1NDI5LklRX0NEU19NSUQuMjAvMDQvMjYBAAAAOecFAAIAAAAHNjEuMDAwNQAoJ8dbYObeCBLGLGpg5t4I</t>
  </si>
  <si>
    <t>I0NJUS5JUVQ0NjIyNTcxNS5JUV9DRFNfTUlELjIwLzA3LzI1AQAAALflBAACAAAABDM2LjEAJvsYXGDm3giFxStqYObeCCNDSVEuSVFUNzk2Mzk5NTMuSVFfQ0RTX01JRC4xNS8wNy8yNgEAAAA0m1YBAgAAAAcyNC45NTQ4AMDQGFxg5t4I6hIkamDm3ggjQ0lRLklRVDUxMDIzMjYwLklRX0NEU19NSUQuMTIvMDcvMjYBAAAAsRF/AQIAAAAHMTMuOTQ1OQDA0BhcYObeCCWXJ2pg5t4IJENJUS5JUVQzMTMzMTczNDQuSVFfQ0RTX01JRC4xMi8wNy8yNgEAAADxrAEAAgAAAAc2MC41MDAzACgnx1tg5t4IgTMoamDm3ggkQ0lRLklRVDI2MzIxMzEzMi5JUV9DRFNfTUlELjA5LzA3LzI2AQAAAOGaCAACAAAABzU1LjMzMzMAJvsYXGDm3ghUOCVqYObeCCNDSVEuSVFUNDYyMjIyOTIuSVFfQ0RTX01JRC4yMC8wNC8yNgEAAADRkZsBAgAAAAg2NzUuNDMwMQDA0BhcYObeCCMpLGpg5t4II0NJUS5JUVQ0NjI2MjM3OC5JUV9DRFNfTUlELjIwLzA3LzI1AQAAAEDSiQECAAAABDE2LjUAwNAYXGDm3ghMKStqYObeCCNDSVEuSVFUNjIyNzAxMDcuSVFfQ0RTX01JRC4yMC8wNy8yNQEAAAAVWQAAAgAAAAczMS4zMzMzACb7GFxg5t4IhcUramDm3ggjQ0lRLklRVDQ2MjEwMDMyLklRX0NEU19NSUQuMDYvMDcvMjYBAAAAj1WjAQIAAAAHMzcuMDg3NQDA0BhcYObeCJyoKGpg5t4II0NJUS5JUVQ0NjIxOTkyMi5JUV9DRFNfTUlE</t>
  </si>
  <si>
    <t>LjE4LzA3LzI2AQAAANZHOQECAAAABDcuMjUAwNAYXGDm3ghnUyFqYObeCCRDSVEuSVFUMzEzMzEwMTg0LklRX0NEU19NSUQuMTAvMDcvMjYBAAAAYEQ+AAIAAAAHMTEuMjI3OQCjohhcYObeCBLGLGpg5t4II0NJUS5JUVQ3OTY0MDAyNC5JUV9DRFNfTUlELjA3LzA3LzI2AQAAADWPmwECAAAABjcuOTM3NQBkyhhcYObeCMiXJmpg5t4II0NJUS5JUVQ0NjIxNTExMS5JUV9DRFNfTUlELjEyLzA3LzI2AQAAAKBLsgECAAAABzM2LjY5NTQAwNAYXGDm3ggllydqYObeCCNDSVEuSVFUNDYxOTU0OTEuSVFfQ0RTX01JRC4yMC8wNy8yNQEAAABpSgAAAgAAAAc1NC4xNjY1AMDQGFxg5t4IwXYramDm3ggkQ0lRLklRVDI2MzIxMzEzMi5JUV9DRFNfTUlELjA2LzA3LzI2AQAAAOGaCAACAAAABzU0LjczOTMAJvsYXGDm3ghhCilqYObeCCNDSVEuSVFUNDYyNjIzNzguSVFfQ0RTX01JRC4xNy8wNy8yNgEAAABA0okBAgAAAAYxOC4zNzUAwNAYXGDm3gjqFyJqYObeCCNDSVEuSVFUNjIyNzAxMDcuSVFfQ0RTX01JRC4xNy8wNy8yNgEAAAAVWQAAAgAAAAc0MS4zMTI1ACb7GFxg5t4IYZ4iamDm3ggjQ0lRLklRVDQ2MjI1NzE1LklRX0NEU19NSUQuMTYvMDcvMjYBAAAAt+UEAAIAAAAHNDMuMzkyMQAm+xhcYObeCLudI2pg5t4II0NJUS5JUVQ0NjIwNzc4OS5JUV9DRFNfTUlELjE1LzA3LzI2AQAAACpYowECAAAABjI2LjQx</t>
  </si>
  <si>
    <t>MQDA0BhcYObeCOoSJGpg5t4IJENJUS5JUVQzMTMzMTQ5NzYuSVFfQ0RTX01JRC4xMC8wNy8yNgEAAABtSgAAAgAAAAQ1Ni41ACgnx1tg5t4IqZ0tamDm3ggjQ0lRLklRVDQ2MjAzNzE0LklRX0NEU19NSUQuMTIvMDcvMjYBAAAAXwU1AAIAAAAHMzAuNzAzOQCjohhcYObeCAY0J2pg5t4II0NJUS5JUVQ1MTAyMzQ4MC5JUV9DRFNfTUlELjExLzA3LzI2AQAAAMJF8QECAAAABjQuNDk5NgDA0BhcYObeCFBSKmpg5t4IJENJUS5JUVQzMTMzMDU4NzkuSVFfQ0RTX01JRC4wOS8wNy8yNgEAAACE1twBAwAAAAAAwNAYXGDm3ghEESVqYObeCCNDSVEuSVFUNDYyMDA0MTIuSVFfQ0RTX01JRC4wOS8wNy8yNgEAAABjQwYAAgAAAAc0Ni43NDU4ACb7GFxg5t4IVDglamDm3ggjQ0lRLklRVDQ2MjI2MTMyLklRX0NEU19NSUQuMjAvMDQvMjYBAAAA3VkAAAIAAAAHNDMuNTE2MwAm+xhcYObeCP13LGpg5t4II0NJUS5JUVQ2MjI3MDEwNi5JUV9DRFNfTUlELjIwLzA3LzI1AQAAAK13gwACAAAABzc4LjY3MzUArALHW2Dm3giFxStqYObeCCNDSVEuSVFUNDYyMDA0MTIuSVFfQ0RTX01JRC4wNi8wNy8yNgEAAABjQwYAAgAAAAY0Ny4zNzUAJvsYXGDm3ghhCilqYObeCCNDSVEuSVFUNDYyMjQ3NDAuSVFfQ0RTX01JRC4xOC8wNy8yNgEAAADTcggAAgAAAAczNS4yMzM3AJP4GFxg5t4IBqIhamDm3ggjQ0lRLklRVDYwMzg4MDU3</t>
  </si>
  <si>
    <t>LklRX0NEU19NSUQuMjAvMDQvMjYBAAAA38l9AQMAAAAAAMDQGFxg5t4I+VAsamDm3ggjQ0lRLklRVDQ2MjAzNzE0LklRX0NEU19NSUQuMTcvMDcvMjYBAAAAXwU1AAIAAAAFMzEuNDUAo6IYXGDm3ghO8SFqYObeCCNDSVEuSVFUNzk2Mzk5NTMuSVFfQ0RTX01JRC4xNy8wNy8yNgEAAAA0m1YBAgAAAAcyNC45NDI4AMDQGFxg5t4IUT4iamDm3ggkQ0lRLklRVDUyODkzNjgxMi5JUV9DRFNfTUlELjE3LzA3LzI2AQAAAGxbBgACAAAABzQ3Ljk1OTQAJvsYXGDm3gjbmiJqYObeCCRDSVEuSVFUMzEzMzA1ODc5LklRX0NEU19NSUQuMTgvMDcvMjYBAAAAhNbcAQMAAAAAAMDQGFxg5t4ILXshamDm3ggjQ0lRLklRVDQ2MjAwNDEyLklRX0NEU19NSUQuMTgvMDcvMjYBAAAAY0MGAAIAAAAHNDUuODMzMwAm+xhcYObeCBHJIWpg5t4II0NJUS5JUVQ0NjIwMzMzMi5JUV9DRFNfTUlELjE2LzA3LzI2AQAAAF8eNwACAAAABzExLjM5MzgAo6IYXGDm3gjl2SJqYObeCCNDSVEuSVFUNDYyMTUxMTEuSVFfQ0RTX01JRC4xNi8wNy8yNgEAAACgS7IBAgAAAAczNy4wNzI5AMDQGFxg5t4IVikjamDm3ggjQ0lRLklRVDQ2MjI2MTMyLklRX0NEU19NSUQuMTYvMDcvMjYBAAAA3VkAAAIAAAAHNDMuMTQyMgAm+xhcYObeCLB2I2pg5t4IJENJUS5JUVQzMTMzMTM1MjQuSVFfQ0RTX01JRC4xNi8wNy8yNgEAAADvVQ0AAgAAAAc2MC4w</t>
  </si>
  <si>
    <t>NjgyACgnx1tg5t4IzMQjamDm3ggjQ0lRLklRVDc5NjM5OTEzLklRX0NEU19NSUQuMTUvMDcvMjYBAAAAIGMcAgIAAAAGOC4wODMzAMDQGFxg5t4I2OsjamDm3ggjQ0lRLklRVDQ2MjA3ODcyLklRX0NEU19NSUQuMTUvMDcvMjYBAAAAWA0KAAIAAAAHNDAuNjU1MwDA0BhcYObeCPk5JGpg5t4II0NJUS5JUVQ0NjIwMDMxNy5JUV9DRFNfTUlELjE1LzA3LzI2AQAAAP5UDQACAAAABzY0LjA3NDkArALHW2Dm3gi5dCRqYObeCCRDSVEuSVFUNjQ0NzAxNzk3LklRX0NEU19NSUQuMTAvMDcvMjYBAAAAUz99AQIAAAAHMTAuNTM3OABkyhhcYObeCCLtLGpg5t4II0NJUS5JUVQ0NjIxNjk4Ni5JUV9DRFNfTUlELjEwLzA3LzI2AQAAAM5EOAEDAAAAAADA0BhcYObeCK86LWpg5t4IJENJUS5JUVQyNTQ5NTUyMzMuSVFfQ0RTX01JRC4xMC8wNy8yNgEAAAA5VgoAAgAAAAc0Mi43MDE0ACb7GFxg5t4IvIgtamDm3ggjQ0lRLklRVDQ2MTk2MjI1LklRX0NEU19NSUQuMDgvMDcvMjYBAAAAvlWjAQIAAAAFMTcuNDUAo6IYXGDm3gh5hiVqYObeCCNDSVEuSVFUNTEwMjMyNjAuSVFfQ0RTX01JRC4wOC8wNy8yNgEAAACxEX8BAgAAAAYxNC4xMjUAwNAYXGDm3ghNryVqYObeCCNDSVEuSVFUNDYyMjQ3NDAuSVFfQ0RTX01JRC4wOC8wNy8yNgEAAADTcggAAgAAAAUzMy45NQAm+xhcYObeCLESJmpg5t4IJENJUS5JUVQzMTMzMTcz</t>
  </si>
  <si>
    <t>NDQuSVFfQ0RTX01JRC4wOC8wNy8yNgEAAADxrAEAAgAAAAc2MC4zMjUzACgnx1tg5t4IvmkmamDm3ggjQ0lRLklRVDQ2MTk0OTk1LklRX0NEU19NSUQuMDcvMDcvMjYBAAAAbhAxAAIAAAAEMTAuOQCjohhcYObeCDhvJmpg5t4II0NJUS5JUVQ0NjIyMjI5Mi5JUV9DRFNfTUlELjA3LzA3LzI2AQAAANGRmwECAAAACDc1OC44NDUzAMDQGFxg5t4Ixr4mamDm3ggjQ0lRLklRVDQ2MjI1MDA2LklRX0NEU19NSUQuMDcvMDcvMjYBAAAA+FUNAAIAAAAGNDAuOTE3AJP4GFxg5t4I1uUmamDm3ggjQ0lRLklRVDQ2MjIwMzI5LklRX0NEU19NSUQuMDcvMDcvMjYBAAAA21sAAAIAAAACNTYAKCfHW2Dm3ggGNCdqYObeCCNDSVEuSVFUNDYyNjIzNzguSVFfQ0RTX01JRC4xMi8wNy8yNgEAAABA0okBAgAAAAcxNy44MzMzAMDQGFxg5t4Ilm8namDm3ggjQ0lRLklRVDQ2MTk3Njk0LklRX0NEU19NSUQuMTIvMDcvMjYBAAAAB/oFAAIAAAAHNTEuNjU2MwDA0BhcYObeCC++J2pg5t4II0NJUS5JUVQ2MjI3MDEwNy5JUV9DRFNfTUlELjEyLzA3LzI2AQAAABVZAAACAAAABzQxLjUyMjYAJvsYXGDm3ggYDShqYObeCCNDSVEuSVFUNDYyMDczMDguSVFfQ0RTX01JRC4xMS8wNy8yNgEAAAA5iXoBAgAAAAcxNC4zMzMzAKOiGFxg5t4IwCkqamDm3ggjQ0lRLklRVDQ2MjEwMDMyLklRX0NEU19NSUQuMTEvMDcvMjYBAAAAj1WjAQIA</t>
  </si>
  <si>
    <t>AAAHMzYuNTU3MgDA0BhcYObeCCKMKmpg5t4II0NJUS5JUVQ0NjIyNTM3NC5JUV9DRFNfTUlELjExLzA3LzI2AQAAALXWBQACAAAABzM4LjAzNDkAJvsYXGDm3gh32ipqYObeCCNDSVEuSVFUNDk3NTExOTYuSVFfQ0RTX01JRC4wOS8wNy8yNgEAAADNmb0AAgAAAAI0MgCjohhcYObeCPSbJGpg5t4IJENJUS5JUVQzMjM2ODAxMzAuSVFfQ0RTX01JRC4wOS8wNy8yNgEAAABx4QIAAgAAAAc1Mi40MTQ4AJP4GFxg5t4IVDglamDm3ggkQ0lRLklRVDMxMzMxNTQyOS5JUV9DRFNfTUlELjA5LzA3LzI2AQAAADnnBQACAAAABzYyLjEwMjEAKCfHW2Dm3ghpXyVqYObeCCNDSVEuSVFUNDYyMDY3NzkuSVFfQ0RTX01JRC4yMC8wNC8yNgEAAAD87zYAAgAAAAcxNi45NTUyAMDQGFxg5t4IIyksamDm3ggjQ0lRLklRVDQ2MjI1NzE1LklRX0NEU19NSUQuMjAvMDQvMjYBAAAAt+UEAAIAAAAHNDIuODI3MgAm+xhcYObeCAWfLGpg5t4II0NJUS5JUVQ0NjIwNDg4NC5JUV9DRFNfTUlELjIwLzA3LzI1AQAAAIFRwAECAAAABzQ2LjIwNzUAo6IYXGDm3ghMKStqYObeCCNDSVEuSVFUNDYyMDc3ODkuSVFfQ0RTX01JRC4yMC8wNy8yNQEAAAAqWKMBAgAAAAYyMS4xMDEAwNAYXGDm3gjBditqYObeCCRDSVEuSVFUMjg2MDk2MTMxLklRX0NEU19NSUQuMjAvMDcvMjUBAAAAO/EEAAIAAAAHNjIuNjc1MgAm+xhcYObeCK2eK2pg5t4I</t>
  </si>
  <si>
    <t>I0NJUS5JUVQ0NjIxOTkyMi5JUV9DRFNfTUlELjA2LzA3LzI2AQAAANZHOQECAAAABTYuODQ5AMDQGFxg5t4InKgoamDm3ggjQ0lRLklRVDQ2MjIzNjQ2LklRX0NEU19NSUQuMDYvMDcvMjYBAAAAG3gEAAIAAAAHNDcuODIyNADA0BhcYObeCKjPKGpg5t4IJENJUS5JUVQzMTMzMTQ5NzYuSVFfQ0RTX01JRC4wNi8wNy8yNgEAAABtSgAAAgAAAAI1NgAoJ8dbYObeCJUxKWpg5t4II0NJUS5JUVQ0NjQ3MDg3Ny5JUV9DRFNfTUlELjIwLzA0LzI2AQAAAEI3BwACAAAABzU4LjU5ODYAwNAYXGDm3gj9dyxqYObeCCNDSVEuSVFUNDYyMDg2MzQuSVFfQ0RTX01JRC4yMC8wNy8yNQEAAAADH8IAAgAAAAcyMy43NzM4AMDQGFxg5t4IwXYramDm3ggjQ0lRLklRVDQ2MjI1MDgzLklRX0NEU19NSUQuMjAvMDcvMjUBAAAAVkQGAAIAAAAHNDMuNDE3MQAm+xhcYObeCIXFK2pg5t4II0NJUS5JUVQ3OTYzOTk1My5JUV9DRFNfTUlELjA2LzA3LzI2AQAAADSbVgECAAAABzI0Ljg1MjUAwNAYXGDm3gicqChqYObeCCNDSVEuSVFUNDYyMDAzMTcuSVFfQ0RTX01JRC4xOC8wNy8yNgEAAAD+VA0AAgAAAAc2My42NTMzAKwCx1tg5t4IEckhamDm3ggkQ0lRLklRVDI1NDk1NTIzMy5JUV9DRFNfTUlELjE2LzA3LzI2AQAAADlWCgACAAAAAjQzACb7GFxg5t4Iu50jamDm3ggjQ0lRLklRVDQ2MjI0NzQwLklRX0NEU19NSUQuMTUvMDcv</t>
  </si>
  <si>
    <t>MjYBAAAA03IIAAIAAAAHMzQuNDM0NgCT+BhcYObeCPk5JGpg5t4II0NJUS5JUVQ0NjIwNzU3MS5JUV9DRFNfTUlELjA4LzA3LzI2AQAAAG3vNQACAAAABzI5LjQyODkAo6IYXGDm3ghNryVqYObeCCNDSVEuSVFUNDYyMjUzNzQuSVFfQ0RTX01JRC4wNy8wNy8yNgEAAAC11gUAAgAAAAczOC4wMDIxACb7GFxg5t4Ijg0namDm3ggjQ0lRLklRVDQ2MjEwNTYwLklRX0NEU19NSUQuMjAvMDQvMjYBAAAA9ho3AAIAAAAGODYuNzc4AKOiGFxg5t4IjAEsamDm3ggkQ0lRLklRVDMxMzMxNDk3Ni5JUV9DRFNfTUlELjIwLzA0LzI2AQAAAG1KAAACAAAABzU3LjcwNjMAKCfHW2Dm3ggSxixqYObeCCNDSVEuSVFUNDYyMjIyOTIuSVFfQ0RTX01JRC4xMi8wNy8yNgEAAADRkZsBAgAAAAg3NTkuODU1NwDA0BhcYObeCCWXJ2pg5t4II0NJUS5JUVQ0NjI2MjM3OC5JUV9DRFNfTUlELjExLzA3LzI2AQAAAEDSiQECAAAABzE3LjgzMzMAwNAYXGDm3ghQUipqYObeCCNDSVEuSVFUNjIyNzAxMDcuSVFfQ0RTX01JRC4xMS8wNy8yNgEAAAAVWQAAAgAAAAc0MS41MjI2ACb7GFxg5t4Id9oqamDm3ggjQ0lRLklRVDQ2MjA3MzA4LklRX0NEU19NSUQuMDkvMDcvMjYBAAAAOYl6AQIAAAAHMTQuMzMzMwCjohhcYObeCCbDJGpg5t4II0NJUS5JUVQ0NjIyNTM3NC5JUV9DRFNfTUlELjA5LzA3LzI2AQAAALXWBQACAAAABzM4LjI4NTQA</t>
  </si>
  <si>
    <t>JvsYXGDm3ghUOCVqYObeCCNDSVEuSVFUNjAzODk1MTYuSVFfQ0RTX01JRC4yMC8wNC8yNgEAAACl8MMBAgAAAAY3Ljg5MDUAwNAYXGDm3ggjKSxqYObeCCNDSVEuSVFUNDYxOTcxMzguSVFfQ0RTX01JRC4xMC8wNy8yNgEAAADulDgBAgAAAAgxMjMuNjYwNwCjohhcYObeCBLGLGpg5t4II0NJUS5JUVQ2MjI3MDEwNi5JUV9DRFNfTUlELjEwLzA3LzI2AQAAAK13gwACAAAABzc0Ljg4NzkArALHW2Dm3gipnS1qYObeCCNDSVEuSVFUNDYyMjQ3NDAuSVFfQ0RTX01JRC4xMi8wNy8yNgEAAADTcggAAgAAAAczMy42MDY2ACb7GFxg5t4I++UnamDm3ggjQ0lRLklRVDQ2MjAwMjc2LklRX0NEU19NSUQuMTEvMDcvMjYBAAAAlnd8AQIAAAAHMjguMDI5MgDA0BhcYObeCFBSKmpg5t4II0NJUS5JUVQ0NjE5NzY5NC5JUV9DRFNfTUlELjIwLzA3LzI1AQAAAAf6BQACAAAABTU0LjI1AMDQGFxg5t4IwXYramDm3ggjQ0lRLklRVDQ2MjA2Nzc5LklRX0NEU19NSUQuMTcvMDcvMjYBAAAA/O82AAIAAAAEMTYuNQC/zhhcYObeCOoXImpg5t4II0NJUS5JUVQ0NjIwNDMwMC5JUV9DRFNfTUlELjE1LzA3LzI2AQAAAPYlfQACAAAABjcuMDE3MQCjohhcYObeCMzEI2pg5t4II0NJUS5JUVQ0NjQ3MDg3Ny5JUV9DRFNfTUlELjEwLzA3LzI2AQAAAEI3BwACAAAABzU1Ljk3NDkAwNAYXGDm3gi1YS1qYObeCCNDSVEuSVFUNDYyMTM0</t>
  </si>
  <si>
    <t>NzIuSVFfQ0RTX01JRC4wNi8wNy8yNgEAAAC5WjgAAgAAAAYxNC45NzkAwNAYXGDm3giozyhqYObeCCNDSVEuSVFUNDYyMDY3NzkuSVFfQ0RTX01JRC4xNi8wNy8yNgEAAAD87zYAAgAAAAQxNi41AL/OGFxg5t4IgAEjamDm3ggkQ0lRLklRVDI4NjA5NjEzMS5JUV9DRFNfTUlELjE1LzA3LzI2AQAAADvxBAACAAAABzYwLjY2NDQAJvsYXGDm3ggIYSRqYObeCCNDSVEuSVFUNDYyMjA4MDMuSVFfQ0RTX01JRC4wOC8wNy8yNgEAAADWyTYAAgAAAAc0MS43MjU3AMDQGFxg5t4IB+slamDm3ggjQ0lRLklRVDQ2MjI1MDgzLklRX0NEU19NSUQuMDcvMDcvMjYBAAAAVkQGAAIAAAAEMzYuOQAm+xhcYObeCI4NJ2pg5t4II0NJUS5JUVQ0NjE5NzEzOC5JUV9DRFNfTUlELjExLzA3LzI2AQAAAO6UOAECAAAACDEyMy42NjA3AKOiGFxg5t4IwCkqamDm3ggjQ0lRLklRVDYwMzg4MDU3LklRX0NEU19NSUQuMTIvMDcvMjYBAAAA38l9AQMAAAAAAMDQGFxg5t4IJZcnamDm3ggjQ0lRLklRVDQ2MjE0OTU0LklRX0NEU19NSUQuMDkvMDcvMjYBAAAAOj05AQIAAAAEMTQuMgBkyhhcYObeCCbDJGpg5t4II0NJUS5JUVQ0NjE5NTQ5MS5JUV9DRFNfTUlELjE2LzA3LzI2AQAAAGlKAAACAAAABzU0LjkzMzQAwNAYXGDm3gitTyNqYObeCCNDSVEuSVFUNDYyMjIyOTIuSVFfQ0RTX01JRC4xMC8wNy8yNgEAAADRkZsBAgAAAAg3NTku</t>
  </si>
  <si>
    <t>ODU1NwDA0BhcYObeCNgTLWpg5t4IJENJUS5JUVQyODYwOTYxMzEuSVFfQ0RTX01JRC4xMi8wNy8yNgEAAAA78QQAAgAAAAc2MC4xODk0ACb7GFxg5t4I++UnamDm3ggjQ0lRLklRVDQ2MjA0MzAwLklRX0NEU19NSUQuMTcvMDcvMjYBAAAA9iV9AAIAAAAGNy4xMDA5AKOiGFxg5t4ITvEhamDm3ggjQ0lRLklRVDYwMzg4MDU3LklRX0NEU19NSUQuMTcvMDcvMjYBAAAA38l9AQMAAAAAAMDQGFxg5t4IUT4iamDm3ggjQ0lRLklRVDQ2MTk5ODQxLklRX0NEU19NSUQuMTcvMDcvMjYBAAAA6zAGAAMAAAAAACb7GFxg5t4IYZ4iamDm3ggjQ0lRLklRVDQ2MjA4NjM0LklRX0NEU19NSUQuMTgvMDcvMjYBAAAAAx/CAAIAAAAGMjIuODI1AMDQGFxg5t4ILXshamDm3ggjQ0lRLklRVDQ2MjI1MDgzLklRX0NEU19NSUQuMTgvMDcvMjYBAAAAVkQGAAIAAAAEMzYuNQAm+xhcYObeCBHJIWpg5t4II0NJUS5JUVQ0NjIwMzcxNC5JUV9DRFNfTUlELjE2LzA3LzI2AQAAAF8FNQACAAAABTMxLjI1AKOiGFxg5t4I5dkiamDm3ggjQ0lRLklRVDc5NjM5OTUzLklRX0NEU19NSUQuMTYvMDcvMjYBAAAANJtWAQIAAAAHMjQuOTkwNgDA0BhcYObeCFYpI2pg5t4IJENJUS5JUVQ1Mjg5MzY4MTIuSVFfQ0RTX01JRC4xNi8wNy8yNgEAAABsWwYAAgAAAAc0Ny4yODI3ACb7GFxg5t4IsHYjamDm3ggjQ0lRLklRVDQ2MTk3MTM4LklRX0NE</t>
  </si>
  <si>
    <t>U19NSUQuMTUvMDcvMjYBAAAA7pQ4AQIAAAAIMTIyLjY2NzgAo6IYXGDm3gjMxCNqYObeCCNDSVEuSVFUNTEwMjM0ODAuSVFfQ0RTX01JRC4xNS8wNy8yNgEAAADCRfEBAgAAAAY0LjUwODIAwNAYXGDm3gjY6yNqYObeCCNDSVEuSVFUNDYyMDQ5NTcuSVFfQ0RTX01JRC4xNS8wNy8yNgEAAAAhFQYAAgAAAAc1NC42ODc0AMDQGFxg5t4I+TkkamDm3ggjQ0lRLklRVDYyMjcwMTA2LklRX0NEU19NSUQuMTUvMDcvMjYBAAAArXeDAAIAAAAHNzUuMjEwNwCsAsdbYObeCLl0JGpg5t4II0NJUS5JUVQ3OTY0MDAyNC5JUV9DRFNfTUlELjEwLzA3LzI2AQAAADWPmwECAAAABjcuNjcxOQBkyhhcYObeCCLtLGpg5t4IJENJUS5JUVQzMTMzMDU4NzkuSVFfQ0RTX01JRC4xMC8wNy8yNgEAAACE1twBAwAAAAAAwNAYXGDm3givOi1qYObeCCNDSVEuSVFUNDYyMDA0MTIuSVFfQ0RTX01JRC4xMC8wNy8yNgEAAABjQwYAAgAAAAc0NS44NTYxACb7GFxg5t4IqZ0tamDm3ggjQ0lRLklRVDQ2MjAzMzMyLklRX0NEU19NSUQuMDgvMDcvMjYBAAAAXx43AAIAAAAHMTEuMDYyNQCjohhcYObeCHmGJWpg5t4II0NJUS5JUVQ0NjIxNTExMS5JUV9DRFNfTUlELjA4LzA3LzI2AQAAAKBLsgECAAAABzM3LjI2MDUAwNAYXGDm3ghNryVqYObeCCNDSVEuSVFUNDYyMjYxMzIuSVFfQ0RTX01JRC4wOC8wNy8yNgEAAADdWQAAAgAAAAc0Mi4w</t>
  </si>
  <si>
    <t>NDQxACb7GFxg5t4IsRImamDm3ggkQ0lRLklRVDMxMzMxMzUyNC5JUV9DRFNfTUlELjA4LzA3LzI2AQAAAO9VDQACAAAABjYwLjQ2NQAoJ8dbYObeCDhvJmpg5t4II0NJUS5JUVQ0NjE5NjIyNS5JUV9DRFNfTUlELjA3LzA3LzI2AQAAAL5VowECAAAABDE3LjQAo6IYXGDm3gg4byZqYObeCCNDSVEuSVFUNTEwMjMyNjAuSVFfQ0RTX01JRC4wNy8wNy8yNgEAAACxEX8BAgAAAAYxMy42MjUAwNAYXGDm3gjGviZqYObeCCNDSVEuSVFUNDYyMjQ3NDAuSVFfQ0RTX01JRC4wNy8wNy8yNgEAAADTcggAAgAAAAQzMy4yACb7GFxg5t4I1uUmamDm3ggkQ0lRLklRVDMxMzMxNzM0NC5JUV9DRFNfTUlELjA3LzA3LzI2AQAAAPGsAQACAAAABzU5Ljk3MzIAKCfHW2Dm3ggGNCdqYObeCCNDSVEuSVFUNDYyMDAyNzYuSVFfQ0RTX01JRC4xMi8wNy8yNgEAAACWd3wBAgAAAAcyOC4wMjkyAMDQGFxg5t4Ilm8namDm3ggjQ0lRLklRVDQ2MTk1NDkxLklRX0NEU19NSUQuMTIvMDcvMjYBAAAAaUoAAAIAAAAHNTQuMjk5NgDA0BhcYObeCC++J2pg5t4II0NJUS5JUVQ3OTYzNDkwMS5JUV9DRFNfTUlELjEyLzA3LzI2AQAAAJwGEAACAAAABzQxLjI5MzEAJvsYXGDm3ggYDShqYObeCCNDSVEuSVFUNDYyMDc1NzEuSVFfQ0RTX01JRC4xMS8wNy8yNgEAAABt7zUAAgAAAAYyOS4zMDUAo6IYXGDm3ghQUipqYObeCCNDSVEuSVFUNDYy</t>
  </si>
  <si>
    <t>MTM0NzIuSVFfQ0RTX01JRC4xMS8wNy8yNgEAAAC5WjgAAgAAAAcxNS4wMDA1AMDQGFxg5t4IIowqamDm3ggkQ0lRLklRVDI2MzIxMzEzMi5JUV9DRFNfTUlELjExLzA3LzI2AQAAAOGaCAACAAAABzU0Ljk5NDQAJvsYXGDm3gh32ipqYObeCCNDSVEuSVFUNDYxOTQ5OTUuSVFfQ0RTX01JRC4wOS8wNy8yNgEAAABuEDEAAgAAAAYxMC45OTYAo6IYXGDm3gj0myRqYObeCCNDSVEuSVFUNDYyMjIyOTIuSVFfQ0RTX01JRC4wOS8wNy8yNgEAAADRkZsBAgAAAAg3NjAuMzg1MgDA0BhcYObeCDXqJGpg5t4II0NJUS5JUVQ0NjIyNTAwNi5JUV9DRFNfTUlELjA5LzA3LzI2AQAAAPhVDQACAAAABzQxLjI3NjcAk/gYXGDm3ghUOCVqYObeCCNDSVEuSVFUNDYyMjAzMjkuSVFfQ0RTX01JRC4wOS8wNy8yNgEAAADbWwAAAgAAAAQ1Ni41ACgnx1tg5t4IaV8lamDm3ggjQ0lRLklRVDQ2MjYyMzc4LklRX0NEU19NSUQuMjAvMDQvMjYBAAAAQNKJAQIAAAAEMTguNQDA0BhcYObeCCMpLGpg5t4II0NJUS5JUVQ0NjE5NzY5NC5JUV9DRFNfTUlELjIwLzA0LzI2AQAAAAf6BQACAAAABzU3LjQ0NDMAwNAYXGDm3gj9dyxqYObeCCNDSVEuSVFUNjIyNzAxMDcuSVFfQ0RTX01JRC4yMC8wNC8yNgEAAAAVWQAAAgAAAAc0MS4zMzI3ACb7GFxg5t4IBZ8samDm3ggjQ0lRLklRVDQ2MjA3MzA4LklRX0NEU19NSUQuMjAvMDcvMjUBAAAA</t>
  </si>
  <si>
    <t>OYl6AQIAAAAEMTguNQCjohhcYObeCEwpK2pg5t4II0NJUS5JUVQ0NjIxMDAzMi5JUV9DRFNfTUlELjIwLzA3LzI1AQAAAI9VowECAAAABzQxLjI4NzYAwNAYXGDm3gjBditqYObeCCNDSVEuSVFUNDYyMjUzNzQuSVFfQ0RTX01JRC4yMC8wNy8yNQEAAAC11gUAAgAAAAc0OS4wNDE2ACb7GFxg5t4IrZ4ramDm3ggjQ0lRLklRVDYwMzg5NTE2LklRX0NEU19NSUQuMDYvMDcvMjYBAAAApfDDAQIAAAAGNy4yNDQyAMDQGFxg5t4InKgoamDm3ggkQ0lRLklRVDMyMzY4MDEzMC5JUV9DRFNfTUlELjA2LzA3LzI2AQAAAHHhAgACAAAABjUyLjY4NgCT+BhcYObeCKjPKGpg5t4IJENJUS5JUVQzMTMzMTU0MjkuSVFfQ0RTX01JRC4wNi8wNy8yNgEAAAA55wUAAgAAAAY2MS44NjMAKCfHW2Dm3giVMSlqYObeCCNDSVEuSVFUNzk2Mzk5MTMuSVFfQ0RTX01JRC4xMi8wNy8yNgEAAAAgYxwCAgAAAAY3LjkxNjMAwNAYXGDm3giWbydqYObeCCRDSVEuSVFUNjQ0NzAxNzk3LklRX0NEU19NSUQuMTEvMDcvMjYBAAAAUz99AQIAAAAHMTAuNTM3OABkyhhcYObeCFBSKmpg5t4II0NJUS5JUVQ0NjIxNjk4Ni5JUV9DRFNfTUlELjExLzA3LzI2AQAAAM5EOAEDAAAAAADA0BhcYObeCCKMKmpg5t4II0NJUS5JUVQ0NjE5NjIyNS5JUV9DRFNfTUlELjA5LzA3LzI2AQAAAL5VowECAAAABTE3LjQ1AKOiGFxg5t4I9JskamDm3ggjQ0lR</t>
  </si>
  <si>
    <t>LklRVDQ2MjI0NzQwLklRX0NEU19NSUQuMDkvMDcvMjYBAAAA03IIAAIAAAAGMzMuODE1ACb7GFxg5t4IVDglamDm3ggjQ0lRLklRVDQ2MjAwMjc2LklRX0NEU19NSUQuMjAvMDQvMjYBAAAAlnd8AQIAAAAHMjkuMTI2NQDA0BhcYObeCCMpLGpg5t4II0NJUS5JUVQ0NjE5NTQ5MS5JUV9DRFNfTUlELjIwLzA0LzI2AQAAAGlKAAACAAAABzU4LjY5NzcAwNAYXGDm3gj9dyxqYObeCCNDSVEuSVFUNDYyMDc1NzEuSVFfQ0RTX01JRC4yMC8wNy8yNQEAAABt7zUAAgAAAAQ0My4xAKOiGFxg5t4ITCkramDm3ggkQ0lRLklRVDI2MzIxMzEzMi5JUV9DRFNfTUlELjIwLzA3LzI1AQAAAOGaCAACAAAABzU2LjAyMjgAJvsYXGDm3gitnitqYObeCCNDSVEuSVFUNDYyMjIyOTIuSVFfQ0RTX01JRC4wNi8wNy8yNgEAAADRkZsBAgAAAAg3NTkuMzA1NQDA0BhcYObeCJyoKGpg5t4II0NJUS5JUVQ0NjIyMDMyOS5JUV9DRFNfTUlELjA2LzA3LzI2AQAAANtbAAACAAAAAjU2ACgnx1tg5t4IlTEpamDm3ggjQ0lRLklRVDUxMDIzNDgwLklRX0NEU19NSUQuMTIvMDcvMjYBAAAAwkXxAQIAAAAGNC40OTk2AMDQGFxg5t4IJZcnamDm3ggjQ0lRLklRVDQ2MjA0MzAwLklRX0NEU19NSUQuMDcvMDcvMjYBAAAA9iV9AAIAAAAFNy4xMjYAo6IYXGDm3gg4byZqYObeCCNDSVEuSVFUNjAzODgwNTcuSVFfQ0RTX01JRC4wNy8wNy8yNgEA</t>
  </si>
  <si>
    <t>AADfyX0BAwAAAAAAwNAYXGDm3gjGviZqYObeCCNDSVEuSVFUNDYxOTk4NDEuSVFfQ0RTX01JRC4wNy8wNy8yNgEAAADrMAYAAwAAAAAAJvsYXGDm3giODSdqYObeCCRDSVEuSVFUMzEzMzEwMTg0LklRX0NEU19NSUQuMTIvMDcvMjYBAAAAYEQ+AAIAAAAHMTEuMjI3OQCjohhcYObeCAY0J2pg5t4II0NJUS5JUVQ0NjIxNDg3OS5JUV9DRFNfTUlELjEyLzA3LzI2AQAAAPUaNwACAAAABzUwLjU0NjIAwNAYXGDm3ggllydqYObeCCRDSVEuSVFUMzEzMzEwODU0LklRX0NEU19NSUQuMTIvMDcvMjYBAAAAr1QNAAIAAAAENjEuNQCsAsdbYObeCBgNKGpg5t4II0NJUS5JUVQ0NjIxNDk1NC5JUV9DRFNfTUlELjExLzA3LzI2AQAAADo9OQECAAAABjE0LjEyNQBkyhhcYObeCFBSKmpg5t4II0NJUS5JUVQ0NjIwODYzNC5JUV9DRFNfTUlELjExLzA3LzI2AQAAAAMfwgACAAAABzIyLjEwNjYAwNAYXGDm3ggijCpqYObeCCNDSVEuSVFUNDYyMDM3MTQuSVFfQ0RTX01JRC4wOS8wNy8yNgEAAABfBTUAAgAAAAczMC42OTE2AKOiGFxg5t4IJsMkamDm3ggjQ0lRLklRVDUxMDIzNDgwLklRX0NEU19NSUQuMTAvMDcvMjYBAAAAwkXxAQIAAAAGNC40OTk2AMDQGFxg5t4I2BMtamDm3ggkQ0lRLklRVDMxMzMwNTg3OS5JUV9DRFNfTUlELjA4LzA3LzI2AQAAAITW3AEDAAAAAADA0BhcYObeCAfrJWpg5t4IJENJUS5JUVQyNTQ5</t>
  </si>
  <si>
    <t>NTUyMzMuSVFfQ0RTX01JRC4wNy8wNy8yNgEAAAA5VgoAAgAAAAQ0Mi41ACb7GFxg5t4Ijg0namDm3ggjQ0lRLklRVDQ2MTk2MjI1LklRX0NEU19NSUQuMTIvMDcvMjYBAAAAvlWjAQIAAAAHMTcuNDI3NACjohhcYObeCAY0J2pg5t4II0NJUS5JUVQ3OTYzNDkwMS5JUV9DRFNfTUlELjExLzA3LzI2AQAAAJwGEAACAAAABzQxLjI5MzEAJvsYXGDm3gh32ipqYObeCCNDSVEuSVFUNDYxOTQ5OTUuSVFfQ0RTX01JRC4yMC8wNC8yNgEAAABuEDEAAgAAAAcxMy42Mzk2AKOiGFxg5t4IjAEsamDm3ggjQ0lRLklRVDQ2MjIzNjQ2LklRX0NEU19NSUQuMTgvMDcvMjYBAAAAG3gEAAIAAAAHNDkuNzY2NADA0BhcYObeCAaiIWpg5t4II0NJUS5JUVQ0NjIxODUxNi5JUV9DRFNfTUlELjE2LzA3LzI2AQAAAKZVowECAAAABzM2LjA1NDUAv84YXGDm3giAASNqYObeCCNDSVEuSVFUNDYyMjA4MDMuSVFfQ0RTX01JRC4xNi8wNy8yNgEAAADWyTYAAgAAAAc0MS44MTI1AMDQGFxg5t4IrU8jamDm3ggjQ0lRLklRVDQ2MTk5ODQxLklRX0NEU19NSUQuMTUvMDcvMjYBAAAA6zAGAAMAAAAAACb7GFxg5t4ICGEkamDm3ggjQ0lRLklRVDQ2MjE0ODc5LklRX0NEU19NSUQuMTAvMDcvMjYBAAAA9Ro3AAIAAAAHNTAuNTQ2MgDA0BhcYObeCNgTLWpg5t4II0NJUS5JUVQ0NjIyNjEzMi5JUV9DRFNfTUlELjEyLzA3LzI2AQAAAN1ZAAAC</t>
  </si>
  <si>
    <t>AAAABzQxLjY3NzYAJvsYXGDm3gj75SdqYObeCCNDSVEuSVFUNDYyMDAyNzYuSVFfQ0RTX01JRC4yMC8wNy8yNQEAAACWd3wBAgAAAAcyNS42NjgyAMDQGFxg5t4InU8ramDm3ggjQ0lRLklRVDQ2MjEwNTYwLklRX0NEU19NSUQuMTAvMDcvMjYBAAAA9ho3AAIAAAAHODQuNjU0NwCjohhcYObeCBLGLGpg5t4II0NJUS5JUVQ0NjIxNDk1NC5JUV9DRFNfTUlELjA3LzA3LzI2AQAAADo9OQECAAAABzE0LjI2MjUAZMoYXGDm3gjIlyZqYObeCCRDSVEuSVFUNTI4OTM2ODEyLklRX0NEU19NSUQuMTIvMDcvMjYBAAAAbFsGAAIAAAAGNDYuNzI3ACb7GFxg5t4I++UnamDm3ggjQ0lRLklRVDQ2MjA3ODcyLklRX0NEU19NSUQuMjAvMDcvMjUBAAAAWA0KAAIAAAAHNDEuMDg4MgDA0BhcYObeCMF2K2pg5t4IJENJUS5JUVQzMTMzMTA4NTQuSVFfQ0RTX01JRC4xMS8wNy8yNgEAAACvVA0AAgAAAAQ2MS41AKwCx1tg5t4IPAIramDm3ggjQ0lRLklRVDc5NjM5OTUzLklRX0NEU19NSUQuMjAvMDQvMjYBAAAANJtWAQIAAAAHMjYuMDMzMQDA0BhcYObeCPlQLGpg5t4II0NJUS5JUVQ1MTAyMzQ4MC5JUV9DRFNfTUlELjIwLzA3LzI1AQAAAMJF8QECAAAABjguNDY2MwDA0BhcYObeCJ1PK2pg5t4II0NJUS5JUVQ3OTYzOTkxMy5JUV9DRFNfTUlELjE3LzA3LzI2AQAAACBjHAICAAAABTguMTI1AMDQGFxg5t4I6hciamDm3ggj</t>
  </si>
  <si>
    <t>Q0lRLklRVDQ2MjEzNDcyLklRX0NEU19NSUQuMTUvMDcvMjYBAAAAuVo4AAIAAAACMTUAwNAYXGDm3gjqEiRqYObeCCNDSVEuSVFUNDYxOTc2OTQuSVFfQ0RTX01JRC4wOC8wNy8yNgEAAAAH+gUAAgAAAAc1MS43Njc5AMDQGFxg5t4IB+slamDm3ggjQ0lRLklRVDQ2MjI1NzE1LklRX0NEU19NSUQuMDcvMDcvMjYBAAAAt+UEAAIAAAAHMzkuMjUwMQAm+xhcYObeCI4NJ2pg5t4II0NJUS5JUVQ0NjIxMDU2MC5JUV9DRFNfTUlELjExLzA3LzI2AQAAAPYaNwACAAAABzg0LjY1NDcAo6IYXGDm3gjAKSpqYObeCCNDSVEuSVFUNDYyMDAzNjQuSVFfQ0RTX01JRC4wOS8wNy8yNgEAAABXhggAAgAAAAUyNC42NgAm+xhcYObeCGlfJWpg5t4IJENJUS5JUVQzMTMzMTAxODQuSVFfQ0RTX01JRC4yMC8wNy8yNQEAAABgRD4AAgAAAAcxNi4yMDA1AKOiGFxg5t4IPAIramDm3ggjQ0lRLklRVDQ2NDcwODc3LklRX0NEU19NSUQuMjAvMDcvMjUBAAAAQjcHAAIAAAAGNTYuOTM4AMDQGFxg5t4IrZ4ramDm3ggjQ0lRLklRVDQ2MjA4NjM0LklRX0NEU19NSUQuMDYvMDcvMjYBAAAAAx/CAAIAAAAHMjIuMDYzMQDA0BhcYObeCKjPKGpg5t4II0NJUS5JUVQ0NjIwNDg4NC5JUV9DRFNfTUlELjE3LzA3LzI2AQAAAIFRwAECAAAABjI5LjYyNQCjohhcYObeCE7xIWpg5t4II0NJUS5JUVQ0NjIwNzc4OS5JUV9DRFNfTUlELjE3LzA3</t>
  </si>
  <si>
    <t>LzI2AQAAACpYowECAAAABzI2LjY4NzkAwNAYXGDm3ghRPiJqYObeCCRDSVEuSVFUMjg2MDk2MTMxLklRX0NEU19NSUQuMTcvMDcvMjYBAAAAO/EEAAIAAAAHNjAuNjY2NwAm+xhcYObeCGGeImpg5t4II0NJUS5JUVQ0NjIyMDgwMy5JUV9DRFNfTUlELjE4LzA3LzI2AQAAANbJNgACAAAABzQyLjUwMDUAwNAYXGDm3ggteyFqYObeCCNDSVEuSVFUNDYyMDAzNjQuSVFfQ0RTX01JRC4xOC8wNy8yNgEAAABXhggAAgAAAAUyNS4xNgAm+xhcYObeCBHJIWpg5t4II0NJUS5JUVQ0NjIwNDMwMC5JUV9DRFNfTUlELjE2LzA3LzI2AQAAAPYlfQACAAAABjcuMDA0MwCjohhcYObeCIABI2pg5t4II0NJUS5JUVQ2MDM4ODA1Ny5JUV9DRFNfTUlELjE2LzA3LzI2AQAAAN/JfQEDAAAAAADA0BhcYObeCK1PI2pg5t4II0NJUS5JUVQ0NjE5OTg0MS5JUV9DRFNfTUlELjE2LzA3LzI2AQAAAOswBgADAAAAAAAm+xhcYObeCLB2I2pg5t4IJENJUS5JUVQzMTMzMTAxODQuSVFfQ0RTX01JRC4xNS8wNy8yNgEAAABgRD4AAgAAAAcxMS4xNDQ0AKOiGFxg5t4IzMQjamDm3ggjQ0lRLklRVDQ2MjE0ODc5LklRX0NEU19NSUQuMTUvMDcvMjYBAAAA9Ro3AAIAAAAHNTAuNTUzNQDA0BhcYObeCNjrI2pg5t4II0NJUS5JUVQ0NjQ3MDg3Ny5JUV9DRFNfTUlELjE1LzA3LzI2AQAAAEI3BwACAAAABzU3LjIzNjgAwNAYXGDm3gj5OSRqYObe</t>
  </si>
  <si>
    <t>CCRDSVEuSVFUMzEzMzEwODU0LklRX0NEU19NSUQuMTUvMDcvMjYBAAAAr1QNAAIAAAAENjEuNQCsAsdbYObeCPSbJGpg5t4II0NJUS5JUVQ0NjIxNDk1NC5JUV9DRFNfTUlELjEwLzA3LzI2AQAAADo9OQECAAAABjE0LjEyNQBkyhhcYObeCCLtLGpg5t4II0NJUS5JUVQ0NjIwODYzNC5JUV9DRFNfTUlELjEwLzA3LzI2AQAAAAMfwgACAAAABzIyLjEwNjYAwNAYXGDm3givOi1qYObeCCNDSVEuSVFUNDYyMjUwODMuSVFfQ0RTX01JRC4xMC8wNy8yNgEAAABWRAYAAgAAAAczNi44NzA1ACb7GFxg5t4IqZ0tamDm3ggjQ0lRLklRVDQ2MjAzNzE0LklRX0NEU19NSUQuMDgvMDcvMjYBAAAAXwU1AAIAAAAHMzAuNzI3NwCjohhcYObeCHmGJWpg5t4II0NJUS5JUVQ3OTYzOTk1My5JUV9DRFNfTUlELjA4LzA3LzI2AQAAADSbVgECAAAABzI0Ljg2MjIAwNAYXGDm3ggH6yVqYObeCCRDSVEuSVFUNTI4OTM2ODEyLklRX0NEU19NSUQuMDgvMDcvMjYBAAAAbFsGAAIAAAAHNDcuMDMxOQAm+xhcYObeCLESJmpg5t4II0NJUS5JUVQ0NjIwMzMzMi5JUV9DRFNfTUlELjA3LzA3LzI2AQAAAF8eNwACAAAAAjExAKOiGFxg5t4IOG8mamDm3ggjQ0lRLklRVDQ2MjE1MTExLklRX0NEU19NSUQuMDcvMDcvMjYBAAAAoEuyAQIAAAAHMzYuODc0OADA0BhcYObeCMa+Jmpg5t4II0NJUS5JUVQ0NjIyNjEzMi5JUV9DRFNfTUlELjA3</t>
  </si>
  <si>
    <t>LzA3LzI2AQAAAN1ZAAACAAAABzQxLjQyODYAJvsYXGDm3giODSdqYObeCCRDSVEuSVFUMzEzMzEzNTI0LklRX0NEU19NSUQuMDcvMDcvMjYBAAAA71UNAAIAAAAHNTkuOTc5MgAoJ8dbYObeCAY0J2pg5t4II0NJUS5JUVQ0NjIwNzg3Mi5JUV9DRFNfTUlELjEyLzA3LzI2AQAAAFgNCgACAAAABzQwLjQzMDMAwNAYXGDm3ggvvidqYObeCCNDSVEuSVFUNDYyMDAzMTcuSVFfQ0RTX01JRC4xMi8wNy8yNgEAAAD+VA0AAgAAAAc2NS40NjE3AKwCx1tg5t4IGA0oamDm3ggkQ0lRLklRVDI1NDk1NTIzMy5JUV9DRFNfTUlELjExLzA3LzI2AQAAADlWCgACAAAABzQyLjcwMTQAJvsYXGDm3gh32ipqYObeCCNDSVEuSVFUNTEwMjMyNjAuSVFfQ0RTX01JRC4wOS8wNy8yNgEAAACxEX8BAgAAAAcxNC4wMDA2AMDQGFxg5t4INeokamDm3ggkQ0lRLklRVDMxMzMxNzM0NC5JUV9DRFNfTUlELjA5LzA3LzI2AQAAAPGsAQACAAAABzYwLjQ1MzUAKCfHW2Dm3gh5hiVqYObeCCNDSVEuSVFUNzk2MzQ5MDEuSVFfQ0RTX01JRC4yMC8wNC8yNgEAAACcBhAAAgAAAAU0Ni4zOQCsAsdbYObeCAWfLGpg5t4II0NJUS5JUVQ0NjIxMzQ3Mi5JUV9DRFNfTUlELjIwLzA3LzI1AQAAALlaOAACAAAABjE0LjA3NADA0BhcYObeCMF2K2pg5t4II0NJUS5JUVQ0NjIyNTAwNi5JUV9DRFNfTUlELjA2LzA3LzI2AQAAAPhVDQACAAAABzQwLjc5</t>
  </si>
  <si>
    <t>OTMAk/gYXGDm3gi09ihqYObeCCNDSVEuSVFUNDYxOTcxMzguSVFfQ0RTX01JRC4xMi8wNy8yNgEAAADulDgBAgAAAAgxMjMuNjYwNwCjohhcYObeCAY0J2pg5t4II0NJUS5JUVQ0NjIwNDk1Ny5JUV9DRFNfTUlELjEyLzA3LzI2AQAAACEVBgACAAAABzUzLjg2MjcAwNAYXGDm3ggvvidqYObeCCNDSVEuSVFUNjIyNzAxMDYuSVFfQ0RTX01JRC4xMi8wNy8yNgEAAACtd4MAAgAAAAc3NC44ODc5AKwCx1tg5t4IGA0oamDm3ggjQ0lRLklRVDc5NjQwMDI0LklRX0NEU19NSUQuMTEvMDcvMjYBAAAANY+bAQIAAAAGNy42NzE5AGTKGFxg5t4IUFIqamDm3ggkQ0lRLklRVDMxMzMwNTg3OS5JUV9DRFNfTUlELjExLzA3LzI2AQAAAITW3AEDAAAAAADA0BhcYObeCCKMKmpg5t4II0NJUS5JUVQ0NjIwMDQxMi5JUV9DRFNfTUlELjExLzA3LzI2AQAAAGNDBgACAAAABzQ1Ljg1NjEAJvsYXGDm3gh32ipqYObeCCNDSVEuSVFUNDYyMDMzMzIuSVFfQ0RTX01JRC4wOS8wNy8yNgEAAABfHjcAAgAAAAUxMS4yNQCjohhcYObeCCbDJGpg5t4II0NJUS5JUVQ0NjIxNTExMS5JUV9DRFNfTUlELjA5LzA3LzI2AQAAAKBLsgECAAAABzM2LjkyOTMAwNAYXGDm3gg16iRqYObeCCNDSVEuSVFUNDYyMjYxMzIuSVFfQ0RTX01JRC4wOS8wNy8yNgEAAADdWQAAAgAAAAc0MS42Mzc1ACb7GFxg5t4IVDglamDm3ggkQ0lRLklRVDMxMzMx</t>
  </si>
  <si>
    <t>MzUyNC5JUV9DRFNfTUlELjA5LzA3LzI2AQAAAO9VDQACAAAABzYwLjUzMDIAKCfHW2Dm3gh5hiVqYObeCCNDSVEuSVFUNzk2Mzk5MTMuSVFfQ0RTX01JRC4yMC8wNC8yNgEAAAAgYxwCAgAAAAE5AMDQGFxg5t4IIyksamDm3ggjQ0lRLklRVDQ2MjA3ODcyLklRX0NEU19NSUQuMjAvMDQvMjYBAAAAWA0KAAIAAAAHMzkuNjExMQDA0BhcYObeCP13LGpg5t4II0NJUS5JUVQ0NjIwMDMxNy5JUV9DRFNfTUlELjIwLzA0LzI2AQAAAP5UDQACAAAABzcwLjcxMzYArALHW2Dm3ggFnyxqYObeCCRDSVEuSVFUNjQ0NzAxNzk3LklRX0NEU19NSUQuMjAvMDcvMjUBAAAAUz99AQIAAAAHMTUuNjA2NgBkyhhcYObeCEwpK2pg5t4II0NJUS5JUVQ0NjIxNjk4Ni5JUV9DRFNfTUlELjIwLzA3LzI1AQAAAM5EOAEDAAAAAADA0BhcYObeCMF2K2pg5t4IJENJUS5JUVQyNTQ5NTUyMzMuSVFfQ0RTX01JRC4yMC8wNy8yNQEAAAA5VgoAAgAAAAY1Ni44MDEAJvsYXGDm3giFxStqYObeCCNDSVEuSVFUNTEwMjMyNjAuSVFfQ0RTX01JRC4wNi8wNy8yNgEAAACxEX8BAgAAAAcxMy40ODY2AMDQGFxg5t4InKgoamDm3ggkQ0lRLklRVDMxMzMxNzM0NC5JUV9DRFNfTUlELjA2LzA3LzI2AQAAAPGsAQACAAAABzU5Ljg3NTYAKCfHW2Dm3giVMSlqYObeCCNDSVEuSVFUNDYyMjU3MTUuSVFfQ0RTX01JRC4xMC8wNy8yNgEAAAC35QQAAgAA</t>
  </si>
  <si>
    <t>AAc0MC4yNzY2ACb7GFxg5t4IqZ0tamDm3ggjQ0lRLklRVDQ2MjA3Nzg5LklRX0NEU19NSUQuMDgvMDcvMjYBAAAAKlijAQIAAAAHMjYuNzU4NwDA0BhcYObeCAfrJWpg5t4IJENJUS5JUVQyODYwOTYxMzEuSVFfQ0RTX01JRC4wOC8wNy8yNgEAAAA78QQAAgAAAAc2MS4wODA3ACb7GFxg5t4IsRImamDm3ggjQ0lRLklRVDQ2MjI1MDgzLklRX0NEU19NSUQuMTEvMDcvMjYBAAAAVkQGAAIAAAAHMzYuODcwNQAm+xhcYObeCHfaKmpg5t4II0NJUS5JUVQ3OTYzOTk1My5JUV9DRFNfTUlELjA5LzA3LzI2AQAAADSbVgECAAAABzI0Ljg1MTkAwNAYXGDm3gg16iRqYObeCCRDSVEuSVFUNTI4OTM2ODEyLklRX0NEU19NSUQuMDkvMDcvMjYBAAAAbFsGAAIAAAAHNDYuOTIwOQAm+xhcYObeCFQ4JWpg5t4II0NJUS5JUVQ0NjE5NzEzOC5JUV9DRFNfTUlELjIwLzA0LzI2AQAAAO6UOAECAAAACDEyMy40Mjc5AKOiGFxg5t4IhcUramDm3ggjQ0lRLklRVDUxMDIzNDgwLklRX0NEU19NSUQuMjAvMDQvMjYBAAAAwkXxAQIAAAAGNS41NjY3AMDQGFxg5t4IIyksamDm3ggjQ0lRLklRVDQ2MjA0OTU3LklRX0NEU19NSUQuMjAvMDQvMjYBAAAAIRUGAAIAAAAHNTcuNDM3NQDA0BhcYObeCP13LGpg5t4II0NJUS5JUVQ2MjI3MDEwNi5JUV9DRFNfTUlELjIwLzA0LzI2AQAAAK13gwACAAAABzc0LjE0MDcArALHW2Dm3ggFnyxq</t>
  </si>
  <si>
    <t>YObeCCNDSVEuSVFUNzk2NDAwMjQuSVFfQ0RTX01JRC4yMC8wNy8yNQEAAAA1j5sBAgAAAAcxMC4zMzMzAGTKGFxg5t4ITCkramDm3ggkQ0lRLklRVDMxMzMwNTg3OS5JUV9DRFNfTUlELjIwLzA3LzI1AQAAAITW3AECAAAABjIuNzk1MgDA0BhcYObeCMF2K2pg5t4II0NJUS5JUVQ0NjIwMDQxMi5JUV9DRFNfTUlELjIwLzA3LzI1AQAAAGNDBgACAAAABzUzLjYxNjIAJvsYXGDm3giFxStqYObeCCNDSVEuSVFUNDYyMTUxMTEuSVFfQ0RTX01JRC4wNi8wNy8yNgEAAACgS7IBAgAAAAczNi45Mzc0AMDQGFxg5t4InKgoamDm3ggjQ0lRLklRVDQ2MjI2MTMyLklRX0NEU19NSUQuMDYvMDcvMjYBAAAA3VkAAAIAAAAHNDEuMzMzMwAm+xhcYObeCLT2KGpg5t4IJENJUS5JUVQzMTMzMTM1MjQuSVFfQ0RTX01JRC4wNi8wNy8yNgEAAADvVQ0AAgAAAAc2MC4wMjA2ACgnx1tg5t4IlTEpamDm3ggjQ0lRLklRVDQ2MjAwMzY0LklRX0NEU19NSUQuMTEvMDcvMjYBAAAAV4YIAAIAAAAFMjQuODYAJvsYXGDm3gh32ipqYObeCCNDSVEuSVFUNDYyMDQzMDAuSVFfQ0RTX01JRC4wOS8wNy8yNgEAAAD2JX0AAgAAAAY3LjAwNzkAo6IYXGDm3ggmwyRqYObeCCNDSVEuSVFUNjAzODgwNTcuSVFfQ0RTX01JRC4wOS8wNy8yNgEAAADfyX0BAwAAAAAAwNAYXGDm3gg16iRqYObeCCNDSVEuSVFUNDYxOTk4NDEuSVFfQ0RTX01JRC4w</t>
  </si>
  <si>
    <t>OS8wNy8yNgEAAADrMAYAAwAAAAAAJvsYXGDm3ghUOCVqYObeCCNDSVEuSVFUNDYyMTQ4NzkuSVFfQ0RTX01JRC4yMC8wNC8yNgEAAAD1GjcAAgAAAAc1Mi45NzM0AMDQGFxg5t4IIyksamDm3ggjQ0lRLklRVDQ2MjE0OTU0LklRX0NEU19NSUQuMjAvMDcvMjUBAAAAOj05AQIAAAAGMjMuMzc1AGTKGFxg5t4ITCkramDm3ggkQ0lRLklRVDUyODkzNjgxMi5JUV9DRFNfTUlELjA2LzA3LzI2AQAAAGxbBgACAAAABjQ2LjE3OAAm+xhcYObeCLT2KGpg5t4II0NJUS5JUVQ0NjE5NjIyNS5JUV9DRFNfTUlELjE1LzA3LzI2AQAAAL5VowECAAAABjE3LjM3NQCjohhcYObeCMzEI2pg5t4IJENJUS5JUVQzMTMzMTczNDQuSVFfQ0RTX01JRC4xNS8wNy8yNgEAAADxrAEAAgAAAAc2MC41MjA2ACgnx1tg5t4I9JskamDm3ggjQ0lRLklRVDQ2MjA3MzA4LklRX0NEU19NSUQuMTcvMDcvMjYBAAAAOYl6AQIAAAAHMTQuNTYyNQCjohhcYObeCE7xIWpg5t4II0NJUS5JUVQ0NjIxMDAzMi5JUV9DRFNfTUlELjE3LzA3LzI2AQAAAI9VowECAAAABzM3LjMwNTEAwNAYXGDm3ghRPiJqYObeCCNDSVEuSVFUNDYyMjUzNzQuSVFfQ0RTX01JRC4xNy8wNy8yNgEAAAC11gUAAgAAAAczOS4wMzY3ACb7GFxg5t4IYZ4iamDm3ggjQ0lRLklRVDQ2MjE4Njc0LklRX0NEU19NSUQuMTgvMDcvMjYBAAAAV8o2AAIAAAAIMTI5LjI3ODUAwNAY</t>
  </si>
  <si>
    <t>XGDm3ggteyFqYObeCCNDSVEuSVFUNDYyMjU3MTUuSVFfQ0RTX01JRC4xOC8wNy8yNgEAAAC35QQAAgAAAAc0My40MzM5ACb7GFxg5t4IEckhamDm3ggjQ0lRLklRVDQ2MjA0ODg0LklRX0NEU19NSUQuMTYvMDcvMjYBAAAAgVHAAQIAAAAHMjkuMzMzMwCjohhcYObeCIABI2pg5t4II0NJUS5JUVQ0NjIwNzc4OS5JUV9DRFNfTUlELjE2LzA3LzI2AQAAACpYowECAAAABzI2LjQ4NTYAwNAYXGDm3gitTyNqYObeCCRDSVEuSVFUMjg2MDk2MTMxLklRX0NEU19NSUQuMTYvMDcvMjYBAAAAO/EEAAIAAAAHNTkuNzk5MgAm+xhcYObeCLB2I2pg5t4II0NJUS5JUVQ0NjIxMDU2MC5JUV9DRFNfTUlELjE1LzA3LzI2AQAAAPYaNwACAAAABzg1LjQzNjgAo6IYXGDm3gjMxCNqYObeCCNDSVEuSVFUNDYyMTk5MjIuSVFfQ0RTX01JRC4xNS8wNy8yNgEAAADWRzkBAgAAAAY2LjgzMjIAwNAYXGDm3gjqEiRqYObeCCNDSVEuSVFUNDYyMjM2NDYuSVFfQ0RTX01JRC4xNS8wNy8yNgEAAAAbeAQAAgAAAAc0OS43ODgxAMDQGFxg5t4I+TkkamDm3ggkQ0lRLklRVDMxMzMxNDk3Ni5JUV9DRFNfTUlELjE1LzA3LzI2AQAAAG1KAAACAAAABDU2LjUArALHW2Dm3gj0myRqYObeCCNDSVEuSVFUNDYyMTg1MTYuSVFfQ0RTX01JRC4xMC8wNy8yNgEAAACmVaMBAgAAAAczNi40NjgyAL/OGFxg5t4IIu0samDm3ggjQ0lRLklRVDQ2MjIw</t>
  </si>
  <si>
    <t>ODAzLklRX0NEU19NSUQuMTAvMDcvMjYBAAAA1sk2AAIAAAAHNDEuMTA2NADA0BhcYObeCK86LWpg5t4II0NJUS5JUVQ0NjIwMDM2NC5JUV9DRFNfTUlELjEwLzA3LzI2AQAAAFeGCAACAAAABTI0Ljg2ACb7GFxg5t4IqZ0tamDm3ggjQ0lRLklRVDQ2MjA0MzAwLklRX0NEU19NSUQuMDgvMDcvMjYBAAAA9iV9AAIAAAAGNy4wMzE1AKOiGFxg5t4IeYYlamDm3ggjQ0lRLklRVDYwMzg4MDU3LklRX0NEU19NSUQuMDgvMDcvMjYBAAAA38l9AQMAAAAAAMDQGFxg5t4IB+slamDm3ggjQ0lRLklRVDQ2MTk5ODQxLklRX0NEU19NSUQuMDgvMDcvMjYBAAAA6zAGAAMAAAAAACb7GFxg5t4IsRImamDm3ggjQ0lRLklRVDQ2MjAzNzE0LklRX0NEU19NSUQuMDcvMDcvMjYBAAAAXwU1AAIAAAAGMjkuNjQ2AKOiGFxg5t4IOG8mamDm3ggjQ0lRLklRVDc5NjM5OTUzLklRX0NEU19NSUQuMDcvMDcvMjYBAAAANJtWAQIAAAAHMjQuOTA4OQDA0BhcYObeCMa+Jmpg5t4IJENJUS5JUVQ1Mjg5MzY4MTIuSVFfQ0RTX01JRC4wNy8wNy8yNgEAAABsWwYAAgAAAAY0Ni4xMjUAJvsYXGDm3giODSdqYObeCCNDSVEuSVFUNDYyMjQ3NDAuSVFfQ0RTX01JRC4wNi8wNy8yNgEAAADTcggAAgAAAAQzMy4xACb7GFxg5t4ItPYoamDm3ggjQ0lRLklRVDQ2MjA0ODg0LklRX0NEU19NSUQuMDgvMDcvMjYBAAAAgVHAAQIAAAAEMjkuNQCjohhc</t>
  </si>
  <si>
    <t>YObeCE2vJWpg5t4II0NJUS5JUVQ0NjQ3MDg3Ny5JUV9DRFNfTUlELjEyLzA3LzI2AQAAAEI3BwACAAAABzU1Ljk3NDkAwNAYXGDm3ggvvidqYObeCCNDSVEuSVFUNzk2MzQ5MDEuSVFfQ0RTX01JRC4xMC8wNy8yNgEAAACcBhAAAgAAAAc0MS4yOTMxACb7GFxg5t4IqZ0tamDm3ggjQ0lRLklRVDQ5NzUxMTk2LklRX0NEU19NSUQuMTIvMDcvMjYBAAAAzZm9AAIAAAAHNDEuODMzMwCjohhcYObeCAY0J2pg5t4IJENJUS5JUVQzMTMzMTU0MjkuSVFfQ0RTX01JRC4xMi8wNy8yNgEAAAA55wUAAgAAAAc2Mi4xMDA5ACgnx1tg5t4IgTMoamDm3ggjQ0lRLklRVDQ2MjA3NTcxLklRX0NEU19NSUQuMTcvMDcvMjYBAAAAbe81AAIAAAAHMzAuMjkxNwCjohhcYObeCOoXImpg5t4II0NJUS5JUVQ0NjIxMzQ3Mi5JUV9DRFNfTUlELjE3LzA3LzI2AQAAALlaOAACAAAAAjE1AMDQGFxg5t4IWGUiamDm3ggkQ0lRLklRVDI2MzIxMzEzMi5JUV9DRFNfTUlELjE3LzA3LzI2AQAAAOGaCAACAAAABzU1Ljg3OTQAJvsYXGDm3ghhniJqYObeCCNDSVEuSVFUNDYxOTc2OTQuSVFfQ0RTX01JRC4xMS8wNy8yNgEAAAAH+gUAAgAAAAc1MS42NTYzAMDQGFxg5t4IIowqamDm3ggjQ0lRLklRVDQ2MjEwMDMyLklRX0NEU19NSUQuMDkvMDcvMjYBAAAAj1WjAQIAAAAHMzYuOTY3OADA0BhcYObeCEQRJWpg5t4II0NJUS5JUVQ0OTc1MTE5</t>
  </si>
  <si>
    <t>Ni5JUV9DRFNfTUlELjIwLzA0LzI2AQAAAM2ZvQACAAAABzM4LjA3MTIAo6IYXGDm3giMASxqYObeCCRDSVEuSVFUMzIzNjgwMTMwLklRX0NEU19NSUQuMjAvMDQvMjYBAAAAceECAAIAAAAHNTQuNjE5NgCT+BhcYObeCP13LGpg5t4II0NJUS5JUVQ0NjIxODY3NC5JUV9DRFNfTUlELjIwLzA3LzI1AQAAAFfKNgACAAAACDE5MS45Nzg0AMDQGFxg5t4IwXYramDm3ggjQ0lRLklRVDQ2MjAwNDEyLklRX0NEU19NSUQuMDgvMDcvMjYBAAAAY0MGAAIAAAAHNDcuNTQ4NgAm+xhcYObeCGJAJmpg5t4IJENJUS5JUVQ2NDQ3MDE3OTcuSVFfQ0RTX01JRC4wNy8wNy8yNgEAAABTP30BAgAAAAcxMC4zNzgyAGTKGFxg5t4IyJcmamDm3ggjQ0lRLklRVDQ2MjE2OTg2LklRX0NEU19NSUQuMDcvMDcvMjYBAAAAzkQ4AQMAAAAAAMDQGFxg5t4Ixr4mamDm3ggjQ0lRLklRVDQ2MTk1NDkxLklRX0NEU19NSUQuMTEvMDcvMjYBAAAAaUoAAAIAAAAHNTQuMjk5NgDA0BhcYObeCCKMKmpg5t4II0NJUS5JUVQ0NjIxMzQ3Mi5JUV9DRFNfTUlELjA5LzA3LzI2AQAAALlaOAACAAAABzE1LjA2MjUAwNAYXGDm3ghEESVqYObeCCNDSVEuSVFUNDYyMjAzMjkuSVFfQ0RTX01JRC4yMC8wNC8yNgEAAADbWwAAAgAAAAc1Mi45NzIzACgnx1tg5t4IEsYsamDm3ggjQ0lRLklRVDQ2MjI1Mzc0LklRX0NEU19NSUQuMDYvMDcvMjYBAAAAtdYF</t>
  </si>
  <si>
    <t>AAIAAAAHMzcuODEyNAAm+xhcYObeCGEKKWpg5t4II0NJUS5JUVQ0NjIxODY3NC5JUV9DRFNfTUlELjE3LzA3LzI2AQAAAFfKNgACAAAACDEyOS4yNzg1AMDQGFxg5t4ING0iamDm3ggjQ0lRLklRVDQ2MjAwMzY0LklRX0NEU19NSUQuMTYvMDcvMjYBAAAAV4YIAAIAAAACMjUAJvsYXGDm3gi7nSNqYObeCCNDSVEuSVFUNDYyMDMzMzIuSVFfQ0RTX01JRC4xMi8wNy8yNgEAAABfHjcAAgAAAAUxMS4yNQCjohhcYObeCAY0J2pg5t4II0NJUS5JUVQ0NjIwNzg3Mi5JUV9DRFNfTUlELjExLzA3LzI2AQAAAFgNCgACAAAABzQwLjQzMDMAwNAYXGDm3giCsypqYObeCCRDSVEuSVFUNjQ0NzAxNzk3LklRX0NEU19NSUQuMDkvMDcvMjYBAAAAUz99AQIAAAAHMTAuNjUzOABkyhhcYObeCCbDJGpg5t4IJENJUS5JUVQyNTQ5NTUyMzMuSVFfQ0RTX01JRC4wOS8wNy8yNgEAAAA5VgoAAgAAAAc0Mi45MjU2ACb7GFxg5t4IVDglamDm3ggjQ0lRLklRVDUxMDIzMjYwLklRX0NEU19NSUQuMjAvMDQvMjYBAAAAsRF/AQIAAAAGMTMuOTYzAMDQGFxg5t4I+VAsamDm3ggkQ0lRLklRVDMxMzMxNzM0NC5JUV9DRFNfTUlELjIwLzA0LzI2AQAAAPGsAQACAAAABzUzLjc0MTMAKCfHW2Dm3ggSxixqYObeCCNDSVEuSVFUNDYxOTc2OTQuSVFfQ0RTX01JRC4xNy8wNy8yNgEAAAAH+gUAAgAAAAc1My42NjkyAMDQGFxg5t4ING0iamDm</t>
  </si>
  <si>
    <t>3ggjQ0lRLklRVDc5NjM5OTUzLklRX0NEU19NSUQuMTIvMDcvMjYBAAAANJtWAQIAAAAHMjQuOTE5MQDA0BhcYObeCCWXJ2pg5t4II0NJUS5JUVQ0NjIxNTExMS5JUV9DRFNfTUlELjIwLzA0LzI2AQAAAKBLsgECAAAABzQyLjczNTYAwNAYXGDm3gj5UCxqYObeCCRDSVEuSVFUMjU0OTU1MjMzLklRX0NEU19NSUQuMDYvMDcvMjYBAAAAOVYKAAIAAAAHNDIuNDQzNQAm+xhcYObeCGEKKWpg5t4II0NJUS5JUVQ0NjIyMDgwMy5JUV9DRFNfTUlELjA3LzA3LzI2AQAAANbJNgACAAAABTQwLjI1AMDQGFxg5t4Ixr4mamDm3ggjQ0lRLklRVDQ2MjI1MDgzLklRX0NEU19NSUQuMDkvMDcvMjYBAAAAVkQGAAIAAAAHMzcuMDQzMgAm+xhcYObeCGlfJWpg5t4II0NJUS5JUVQ0NjIyMDgwMy5JUV9DRFNfTUlELjA5LzA3LzI2AQAAANbJNgACAAAABzQxLjYxNjgAwNAYXGDm3ghEESVqYObeCCNDSVEuSVFUNDYyMTQ4NzkuSVFfQ0RTX01JRC4yMC8wNy8yNQEAAAD1GjcAAgAAAAc2Ni4yODQxAMDQGFxg5t4InU8ramDm3ggjQ0lRLklRVDc5NjQwMDI0LklRX0NEU19NSUQuMTcvMDcvMjYBAAAANY+bAQIAAAAGNy44MzMzAGTKGFxg5t4I6hciamDm3ggkQ0lRLklRVDMxMzMwNTg3OS5JUV9DRFNfTUlELjE3LzA3LzI2AQAAAITW3AEDAAAAAADA0BhcYObeCL5qImpg5t4II0NJUS5JUVQ0NjIwNjc3OS5JUV9DRFNfTUlELjEx</t>
  </si>
  <si>
    <t>LzA3LzI2AQAAAPzvNgACAAAABzE2LjE2NjcAwNAYXGDm3ghQUipqYObeCCNDSVEuSVFUNDYxOTk4NDEuSVFfQ0RTX01JRC4wNi8wNy8yNgEAAADrMAYAAwAAAAAAJvsYXGDm3gi09ihqYObeCCNDSVEuSVFUNDYyMjM2NDYuSVFfQ0RTX01JRC4xMS8wNy8yNgEAAAAbeAQAAgAAAAc0OS40MzExAMDQGFxg5t4IgrMqamDm3ggjQ0lRLklRVDQ2MjE0OTU0LklRX0NEU19NSUQuMTcvMDcvMjYBAAAAOj05AQIAAAAEMTQuNABkyhhcYObeCOoXImpg5t4II0NJUS5JUVQ0NjIwODYzNC5JUV9DRFNfTUlELjE3LzA3LzI2AQAAAAMfwgACAAAABjIyLjgyNQDA0BhcYObeCDRtImpg5t4II0NJUS5JUVQ0NjIyNTA4My5JUV9DRFNfTUlELjE3LzA3LzI2AQAAAFZEBgACAAAABDM2LjUAJvsYXGDm3ghhniJqYObeCCNDSVEuSVFUNDYyMjM2NDYuSVFfQ0RTX01JRC4xOS8wNy8yNgEAAAAbeAQAAgAAAAc0OS43NjY0AMDQGFxg5t4I14wgamDm3ggkQ0lRLklRVDMxMzMxNDk3Ni5JUV9DRFNfTUlELjE5LzA3LzI2AQAAAG1KAAACAAAABzU3LjgzNjQArALHW2Dm3ggt8SBqYObeCCNDSVEuSVFUNDYyMTg1MTYuSVFfQ0RTX01JRC4xOC8wNy8yNgEAAACmVaMBAgAAAAczNS40MTcyAGTKGFxg5t4ImxchamDm3ggkQ0lRLklRVDMyMzY4MDEzMC5JUV9DRFNfTUlELjE5LzA3LzI2AQAAAHHhAgACAAAABzUxLjQ0NzgAwNAYXGDm3gjX</t>
  </si>
  <si>
    <t>jCBqYObeCCRDSVEuSVFUMzEzMzE1NDI5LklRX0NEU19NSUQuMTkvMDcvMjYBAAAAOecFAAIAAAAHNjIuMTI4NgAoJ8dbYObeCC3xIGpg5t4II0NJUS5JUVQ0NjIwNjc3OS5JUV9DRFNfTUlELjE4LzA3LzI2AQAAAPzvNgACAAAABDE2LjUAv84YXGDm3gibFyFqYObeCCNDSVEuSVFUNDYyMjUwMDYuSVFfQ0RTX01JRC4xOS8wNy8yNgEAAAD4VQ0AAgAAAAc0My41NDg4AJP4GFxg5t4I14wgamDm3ggjQ0lRLklRVDQ2MjIwMzI5LklRX0NEU19NSUQuMTkvMDcvMjYBAAAA21sAAAIAAAACNTYAKCfHW2Dm3ggt8SBqYObeCCNDSVEuSVFUNDYyNjIzNzguSVFfQ0RTX01JRC4xOC8wNy8yNgEAAABA0okBAgAAAAYxOC4zNzUAwNAYXGDm3gibFyFqYObeCCNDSVEuSVFUNDYyMjQ3NDAuSVFfQ0RTX01JRC4xOS8wNy8yNgEAAADTcggAAgAAAAczNS4yMzM3AJP4GFxg5t4I14wgamDm3ggkQ0lRLklRVDMxMzMxNzM0NC5JUV9DRFNfTUlELjE5LzA3LzI2AQAAAPGsAQACAAAABzYwLjgxMjMAKCfHW2Dm3ggt8SBqYObeCCNDSVEuSVFUNDYyMDAyNzYuSVFfQ0RTX01JRC4xOC8wNy8yNgEAAACWd3wBAgAAAAcyOS41MTAzAMDQGFxg5t4ImxchamDm3ggjQ0lRLklRVDQ2MjA4NjM0LklRX0NEU19NSUQuMTkvMDcvMjYBAAAAAx/CAAIAAAAGMjIuODI1AMDQGFxg5t4I14wgamDm3ggjQ0lRLklRVDQ2MjI2MTMyLklRX0NEU19N</t>
  </si>
  <si>
    <t>SUQuMTkvMDcvMjYBAAAA3VkAAAIAAAAHNDMuODgxMQAm+xhcYObeCOXIIGpg5t4IJENJUS5JUVQzMTMzMTM1MjQuSVFfQ0RTX01JRC4xOS8wNy8yNgEAAADvVQ0AAgAAAAc2MC4wMDY2ACgnx1tg5t4ILfEgamDm3ggjQ0lRLklRVDc5NjM5OTEzLklRX0NEU19NSUQuMTgvMDcvMjYBAAAAIGMcAgIAAAAFOC4xMjUAwNAYXGDm3ghnUyFqYObeCCRDSVEuSVFUNTI4OTM2ODEyLklRX0NEU19NSUQuMTkvMDcvMjYBAAAAbFsGAAIAAAAHNDcuOTU5NAAm+xhcYObeCOXIIGpg5t4II0NJUS5JUVQ0NjE5NzEzOC5JUV9DRFNfTUlELjE4LzA3LzI2AQAAAO6UOAECAAAACDEyNS40NzMyAKOiGFxg5t4ILfEgamDm3ggjQ0lRLklRVDUxMDIzNDgwLklRX0NEU19NSUQuMTgvMDcvMjYBAAAAwkXxAQIAAAAGNC43NjI3AMDQGFxg5t4IZ1MhamDm3ggjQ0lRLklRVDQ2MjAzNzE0LklRX0NEU19NSUQuMTgvMDcvMjYBAAAAXwU1AAIAAAAFMzEuNDUAo6IYXGDm3gibFyFqYObeCCNDSVEuSVFUNjAzODgwNTcuSVFfQ0RTX01JRC4xOS8wNy8yNgEAAADfyX0BAwAAAAAAwNAYXGDm3gi9ZSBqYObeCCNDSVEuSVFUNDYxOTk4NDEuSVFfQ0RTX01JRC4xOS8wNy8yNgEAAADrMAYAAwAAAAAAJvsYXGDm3gjlyCBqYObeCCRDSVEuSVFUMzEzMzEwMTg0LklRX0NEU19NSUQuMTgvMDcvMjYBAAAAYEQ+AAIAAAAHMTEuMDk4NwCjohhcYObe</t>
  </si>
  <si>
    <t>CC3xIGpg5t4II0NJUS5JUVQ0NjIxNDg3OS5JUV9DRFNfTUlELjE4LzA3LzI2AQAAAPUaNwACAAAABzUwLjkxMzQAwNAYXGDm3ghnUyFqYObeCCNDSVEuSVFUNDYyMDc3ODkuSVFfQ0RTX01JRC4xOS8wNy8yNgEAAAAqWKMBAgAAAAcyNi42ODc5AMDQGFxg5t4I14wgamDm3ggkQ0lRLklRVDI4NjA5NjEzMS5JUV9DRFNfTUlELjE5LzA3LzI2AQAAADvxBAACAAAABzYwLjY2NjcAJvsYXGDm3gjlyCBqYObeCCNDSVEuSVFUNDYyMTA1NjAuSVFfQ0RTX01JRC4xOC8wNy8yNgEAAAD2GjcAAgAAAAc4Ni45NTQxAKOiGFxg5t4ImxchamDm3ggjQ0lRLklRVDYyMjcwMTA3LklRX0NEU19NSUQuMTkvMDcvMjYBAAAAFVkAAAIAAAAHNDEuMzEyNQAm+xhcYObeCOXIIGpg5t4II0NJUS5JUVQ0NjIxMDAzMi5JUV9DRFNfTUlELjE5LzA3LzI2AQAAAI9VowECAAAABzM3LjMwNTEAwNAYXGDm3gjXjCBqYObeCCNDSVEuSVFUNDYyMjUzNzQuSVFfQ0RTX01JRC4xOS8wNy8yNgEAAAC11gUAAgAAAAczOS4wMzY3ACb7GFxg5t4I5cggamDm3ggjQ0lRLklRVDQ5NzUxMTk2LklRX0NEU19NSUQuMTgvMDcvMjYBAAAAzZm9AAIAAAAHNDEuODMzMwCjohhcYObeCJsXIWpg5t4II0NJUS5JUVQ0NjIyNTA4My5JUV9DRFNfTUlELjE5LzA3LzI2AQAAAFZEBgACAAAABDM2LjUAJvsYXGDm3gjlyCBqYObeCCNDSVEuSVFUNDYyMDczMDgu</t>
  </si>
  <si>
    <t>SVFfQ0RTX01JRC4xOC8wNy8yNgEAAAA5iXoBAgAAAAcxNC41NjI1AKOiGFxg5t4ImxchamDm3ggjQ0lRLklRVDQ2MjEzNDcyLklRX0NEU19NSUQuMTkvMDcvMjYBAAAAuVo4AAIAAAACMTUAwNAYXGDm3gjXjCBqYObeCCRDSVEuSVFUMjYzMjEzMTMyLklRX0NEU19NSUQuMTkvMDcvMjYBAAAA4ZoIAAIAAAAHNTUuODc5NAAm+xhcYObeCOXIIGpg5t4II0NJUS5JUVQ0NjE5NDk5NS5JUV9DRFNfTUlELjE4LzA3LzI2AQAAAG4QMQACAAAABTEwLjk4AKOiGFxg5t4ImxchamDm3ggjQ0lRLklRVDQ2MjIyMjkyLklRX0NEU19NSUQuMTgvMDcvMjYBAAAA0ZGbAQIAAAAINzYwLjgxNDgAwNAYXGDm3ghnUyFqYObeCCNDSVEuSVFUNDYyMTY5ODYuSVFfQ0RTX01JRC4xOS8wNy8yNgEAAADORDgBAwAAAAAAwNAYXGDm3gjXjCBqYObeCCRDSVEuSVFUMjU0OTU1MjMzLklRX0NEU19NSUQuMTkvMDcvMjYBAAAAOVYKAAIAAAAHNDMuMzM4NgAm+xhcYObeCOXIIGpg5t4II0NJUS5JUVQ0NjE5NjIyNS5JUV9DRFNfTUlELjE4LzA3LzI2AQAAAL5VowECAAAABjE3LjM3NQCjohhcYObeCJsXIWpg5t4II0NJUS5JUVQ0NjE5NzY5NC5JUV9DRFNfTUlELjE5LzA3LzI2AQAAAAf6BQACAAAABzUzLjY2OTIAwNAYXGDm3gjXjCBqYObeCCRDSVEuSVFUMzEzMzA1ODc5LklRX0NEU19NSUQuMTkvMDcvMjYBAAAAhNbcAQMAAAAAAMDQ</t>
  </si>
  <si>
    <t>GFxg5t4I14wgamDm3ggjQ0lRLklRVDQ2MjAwNDEyLklRX0NEU19NSUQuMTkvMDcvMjYBAAAAY0MGAAIAAAAHNDUuODMzMwAm+xhcYObeCOXIIGpg5t4II0NJUS5JUVQ0NjIwMzMzMi5JUV9DRFNfTUlELjE4LzA3LzI2AQAAAF8eNwACAAAABzExLjE2NjcAo6IYXGDm3gibFyFqYObeCCNDSVEuSVFUNDYyMjA4MDMuSVFfQ0RTX01JRC4xOS8wNy8yNgEAAADWyTYAAgAAAAc0Mi41MDA1AMDQGFxg5t4I14wgamDm3ggjQ0lRLklRVDQ2MjAwMzY0LklRX0NEU19NSUQuMTkvMDcvMjYBAAAAV4YIAAIAAAAFMjUuMTYAJvsYXGDm3gjlyCBqYObeCCNDSVEuSVFUNDYyMDQzMDAuSVFfQ0RTX01JRC4xOC8wNy8yNgEAAAD2JX0AAgAAAAY3LjEwMDkAo6IYXGDm3gibFyFqYObeCCNDSVEuSVFUNDYyMTg2NzQuSVFfQ0RTX01JRC4xOS8wNy8yNgEAAABXyjYAAgAAAAgxMjkuMjc4NQDA0BhcYObeCNeMIGpg5t4II0NJUS5JUVQ0NjIyNTcxNS5JUV9DRFNfTUlELjE5LzA3LzI2AQAAALflBAACAAAABzQzLjQzMzkAJvsYXGDm3gjlyCBqYObeCCNDSVEuSVFUNDYyMDQ4ODQuSVFfQ0RTX01JRC4xOC8wNy8yNgEAAACBUcABAgAAAAYyOS42MjUAo6IYXGDm3gibFyFqYObeCCNDSVEuSVFUNDYyMDAyNzYuSVFfQ0RTX01JRC4xOS8wNy8yNgEAAACWd3wBAgAAAAcyOS41MTAzAMDQGFxg5t4IqT4gamDm3ggjQ0lRLklRVDQ2MTk1</t>
  </si>
  <si>
    <t>NDkxLklRX0NEU19NSUQuMTkvMDcvMjYBAAAAaUoAAAIAAAAHNTUuNjE3NgDA0BhcYObeCNeMIGpg5t4II0NJUS5JUVQ3OTYzNDkwMS5JUV9DRFNfTUlELjE5LzA3LzI2AQAAAJwGEAACAAAABzQxLjA0MjUAJvsYXGDm3ggt8SBqYObeCCNDSVEuSVFUNDYyMDc1NzEuSVFfQ0RTX01JRC4xOC8wNy8yNgEAAABt7zUAAgAAAAczMC4yOTE3AKOiGFxg5t4ImxchamDm3ggjQ0lRLklRVDc5NjM5OTEzLklRX0NEU19NSUQuMTkvMDcvMjYBAAAAIGMcAgIAAAAFOC4xMjUAwNAYXGDm3gi9ZSBqYObeCCNDSVEuSVFUNDYyMDc4NzIuSVFfQ0RTX01JRC4xOS8wNy8yNgEAAABYDQoAAgAAAAc0MC44MDMyAMDQGFxg5t4I14wgamDm3ggjQ0lRLklRVDQ2MjAwMzE3LklRX0NEU19NSUQuMTkvMDcvMjYBAAAA/lQNAAIAAAAHNjMuNjUzMwCsAsdbYObeCC3xIGpg5t4IJENJUS5JUVQ2NDQ3MDE3OTcuSVFfQ0RTX01JRC4xOC8wNy8yNgEAAABTP30BAgAAAAcxMC4zODE3AKOiGFxg5t4ImxchamDm3ggjQ0lRLklRVDUxMDIzNDgwLklRX0NEU19NSUQuMTkvMDcvMjYBAAAAwkXxAQIAAAAGNC43NjI3AMDQGFxg5t4IvWUgamDm3ggjQ0lRLklRVDQ2MjA0OTU3LklRX0NEU19NSUQuMTkvMDcvMjYBAAAAIRUGAAIAAAAHNTUuMjY0MQDA0BhcYObeCNeMIGpg5t4II0NJUS5JUVQ2MjI3MDEwNi5JUV9DRFNfTUlELjE5LzA3LzI2AQAA</t>
  </si>
  <si>
    <t>AK13gwACAAAABzc1LjIxODEArALHW2Dm3ggt8SBqYObeCCNDSVEuSVFUNzk2NDAwMjQuSVFfQ0RTX01JRC4xOC8wNy8yNgEAAAA1j5sBAgAAAAY3LjgzMzMAZMoYXGDm3gibFyFqYObeCCNDSVEuSVFUNDYyMTQ4NzkuSVFfQ0RTX01JRC4xOS8wNy8yNgEAAAD1GjcAAgAAAAc1MC45MTM0AMDQGFxg5t4IvWUgamDm3ggjQ0lRLklRVDQ2NDcwODc3LklRX0NEU19NSUQuMTkvMDcvMjYBAAAAQjcHAAIAAAAGNTguMzE0AMDQGFxg5t4I14wgamDm3ggkQ0lRLklRVDMxMzMxMDg1NC5JUV9DRFNfTUlELjE5LzA3LzI2AQAAAK9UDQACAAAABzYxLjE2NjcArALHW2Dm3ggt8SBqYObeCCNDSVEuSVFUNDYyMTQ5NTQuSVFfQ0RTX01JRC4xOC8wNy8yNgEAAAA6PTkBAgAAAAQxNC40AGTKGFxg5t4ImxchamDm3ggjQ0lRLklRVDQ2MjEwNTYwLklRX0NEU19NSUQuMTMvMDcvMjYBAAAA9ho3AAIAAAAHODUuODQ4NQCjohhcYObeCJUxKWpg5t4II0NJUS5JUVQ0NjIxOTkyMi5JUV9DRFNfTUlELjEzLzA3LzI2AQAAANZHOQECAAAABjYuODI5MwDA0BhcYObeCON/KWpg5t4II0NJUS5JUVQ0NjIyMzY0Ni5JUV9DRFNfTUlELjEzLzA3LzI2AQAAABt4BAACAAAABzQ5LjI5NTkAwNAYXGDm3gj0zSlqYObeCCRDSVEuSVFUMzEzMzE0OTc2LklRX0NEU19NSUQuMTMvMDcvMjYBAAAAbUoAAAIAAAAENTYuNQAoJ8dbYObeCCr6KWpg</t>
  </si>
  <si>
    <t>5t4II0NJUS5JUVQ0NjIxODUxNi5JUV9DRFNfTUlELjA2LzA3LzI2AQAAAKZVowECAAAABzM4LjY2NzYAv84YXGDm3giJgShqYObeCCNDSVEuSVFUNDYyMjA4MDMuSVFfQ0RTX01JRC4wNi8wNy8yNgEAAADWyTYAAgAAAAc0MC4yMDgzAMDQGFxg5t4IqM8oamDm3ggjQ0lRLklRVDQ2MjAwMzY0LklRX0NEU19NSUQuMDYvMDcvMjYBAAAAV4YIAAIAAAAHMjQuNzE2NwAm+xhcYObeCGEKKWpg5t4II0NJUS5JUVQ0OTc1MTE5Ni5JUV9DRFNfTUlELjA2LzA3LzI2AQAAAM2ZvQACAAAABzQxLjg3NDQAo6IYXGDm3gh5WihqYObeCCNDSVEuSVFUNDYxOTcxMzguSVFfQ0RTX01JRC4xMy8wNy8yNgEAAADulDgBAgAAAAcxMjQuNzMyAKOiGFxg5t4IlTEpamDm3ggjQ0lRLklRVDQ2NDcwODc3LklRX0NEU19NSUQuMTMvMDcvMjYBAAAAQjcHAAIAAAAHNTUuNzY5MwDA0BhcYObeCPTNKWpg5t4II0NJUS5JUVQ0OTc1MTE5Ni5JUV9DRFNfTUlELjEzLzA3LzI2AQAAAM2ZvQACAAAABTQxLjc1AKOiGFxg5t4IlTEpamDm3ggjQ0lRLklRVDYwMzg5NTE2LklRX0NEU19NSUQuMTMvMDcvMjYBAAAApfDDAQIAAAAGNy4yNDA4AMDQGFxg5t4I438pamDm3ggkQ0lRLklRVDMyMzY4MDEzMC5JUV9DRFNfTUlELjEzLzA3LzI2AQAAAHHhAgACAAAABzUyLjg1NTMAwNAYXGDm3gj0zSlqYObeCCRDSVEuSVFUMzEzMzE1NDI5LklRX0NE</t>
  </si>
  <si>
    <t>U19NSUQuMTMvMDcvMjYBAAAAOecFAAIAAAAHNjIuMzMzMwAoJ8dbYObeCEkkKmpg5t4II0NJUS5JUVQ0NjIwNjc3OS5JUV9DRFNfTUlELjA2LzA3LzI2AQAAAPzvNgACAAAAAjE2AMDQGFxg5t4IiYEoamDm3ggjQ0lRLklRVDQ2MjE0OTU0LklRX0NEU19NSUQuMDYvMDcvMjYBAAAAOj05AQIAAAAHMTQuMTY2NwBkyhhcYObeCImBKGpg5t4II0NJUS5JUVQ0NjE5NDk5NS5JUV9DRFNfTUlELjEzLzA3LzI2AQAAAG4QMQACAAAABzEwLjk5OTgAo6IYXGDm3giVMSlqYObeCCNDSVEuSVFUNDYyMjIyOTIuSVFfQ0RTX01JRC4xMy8wNy8yNgEAAADRkZsBAgAAAAg3NjAuNDQ3MwDA0BhcYObeCON/KWpg5t4II0NJUS5JUVQ0NjIyNTAwNi5JUV9DRFNfTUlELjEzLzA3LzI2AQAAAPhVDQACAAAABzQxLjcwODIAk/gYXGDm3gj0zSlqYObeCCNDSVEuSVFUNDYyMjAzMjkuSVFfQ0RTX01JRC4xMy8wNy8yNgEAAADbWwAAAgAAAAQ1Ni41ACgnx1tg5t4IwCkqamDm3ggjQ0lRLklRVDQ2MjYyMzc4LklRX0NEU19NSUQuMDYvMDcvMjYBAAAAQNKJAQIAAAAGMTcuODc1AMDQGFxg5t4IiYEoamDm3ggjQ0lRLklRVDQ2MjA3MzA4LklRX0NEU19NSUQuMTMvMDcvMjYBAAAAOYl6AQIAAAAHMTQuMzMzMwCjohhcYObeCMNYKWpg5t4II0NJUS5JUVQ3OTYzNDkwMS5JUV9DRFNfTUlELjEzLzA3LzI2AQAAAJwGEAACAAAABzQxLjE0</t>
  </si>
  <si>
    <t>ODEAJvsYXGDm3ggq+ilqYObeCCNDSVEuSVFUNDYyMDAzMTcuSVFfQ0RTX01JRC4xMy8wNy8yNgEAAAD+VA0AAgAAAAc2NC41NDQ0AKwCx1tg5t4IKvopamDm3ggjQ0lRLklRVDQ2MjE0ODc5LklRX0NEU19NSUQuMTMvMDcvMjYBAAAA9Ro3AAIAAAAGNTAuNTU4AMDQGFxg5t4I438pamDm3ggjQ0lRLklRVDQ2MTk2MjI1LklRX0NEU19NSUQuMTMvMDcvMjYBAAAAvlWjAQIAAAAHMTcuMzMzMwCjohhcYObeCMNYKWpg5t4II0NJUS5JUVQ1MTAyMzI2MC5JUV9DRFNfTUlELjEzLzA3LzI2AQAAALERfwECAAAABzEzLjkwNzIAwNAYXGDm3gjjfylqYObeCCNDSVEuSVFUNDYyMjQ3NDAuSVFfQ0RTX01JRC4xMy8wNy8yNgEAAADTcggAAgAAAAYzMy43MjUAJvsYXGDm3gj0zSlqYObeCCRDSVEuSVFUMzEzMzE3MzQ0LklRX0NEU19NSUQuMTMvMDcvMjYBAAAA8awBAAIAAAAHNjAuNTAyMwAoJ8dbYObeCMApKmpg5t4II0NJUS5JUVQ0NjIwMDI3Ni5JUV9DRFNfTUlELjA2LzA3LzI2AQAAAJZ3fAECAAAABzI4LjUwOTEAwNAYXGDm3giJgShqYObeCCNDSVEuSVFUNzk2Mzk5MTMuSVFfQ0RTX01JRC4xMy8wNy8yNgEAAAAgYxwCAgAAAAY3LjkxMjcAwNAYXGDm3gjjfylqYObeCCNDSVEuSVFUNDYyMDMzMzIuSVFfQ0RTX01JRC4xMy8wNy8yNgEAAABfHjcAAgAAAAcxMS4zNzU0AKOiGFxg5t4Iw1gpamDm3ggjQ0lRLklR</t>
  </si>
  <si>
    <t>VDQ2MjE1MTExLklRX0NEU19NSUQuMTMvMDcvMjYBAAAAoEuyAQIAAAAHMzcuMzk4OQDA0BhcYObeCOamKWpg5t4II0NJUS5JUVQ0NjIyNjEzMi5JUV9DRFNfTUlELjEzLzA3LzI2AQAAAN1ZAAACAAAABTQxLjg2ACb7GFxg5t4I9M0pamDm3ggkQ0lRLklRVDMxMzMxMzUyNC5JUV9DRFNfTUlELjEzLzA3LzI2AQAAAO9VDQACAAAABzYwLjQ4MDEAKCfHW2Dm3gjAKSpqYObeCCNDSVEuSVFUNzk2Mzk5MTMuSVFfQ0RTX01JRC4wNi8wNy8yNgEAAAAgYxwCAgAAAAU4LjEyNQDA0BhcYObeCImBKGpg5t4II0NJUS5JUVQ0NjIxMDAzMi5JUV9DRFNfTUlELjEzLzA3LzI2AQAAAI9VowECAAAABzM2Ljg4NzMAwNAYXGDm3gjmpilqYObeCCNDSVEuSVFUNDYyMDM3MTQuSVFfQ0RTX01JRC4xMy8wNy8yNgEAAABfBTUAAgAAAAczMC44NTgxAKOiGFxg5t4Iw1gpamDm3ggjQ0lRLklRVDc5NjM5OTUzLklRX0NEU19NSUQuMTMvMDcvMjYBAAAANJtWAQIAAAAGMjQuODc4AMDQGFxg5t4I5qYpamDm3ggkQ0lRLklRVDUyODkzNjgxMi5JUV9DRFNfTUlELjEzLzA3LzI2AQAAAGxbBgACAAAABzQ2Ljg2NDMAJvsYXGDm3gj0zSlqYObeCCNDSVEuSVFUNDYxOTcxMzguSVFfQ0RTX01JRC4wNi8wNy8yNgEAAADulDgBAgAAAAcxMjQuODk3AKOiGFxg5t4IgTMoamDm3ggjQ0lRLklRVDUxMDIzNDgwLklRX0NEU19NSUQuMDYvMDcv</t>
  </si>
  <si>
    <t>MjYBAAAAwkXxAQIAAAAGNC43MDgyAMDQGFxg5t4IiYEoamDm3ggjQ0lRLklRVDQ2MjAzMzMyLklRX0NEU19NSUQuMDYvMDcvMjYBAAAAXx43AAIAAAAGMTEuMzc1AKOiGFxg5t4IeVooamDm3ggjQ0lRLklRVDQ2MjA0MzAwLklRX0NEU19NSUQuMTMvMDcvMjYBAAAA9iV9AAIAAAAGNy4wMDA1AKOiGFxg5t4Iw1gpamDm3ggjQ0lRLklRVDYwMzg4MDU3LklRX0NEU19NSUQuMTMvMDcvMjYBAAAA38l9AQMAAAAAAMDQGFxg5t4I5qYpamDm3ggjQ0lRLklRVDQ2MTk5ODQxLklRX0NEU19NSUQuMTMvMDcvMjYBAAAA6zAGAAMAAAAAACb7GFxg5t4I9M0pamDm3ggkQ0lRLklRVDMxMzMxMDE4NC5JUV9DRFNfTUlELjA2LzA3LzI2AQAAAGBEPgACAAAABzExLjM3ODcAo6IYXGDm3giBMyhqYObeCCNDSVEuSVFUNDYyMDQ4ODQuSVFfQ0RTX01JRC4xMy8wNy8yNgEAAACBUcABAgAAAAcyOS4xODI3AKOiGFxg5t4Iw1gpamDm3ggjQ0lRLklRVDQ2MjA3Nzg5LklRX0NEU19NSUQuMTMvMDcvMjYBAAAAKlijAQIAAAAHMjYuNjc5MQDA0BhcYObeCOamKWpg5t4IJENJUS5JUVQyODYwOTYxMzEuSVFfQ0RTX01JRC4xMy8wNy8yNgEAAAA78QQAAgAAAAc2MC43MDMzACb7GFxg5t4I9M0pamDm3ggjQ0lRLklRVDQ2MjEwNTYwLklRX0NEU19NSUQuMDYvMDcvMjYBAAAA9ho3AAIAAAAHODQuODA5NQCjohhcYObeCIEzKGpg5t4I</t>
  </si>
  <si>
    <t>I0NJUS5JUVQ0NjIyNTM3NC5JUV9DRFNfTUlELjEzLzA3LzI2AQAAALXWBQACAAAABTM4LjQ2ACb7GFxg5t4I9M0pamDm3ggjQ0lRLklRVDQ2MjA3NTcxLklRX0NEU19NSUQuMDYvMDcvMjYBAAAAbe81AAIAAAAHMjguNDM3NQCjohhcYObeCHlaKGpg5t4IJENJUS5JUVQ2NDQ3MDE3OTcuSVFfQ0RTX01JRC4wNi8wNy8yNgEAAABTP30BAgAAAAcxMC4wNzU0AGTKGFxg5t4IiYEoamDm3ggjQ0lRLklRVDc5NjQwMDI0LklRX0NEU19NSUQuMDYvMDcvMjYBAAAANY+bAQIAAAAGNy44MTI1AGTKGFxg5t4IiYEoamDm3ggjQ0lRLklRVDQ2MTk1NDkxLklRX0NEU19NSUQuMTMvMDcvMjYBAAAAaUoAAAIAAAAHNTQuMjI2NQDA0BhcYObeCPTNKWpg5t4II0NJUS5JUVQ0NjIwNDk1Ny5JUV9DRFNfTUlELjEzLzA3LzI2AQAAACEVBgACAAAABzU0LjEyNjIAwNAYXGDm3gj0zSlqYObeCCRDSVEuSVFUMzEzMzEwMTg0LklRX0NEU19NSUQuMTMvMDcvMjYBAAAAYEQ+AAIAAAAHMTEuMjAwOACjohhcYObeCJUxKWpg5t4II0NJUS5JUVQ0NjIwNzU3MS5JUV9DRFNfTUlELjEzLzA3LzI2AQAAAG3vNQACAAAABzI5LjE1MjcAo6IYXGDm3gjDWClqYObeCCNDSVEuSVFUNDYyMTM0NzIuSVFfQ0RTX01JRC4xMy8wNy8yNgEAAAC5WjgAAgAAAAYxNC45NzMAwNAYXGDm3gjmpilqYObeCCRDSVEuSVFUMjYzMjEzMTMyLklRX0NEU19N</t>
  </si>
  <si>
    <t>SUQuMTMvMDcvMjYBAAAA4ZoIAAIAAAAHNTUuMzI5NwAm+xhcYObeCAX1KWpg5t4II0NJUS5JUVQ0NjE5NDk5NS5JUV9DRFNfTUlELjA2LzA3LzI2AQAAAG4QMQACAAAAAjExAKOiGFxg5t4IeVooamDm3ggkQ0lRLklRVDY0NDcwMTc5Ny5JUV9DRFNfTUlELjEzLzA3LzI2AQAAAFM/fQECAAAABjkuOTk2OABkyhhcYObeCMNYKWpg5t4II0NJUS5JUVQ0NjIxNjk4Ni5JUV9DRFNfTUlELjEzLzA3LzI2AQAAAM5EOAEDAAAAAADA0BhcYObeCOamKWpg5t4IJENJUS5JUVQyNTQ5NTUyMzMuSVFfQ0RTX01JRC4xMy8wNy8yNgEAAAA5VgoAAgAAAAQ0My4xACb7GFxg5t4IKvopamDm3ggjQ0lRLklRVDQ2MTk2MjI1LklRX0NEU19NSUQuMDYvMDcvMjYBAAAAvlWjAQIAAAAGMTcuMzc1AKOiGFxg5t4IeVooamDm3ggjQ0lRLklRVDc5NjQwMDI0LklRX0NEU19NSUQuMTMvMDcvMjYBAAAANY+bAQIAAAADNy44AGTKGFxg5t4I438pamDm3ggkQ0lRLklRVDMxMzMwNTg3OS5JUV9DRFNfTUlELjEzLzA3LzI2AQAAAITW3AEDAAAAAADA0BhcYObeCOamKWpg5t4II0NJUS5JUVQ0NjIwMDQxMi5JUV9DRFNfTUlELjEzLzA3LzI2AQAAAGNDBgACAAAABzQ2LjQzMjUAJvsYXGDm3ggq+ilqYObeCCNDSVEuSVFUNjIyNzAxMDYuSVFfQ0RTX01JRC4xMy8wNy8yNgEAAACtd4MAAgAAAAc3NS4yMTM4AKwCx1tg5t4IKvopamDm3ggj</t>
  </si>
  <si>
    <t>Q0lRLklRVDQ2MjE0OTU0LklRX0NEU19NSUQuMTMvMDcvMjYBAAAAOj05AQIAAAAFMTQuMjUAZMoYXGDm3gjjfylqYObeCCNDSVEuSVFUNDYyMDg2MzQuSVFfQ0RTX01JRC4xMy8wNy8yNgEAAAADH8IAAgAAAAcyMi43NzM0AMDQGFxg5t4I5qYpamDm3ggjQ0lRLklRVDQ2MjI1MDgzLklRX0NEU19NSUQuMTMvMDcvMjYBAAAAVkQGAAIAAAAGMzcuMzc2ACb7GFxg5t4IKvopamDm3ggjQ0lRLklRVDQ2MjAzNzE0LklRX0NEU19NSUQuMDYvMDcvMjYBAAAAXwU1AAIAAAAHMjkuMDg2NQCjohhcYObeCHlaKGpg5t4II0NJUS5JUVQ0NjIwNzMwOC5JUV9DRFNfTUlELjA2LzA3LzI2AQAAADmJegECAAAAAjE0AKOiGFxg5t4IeVooamDm3ggjQ0lRLklRVDQ2MjAwMjc2LklRX0NEU19NSUQuMTMvMDcvMjYBAAAAlnd8AQIAAAAHMjguOTY5MwDA0BhcYObeCON/KWpg5t4II0NJUS5JUVQ0NjIxODUxNi5JUV9DRFNfTUlELjEzLzA3LzI2AQAAAKZVowECAAAABzM2LjE0OTMAv84YXGDm3gjjfylqYObeCCNDSVEuSVFUNDYyMjA4MDMuSVFfQ0RTX01JRC4xMy8wNy8yNgEAAADWyTYAAgAAAAc0MS4zNjc4AMDQGFxg5t4I5qYpamDm3ggjQ0lRLklRVDQ2MjAwMzY0LklRX0NEU19NSUQuMTMvMDcvMjYBAAAAV4YIAAIAAAAFMjQuOTgAJvsYXGDm3ggq+ilqYObeCCNDSVEuSVFUNDYyMDQzMDAuSVFfQ0RTX01JRC4wNi8wNy8y</t>
  </si>
  <si>
    <t>NgEAAAD2JX0AAgAAAAY3LjAwNDEAo6IYXGDm3gh5WihqYObeCCNDSVEuSVFUNTEwMjM0ODAuSVFfQ0RTX01JRC4xMy8wNy8yNgEAAADCRfEBAgAAAAY0LjQ5NTgAwNAYXGDm3gjjfylqYObeCCRDSVEuSVFUMzEzMzEwODU0LklRX0NEU19NSUQuMTMvMDcvMjYBAAAAr1QNAAIAAAAENjEuNQCsAsdbYObeCCr6KWpg5t4II0NJUS5JUVQ0NjIwNjc3OS5JUV9DRFNfTUlELjEzLzA3LzI2AQAAAPzvNgACAAAABzE2LjAyMDYAv84YXGDm3gjjfylqYObeCCNDSVEuSVFUNDYyMTg2NzQuSVFfQ0RTX01JRC4xMy8wNy8yNgEAAABXyjYAAgAAAAgxMjQuMzgxNgDA0BhcYObeCOamKWpg5t4II0NJUS5JUVQ0NjIyNTcxNS5JUV9DRFNfTUlELjEzLzA3LzI2AQAAALflBAACAAAABzQxLjE3MzcAJvsYXGDm3ggq+ilqYObeCCNDSVEuSVFUNDYyMDQ4ODQuSVFfQ0RTX01JRC4wNi8wNy8yNgEAAACBUcABAgAAAAcyOC41ODMzAKOiGFxg5t4IeVooamDm3ggjQ0lRLklRVDQ2MjYyMzc4LklRX0NEU19NSUQuMTMvMDcvMjYBAAAAQNKJAQIAAAAHMTcuODMzMwDA0BhcYObeCON/KWpg5t4II0NJUS5JUVQ0NjE5NzY5NC5JUV9DRFNfTUlELjEzLzA3LzI2AQAAAAf6BQACAAAABzUyLjA1MjEAwNAYXGDm3gjmpilqYObeCCNDSVEuSVFUNjIyNzAxMDcuSVFfQ0RTX01JRC4xMy8wNy8yNgEAAAAVWQAAAgAAAAc0MS4yNTE4ACb7GFxg</t>
  </si>
  <si>
    <t>5t4IKvopamDm3ggjQ0lRLklRVDQ2MjA3ODcyLklRX0NEU19NSUQuMTMvMDcvMjYBAAAAWA0KAAIAAAAHNDAuMDQ2OADA0BhcYObeCPTNKWpg5t4I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</si>
</sst>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;\-0;&quot;-&quot;"/>
    <numFmt numFmtId="165" formatCode="#,##0.0;\-#,##0.0;&quot;-&quot;"/>
    <numFmt numFmtId="166" formatCode="\+0.0%;\-0.0%;&quot;-&quot;"/>
    <numFmt numFmtId="167" formatCode="#,##0.0_ ;\-#,##0.0\ "/>
    <numFmt numFmtId="168" formatCode="#,##0.000_ ;\-#,##0.000\ "/>
    <numFmt numFmtId="169" formatCode="0.0;[Red]\(0.0\);\-"/>
    <numFmt numFmtId="170" formatCode="0.0%;[Red]\(0.0%\);\-"/>
  </numFmts>
  <fonts count="30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8"/>
      <color rgb="FF333333"/>
      <name val="Arial"/>
      <family val="2"/>
    </font>
    <font>
      <sz val="8"/>
      <color rgb="FF00000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8"/>
      <color rgb="FF333333"/>
      <name val="Arial"/>
      <family val="2"/>
    </font>
    <font>
      <i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0"/>
      <color rgb="FF14181F"/>
      <name val="Aptos Narrow"/>
      <family val="2"/>
      <scheme val="minor"/>
    </font>
    <font>
      <sz val="8"/>
      <color rgb="FF000000"/>
      <name val="Verdana"/>
      <family val="2"/>
    </font>
    <font>
      <sz val="12"/>
      <color theme="1"/>
      <name val="Tahoma"/>
      <family val="2"/>
    </font>
    <font>
      <b/>
      <sz val="12"/>
      <color theme="0"/>
      <name val="Tahoma"/>
      <family val="2"/>
    </font>
    <font>
      <sz val="11"/>
      <color rgb="FF14181F"/>
      <name val="Aptos Narrow"/>
      <family val="2"/>
      <scheme val="minor"/>
    </font>
    <font>
      <sz val="8"/>
      <color theme="1"/>
      <name val="Arial"/>
      <family val="2"/>
    </font>
    <font>
      <sz val="11"/>
      <color rgb="FF000000"/>
      <name val="Verdana"/>
      <family val="2"/>
    </font>
    <font>
      <sz val="5"/>
      <color rgb="FF000000"/>
      <name val="Verdana"/>
      <family val="2"/>
    </font>
    <font>
      <sz val="11"/>
      <color theme="1"/>
      <name val="Aptos Narrow"/>
      <family val="2"/>
      <scheme val="minor"/>
    </font>
    <font>
      <b/>
      <sz val="10"/>
      <color rgb="FF333333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 Unicode MS"/>
    </font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5C6B"/>
      </patternFill>
    </fill>
    <fill>
      <patternFill patternType="solid">
        <fgColor rgb="FF4AA8B8"/>
      </patternFill>
    </fill>
    <fill>
      <patternFill patternType="solid">
        <fgColor rgb="FF2F4F7F"/>
      </patternFill>
    </fill>
    <fill>
      <patternFill patternType="solid">
        <fgColor rgb="FFDCE9F5"/>
      </patternFill>
    </fill>
    <fill>
      <patternFill patternType="solid">
        <fgColor rgb="FFFFFFFF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96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23" fillId="0" borderId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 wrapText="1"/>
    </xf>
    <xf numFmtId="0" fontId="8" fillId="0" borderId="0" xfId="0" applyFont="1"/>
    <xf numFmtId="166" fontId="1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vertical="center"/>
    </xf>
    <xf numFmtId="165" fontId="1" fillId="8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/>
    </xf>
    <xf numFmtId="0" fontId="11" fillId="0" borderId="0" xfId="0" applyFont="1"/>
    <xf numFmtId="0" fontId="12" fillId="0" borderId="3" xfId="0" applyFont="1" applyBorder="1"/>
    <xf numFmtId="0" fontId="12" fillId="0" borderId="4" xfId="0" applyFont="1" applyBorder="1"/>
    <xf numFmtId="0" fontId="13" fillId="9" borderId="0" xfId="0" applyFont="1" applyFill="1"/>
    <xf numFmtId="0" fontId="12" fillId="0" borderId="0" xfId="0" applyFont="1"/>
    <xf numFmtId="14" fontId="0" fillId="0" borderId="0" xfId="0" applyNumberFormat="1"/>
    <xf numFmtId="165" fontId="14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" fontId="1" fillId="6" borderId="1" xfId="0" applyNumberFormat="1" applyFont="1" applyFill="1" applyBorder="1" applyAlignment="1">
      <alignment horizontal="center" vertical="center"/>
    </xf>
    <xf numFmtId="1" fontId="1" fillId="6" borderId="2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horizontal="center" vertical="center"/>
    </xf>
    <xf numFmtId="1" fontId="1" fillId="8" borderId="2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164" fontId="3" fillId="10" borderId="2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5" fillId="0" borderId="0" xfId="0" applyFont="1"/>
    <xf numFmtId="9" fontId="8" fillId="13" borderId="0" xfId="1" applyFont="1" applyFill="1" applyAlignment="1">
      <alignment horizontal="left"/>
    </xf>
    <xf numFmtId="9" fontId="21" fillId="12" borderId="0" xfId="1" applyFont="1" applyFill="1" applyBorder="1" applyAlignment="1">
      <alignment horizontal="left" vertical="center"/>
    </xf>
    <xf numFmtId="9" fontId="22" fillId="12" borderId="0" xfId="1" applyFont="1" applyFill="1" applyAlignment="1">
      <alignment horizontal="left" vertical="center"/>
    </xf>
    <xf numFmtId="9" fontId="22" fillId="13" borderId="0" xfId="1" applyFont="1" applyFill="1" applyAlignment="1">
      <alignment horizontal="left" vertical="center"/>
    </xf>
    <xf numFmtId="0" fontId="23" fillId="0" borderId="0" xfId="2"/>
    <xf numFmtId="0" fontId="23" fillId="0" borderId="0" xfId="2" applyAlignment="1">
      <alignment horizontal="center"/>
    </xf>
    <xf numFmtId="169" fontId="23" fillId="0" borderId="0" xfId="2" applyNumberFormat="1" applyAlignment="1">
      <alignment horizontal="right"/>
    </xf>
    <xf numFmtId="170" fontId="24" fillId="17" borderId="0" xfId="2" applyNumberFormat="1" applyFont="1" applyFill="1" applyAlignment="1">
      <alignment horizontal="right"/>
    </xf>
    <xf numFmtId="169" fontId="24" fillId="17" borderId="0" xfId="2" applyNumberFormat="1" applyFont="1" applyFill="1" applyAlignment="1">
      <alignment horizontal="right"/>
    </xf>
    <xf numFmtId="0" fontId="24" fillId="0" borderId="0" xfId="2" applyFont="1"/>
    <xf numFmtId="0" fontId="25" fillId="0" borderId="0" xfId="2" applyFont="1" applyAlignment="1">
      <alignment horizontal="center"/>
    </xf>
    <xf numFmtId="169" fontId="25" fillId="0" borderId="0" xfId="2" applyNumberFormat="1" applyFont="1" applyAlignment="1">
      <alignment horizontal="right"/>
    </xf>
    <xf numFmtId="0" fontId="23" fillId="15" borderId="0" xfId="2" applyFill="1"/>
    <xf numFmtId="0" fontId="23" fillId="19" borderId="0" xfId="2" applyFill="1"/>
    <xf numFmtId="0" fontId="23" fillId="16" borderId="0" xfId="2" applyFill="1"/>
    <xf numFmtId="0" fontId="23" fillId="14" borderId="0" xfId="2" applyFill="1"/>
    <xf numFmtId="0" fontId="27" fillId="20" borderId="0" xfId="2" applyFont="1" applyFill="1"/>
    <xf numFmtId="0" fontId="27" fillId="20" borderId="0" xfId="2" applyFont="1" applyFill="1" applyAlignment="1">
      <alignment horizontal="center" vertical="center" wrapText="1"/>
    </xf>
    <xf numFmtId="0" fontId="23" fillId="2" borderId="0" xfId="2" applyFill="1"/>
    <xf numFmtId="0" fontId="28" fillId="18" borderId="0" xfId="2" applyFont="1" applyFill="1"/>
    <xf numFmtId="9" fontId="24" fillId="17" borderId="0" xfId="2" applyNumberFormat="1" applyFont="1" applyFill="1"/>
    <xf numFmtId="0" fontId="6" fillId="2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0" borderId="2" xfId="0" applyBorder="1"/>
    <xf numFmtId="0" fontId="4" fillId="3" borderId="1" xfId="0" applyFont="1" applyFill="1" applyBorder="1" applyAlignment="1">
      <alignment horizontal="center" vertical="center"/>
    </xf>
    <xf numFmtId="0" fontId="26" fillId="18" borderId="0" xfId="2" applyFont="1" applyFill="1" applyAlignment="1">
      <alignment horizontal="left" vertical="center"/>
    </xf>
    <xf numFmtId="169" fontId="26" fillId="18" borderId="0" xfId="2" applyNumberFormat="1" applyFont="1" applyFill="1" applyAlignment="1">
      <alignment horizontal="left" vertical="center"/>
    </xf>
    <xf numFmtId="170" fontId="26" fillId="18" borderId="0" xfId="2" applyNumberFormat="1" applyFont="1" applyFill="1" applyAlignment="1">
      <alignment horizontal="left" vertical="center"/>
    </xf>
    <xf numFmtId="0" fontId="29" fillId="21" borderId="0" xfId="2" applyFont="1" applyFill="1" applyAlignment="1">
      <alignment horizontal="left" vertical="center"/>
    </xf>
    <xf numFmtId="0" fontId="27" fillId="21" borderId="0" xfId="2" applyFont="1" applyFill="1" applyAlignment="1">
      <alignment horizontal="left"/>
    </xf>
  </cellXfs>
  <cellStyles count="3">
    <cellStyle name="Normal" xfId="0" builtinId="0"/>
    <cellStyle name="Normal 2" xfId="2" xr:uid="{A1D5D424-D9FE-4AC9-A874-619309FC9078}"/>
    <cellStyle name="Percent" xfId="1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250.15</v>
        <stp/>
        <stp>198</stp>
        <stp>19094515</stp>
        <tr r="I39" s="1"/>
        <tr r="I39" s="1"/>
      </tp>
      <tp>
        <v>255.15</v>
        <stp/>
        <stp>199</stp>
        <stp>19094515</stp>
        <tr r="J39" s="1"/>
      </tp>
      <tp>
        <v>75.760000000000005</v>
        <stp/>
        <stp>196</stp>
        <stp>19094515</stp>
        <tr r="K38" s="1"/>
        <tr r="K38" s="1"/>
      </tp>
      <tp>
        <v>255.15</v>
        <stp/>
        <stp>197</stp>
        <stp>19094515</stp>
        <tr r="I39" s="1"/>
      </tp>
      <tp>
        <v>252.99</v>
        <stp/>
        <stp>194</stp>
        <stp>19094515</stp>
        <tr r="H39" s="1"/>
        <tr r="H39" s="1"/>
      </tp>
      <tp>
        <v>125.28</v>
        <stp/>
        <stp>195</stp>
        <stp>19094515</stp>
        <tr r="K38" s="1"/>
      </tp>
      <tp>
        <v>123.49</v>
        <stp/>
        <stp>192</stp>
        <stp>19094515</stp>
        <tr r="I38" s="1"/>
        <tr r="I38" s="1"/>
      </tp>
      <tp>
        <v>255.15</v>
        <stp/>
        <stp>193</stp>
        <stp>19094515</stp>
        <tr r="H39" s="1"/>
      </tp>
      <tp>
        <v>104.89</v>
        <stp/>
        <stp>190</stp>
        <stp>19094515</stp>
        <tr r="J38" s="1"/>
        <tr r="J38" s="1"/>
      </tp>
      <tp>
        <v>125.28</v>
        <stp/>
        <stp>191</stp>
        <stp>19094515</stp>
        <tr r="I38" s="1"/>
      </tp>
      <tp>
        <v>124.47</v>
        <stp/>
        <stp>188</stp>
        <stp>19094515</stp>
        <tr r="H38" s="1"/>
        <tr r="H38" s="1"/>
      </tp>
      <tp>
        <v>125.28</v>
        <stp/>
        <stp>189</stp>
        <stp>19094515</stp>
        <tr r="J38" s="1"/>
      </tp>
      <tp>
        <v>933.8</v>
        <stp/>
        <stp>186</stp>
        <stp>19094515</stp>
        <tr r="K36" s="1"/>
        <tr r="K36" s="1"/>
      </tp>
      <tp>
        <v>125.28</v>
        <stp/>
        <stp>187</stp>
        <stp>19094515</stp>
        <tr r="H38" s="1"/>
      </tp>
      <tp>
        <v>1341</v>
        <stp/>
        <stp>184</stp>
        <stp>19094515</stp>
        <tr r="J36" s="1"/>
        <tr r="J36" s="1"/>
      </tp>
      <tp>
        <v>1520</v>
        <stp/>
        <stp>185</stp>
        <stp>19094515</stp>
        <tr r="K36" s="1"/>
      </tp>
      <tp>
        <v>1490</v>
        <stp/>
        <stp>182</stp>
        <stp>19094515</stp>
        <tr r="I36" s="1"/>
        <tr r="I36" s="1"/>
      </tp>
      <tp>
        <v>1520</v>
        <stp/>
        <stp>183</stp>
        <stp>19094515</stp>
        <tr r="J36" s="1"/>
      </tp>
      <tp>
        <v>1542.5</v>
        <stp/>
        <stp>180</stp>
        <stp>19094515</stp>
        <tr r="H36" s="1"/>
        <tr r="H36" s="1"/>
      </tp>
      <tp>
        <v>1520</v>
        <stp/>
        <stp>181</stp>
        <stp>19094515</stp>
        <tr r="I36" s="1"/>
      </tp>
      <tp>
        <v>2150</v>
        <stp/>
        <stp>118</stp>
        <stp>19094515</stp>
        <tr r="I25" s="1"/>
        <tr r="I25" s="1"/>
      </tp>
      <tp>
        <v>101.01</v>
        <stp/>
        <stp>218</stp>
        <stp>19094515</stp>
        <tr r="K41" s="1"/>
        <tr r="K41" s="1"/>
      </tp>
      <tp>
        <v>2103</v>
        <stp/>
        <stp>119</stp>
        <stp>19094515</stp>
        <tr r="J25" s="1"/>
      </tp>
      <tp>
        <v>60.128</v>
        <stp/>
        <stp>219</stp>
        <stp>19094515</stp>
        <tr r="D42" s="1"/>
      </tp>
      <tp>
        <v>2100</v>
        <stp/>
        <stp>116</stp>
        <stp>19094515</stp>
        <tr r="H25" s="1"/>
        <tr r="H25" s="1"/>
      </tp>
      <tp>
        <v>145.41</v>
        <stp/>
        <stp>216</stp>
        <stp>19094515</stp>
        <tr r="J41" s="1"/>
        <tr r="J41" s="1"/>
      </tp>
      <tp>
        <v>2103</v>
        <stp/>
        <stp>117</stp>
        <stp>19094515</stp>
        <tr r="I25" s="1"/>
      </tp>
      <tp>
        <v>173.31</v>
        <stp/>
        <stp>217</stp>
        <stp>19094515</stp>
        <tr r="K41" s="1"/>
      </tp>
      <tp>
        <v>496.2</v>
        <stp/>
        <stp>114</stp>
        <stp>19094515</stp>
        <tr r="K24" s="1"/>
        <tr r="K24" s="1"/>
      </tp>
      <tp>
        <v>171.32</v>
        <stp/>
        <stp>214</stp>
        <stp>19094515</stp>
        <tr r="I41" s="1"/>
        <tr r="I41" s="1"/>
      </tp>
      <tp>
        <v>2103</v>
        <stp/>
        <stp>115</stp>
        <stp>19094515</stp>
        <tr r="H25" s="1"/>
      </tp>
      <tp>
        <v>173.31</v>
        <stp/>
        <stp>215</stp>
        <stp>19094515</stp>
        <tr r="J41" s="1"/>
      </tp>
      <tp>
        <v>607.20000000000005</v>
        <stp/>
        <stp>112</stp>
        <stp>19094515</stp>
        <tr r="J24" s="1"/>
        <tr r="J24" s="1"/>
      </tp>
      <tp>
        <v>170.69</v>
        <stp/>
        <stp>212</stp>
        <stp>19094515</stp>
        <tr r="H41" s="1"/>
        <tr r="H41" s="1"/>
      </tp>
      <tp>
        <v>669.4</v>
        <stp/>
        <stp>113</stp>
        <stp>19094515</stp>
        <tr r="K24" s="1"/>
      </tp>
      <tp>
        <v>173.31</v>
        <stp/>
        <stp>213</stp>
        <stp>19094515</stp>
        <tr r="I41" s="1"/>
      </tp>
      <tp>
        <v>686.4</v>
        <stp/>
        <stp>110</stp>
        <stp>19094515</stp>
        <tr r="I24" s="1"/>
        <tr r="I24" s="1"/>
      </tp>
      <tp>
        <v>100.61</v>
        <stp/>
        <stp>210</stp>
        <stp>19094515</stp>
        <tr r="K40" s="1"/>
        <tr r="K40" s="1"/>
      </tp>
      <tp>
        <v>669.4</v>
        <stp/>
        <stp>111</stp>
        <stp>19094515</stp>
        <tr r="J24" s="1"/>
      </tp>
      <tp>
        <v>173.31</v>
        <stp/>
        <stp>211</stp>
        <stp>19094515</stp>
        <tr r="H41" s="1"/>
      </tp>
      <tp>
        <v>655</v>
        <stp/>
        <stp>108</stp>
        <stp>19094515</stp>
        <tr r="H24" s="1"/>
        <tr r="H24" s="1"/>
      </tp>
      <tp>
        <v>150.38999999999999</v>
        <stp/>
        <stp>208</stp>
        <stp>19094515</stp>
        <tr r="J40" s="1"/>
        <tr r="J40" s="1"/>
      </tp>
      <tp>
        <v>669.4</v>
        <stp/>
        <stp>109</stp>
        <stp>19094515</stp>
        <tr r="I24" s="1"/>
      </tp>
      <tp>
        <v>169.94</v>
        <stp/>
        <stp>209</stp>
        <stp>19094515</stp>
        <tr r="K40" s="1"/>
      </tp>
      <tp>
        <v>933</v>
        <stp/>
        <stp>106</stp>
        <stp>19094515</stp>
        <tr r="K23" s="1"/>
        <tr r="K23" s="1"/>
      </tp>
      <tp>
        <v>163.77000000000001</v>
        <stp/>
        <stp>206</stp>
        <stp>19094515</stp>
        <tr r="I40" s="1"/>
        <tr r="I40" s="1"/>
      </tp>
      <tp>
        <v>669.4</v>
        <stp/>
        <stp>107</stp>
        <stp>19094515</stp>
        <tr r="H24" s="1"/>
      </tp>
      <tp>
        <v>169.94</v>
        <stp/>
        <stp>207</stp>
        <stp>19094515</stp>
        <tr r="J40" s="1"/>
      </tp>
      <tp>
        <v>1349.6</v>
        <stp/>
        <stp>104</stp>
        <stp>19094515</stp>
        <tr r="J23" s="1"/>
        <tr r="J23" s="1"/>
      </tp>
      <tp>
        <v>165.97</v>
        <stp/>
        <stp>204</stp>
        <stp>19094515</stp>
        <tr r="H40" s="1"/>
        <tr r="H40" s="1"/>
      </tp>
      <tp>
        <v>1492.2</v>
        <stp/>
        <stp>105</stp>
        <stp>19094515</stp>
        <tr r="K23" s="1"/>
      </tp>
      <tp>
        <v>169.94</v>
        <stp/>
        <stp>205</stp>
        <stp>19094515</stp>
        <tr r="I40" s="1"/>
      </tp>
      <tp>
        <v>1465.6</v>
        <stp/>
        <stp>102</stp>
        <stp>19094515</stp>
        <tr r="I23" s="1"/>
        <tr r="I23" s="1"/>
      </tp>
      <tp>
        <v>156.85</v>
        <stp/>
        <stp>202</stp>
        <stp>19094515</stp>
        <tr r="K39" s="1"/>
        <tr r="K39" s="1"/>
      </tp>
      <tp>
        <v>1492.2</v>
        <stp/>
        <stp>103</stp>
        <stp>19094515</stp>
        <tr r="J23" s="1"/>
      </tp>
      <tp>
        <v>169.94</v>
        <stp/>
        <stp>203</stp>
        <stp>19094515</stp>
        <tr r="H40" s="1"/>
      </tp>
      <tp>
        <v>1462</v>
        <stp/>
        <stp>100</stp>
        <stp>19094515</stp>
        <tr r="H23" s="1"/>
        <tr r="H23" s="1"/>
      </tp>
      <tp>
        <v>209.61</v>
        <stp/>
        <stp>200</stp>
        <stp>19094515</stp>
        <tr r="J39" s="1"/>
        <tr r="J39" s="1"/>
      </tp>
      <tp>
        <v>1492.2</v>
        <stp/>
        <stp>101</stp>
        <stp>19094515</stp>
        <tr r="I23" s="1"/>
      </tp>
      <tp>
        <v>255.15</v>
        <stp/>
        <stp>201</stp>
        <stp>19094515</stp>
        <tr r="K39" s="1"/>
      </tp>
      <tp>
        <v>28.2</v>
        <stp/>
        <stp>138</stp>
        <stp>19094515</stp>
        <tr r="K28" s="1"/>
        <tr r="K28" s="1"/>
      </tp>
      <tp>
        <v>31.29</v>
        <stp/>
        <stp>238</stp>
        <stp>19094515</stp>
        <tr r="K44" s="1"/>
        <tr r="K44" s="1"/>
      </tp>
      <tp>
        <v>367.6</v>
        <stp/>
        <stp>139</stp>
        <stp>19094515</stp>
        <tr r="H30" s="1"/>
      </tp>
      <tp>
        <v>40.18</v>
        <stp/>
        <stp>239</stp>
        <stp>19094515</stp>
        <tr r="H44" s="1"/>
      </tp>
      <tp>
        <v>36.479999999999997</v>
        <stp/>
        <stp>136</stp>
        <stp>19094515</stp>
        <tr r="J28" s="1"/>
        <tr r="J28" s="1"/>
      </tp>
      <tp>
        <v>40.28</v>
        <stp/>
        <stp>236</stp>
        <stp>19094515</stp>
        <tr r="J44" s="1"/>
        <tr r="J44" s="1"/>
      </tp>
      <tp>
        <v>36.85</v>
        <stp/>
        <stp>137</stp>
        <stp>19094515</stp>
        <tr r="K28" s="1"/>
      </tp>
      <tp>
        <v>40.18</v>
        <stp/>
        <stp>237</stp>
        <stp>19094515</stp>
        <tr r="K44" s="1"/>
      </tp>
      <tp>
        <v>38.17</v>
        <stp/>
        <stp>134</stp>
        <stp>19094515</stp>
        <tr r="I28" s="1"/>
        <tr r="I28" s="1"/>
      </tp>
      <tp>
        <v>203.68</v>
        <stp/>
        <stp>234</stp>
        <stp>19094515</stp>
        <tr r="J43" s="1"/>
        <tr r="J43" s="1"/>
      </tp>
      <tp>
        <v>36.85</v>
        <stp/>
        <stp>135</stp>
        <stp>19094515</stp>
        <tr r="J28" s="1"/>
      </tp>
      <tp>
        <v>40.18</v>
        <stp/>
        <stp>235</stp>
        <stp>19094515</stp>
        <tr r="J44" s="1"/>
      </tp>
      <tp>
        <v>38.85</v>
        <stp/>
        <stp>132</stp>
        <stp>19094515</stp>
        <tr r="H28" s="1"/>
        <tr r="H28" s="1"/>
      </tp>
      <tp>
        <v>226.75</v>
        <stp/>
        <stp>232</stp>
        <stp>19094515</stp>
        <tr r="I43" s="1"/>
        <tr r="I43" s="1"/>
      </tp>
      <tp>
        <v>36.85</v>
        <stp/>
        <stp>133</stp>
        <stp>19094515</stp>
        <tr r="I28" s="1"/>
      </tp>
      <tp>
        <v>234.06</v>
        <stp/>
        <stp>233</stp>
        <stp>19094515</stp>
        <tr r="J43" s="1"/>
      </tp>
      <tp>
        <v>25.855</v>
        <stp/>
        <stp>130</stp>
        <stp>19094515</stp>
        <tr r="K27" s="1"/>
        <tr r="K27" s="1"/>
      </tp>
      <tp>
        <v>228.33</v>
        <stp/>
        <stp>230</stp>
        <stp>19094515</stp>
        <tr r="H43" s="1"/>
        <tr r="H43" s="1"/>
      </tp>
      <tp>
        <v>36.85</v>
        <stp/>
        <stp>131</stp>
        <stp>19094515</stp>
        <tr r="H28" s="1"/>
      </tp>
      <tp>
        <v>234.06</v>
        <stp/>
        <stp>231</stp>
        <stp>19094515</stp>
        <tr r="I43" s="1"/>
      </tp>
      <tp>
        <v>28.28</v>
        <stp/>
        <stp>128</stp>
        <stp>19094515</stp>
        <tr r="J27" s="1"/>
        <tr r="J27" s="1"/>
      </tp>
      <tp>
        <v>182.14</v>
        <stp/>
        <stp>228</stp>
        <stp>19094515</stp>
        <tr r="K42" s="1"/>
        <tr r="K42" s="1"/>
      </tp>
      <tp>
        <v>30.835000000000001</v>
        <stp/>
        <stp>129</stp>
        <stp>19094515</stp>
        <tr r="K27" s="1"/>
      </tp>
      <tp>
        <v>234.06</v>
        <stp/>
        <stp>229</stp>
        <stp>19094515</stp>
        <tr r="H43" s="1"/>
      </tp>
      <tp>
        <v>32.295000000000002</v>
        <stp/>
        <stp>126</stp>
        <stp>19094515</stp>
        <tr r="I27" s="1"/>
        <tr r="I27" s="1"/>
      </tp>
      <tp>
        <v>245.85</v>
        <stp/>
        <stp>226</stp>
        <stp>19094515</stp>
        <tr r="J42" s="1"/>
        <tr r="J42" s="1"/>
      </tp>
      <tp>
        <v>30.835000000000001</v>
        <stp/>
        <stp>127</stp>
        <stp>19094515</stp>
        <tr r="J27" s="1"/>
      </tp>
      <tp>
        <v>302.13</v>
        <stp/>
        <stp>227</stp>
        <stp>19094515</stp>
        <tr r="K42" s="1"/>
      </tp>
      <tp>
        <v>1339.5</v>
        <stp/>
        <stp>124</stp>
        <stp>19094515</stp>
        <tr r="K25" s="1"/>
        <tr r="K25" s="1"/>
      </tp>
      <tp>
        <v>295.29000000000002</v>
        <stp/>
        <stp>224</stp>
        <stp>19094515</stp>
        <tr r="I42" s="1"/>
        <tr r="I42" s="1"/>
      </tp>
      <tp>
        <v>30.835000000000001</v>
        <stp/>
        <stp>125</stp>
        <stp>19094515</stp>
        <tr r="I27" s="1"/>
      </tp>
      <tp>
        <v>302.13</v>
        <stp/>
        <stp>225</stp>
        <stp>19094515</stp>
        <tr r="J42" s="1"/>
      </tp>
      <tp>
        <v>31</v>
        <stp/>
        <stp>122</stp>
        <stp>19094515</stp>
        <tr r="H27" s="1"/>
        <tr r="H27" s="1"/>
      </tp>
      <tp>
        <v>297.86</v>
        <stp/>
        <stp>222</stp>
        <stp>19094515</stp>
        <tr r="H42" s="1"/>
        <tr r="H42" s="1"/>
      </tp>
      <tp>
        <v>2103</v>
        <stp/>
        <stp>123</stp>
        <stp>19094515</stp>
        <tr r="K25" s="1"/>
      </tp>
      <tp>
        <v>302.13</v>
        <stp/>
        <stp>223</stp>
        <stp>19094515</stp>
        <tr r="I42" s="1"/>
      </tp>
      <tp>
        <v>1802</v>
        <stp/>
        <stp>120</stp>
        <stp>19094515</stp>
        <tr r="J25" s="1"/>
        <tr r="J25" s="1"/>
      </tp>
      <tp>
        <v>3.9E-2</v>
        <stp/>
        <stp>220</stp>
        <stp>19094515</stp>
        <tr r="D42" s="1"/>
        <tr r="D42" s="1"/>
      </tp>
      <tp>
        <v>30.835000000000001</v>
        <stp/>
        <stp>121</stp>
        <stp>19094515</stp>
        <tr r="H27" s="1"/>
      </tp>
      <tp>
        <v>302.13</v>
        <stp/>
        <stp>221</stp>
        <stp>19094515</stp>
        <tr r="H42" s="1"/>
      </tp>
      <tp>
        <v>6800</v>
        <stp/>
        <stp>158</stp>
        <stp>19094515</stp>
        <tr r="I33" s="1"/>
        <tr r="I33" s="1"/>
      </tp>
      <tp>
        <v>6721</v>
        <stp/>
        <stp>159</stp>
        <stp>19094515</stp>
        <tr r="J33" s="1"/>
      </tp>
      <tp>
        <v>6925</v>
        <stp/>
        <stp>156</stp>
        <stp>19094515</stp>
        <tr r="H33" s="1"/>
        <tr r="H33" s="1"/>
      </tp>
      <tp>
        <v>6721</v>
        <stp/>
        <stp>157</stp>
        <stp>19094515</stp>
        <tr r="I33" s="1"/>
      </tp>
      <tp>
        <v>1968</v>
        <stp/>
        <stp>154</stp>
        <stp>19094515</stp>
        <tr r="K32" s="1"/>
        <tr r="K32" s="1"/>
      </tp>
      <tp>
        <v>6721</v>
        <stp/>
        <stp>155</stp>
        <stp>19094515</stp>
        <tr r="H33" s="1"/>
      </tp>
      <tp>
        <v>3370</v>
        <stp/>
        <stp>152</stp>
        <stp>19094515</stp>
        <tr r="I32" s="1"/>
        <tr r="I32" s="1"/>
      </tp>
      <tp>
        <v>3473</v>
        <stp/>
        <stp>153</stp>
        <stp>19094515</stp>
        <tr r="K32" s="1"/>
      </tp>
      <tp>
        <v>2870.5</v>
        <stp/>
        <stp>150</stp>
        <stp>19094515</stp>
        <tr r="J32" s="1"/>
        <tr r="J32" s="1"/>
      </tp>
      <tp>
        <v>3473</v>
        <stp/>
        <stp>151</stp>
        <stp>19094515</stp>
        <tr r="I32" s="1"/>
      </tp>
      <tp>
        <v>3541</v>
        <stp/>
        <stp>148</stp>
        <stp>19094515</stp>
        <tr r="H32" s="1"/>
        <tr r="H32" s="1"/>
      </tp>
      <tp>
        <v>3473</v>
        <stp/>
        <stp>149</stp>
        <stp>19094515</stp>
        <tr r="J32" s="1"/>
      </tp>
      <tp>
        <v>254.9</v>
        <stp/>
        <stp>146</stp>
        <stp>19094515</stp>
        <tr r="K30" s="1"/>
        <tr r="K30" s="1"/>
      </tp>
      <tp>
        <v>40.18</v>
        <stp/>
        <stp>246</stp>
        <stp>19094515</stp>
        <tr r="I44" s="1"/>
      </tp>
      <tp>
        <v>3473</v>
        <stp/>
        <stp>147</stp>
        <stp>19094515</stp>
        <tr r="H32" s="1"/>
      </tp>
      <tp>
        <v>40.21</v>
        <stp/>
        <stp>247</stp>
        <stp>19094515</stp>
        <tr r="I44" s="1"/>
        <tr r="I44" s="1"/>
      </tp>
      <tp>
        <v>331.6</v>
        <stp/>
        <stp>144</stp>
        <stp>19094515</stp>
        <tr r="J30" s="1"/>
        <tr r="J30" s="1"/>
      </tp>
      <tp t="s">
        <v>The record could not be found (Error code: 0)</v>
        <stp/>
        <stp>244</stp>
        <stp>19094515</stp>
        <tr r="D44" s="1"/>
      </tp>
      <tp>
        <v>367.6</v>
        <stp/>
        <stp>145</stp>
        <stp>19094515</stp>
        <tr r="K30" s="1"/>
      </tp>
      <tp t="s">
        <v>The record could not be found (Error code: 0)</v>
        <stp/>
        <stp>245</stp>
        <stp>19094515</stp>
        <tr r="D44" s="1"/>
        <tr r="D44" s="1"/>
      </tp>
      <tp>
        <v>367.2</v>
        <stp/>
        <stp>142</stp>
        <stp>19094515</stp>
        <tr r="I30" s="1"/>
        <tr r="I30" s="1"/>
      </tp>
      <tp>
        <v>143.36000000000001</v>
        <stp/>
        <stp>242</stp>
        <stp>19094515</stp>
        <tr r="K43" s="1"/>
        <tr r="K43" s="1"/>
      </tp>
      <tp>
        <v>367.6</v>
        <stp/>
        <stp>143</stp>
        <stp>19094515</stp>
        <tr r="J30" s="1"/>
      </tp>
      <tp t="s">
        <v>The record could not be found (Error code: 0)</v>
        <stp/>
        <stp>243</stp>
        <stp>19094515</stp>
        <tr r="C44" s="1"/>
      </tp>
      <tp>
        <v>365.7</v>
        <stp/>
        <stp>140</stp>
        <stp>19094515</stp>
        <tr r="H30" s="1"/>
        <tr r="H30" s="1"/>
      </tp>
      <tp>
        <v>40.28</v>
        <stp/>
        <stp>240</stp>
        <stp>19094515</stp>
        <tr r="H44" s="1"/>
        <tr r="H44" s="1"/>
      </tp>
      <tp>
        <v>367.6</v>
        <stp/>
        <stp>141</stp>
        <stp>19094515</stp>
        <tr r="I30" s="1"/>
      </tp>
      <tp>
        <v>234.06</v>
        <stp/>
        <stp>241</stp>
        <stp>19094515</stp>
        <tr r="K43" s="1"/>
      </tp>
      <tp>
        <v>1016</v>
        <stp/>
        <stp>178</stp>
        <stp>19094515</stp>
        <tr r="K35" s="1"/>
        <tr r="K35" s="1"/>
      </tp>
      <tp>
        <v>1520</v>
        <stp/>
        <stp>179</stp>
        <stp>19094515</stp>
        <tr r="H36" s="1"/>
      </tp>
      <tp>
        <v>1523.5</v>
        <stp/>
        <stp>176</stp>
        <stp>19094515</stp>
        <tr r="J35" s="1"/>
        <tr r="J35" s="1"/>
      </tp>
      <tp>
        <v>1779.5</v>
        <stp/>
        <stp>177</stp>
        <stp>19094515</stp>
        <tr r="K35" s="1"/>
      </tp>
      <tp>
        <v>1713.5</v>
        <stp/>
        <stp>174</stp>
        <stp>19094515</stp>
        <tr r="I35" s="1"/>
        <tr r="I35" s="1"/>
      </tp>
      <tp>
        <v>1779.5</v>
        <stp/>
        <stp>175</stp>
        <stp>19094515</stp>
        <tr r="J35" s="1"/>
      </tp>
      <tp>
        <v>1777</v>
        <stp/>
        <stp>172</stp>
        <stp>19094515</stp>
        <tr r="H35" s="1"/>
        <tr r="H35" s="1"/>
      </tp>
      <tp>
        <v>1779.5</v>
        <stp/>
        <stp>173</stp>
        <stp>19094515</stp>
        <tr r="I35" s="1"/>
      </tp>
      <tp>
        <v>4126</v>
        <stp/>
        <stp>170</stp>
        <stp>19094515</stp>
        <tr r="K34" s="1"/>
        <tr r="K34" s="1"/>
      </tp>
      <tp>
        <v>1779.5</v>
        <stp/>
        <stp>171</stp>
        <stp>19094515</stp>
        <tr r="H35" s="1"/>
      </tp>
      <tp>
        <v>6775</v>
        <stp/>
        <stp>168</stp>
        <stp>19094515</stp>
        <tr r="J34" s="1"/>
        <tr r="J34" s="1"/>
      </tp>
      <tp>
        <v>7930</v>
        <stp/>
        <stp>169</stp>
        <stp>19094515</stp>
        <tr r="K34" s="1"/>
      </tp>
      <tp>
        <v>8195</v>
        <stp/>
        <stp>166</stp>
        <stp>19094515</stp>
        <tr r="I34" s="1"/>
        <tr r="I34" s="1"/>
      </tp>
      <tp>
        <v>7930</v>
        <stp/>
        <stp>167</stp>
        <stp>19094515</stp>
        <tr r="J34" s="1"/>
      </tp>
      <tp>
        <v>8417</v>
        <stp/>
        <stp>164</stp>
        <stp>19094515</stp>
        <tr r="H34" s="1"/>
        <tr r="H34" s="1"/>
      </tp>
      <tp>
        <v>7930</v>
        <stp/>
        <stp>165</stp>
        <stp>19094515</stp>
        <tr r="I34" s="1"/>
      </tp>
      <tp>
        <v>3598</v>
        <stp/>
        <stp>162</stp>
        <stp>19094515</stp>
        <tr r="K33" s="1"/>
        <tr r="K33" s="1"/>
      </tp>
      <tp>
        <v>7930</v>
        <stp/>
        <stp>163</stp>
        <stp>19094515</stp>
        <tr r="H34" s="1"/>
      </tp>
      <tp>
        <v>5575</v>
        <stp/>
        <stp>160</stp>
        <stp>19094515</stp>
        <tr r="J33" s="1"/>
        <tr r="J33" s="1"/>
      </tp>
      <tp>
        <v>6721</v>
        <stp/>
        <stp>161</stp>
        <stp>19094515</stp>
        <tr r="K33" s="1"/>
      </tp>
      <tp>
        <v>529.5</v>
        <stp/>
        <stp>94</stp>
        <stp>19094515</stp>
        <tr r="I22" s="1"/>
        <tr r="I22" s="1"/>
      </tp>
      <tp>
        <v>516.70000000000005</v>
        <stp/>
        <stp>95</stp>
        <stp>19094515</stp>
        <tr r="J22" s="1"/>
      </tp>
      <tp>
        <v>442.8</v>
        <stp/>
        <stp>96</stp>
        <stp>19094515</stp>
        <tr r="J22" s="1"/>
        <tr r="J22" s="1"/>
      </tp>
      <tp>
        <v>516.70000000000005</v>
        <stp/>
        <stp>97</stp>
        <stp>19094515</stp>
        <tr r="K22" s="1"/>
      </tp>
      <tp>
        <v>510</v>
        <stp/>
        <stp>90</stp>
        <stp>19094515</stp>
        <tr r="H22" s="1"/>
        <tr r="H22" s="1"/>
      </tp>
      <tp>
        <v>42.54</v>
        <stp/>
        <stp>91</stp>
        <stp>19094515</stp>
        <tr r="J20" s="1"/>
      </tp>
      <tp>
        <v>34.1</v>
        <stp/>
        <stp>92</stp>
        <stp>19094515</stp>
        <tr r="J20" s="1"/>
        <tr r="J20" s="1"/>
      </tp>
      <tp>
        <v>516.70000000000005</v>
        <stp/>
        <stp>93</stp>
        <stp>19094515</stp>
        <tr r="I22" s="1"/>
      </tp>
      <tp>
        <v>349.65</v>
        <stp/>
        <stp>98</stp>
        <stp>19094515</stp>
        <tr r="K22" s="1"/>
        <tr r="K22" s="1"/>
      </tp>
      <tp>
        <v>1492.2</v>
        <stp/>
        <stp>99</stp>
        <stp>19094515</stp>
        <tr r="H23" s="1"/>
      </tp>
      <tp>
        <v>42.24</v>
        <stp/>
        <stp>84</stp>
        <stp>19094515</stp>
        <tr r="H20" s="1"/>
        <tr r="H20" s="1"/>
      </tp>
      <tp>
        <v>42.54</v>
        <stp/>
        <stp>85</stp>
        <stp>19094515</stp>
        <tr r="I20" s="1"/>
      </tp>
      <tp>
        <v>41.9</v>
        <stp/>
        <stp>86</stp>
        <stp>19094515</stp>
        <tr r="I20" s="1"/>
        <tr r="I20" s="1"/>
      </tp>
      <tp>
        <v>42.54</v>
        <stp/>
        <stp>87</stp>
        <stp>19094515</stp>
        <tr r="K20" s="1"/>
      </tp>
      <tp>
        <v>72.680000000000007</v>
        <stp/>
        <stp>80</stp>
        <stp>19094515</stp>
        <tr r="J18" s="1"/>
        <tr r="J18" s="1"/>
      </tp>
      <tp>
        <v>74.55</v>
        <stp/>
        <stp>81</stp>
        <stp>19094515</stp>
        <tr r="K18" s="1"/>
      </tp>
      <tp>
        <v>49.85</v>
        <stp/>
        <stp>82</stp>
        <stp>19094515</stp>
        <tr r="K18" s="1"/>
        <tr r="K18" s="1"/>
      </tp>
      <tp>
        <v>42.54</v>
        <stp/>
        <stp>83</stp>
        <stp>19094515</stp>
        <tr r="H20" s="1"/>
      </tp>
      <tp>
        <v>28.93</v>
        <stp/>
        <stp>88</stp>
        <stp>19094515</stp>
        <tr r="K20" s="1"/>
        <tr r="K20" s="1"/>
      </tp>
      <tp>
        <v>516.70000000000005</v>
        <stp/>
        <stp>89</stp>
        <stp>19094515</stp>
        <tr r="H22" s="1"/>
      </tp>
      <tp t="s">
        <v>The formula must contain at least one field or function.</v>
        <stp/>
        <stp>1</stp>
        <stp>19094515</stp>
        <tr r="M2" s="1"/>
      </tp>
      <tp>
        <v>129.36000000000001</v>
        <stp/>
        <stp>2</stp>
        <stp>19094515</stp>
        <tr r="H8" s="1"/>
      </tp>
      <tp>
        <v>140.71</v>
        <stp/>
        <stp>3</stp>
        <stp>19094515</stp>
        <tr r="H8" s="1"/>
        <tr r="H8" s="1"/>
      </tp>
      <tp t="s">
        <v>The formula must contain at least one field or function.</v>
        <stp/>
        <stp>4</stp>
        <stp>19094515</stp>
        <tr r="M5" s="1"/>
      </tp>
      <tp>
        <v>129.36000000000001</v>
        <stp/>
        <stp>5</stp>
        <stp>19094515</stp>
        <tr r="I8" s="1"/>
      </tp>
      <tp>
        <v>143.86000000000001</v>
        <stp/>
        <stp>6</stp>
        <stp>19094515</stp>
        <tr r="I8" s="1"/>
        <tr r="I8" s="1"/>
      </tp>
      <tp>
        <v>129.36000000000001</v>
        <stp/>
        <stp>7</stp>
        <stp>19094515</stp>
        <tr r="J8" s="1"/>
      </tp>
      <tp>
        <v>133.05000000000001</v>
        <stp/>
        <stp>8</stp>
        <stp>19094515</stp>
        <tr r="J8" s="1"/>
        <tr r="J8" s="1"/>
      </tp>
      <tp>
        <v>129.36000000000001</v>
        <stp/>
        <stp>9</stp>
        <stp>19094515</stp>
        <tr r="K8" s="1"/>
      </tp>
      <tp>
        <v>175.96</v>
        <stp/>
        <stp>54</stp>
        <stp>19094515</stp>
        <tr r="I14" s="1"/>
        <tr r="I14" s="1"/>
      </tp>
      <tp>
        <v>182.5</v>
        <stp/>
        <stp>55</stp>
        <stp>19094515</stp>
        <tr r="J14" s="1"/>
      </tp>
      <tp>
        <v>150.18</v>
        <stp/>
        <stp>56</stp>
        <stp>19094515</stp>
        <tr r="J14" s="1"/>
        <tr r="J14" s="1"/>
      </tp>
      <tp>
        <v>101.94</v>
        <stp/>
        <stp>57</stp>
        <stp>19094515</stp>
        <tr r="H16" s="1"/>
      </tp>
      <tp>
        <v>80.64</v>
        <stp/>
        <stp>50</stp>
        <stp>19094515</stp>
        <tr r="K13" s="1"/>
        <tr r="K13" s="1"/>
      </tp>
      <tp>
        <v>182.5</v>
        <stp/>
        <stp>51</stp>
        <stp>19094515</stp>
        <tr r="H14" s="1"/>
      </tp>
      <tp>
        <v>178.17</v>
        <stp/>
        <stp>52</stp>
        <stp>19094515</stp>
        <tr r="H14" s="1"/>
        <tr r="H14" s="1"/>
      </tp>
      <tp>
        <v>182.5</v>
        <stp/>
        <stp>53</stp>
        <stp>19094515</stp>
        <tr r="I14" s="1"/>
      </tp>
      <tp>
        <v>100.92</v>
        <stp/>
        <stp>58</stp>
        <stp>19094515</stp>
        <tr r="H16" s="1"/>
        <tr r="H16" s="1"/>
      </tp>
      <tp>
        <v>182.5</v>
        <stp/>
        <stp>59</stp>
        <stp>19094515</stp>
        <tr r="K14" s="1"/>
      </tp>
      <tp>
        <v>87.67</v>
        <stp/>
        <stp>44</stp>
        <stp>19094515</stp>
        <tr r="H13" s="1"/>
        <tr r="H13" s="1"/>
      </tp>
      <tp>
        <v>87.51</v>
        <stp/>
        <stp>45</stp>
        <stp>19094515</stp>
        <tr r="I13" s="1"/>
      </tp>
      <tp>
        <v>87.45</v>
        <stp/>
        <stp>46</stp>
        <stp>19094515</stp>
        <tr r="I13" s="1"/>
        <tr r="I13" s="1"/>
      </tp>
      <tp>
        <v>87.51</v>
        <stp/>
        <stp>47</stp>
        <stp>19094515</stp>
        <tr r="J13" s="1"/>
      </tp>
      <tp>
        <v>222.1</v>
        <stp/>
        <stp>40</stp>
        <stp>19094515</stp>
        <tr r="I12" s="1"/>
        <tr r="I12" s="1"/>
      </tp>
      <tp>
        <v>215.5</v>
        <stp/>
        <stp>41</stp>
        <stp>19094515</stp>
        <tr r="K12" s="1"/>
      </tp>
      <tp>
        <v>140.83000000000001</v>
        <stp/>
        <stp>42</stp>
        <stp>19094515</stp>
        <tr r="K12" s="1"/>
        <tr r="K12" s="1"/>
      </tp>
      <tp>
        <v>87.51</v>
        <stp/>
        <stp>43</stp>
        <stp>19094515</stp>
        <tr r="H13" s="1"/>
      </tp>
      <tp>
        <v>81.97</v>
        <stp/>
        <stp>48</stp>
        <stp>19094515</stp>
        <tr r="J13" s="1"/>
        <tr r="J13" s="1"/>
      </tp>
      <tp>
        <v>87.51</v>
        <stp/>
        <stp>49</stp>
        <stp>19094515</stp>
        <tr r="K13" s="1"/>
      </tp>
      <tp>
        <v>74.64</v>
        <stp/>
        <stp>74</stp>
        <stp>19094515</stp>
        <tr r="H18" s="1"/>
        <tr r="H18" s="1"/>
      </tp>
      <tp>
        <v>17.785</v>
        <stp/>
        <stp>75</stp>
        <stp>19094515</stp>
        <tr r="K17" s="1"/>
      </tp>
      <tp>
        <v>16.094999999999999</v>
        <stp/>
        <stp>76</stp>
        <stp>19094515</stp>
        <tr r="K17" s="1"/>
        <tr r="K17" s="1"/>
      </tp>
      <tp>
        <v>74.55</v>
        <stp/>
        <stp>77</stp>
        <stp>19094515</stp>
        <tr r="I18" s="1"/>
      </tp>
      <tp>
        <v>17.850000000000001</v>
        <stp/>
        <stp>70</stp>
        <stp>19094515</stp>
        <tr r="I17" s="1"/>
        <tr r="I17" s="1"/>
      </tp>
      <tp>
        <v>17.785</v>
        <stp/>
        <stp>71</stp>
        <stp>19094515</stp>
        <tr r="J17" s="1"/>
      </tp>
      <tp>
        <v>17.61</v>
        <stp/>
        <stp>72</stp>
        <stp>19094515</stp>
        <tr r="J17" s="1"/>
        <tr r="J17" s="1"/>
      </tp>
      <tp>
        <v>74.55</v>
        <stp/>
        <stp>73</stp>
        <stp>19094515</stp>
        <tr r="H18" s="1"/>
      </tp>
      <tp>
        <v>77.760000000000005</v>
        <stp/>
        <stp>78</stp>
        <stp>19094515</stp>
        <tr r="I18" s="1"/>
        <tr r="I18" s="1"/>
      </tp>
      <tp>
        <v>74.55</v>
        <stp/>
        <stp>79</stp>
        <stp>19094515</stp>
        <tr r="J18" s="1"/>
      </tp>
      <tp>
        <v>92.6</v>
        <stp/>
        <stp>64</stp>
        <stp>19094515</stp>
        <tr r="J16" s="1"/>
        <tr r="J16" s="1"/>
      </tp>
      <tp>
        <v>101.94</v>
        <stp/>
        <stp>65</stp>
        <stp>19094515</stp>
        <tr r="K16" s="1"/>
      </tp>
      <tp>
        <v>77.84</v>
        <stp/>
        <stp>66</stp>
        <stp>19094515</stp>
        <tr r="K16" s="1"/>
        <tr r="K16" s="1"/>
      </tp>
      <tp>
        <v>17.785</v>
        <stp/>
        <stp>67</stp>
        <stp>19094515</stp>
        <tr r="H17" s="1"/>
      </tp>
      <tp>
        <v>108.51</v>
        <stp/>
        <stp>60</stp>
        <stp>19094515</stp>
        <tr r="K14" s="1"/>
        <tr r="K14" s="1"/>
      </tp>
      <tp>
        <v>101.94</v>
        <stp/>
        <stp>61</stp>
        <stp>19094515</stp>
        <tr r="I16" s="1"/>
      </tp>
      <tp>
        <v>103.6</v>
        <stp/>
        <stp>62</stp>
        <stp>19094515</stp>
        <tr r="I16" s="1"/>
        <tr r="I16" s="1"/>
      </tp>
      <tp>
        <v>101.94</v>
        <stp/>
        <stp>63</stp>
        <stp>19094515</stp>
        <tr r="J16" s="1"/>
      </tp>
      <tp>
        <v>17.55</v>
        <stp/>
        <stp>68</stp>
        <stp>19094515</stp>
        <tr r="H17" s="1"/>
        <tr r="H17" s="1"/>
      </tp>
      <tp>
        <v>17.785</v>
        <stp/>
        <stp>69</stp>
        <stp>19094515</stp>
        <tr r="I17" s="1"/>
      </tp>
      <tp>
        <v>59.9</v>
        <stp/>
        <stp>14</stp>
        <stp>19094515</stp>
        <tr r="I9" s="1"/>
        <tr r="I9" s="1"/>
      </tp>
      <tp>
        <v>61.27</v>
        <stp/>
        <stp>15</stp>
        <stp>19094515</stp>
        <tr r="J9" s="1"/>
      </tp>
      <tp>
        <v>53.95</v>
        <stp/>
        <stp>16</stp>
        <stp>19094515</stp>
        <tr r="J9" s="1"/>
        <tr r="J9" s="1"/>
      </tp>
      <tp>
        <v>61.27</v>
        <stp/>
        <stp>17</stp>
        <stp>19094515</stp>
        <tr r="K9" s="1"/>
      </tp>
      <tp>
        <v>93.45</v>
        <stp/>
        <stp>10</stp>
        <stp>19094515</stp>
        <tr r="K8" s="1"/>
        <tr r="K8" s="1"/>
      </tp>
      <tp>
        <v>61.27</v>
        <stp/>
        <stp>11</stp>
        <stp>19094515</stp>
        <tr r="H9" s="1"/>
      </tp>
      <tp>
        <v>59.5</v>
        <stp/>
        <stp>12</stp>
        <stp>19094515</stp>
        <tr r="H9" s="1"/>
        <tr r="H9" s="1"/>
      </tp>
      <tp>
        <v>61.27</v>
        <stp/>
        <stp>13</stp>
        <stp>19094515</stp>
        <tr r="I9" s="1"/>
      </tp>
      <tp>
        <v>47.32</v>
        <stp/>
        <stp>18</stp>
        <stp>19094515</stp>
        <tr r="K9" s="1"/>
        <tr r="K9" s="1"/>
      </tp>
      <tp>
        <v>341.1</v>
        <stp/>
        <stp>19</stp>
        <stp>19094515</stp>
        <tr r="H10" s="1"/>
      </tp>
      <tp>
        <v>708.26</v>
        <stp/>
        <stp>34</stp>
        <stp>19094515</stp>
        <tr r="K11" s="1"/>
        <tr r="K11" s="1"/>
      </tp>
      <tp>
        <v>215.5</v>
        <stp/>
        <stp>35</stp>
        <stp>19094515</stp>
        <tr r="H12" s="1"/>
      </tp>
      <tp>
        <v>221.09</v>
        <stp/>
        <stp>36</stp>
        <stp>19094515</stp>
        <tr r="H12" s="1"/>
        <tr r="H12" s="1"/>
      </tp>
      <tp>
        <v>215.5</v>
        <stp/>
        <stp>37</stp>
        <stp>19094515</stp>
        <tr r="J12" s="1"/>
      </tp>
      <tp>
        <v>1055.29</v>
        <stp/>
        <stp>30</stp>
        <stp>19094515</stp>
        <tr r="I11" s="1"/>
        <tr r="I11" s="1"/>
      </tp>
      <tp>
        <v>1065.22</v>
        <stp/>
        <stp>31</stp>
        <stp>19094515</stp>
        <tr r="J11" s="1"/>
      </tp>
      <tp>
        <v>941.74</v>
        <stp/>
        <stp>32</stp>
        <stp>19094515</stp>
        <tr r="J11" s="1"/>
        <tr r="J11" s="1"/>
      </tp>
      <tp>
        <v>1065.22</v>
        <stp/>
        <stp>33</stp>
        <stp>19094515</stp>
        <tr r="K11" s="1"/>
      </tp>
      <tp>
        <v>190.7</v>
        <stp/>
        <stp>38</stp>
        <stp>19094515</stp>
        <tr r="J12" s="1"/>
        <tr r="J12" s="1"/>
      </tp>
      <tp>
        <v>215.5</v>
        <stp/>
        <stp>39</stp>
        <stp>19094515</stp>
        <tr r="I12" s="1"/>
      </tp>
      <tp>
        <v>316.99</v>
        <stp/>
        <stp>24</stp>
        <stp>19094515</stp>
        <tr r="J10" s="1"/>
        <tr r="J10" s="1"/>
      </tp>
      <tp>
        <v>341.1</v>
        <stp/>
        <stp>25</stp>
        <stp>19094515</stp>
        <tr r="K10" s="1"/>
      </tp>
      <tp>
        <v>291.27</v>
        <stp/>
        <stp>26</stp>
        <stp>19094515</stp>
        <tr r="K10" s="1"/>
        <tr r="K10" s="1"/>
      </tp>
      <tp>
        <v>1065.22</v>
        <stp/>
        <stp>27</stp>
        <stp>19094515</stp>
        <tr r="H11" s="1"/>
      </tp>
      <tp>
        <v>334.53</v>
        <stp/>
        <stp>20</stp>
        <stp>19094515</stp>
        <tr r="H10" s="1"/>
        <tr r="H10" s="1"/>
      </tp>
      <tp>
        <v>341.1</v>
        <stp/>
        <stp>21</stp>
        <stp>19094515</stp>
        <tr r="I10" s="1"/>
      </tp>
      <tp>
        <v>337.72</v>
        <stp/>
        <stp>22</stp>
        <stp>19094515</stp>
        <tr r="I10" s="1"/>
        <tr r="I10" s="1"/>
      </tp>
      <tp>
        <v>341.1</v>
        <stp/>
        <stp>23</stp>
        <stp>19094515</stp>
        <tr r="J10" s="1"/>
      </tp>
      <tp>
        <v>1045.9100000000001</v>
        <stp/>
        <stp>28</stp>
        <stp>19094515</stp>
        <tr r="H11" s="1"/>
        <tr r="H11" s="1"/>
      </tp>
      <tp>
        <v>1065.22</v>
        <stp/>
        <stp>29</stp>
        <stp>19094515</stp>
        <tr r="I1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CA"/>
              <a:t>Composite Risk Score by Bank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14-4BF4-BA99-8D63BE6D9D3F}"/>
            </c:ext>
          </c:extLst>
        </c:ser>
        <c:ser>
          <c:idx val="1"/>
          <c:order val="1"/>
          <c:tx>
            <c:v>Composite Risk Score</c:v>
          </c:tx>
          <c:invertIfNegative val="1"/>
          <c:cat>
            <c:strRef>
              <c:f>'Risk Score Model'!$A$8:$A$44</c:f>
              <c:strCache>
                <c:ptCount val="37"/>
                <c:pt idx="0">
                  <c:v>Citigroup</c:v>
                </c:pt>
                <c:pt idx="1">
                  <c:v>Bank of America</c:v>
                </c:pt>
                <c:pt idx="2">
                  <c:v>JPMorgan Chase</c:v>
                </c:pt>
                <c:pt idx="3">
                  <c:v>Goldman Sachs</c:v>
                </c:pt>
                <c:pt idx="4">
                  <c:v>Morgan Stanley</c:v>
                </c:pt>
                <c:pt idx="5">
                  <c:v>Wells Fargo</c:v>
                </c:pt>
                <c:pt idx="6">
                  <c:v>State Street Bank</c:v>
                </c:pt>
                <c:pt idx="7">
                  <c:v>France</c:v>
                </c:pt>
                <c:pt idx="8">
                  <c:v>BNP Paribas SA</c:v>
                </c:pt>
                <c:pt idx="9">
                  <c:v>Credit Agricole SA</c:v>
                </c:pt>
                <c:pt idx="10">
                  <c:v>Societe Generale</c:v>
                </c:pt>
                <c:pt idx="11">
                  <c:v>Switzerland</c:v>
                </c:pt>
                <c:pt idx="12">
                  <c:v>UBS Group AG</c:v>
                </c:pt>
                <c:pt idx="13">
                  <c:v>U.K.</c:v>
                </c:pt>
                <c:pt idx="14">
                  <c:v>Barclays Bank PLC</c:v>
                </c:pt>
                <c:pt idx="15">
                  <c:v>HSBC Holdings PLC</c:v>
                </c:pt>
                <c:pt idx="16">
                  <c:v>RBS Group PLC</c:v>
                </c:pt>
                <c:pt idx="17">
                  <c:v>Standard Chartered</c:v>
                </c:pt>
                <c:pt idx="18">
                  <c:v>Germany</c:v>
                </c:pt>
                <c:pt idx="19">
                  <c:v>Deutsche Bank AG</c:v>
                </c:pt>
                <c:pt idx="20">
                  <c:v>Commerzbank</c:v>
                </c:pt>
                <c:pt idx="21">
                  <c:v>Denmark</c:v>
                </c:pt>
                <c:pt idx="22">
                  <c:v>Danske</c:v>
                </c:pt>
                <c:pt idx="23">
                  <c:v>Japan</c:v>
                </c:pt>
                <c:pt idx="24">
                  <c:v>Mitsubishi</c:v>
                </c:pt>
                <c:pt idx="25">
                  <c:v>Sumitomo</c:v>
                </c:pt>
                <c:pt idx="26">
                  <c:v>Mizuho</c:v>
                </c:pt>
                <c:pt idx="27">
                  <c:v>Daiwa</c:v>
                </c:pt>
                <c:pt idx="28">
                  <c:v>Nomura</c:v>
                </c:pt>
                <c:pt idx="29">
                  <c:v>Canada</c:v>
                </c:pt>
                <c:pt idx="30">
                  <c:v>Bank of Nova Scotia</c:v>
                </c:pt>
                <c:pt idx="31">
                  <c:v>BMO</c:v>
                </c:pt>
                <c:pt idx="32">
                  <c:v>CIBC</c:v>
                </c:pt>
                <c:pt idx="33">
                  <c:v>TD</c:v>
                </c:pt>
                <c:pt idx="34">
                  <c:v>RBC</c:v>
                </c:pt>
                <c:pt idx="35">
                  <c:v>Nationale</c:v>
                </c:pt>
                <c:pt idx="36">
                  <c:v>Laurentian</c:v>
                </c:pt>
              </c:strCache>
            </c:strRef>
          </c:cat>
          <c:val>
            <c:numRef>
              <c:f>'Risk Score Model'!$G$8:$G$44</c:f>
              <c:numCache>
                <c:formatCode>0.0;[Red]\(0.0\);\-</c:formatCode>
                <c:ptCount val="37"/>
                <c:pt idx="0">
                  <c:v>70</c:v>
                </c:pt>
                <c:pt idx="1">
                  <c:v>56.66</c:v>
                </c:pt>
                <c:pt idx="2">
                  <c:v>13.36</c:v>
                </c:pt>
                <c:pt idx="3">
                  <c:v>59.96</c:v>
                </c:pt>
                <c:pt idx="4">
                  <c:v>93.36</c:v>
                </c:pt>
                <c:pt idx="5">
                  <c:v>36.64</c:v>
                </c:pt>
                <c:pt idx="6">
                  <c:v>19.98</c:v>
                </c:pt>
                <c:pt idx="8">
                  <c:v>0</c:v>
                </c:pt>
                <c:pt idx="9">
                  <c:v>30</c:v>
                </c:pt>
                <c:pt idx="10">
                  <c:v>100</c:v>
                </c:pt>
                <c:pt idx="12">
                  <c:v>0</c:v>
                </c:pt>
                <c:pt idx="14">
                  <c:v>86.68</c:v>
                </c:pt>
                <c:pt idx="15">
                  <c:v>0</c:v>
                </c:pt>
                <c:pt idx="16">
                  <c:v>79.960000000000008</c:v>
                </c:pt>
                <c:pt idx="17">
                  <c:v>33.340000000000003</c:v>
                </c:pt>
                <c:pt idx="19">
                  <c:v>100</c:v>
                </c:pt>
                <c:pt idx="20">
                  <c:v>0</c:v>
                </c:pt>
                <c:pt idx="22">
                  <c:v>0</c:v>
                </c:pt>
                <c:pt idx="24">
                  <c:v>40</c:v>
                </c:pt>
                <c:pt idx="25">
                  <c:v>45</c:v>
                </c:pt>
                <c:pt idx="26">
                  <c:v>40</c:v>
                </c:pt>
                <c:pt idx="27">
                  <c:v>45</c:v>
                </c:pt>
                <c:pt idx="28">
                  <c:v>80</c:v>
                </c:pt>
                <c:pt idx="30">
                  <c:v>80</c:v>
                </c:pt>
                <c:pt idx="31">
                  <c:v>36</c:v>
                </c:pt>
                <c:pt idx="32">
                  <c:v>60</c:v>
                </c:pt>
                <c:pt idx="33">
                  <c:v>40</c:v>
                </c:pt>
                <c:pt idx="34">
                  <c:v>52</c:v>
                </c:pt>
                <c:pt idx="35">
                  <c:v>32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4-4BF4-BA99-8D63BE6D9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0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F02A0E3-C32E-48CE-B969-D4ABB72B0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BD969-74D7-4DC5-B102-FA8DFCE73E2C}">
  <dimension ref="A1:DB1"/>
  <sheetViews>
    <sheetView workbookViewId="0"/>
  </sheetViews>
  <sheetFormatPr defaultRowHeight="14.5"/>
  <sheetData>
    <row r="1" spans="1:106">
      <c r="A1">
        <v>106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  <c r="BP1" t="s">
        <v>333</v>
      </c>
      <c r="BQ1" t="s">
        <v>334</v>
      </c>
      <c r="BR1" t="s">
        <v>335</v>
      </c>
      <c r="BS1" t="s">
        <v>336</v>
      </c>
      <c r="BT1" t="s">
        <v>337</v>
      </c>
      <c r="BU1" t="s">
        <v>338</v>
      </c>
      <c r="BV1" t="s">
        <v>339</v>
      </c>
      <c r="BW1" t="s">
        <v>340</v>
      </c>
      <c r="BX1" t="s">
        <v>341</v>
      </c>
      <c r="BY1" t="s">
        <v>342</v>
      </c>
      <c r="BZ1" t="s">
        <v>343</v>
      </c>
      <c r="CA1" t="s">
        <v>344</v>
      </c>
      <c r="CB1" t="s">
        <v>345</v>
      </c>
      <c r="CC1" t="s">
        <v>346</v>
      </c>
      <c r="CD1" t="s">
        <v>347</v>
      </c>
      <c r="CE1" t="s">
        <v>348</v>
      </c>
      <c r="CF1" t="s">
        <v>349</v>
      </c>
      <c r="CG1" t="s">
        <v>350</v>
      </c>
      <c r="CH1" t="s">
        <v>351</v>
      </c>
      <c r="CI1" t="s">
        <v>352</v>
      </c>
      <c r="CJ1" t="s">
        <v>353</v>
      </c>
      <c r="CK1" t="s">
        <v>354</v>
      </c>
      <c r="CL1" t="s">
        <v>355</v>
      </c>
      <c r="CM1" t="s">
        <v>356</v>
      </c>
      <c r="CN1" t="s">
        <v>357</v>
      </c>
      <c r="CO1" t="s">
        <v>358</v>
      </c>
      <c r="CP1" t="s">
        <v>359</v>
      </c>
      <c r="CQ1" t="s">
        <v>360</v>
      </c>
      <c r="CR1" t="s">
        <v>361</v>
      </c>
      <c r="CS1" t="s">
        <v>362</v>
      </c>
      <c r="CT1" t="s">
        <v>363</v>
      </c>
      <c r="CU1" t="s">
        <v>364</v>
      </c>
      <c r="CV1" t="s">
        <v>365</v>
      </c>
      <c r="CW1" t="s">
        <v>366</v>
      </c>
      <c r="CX1" t="s">
        <v>367</v>
      </c>
      <c r="CY1" t="s">
        <v>368</v>
      </c>
      <c r="CZ1" t="s">
        <v>369</v>
      </c>
      <c r="DA1" t="s">
        <v>370</v>
      </c>
      <c r="DB1" t="s">
        <v>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7631-A035-4B26-8F61-072DACD140F6}">
  <dimension ref="A1:Q64"/>
  <sheetViews>
    <sheetView tabSelected="1" zoomScale="84" zoomScaleNormal="84" workbookViewId="0">
      <selection activeCell="C18" sqref="C18"/>
    </sheetView>
  </sheetViews>
  <sheetFormatPr defaultRowHeight="14.5"/>
  <cols>
    <col min="1" max="1" width="19.36328125" customWidth="1"/>
    <col min="2" max="2" width="27.08984375" customWidth="1"/>
    <col min="3" max="3" width="23.90625" customWidth="1"/>
    <col min="8" max="8" width="15.08984375" customWidth="1"/>
    <col min="13" max="13" width="21.453125" customWidth="1"/>
    <col min="14" max="14" width="12.7265625" customWidth="1"/>
    <col min="15" max="15" width="18.7265625" customWidth="1"/>
    <col min="16" max="16" width="18.6328125" customWidth="1"/>
    <col min="17" max="17" width="12.1796875" customWidth="1"/>
  </cols>
  <sheetData>
    <row r="1" spans="1:17">
      <c r="A1" s="44"/>
      <c r="B1" s="43"/>
      <c r="C1" s="73" t="s">
        <v>234</v>
      </c>
      <c r="D1" s="74"/>
      <c r="E1" s="74"/>
      <c r="F1" s="74"/>
      <c r="G1" s="75"/>
      <c r="H1" s="73" t="s">
        <v>1</v>
      </c>
      <c r="I1" s="74"/>
      <c r="J1" s="74"/>
      <c r="K1" s="74"/>
    </row>
    <row r="2" spans="1:17">
      <c r="A2" s="42"/>
      <c r="B2" s="45" t="s">
        <v>235</v>
      </c>
      <c r="C2" s="1"/>
      <c r="D2" s="39">
        <v>-3</v>
      </c>
      <c r="E2" s="39">
        <v>-3</v>
      </c>
      <c r="F2" s="39">
        <v>-30</v>
      </c>
      <c r="G2" s="47">
        <v>-75</v>
      </c>
      <c r="H2" s="39">
        <v>2</v>
      </c>
      <c r="I2" s="39">
        <v>10</v>
      </c>
      <c r="J2" s="39">
        <v>30</v>
      </c>
      <c r="K2" s="39">
        <v>70</v>
      </c>
      <c r="M2" s="21" t="str" cm="1">
        <f t="array" ref="M2">_xll.TR("C5YUSAX=R","PCT1W")</f>
        <v>The formula must contain at least one field or function.</v>
      </c>
    </row>
    <row r="3" spans="1:17">
      <c r="A3" s="42"/>
      <c r="B3" s="45" t="s">
        <v>236</v>
      </c>
      <c r="C3" s="1"/>
      <c r="D3" s="48">
        <v>3</v>
      </c>
      <c r="E3" s="48">
        <v>3</v>
      </c>
      <c r="F3" s="49">
        <v>20</v>
      </c>
      <c r="G3" s="49">
        <v>50</v>
      </c>
      <c r="H3" s="48">
        <v>-3</v>
      </c>
      <c r="I3" s="48">
        <v>-10</v>
      </c>
      <c r="J3" s="48">
        <v>-30</v>
      </c>
      <c r="K3" s="48">
        <v>-70</v>
      </c>
      <c r="M3" s="40"/>
      <c r="N3" s="40"/>
    </row>
    <row r="4" spans="1:17">
      <c r="A4" s="43"/>
      <c r="B4" s="46"/>
      <c r="H4" s="50"/>
      <c r="I4" s="50"/>
      <c r="J4" s="50"/>
      <c r="K4" s="50"/>
      <c r="M4" s="21"/>
    </row>
    <row r="5" spans="1:17">
      <c r="A5" s="2"/>
      <c r="B5" s="2"/>
      <c r="C5" s="76" t="s">
        <v>0</v>
      </c>
      <c r="D5" s="74"/>
      <c r="E5" s="74"/>
      <c r="F5" s="74"/>
      <c r="G5" s="75"/>
      <c r="H5" s="76" t="s">
        <v>1</v>
      </c>
      <c r="I5" s="74"/>
      <c r="J5" s="74"/>
      <c r="K5" s="74"/>
      <c r="M5" s="24" t="str" cm="1">
        <f t="array" ref="M5">_xll.TR(O10,"TR.CDSMidSpread")</f>
        <v>The formula must contain at least one field or function.</v>
      </c>
    </row>
    <row r="6" spans="1:17">
      <c r="A6" s="3" t="s">
        <v>2</v>
      </c>
      <c r="B6" s="3" t="s">
        <v>254</v>
      </c>
      <c r="C6" s="3" t="s">
        <v>3</v>
      </c>
      <c r="D6" s="3" t="s">
        <v>4</v>
      </c>
      <c r="E6" s="3" t="s">
        <v>5</v>
      </c>
      <c r="F6" s="3" t="s">
        <v>6</v>
      </c>
      <c r="G6" s="4" t="s">
        <v>7</v>
      </c>
      <c r="H6" s="3" t="s">
        <v>4</v>
      </c>
      <c r="I6" s="3" t="s">
        <v>5</v>
      </c>
      <c r="J6" s="3" t="s">
        <v>6</v>
      </c>
      <c r="K6" s="3" t="s">
        <v>7</v>
      </c>
    </row>
    <row r="7" spans="1:17">
      <c r="A7" s="5" t="s">
        <v>8</v>
      </c>
      <c r="B7" s="5" t="s">
        <v>9</v>
      </c>
      <c r="C7" s="6"/>
      <c r="D7" s="6"/>
      <c r="E7" s="6"/>
      <c r="F7" s="6"/>
      <c r="G7" s="7"/>
      <c r="H7" s="6"/>
      <c r="I7" s="6"/>
      <c r="J7" s="6"/>
      <c r="K7" s="6"/>
      <c r="M7" s="13" t="s">
        <v>2</v>
      </c>
      <c r="N7" s="13" t="s">
        <v>49</v>
      </c>
      <c r="O7" s="16" t="s">
        <v>233</v>
      </c>
    </row>
    <row r="8" spans="1:17">
      <c r="A8" s="8" t="s">
        <v>10</v>
      </c>
      <c r="B8" s="9" t="s">
        <v>263</v>
      </c>
      <c r="C8" s="10">
        <f ca="1">'CDS from CapitalIQ'!C48</f>
        <v>53.669199999999996</v>
      </c>
      <c r="D8" s="35">
        <f ca="1">'CDS from CapitalIQ'!T48</f>
        <v>0.73459999999999326</v>
      </c>
      <c r="E8" s="35">
        <f ca="1">'CDS from CapitalIQ'!V48</f>
        <v>2.5721999999999952</v>
      </c>
      <c r="F8" s="35">
        <f ca="1">'CDS from CapitalIQ'!W48</f>
        <v>-3.7751000000000019</v>
      </c>
      <c r="G8" s="36">
        <f ca="1">'CDS from CapitalIQ'!X48</f>
        <v>-0.58080000000000354</v>
      </c>
      <c r="H8" s="11" cm="1">
        <f t="array" aca="1" ref="H8" ca="1">(_xll.TR(N8,"TR.PriceClose")-_xll.TR(N8,"TR.PriceClose","SDate:"&amp;TEXT(WORKDAY(TODAY(),-5),"yyyy-mm-dd")))/_xll.TR(N8,"TR.PriceClose","SDate:"&amp;TEXT(WORKDAY(TODAY(),-5),"yyyy-mm-dd"))</f>
        <v>-8.0662355198635446E-2</v>
      </c>
      <c r="I8" s="11" cm="1">
        <f t="array" aca="1" ref="I8" ca="1">(_xll.TR(N8,"TR.PriceClose")-_xll.TR(N8,"TR.PriceClose","SDate:"&amp;TEXT(WORKDAY(TODAY(),-10),"yyyy-mm-dd")))/_xll.TR(N8,"TR.PriceClose","SDate:"&amp;TEXT(WORKDAY(TODAY(),-10),"yyyy-mm-dd"))</f>
        <v>-0.10079243709161684</v>
      </c>
      <c r="J8" s="11" cm="1">
        <f t="array" aca="1" ref="J8" ca="1">(_xll.TR(N8,"TR.PriceClose")-_xll.TR(N8,"TR.PriceClose","SDate:"&amp;EDATE(TODAY(),-3)))/_xll.TR(N8,"TR.PriceClose","SDate:"&amp;EDATE(TODAY(),-3))</f>
        <v>-2.773393461104846E-2</v>
      </c>
      <c r="K8" s="11" cm="1">
        <f t="array" aca="1" ref="K8" ca="1">(_xll.TR(N8,"TR.PriceClose")-_xll.TR(N8,"TR.PriceClose","SDate:"&amp;EDATE(TODAY(),-12)))/_xll.TR(N8,"TR.PriceClose","SDate:"&amp;EDATE(TODAY(),-12))</f>
        <v>0.3842696629213484</v>
      </c>
      <c r="M8" s="14" t="s">
        <v>10</v>
      </c>
      <c r="N8" s="15" t="s">
        <v>50</v>
      </c>
      <c r="O8" t="s">
        <v>81</v>
      </c>
      <c r="Q8" s="31"/>
    </row>
    <row r="9" spans="1:17">
      <c r="A9" s="12" t="s">
        <v>11</v>
      </c>
      <c r="B9" s="9" t="s">
        <v>263</v>
      </c>
      <c r="C9" s="10">
        <f ca="1">'CDS from CapitalIQ'!C49</f>
        <v>55.617600000000003</v>
      </c>
      <c r="D9" s="35">
        <f ca="1">'CDS from CapitalIQ'!T49</f>
        <v>0.62760000000000105</v>
      </c>
      <c r="E9" s="35">
        <f ca="1">'CDS from CapitalIQ'!V49</f>
        <v>1.1503000000000014</v>
      </c>
      <c r="F9" s="35">
        <f ca="1">'CDS from CapitalIQ'!W49</f>
        <v>-3.0800999999999945</v>
      </c>
      <c r="G9" s="36">
        <f ca="1">'CDS from CapitalIQ'!X49</f>
        <v>1.4511000000000038</v>
      </c>
      <c r="H9" s="11" cm="1">
        <f t="array" aca="1" ref="H9" ca="1">(_xll.TR(N9,"TR.PriceClose")-_xll.TR(N9,"TR.PriceClose","SDate:"&amp;TEXT(WORKDAY(TODAY(),-5),"yyyy-mm-dd")))/_xll.TR(N9,"TR.PriceClose","SDate:"&amp;TEXT(WORKDAY(TODAY(),-5),"yyyy-mm-dd"))</f>
        <v>2.9747899159663919E-2</v>
      </c>
      <c r="I9" s="11" cm="1">
        <f t="array" aca="1" ref="I9" ca="1">(_xll.TR(N9,"TR.PriceClose")-_xll.TR(N9,"TR.PriceClose","SDate:"&amp;TEXT(WORKDAY(TODAY(),-10),"yyyy-mm-dd")))/_xll.TR(N9,"TR.PriceClose","SDate:"&amp;TEXT(WORKDAY(TODAY(),-10),"yyyy-mm-dd"))</f>
        <v>2.2871452420701245E-2</v>
      </c>
      <c r="J9" s="11" cm="1">
        <f t="array" aca="1" ref="J9" ca="1">(_xll.TR(N9,"TR.PriceClose")-_xll.TR(N9,"TR.PriceClose","SDate:"&amp;EDATE(TODAY(),-3)))/_xll.TR(N9,"TR.PriceClose","SDate:"&amp;EDATE(TODAY(),-3))</f>
        <v>0.13568118628359593</v>
      </c>
      <c r="K9" s="11" cm="1">
        <f t="array" aca="1" ref="K9" ca="1">(_xll.TR(N9,"TR.PriceClose")-_xll.TR(N9,"TR.PriceClose","SDate:"&amp;EDATE(TODAY(),-12)))/_xll.TR(N9,"TR.PriceClose","SDate:"&amp;EDATE(TODAY(),-12))</f>
        <v>0.29480135249366024</v>
      </c>
      <c r="M9" s="14" t="s">
        <v>11</v>
      </c>
      <c r="N9" s="15" t="s">
        <v>51</v>
      </c>
      <c r="O9" t="s">
        <v>82</v>
      </c>
      <c r="Q9" s="32"/>
    </row>
    <row r="10" spans="1:17">
      <c r="A10" s="8" t="s">
        <v>12</v>
      </c>
      <c r="B10" s="9" t="s">
        <v>263</v>
      </c>
      <c r="C10" s="10">
        <f ca="1">'CDS from CapitalIQ'!C50</f>
        <v>40.803199999999997</v>
      </c>
      <c r="D10" s="35">
        <f ca="1">'CDS from CapitalIQ'!T50</f>
        <v>0.14789999999999992</v>
      </c>
      <c r="E10" s="35">
        <f ca="1">'CDS from CapitalIQ'!V50</f>
        <v>0.95720000000000027</v>
      </c>
      <c r="F10" s="35">
        <f ca="1">'CDS from CapitalIQ'!W50</f>
        <v>1.1920999999999964</v>
      </c>
      <c r="G10" s="36">
        <f ca="1">'CDS from CapitalIQ'!X50</f>
        <v>-0.28500000000000369</v>
      </c>
      <c r="H10" s="11" cm="1">
        <f t="array" aca="1" ref="H10" ca="1">(_xll.TR(N10,"TR.PriceClose")-_xll.TR(N10,"TR.PriceClose","SDate:"&amp;TEXT(WORKDAY(TODAY(),-5),"yyyy-mm-dd")))/_xll.TR(N10,"TR.PriceClose","SDate:"&amp;TEXT(WORKDAY(TODAY(),-5),"yyyy-mm-dd"))</f>
        <v>1.9639494215765552E-2</v>
      </c>
      <c r="I10" s="11" cm="1">
        <f t="array" aca="1" ref="I10" ca="1">(_xll.TR(N10,"TR.PriceClose")-_xll.TR(N10,"TR.PriceClose","SDate:"&amp;TEXT(WORKDAY(TODAY(),-10),"yyyy-mm-dd")))/_xll.TR(N10,"TR.PriceClose","SDate:"&amp;TEXT(WORKDAY(TODAY(),-10),"yyyy-mm-dd"))</f>
        <v>1.0008290891863067E-2</v>
      </c>
      <c r="J10" s="11" cm="1">
        <f t="array" aca="1" ref="J10" ca="1">(_xll.TR(N10,"TR.PriceClose")-_xll.TR(N10,"TR.PriceClose","SDate:"&amp;EDATE(TODAY(),-3)))/_xll.TR(N10,"TR.PriceClose","SDate:"&amp;EDATE(TODAY(),-3))</f>
        <v>7.6059181677655491E-2</v>
      </c>
      <c r="K10" s="11" cm="1">
        <f t="array" aca="1" ref="K10" ca="1">(_xll.TR(N10,"TR.PriceClose")-_xll.TR(N10,"TR.PriceClose","SDate:"&amp;EDATE(TODAY(),-12)))/_xll.TR(N10,"TR.PriceClose","SDate:"&amp;EDATE(TODAY(),-12))</f>
        <v>0.1710783808837163</v>
      </c>
      <c r="M10" s="14" t="s">
        <v>12</v>
      </c>
      <c r="N10" s="15" t="s">
        <v>52</v>
      </c>
      <c r="O10" t="s">
        <v>83</v>
      </c>
      <c r="Q10" s="33"/>
    </row>
    <row r="11" spans="1:17">
      <c r="A11" s="12" t="s">
        <v>13</v>
      </c>
      <c r="B11" s="9" t="s">
        <v>263</v>
      </c>
      <c r="C11" s="10">
        <f ca="1">'CDS from CapitalIQ'!C51</f>
        <v>55.264099999999999</v>
      </c>
      <c r="D11" s="35">
        <f ca="1">'CDS from CapitalIQ'!T51</f>
        <v>0.57670000000000243</v>
      </c>
      <c r="E11" s="35">
        <f ca="1">'CDS from CapitalIQ'!V51</f>
        <v>2.274799999999999</v>
      </c>
      <c r="F11" s="35">
        <f ca="1">'CDS from CapitalIQ'!W51</f>
        <v>-2.1734000000000009</v>
      </c>
      <c r="G11" s="36">
        <f ca="1">'CDS from CapitalIQ'!X51</f>
        <v>-2.9025999999999996</v>
      </c>
      <c r="H11" s="11" cm="1">
        <f t="array" aca="1" ref="H11" ca="1">(_xll.TR(N11,"TR.PriceClose")-_xll.TR(N11,"TR.PriceClose","SDate:"&amp;TEXT(WORKDAY(TODAY(),-5),"yyyy-mm-dd")))/_xll.TR(N11,"TR.PriceClose","SDate:"&amp;TEXT(WORKDAY(TODAY(),-5),"yyyy-mm-dd"))</f>
        <v>1.8462391601571784E-2</v>
      </c>
      <c r="I11" s="11" cm="1">
        <f t="array" aca="1" ref="I11" ca="1">(_xll.TR(N11,"TR.PriceClose")-_xll.TR(N11,"TR.PriceClose","SDate:"&amp;TEXT(WORKDAY(TODAY(),-10),"yyyy-mm-dd")))/_xll.TR(N11,"TR.PriceClose","SDate:"&amp;TEXT(WORKDAY(TODAY(),-10),"yyyy-mm-dd"))</f>
        <v>9.4097357124582476E-3</v>
      </c>
      <c r="J11" s="11" cm="1">
        <f t="array" aca="1" ref="J11" ca="1">(_xll.TR(N11,"TR.PriceClose")-_xll.TR(N11,"TR.PriceClose","SDate:"&amp;EDATE(TODAY(),-3)))/_xll.TR(N11,"TR.PriceClose","SDate:"&amp;EDATE(TODAY(),-3))</f>
        <v>0.13111899250323869</v>
      </c>
      <c r="K11" s="11" cm="1">
        <f t="array" aca="1" ref="K11" ca="1">(_xll.TR(N11,"TR.PriceClose")-_xll.TR(N11,"TR.PriceClose","SDate:"&amp;EDATE(TODAY(),-12)))/_xll.TR(N11,"TR.PriceClose","SDate:"&amp;EDATE(TODAY(),-12))</f>
        <v>0.50399570779092429</v>
      </c>
      <c r="M11" s="14" t="s">
        <v>13</v>
      </c>
      <c r="N11" s="15" t="s">
        <v>53</v>
      </c>
      <c r="O11" t="s">
        <v>84</v>
      </c>
      <c r="Q11" s="34"/>
    </row>
    <row r="12" spans="1:17">
      <c r="A12" s="8" t="s">
        <v>14</v>
      </c>
      <c r="B12" s="9" t="s">
        <v>263</v>
      </c>
      <c r="C12" s="10">
        <f ca="1">'CDS from CapitalIQ'!C52</f>
        <v>58.314</v>
      </c>
      <c r="D12" s="35">
        <f ca="1">'CDS from CapitalIQ'!T52</f>
        <v>1.0771999999999977</v>
      </c>
      <c r="E12" s="35">
        <f ca="1">'CDS from CapitalIQ'!V52</f>
        <v>4.133499999999998</v>
      </c>
      <c r="F12" s="35">
        <f ca="1">'CDS from CapitalIQ'!W52</f>
        <v>-0.28459999999999752</v>
      </c>
      <c r="G12" s="36">
        <f ca="1">'CDS from CapitalIQ'!X52</f>
        <v>1.3759999999999977</v>
      </c>
      <c r="H12" s="11" cm="1">
        <f t="array" aca="1" ref="H12" ca="1">(_xll.TR(N12,"TR.PriceClose")-_xll.TR(N12,"TR.PriceClose","SDate:"&amp;TEXT(WORKDAY(TODAY(),-5),"yyyy-mm-dd")))/_xll.TR(N12,"TR.PriceClose","SDate:"&amp;TEXT(WORKDAY(TODAY(),-5),"yyyy-mm-dd"))</f>
        <v>-2.5283821068343225E-2</v>
      </c>
      <c r="I12" s="11" cm="1">
        <f t="array" aca="1" ref="I12" ca="1">(_xll.TR(N12,"TR.PriceClose")-_xll.TR(N12,"TR.PriceClose","SDate:"&amp;TEXT(WORKDAY(TODAY(),-10),"yyyy-mm-dd")))/_xll.TR(N12,"TR.PriceClose","SDate:"&amp;TEXT(WORKDAY(TODAY(),-10),"yyyy-mm-dd"))</f>
        <v>-2.9716343989194031E-2</v>
      </c>
      <c r="J12" s="11" cm="1">
        <f t="array" aca="1" ref="J12" ca="1">(_xll.TR(N12,"TR.PriceClose")-_xll.TR(N12,"TR.PriceClose","SDate:"&amp;EDATE(TODAY(),-3)))/_xll.TR(N12,"TR.PriceClose","SDate:"&amp;EDATE(TODAY(),-3))</f>
        <v>0.13004719454640803</v>
      </c>
      <c r="K12" s="11" cm="1">
        <f t="array" aca="1" ref="K12" ca="1">(_xll.TR(N12,"TR.PriceClose")-_xll.TR(N12,"TR.PriceClose","SDate:"&amp;EDATE(TODAY(),-12)))/_xll.TR(N12,"TR.PriceClose","SDate:"&amp;EDATE(TODAY(),-12))</f>
        <v>0.53021373286941686</v>
      </c>
      <c r="M12" s="14" t="s">
        <v>14</v>
      </c>
      <c r="N12" s="15" t="s">
        <v>54</v>
      </c>
      <c r="O12" t="s">
        <v>85</v>
      </c>
      <c r="Q12" s="21"/>
    </row>
    <row r="13" spans="1:17">
      <c r="A13" s="12" t="s">
        <v>15</v>
      </c>
      <c r="B13" s="9" t="s">
        <v>263</v>
      </c>
      <c r="C13" s="10">
        <f ca="1">'CDS from CapitalIQ'!C53</f>
        <v>49.766399999999997</v>
      </c>
      <c r="D13" s="35">
        <f ca="1">'CDS from CapitalIQ'!T53</f>
        <v>-2.1700000000002717E-2</v>
      </c>
      <c r="E13" s="35">
        <f ca="1">'CDS from CapitalIQ'!V53</f>
        <v>1.9439999999999955</v>
      </c>
      <c r="F13" s="35">
        <f ca="1">'CDS from CapitalIQ'!W53</f>
        <v>-3.5056000000000012</v>
      </c>
      <c r="G13" s="36">
        <f ca="1">'CDS from CapitalIQ'!X53</f>
        <v>-0.44850000000000279</v>
      </c>
      <c r="H13" s="11" cm="1">
        <f t="array" aca="1" ref="H13" ca="1">(_xll.TR(N13,"TR.PriceClose")-_xll.TR(N13,"TR.PriceClose","SDate:"&amp;TEXT(WORKDAY(TODAY(),-5),"yyyy-mm-dd")))/_xll.TR(N13,"TR.PriceClose","SDate:"&amp;TEXT(WORKDAY(TODAY(),-5),"yyyy-mm-dd"))</f>
        <v>-1.8250256644233671E-3</v>
      </c>
      <c r="I13" s="11" cm="1">
        <f t="array" aca="1" ref="I13" ca="1">(_xll.TR(N13,"TR.PriceClose")-_xll.TR(N13,"TR.PriceClose","SDate:"&amp;TEXT(WORKDAY(TODAY(),-10),"yyyy-mm-dd")))/_xll.TR(N13,"TR.PriceClose","SDate:"&amp;TEXT(WORKDAY(TODAY(),-10),"yyyy-mm-dd"))</f>
        <v>6.8610634648373094E-4</v>
      </c>
      <c r="J13" s="11" cm="1">
        <f t="array" aca="1" ref="J13" ca="1">(_xll.TR(N13,"TR.PriceClose")-_xll.TR(N13,"TR.PriceClose","SDate:"&amp;EDATE(TODAY(),-3)))/_xll.TR(N13,"TR.PriceClose","SDate:"&amp;EDATE(TODAY(),-3))</f>
        <v>6.7585702086129143E-2</v>
      </c>
      <c r="K13" s="11" cm="1">
        <f t="array" aca="1" ref="K13" ca="1">(_xll.TR(N13,"TR.PriceClose")-_xll.TR(N13,"TR.PriceClose","SDate:"&amp;EDATE(TODAY(),-12)))/_xll.TR(N13,"TR.PriceClose","SDate:"&amp;EDATE(TODAY(),-12))</f>
        <v>8.5193452380952439E-2</v>
      </c>
      <c r="M13" s="14" t="s">
        <v>15</v>
      </c>
      <c r="N13" s="15" t="s">
        <v>55</v>
      </c>
      <c r="O13" s="20" t="s">
        <v>86</v>
      </c>
      <c r="Q13" s="21"/>
    </row>
    <row r="14" spans="1:17">
      <c r="A14" s="8" t="s">
        <v>16</v>
      </c>
      <c r="B14" s="9" t="s">
        <v>263</v>
      </c>
      <c r="C14" s="10">
        <f ca="1">'CDS from CapitalIQ'!C54</f>
        <v>51.447800000000001</v>
      </c>
      <c r="D14" s="35">
        <f ca="1">'CDS from CapitalIQ'!T54</f>
        <v>-0.41420000000000101</v>
      </c>
      <c r="E14" s="35">
        <f ca="1">'CDS from CapitalIQ'!V54</f>
        <v>-1.2381999999999991</v>
      </c>
      <c r="F14" s="35">
        <f ca="1">'CDS from CapitalIQ'!W54</f>
        <v>-3.1717999999999975</v>
      </c>
      <c r="G14" s="36">
        <f ca="1">'CDS from CapitalIQ'!X54</f>
        <v>1.5910000000000011</v>
      </c>
      <c r="H14" s="11" cm="1">
        <f t="array" aca="1" ref="H14" ca="1">(_xll.TR(N14,"TR.PriceClose")-_xll.TR(N14,"TR.PriceClose","SDate:"&amp;TEXT(WORKDAY(TODAY(),-5),"yyyy-mm-dd")))/_xll.TR(N14,"TR.PriceClose","SDate:"&amp;TEXT(WORKDAY(TODAY(),-5),"yyyy-mm-dd"))</f>
        <v>2.43026323174497E-2</v>
      </c>
      <c r="I14" s="11" cm="1">
        <f t="array" aca="1" ref="I14" ca="1">(_xll.TR(N14,"TR.PriceClose")-_xll.TR(N14,"TR.PriceClose","SDate:"&amp;TEXT(WORKDAY(TODAY(),-10),"yyyy-mm-dd")))/_xll.TR(N14,"TR.PriceClose","SDate:"&amp;TEXT(WORKDAY(TODAY(),-10),"yyyy-mm-dd"))</f>
        <v>3.71675380768356E-2</v>
      </c>
      <c r="J14" s="11" cm="1">
        <f t="array" aca="1" ref="J14" ca="1">(_xll.TR(N14,"TR.PriceClose")-_xll.TR(N14,"TR.PriceClose","SDate:"&amp;EDATE(TODAY(),-3)))/_xll.TR(N14,"TR.PriceClose","SDate:"&amp;EDATE(TODAY(),-3))</f>
        <v>0.21520841656678646</v>
      </c>
      <c r="K14" s="11" cm="1">
        <f t="array" aca="1" ref="K14" ca="1">(_xll.TR(N14,"TR.PriceClose")-_xll.TR(N14,"TR.PriceClose","SDate:"&amp;EDATE(TODAY(),-12)))/_xll.TR(N14,"TR.PriceClose","SDate:"&amp;EDATE(TODAY(),-12))</f>
        <v>0.6818726384665007</v>
      </c>
      <c r="M14" s="14" t="s">
        <v>16</v>
      </c>
      <c r="N14" s="15" t="s">
        <v>56</v>
      </c>
      <c r="O14" t="s">
        <v>87</v>
      </c>
      <c r="Q14" s="21"/>
    </row>
    <row r="15" spans="1:17">
      <c r="A15" s="18" t="s">
        <v>17</v>
      </c>
      <c r="B15" s="5" t="s">
        <v>264</v>
      </c>
      <c r="C15" s="22"/>
      <c r="D15" s="37"/>
      <c r="E15" s="37"/>
      <c r="F15" s="37"/>
      <c r="G15" s="38"/>
      <c r="H15" s="17"/>
      <c r="I15" s="17"/>
      <c r="J15" s="17"/>
      <c r="K15" s="17"/>
      <c r="M15" s="16"/>
    </row>
    <row r="16" spans="1:17">
      <c r="A16" s="12" t="s">
        <v>18</v>
      </c>
      <c r="B16" s="72" t="s">
        <v>214</v>
      </c>
      <c r="C16" s="10">
        <f ca="1">'CDS from CapitalIQ'!C56</f>
        <v>43.5488</v>
      </c>
      <c r="D16" s="35">
        <f ca="1">'CDS from CapitalIQ'!T56</f>
        <v>1.4344999999999999</v>
      </c>
      <c r="E16" s="35">
        <f ca="1">'CDS from CapitalIQ'!V56</f>
        <v>2.7494999999999976</v>
      </c>
      <c r="F16" s="35">
        <f ca="1">'CDS from CapitalIQ'!W56</f>
        <v>3.8387999999999991</v>
      </c>
      <c r="G16" s="36">
        <f ca="1">'CDS from CapitalIQ'!X56</f>
        <v>1.2471999999999994</v>
      </c>
      <c r="H16" s="11" cm="1">
        <f t="array" aca="1" ref="H16" ca="1">(_xll.TR(N16,"TR.PriceClose")-_xll.TR(N16,"TR.PriceClose","SDate:"&amp;TEXT(WORKDAY(TODAY(),-5),"yyyy-mm-dd")))/_xll.TR(N16,"TR.PriceClose","SDate:"&amp;TEXT(WORKDAY(TODAY(),-5),"yyyy-mm-dd"))</f>
        <v>1.0107015457788308E-2</v>
      </c>
      <c r="I16" s="11" cm="1">
        <f t="array" aca="1" ref="I16" ca="1">(_xll.TR(N16,"TR.PriceClose")-_xll.TR(N16,"TR.PriceClose","SDate:"&amp;TEXT(WORKDAY(TODAY(),-10),"yyyy-mm-dd")))/_xll.TR(N16,"TR.PriceClose","SDate:"&amp;TEXT(WORKDAY(TODAY(),-10),"yyyy-mm-dd"))</f>
        <v>-1.6023166023165992E-2</v>
      </c>
      <c r="J16" s="11" cm="1">
        <f t="array" aca="1" ref="J16" ca="1">(_xll.TR(N16,"TR.PriceClose")-_xll.TR(N16,"TR.PriceClose","SDate:"&amp;EDATE(TODAY(),-3)))/_xll.TR(N16,"TR.PriceClose","SDate:"&amp;EDATE(TODAY(),-3))</f>
        <v>0.1008639308855292</v>
      </c>
      <c r="K16" s="11" cm="1">
        <f t="array" aca="1" ref="K16" ca="1">(_xll.TR(N16,"TR.PriceClose")-_xll.TR(N16,"TR.PriceClose","SDate:"&amp;EDATE(TODAY(),-12)))/_xll.TR(N16,"TR.PriceClose","SDate:"&amp;EDATE(TODAY(),-12))</f>
        <v>0.30960945529290845</v>
      </c>
      <c r="M16" s="14" t="s">
        <v>18</v>
      </c>
      <c r="N16" s="15" t="s">
        <v>57</v>
      </c>
      <c r="O16" s="20" t="s">
        <v>88</v>
      </c>
    </row>
    <row r="17" spans="1:17">
      <c r="A17" s="8" t="s">
        <v>19</v>
      </c>
      <c r="B17" s="72" t="s">
        <v>214</v>
      </c>
      <c r="C17" s="10">
        <f ca="1">'CDS from CapitalIQ'!C57</f>
        <v>35.233699999999999</v>
      </c>
      <c r="D17" s="35">
        <f ca="1">'CDS from CapitalIQ'!T57</f>
        <v>0.7990999999999957</v>
      </c>
      <c r="E17" s="35">
        <f ca="1">'CDS from CapitalIQ'!V57</f>
        <v>2.1336999999999975</v>
      </c>
      <c r="F17" s="35">
        <f ca="1">'CDS from CapitalIQ'!W57</f>
        <v>0.65370000000000061</v>
      </c>
      <c r="G17" s="36">
        <f ca="1">'CDS from CapitalIQ'!X57</f>
        <v>-3.4620999999999995</v>
      </c>
      <c r="H17" s="11" cm="1">
        <f t="array" aca="1" ref="H17" ca="1">(_xll.TR(N17,"TR.PriceClose")-_xll.TR(N17,"TR.PriceClose","SDate:"&amp;TEXT(WORKDAY(TODAY(),-5),"yyyy-mm-dd")))/_xll.TR(N17,"TR.PriceClose","SDate:"&amp;TEXT(WORKDAY(TODAY(),-5),"yyyy-mm-dd"))</f>
        <v>1.3390313390313357E-2</v>
      </c>
      <c r="I17" s="11" cm="1">
        <f t="array" aca="1" ref="I17" ca="1">(_xll.TR(N17,"TR.PriceClose")-_xll.TR(N17,"TR.PriceClose","SDate:"&amp;TEXT(WORKDAY(TODAY(),-10),"yyyy-mm-dd")))/_xll.TR(N17,"TR.PriceClose","SDate:"&amp;TEXT(WORKDAY(TODAY(),-10),"yyyy-mm-dd"))</f>
        <v>-3.6414565826331244E-3</v>
      </c>
      <c r="J17" s="11" cm="1">
        <f t="array" aca="1" ref="J17" ca="1">(_xll.TR(N17,"TR.PriceClose")-_xll.TR(N17,"TR.PriceClose","SDate:"&amp;EDATE(TODAY(),-3)))/_xll.TR(N17,"TR.PriceClose","SDate:"&amp;EDATE(TODAY(),-3))</f>
        <v>9.9375354911982235E-3</v>
      </c>
      <c r="K17" s="11" cm="1">
        <f t="array" aca="1" ref="K17" ca="1">(_xll.TR(N17,"TR.PriceClose")-_xll.TR(N17,"TR.PriceClose","SDate:"&amp;EDATE(TODAY(),-12)))/_xll.TR(N17,"TR.PriceClose","SDate:"&amp;EDATE(TODAY(),-12))</f>
        <v>0.10500155327741544</v>
      </c>
      <c r="M17" s="14" t="s">
        <v>19</v>
      </c>
      <c r="N17" s="15" t="s">
        <v>58</v>
      </c>
      <c r="O17" t="s">
        <v>89</v>
      </c>
      <c r="Q17" s="23"/>
    </row>
    <row r="18" spans="1:17">
      <c r="A18" s="12" t="s">
        <v>20</v>
      </c>
      <c r="B18" s="72" t="s">
        <v>214</v>
      </c>
      <c r="C18" s="10">
        <f ca="1">'CDS from CapitalIQ'!C58</f>
        <v>43.881100000000004</v>
      </c>
      <c r="D18" s="35">
        <f ca="1">'CDS from CapitalIQ'!T58</f>
        <v>1.752200000000002</v>
      </c>
      <c r="E18" s="35">
        <f ca="1">'CDS from CapitalIQ'!V58</f>
        <v>2.5478000000000023</v>
      </c>
      <c r="F18" s="35">
        <f ca="1">'CDS from CapitalIQ'!W58</f>
        <v>0.36480000000000246</v>
      </c>
      <c r="G18" s="36">
        <f ca="1">'CDS from CapitalIQ'!X58</f>
        <v>-2.8967999999999989</v>
      </c>
      <c r="H18" s="11" cm="1">
        <f t="array" aca="1" ref="H18" ca="1">(_xll.TR(N18,"TR.PriceClose")-_xll.TR(N18,"TR.PriceClose","SDate:"&amp;TEXT(WORKDAY(TODAY(),-5),"yyyy-mm-dd")))/_xll.TR(N18,"TR.PriceClose","SDate:"&amp;TEXT(WORKDAY(TODAY(),-5),"yyyy-mm-dd"))</f>
        <v>-1.2057877813505279E-3</v>
      </c>
      <c r="I18" s="11" cm="1">
        <f t="array" aca="1" ref="I18" ca="1">(_xll.TR(N18,"TR.PriceClose")-_xll.TR(N18,"TR.PriceClose","SDate:"&amp;TEXT(WORKDAY(TODAY(),-10),"yyyy-mm-dd")))/_xll.TR(N18,"TR.PriceClose","SDate:"&amp;TEXT(WORKDAY(TODAY(),-10),"yyyy-mm-dd"))</f>
        <v>-4.1280864197530964E-2</v>
      </c>
      <c r="J18" s="11" cm="1">
        <f t="array" aca="1" ref="J18" ca="1">(_xll.TR(N18,"TR.PriceClose")-_xll.TR(N18,"TR.PriceClose","SDate:"&amp;EDATE(TODAY(),-3)))/_xll.TR(N18,"TR.PriceClose","SDate:"&amp;EDATE(TODAY(),-3))</f>
        <v>2.5729223995597003E-2</v>
      </c>
      <c r="K18" s="11" cm="1">
        <f t="array" aca="1" ref="K18" ca="1">(_xll.TR(N18,"TR.PriceClose")-_xll.TR(N18,"TR.PriceClose","SDate:"&amp;EDATE(TODAY(),-12)))/_xll.TR(N18,"TR.PriceClose","SDate:"&amp;EDATE(TODAY(),-12))</f>
        <v>0.49548645937813429</v>
      </c>
      <c r="M18" s="14" t="s">
        <v>20</v>
      </c>
      <c r="N18" s="15" t="s">
        <v>59</v>
      </c>
      <c r="O18" t="s">
        <v>90</v>
      </c>
      <c r="Q18" s="23"/>
    </row>
    <row r="19" spans="1:17">
      <c r="A19" s="18" t="s">
        <v>21</v>
      </c>
      <c r="B19" s="19"/>
      <c r="C19" s="22"/>
      <c r="D19" s="37"/>
      <c r="E19" s="37"/>
      <c r="F19" s="37"/>
      <c r="G19" s="38"/>
      <c r="H19" s="17"/>
      <c r="I19" s="17"/>
      <c r="J19" s="17"/>
      <c r="K19" s="17"/>
      <c r="M19" s="14"/>
      <c r="N19" s="15"/>
      <c r="Q19" s="23"/>
    </row>
    <row r="20" spans="1:17">
      <c r="A20" s="8" t="s">
        <v>22</v>
      </c>
      <c r="B20" s="9" t="s">
        <v>266</v>
      </c>
      <c r="C20" s="10">
        <f ca="1">'CDS from CapitalIQ'!C60</f>
        <v>47.959400000000002</v>
      </c>
      <c r="D20" s="35">
        <f ca="1">'CDS from CapitalIQ'!T60</f>
        <v>0.70530000000000115</v>
      </c>
      <c r="E20" s="35">
        <f ca="1">'CDS from CapitalIQ'!V60</f>
        <v>1.781400000000005</v>
      </c>
      <c r="F20" s="35">
        <f ca="1">'CDS from CapitalIQ'!W60</f>
        <v>-7.4132999999999996</v>
      </c>
      <c r="G20" s="36">
        <f ca="1">'CDS from CapitalIQ'!X60</f>
        <v>0.75250000000000483</v>
      </c>
      <c r="H20" s="11" cm="1">
        <f t="array" aca="1" ref="H20" ca="1">(_xll.TR(N20,"TR.PriceClose")-_xll.TR(N20,"TR.PriceClose","SDate:"&amp;TEXT(WORKDAY(TODAY(),-5),"yyyy-mm-dd")))/_xll.TR(N20,"TR.PriceClose","SDate:"&amp;TEXT(WORKDAY(TODAY(),-5),"yyyy-mm-dd"))</f>
        <v>7.1022727272726594E-3</v>
      </c>
      <c r="I20" s="11" cm="1">
        <f t="array" aca="1" ref="I20" ca="1">(_xll.TR(N20,"TR.PriceClose")-_xll.TR(N20,"TR.PriceClose","SDate:"&amp;TEXT(WORKDAY(TODAY(),-10),"yyyy-mm-dd")))/_xll.TR(N20,"TR.PriceClose","SDate:"&amp;TEXT(WORKDAY(TODAY(),-10),"yyyy-mm-dd"))</f>
        <v>1.5274463007159919E-2</v>
      </c>
      <c r="J20" s="11" cm="1">
        <f t="array" aca="1" ref="J20" ca="1">(_xll.TR(N20,"TR.PriceClose")-_xll.TR(N20,"TR.PriceClose","SDate:"&amp;EDATE(TODAY(),-3)))/_xll.TR(N20,"TR.PriceClose","SDate:"&amp;EDATE(TODAY(),-3))</f>
        <v>0.24750733137829906</v>
      </c>
      <c r="K20" s="11" cm="1">
        <f t="array" aca="1" ref="K20" ca="1">(_xll.TR(N20,"TR.PriceClose")-_xll.TR(N20,"TR.PriceClose","SDate:"&amp;EDATE(TODAY(),-12)))/_xll.TR(N20,"TR.PriceClose","SDate:"&amp;EDATE(TODAY(),-12))</f>
        <v>0.47044590390597996</v>
      </c>
      <c r="M20" s="14" t="s">
        <v>22</v>
      </c>
      <c r="N20" s="15" t="s">
        <v>60</v>
      </c>
      <c r="O20" t="s">
        <v>91</v>
      </c>
    </row>
    <row r="21" spans="1:17">
      <c r="A21" s="18" t="s">
        <v>23</v>
      </c>
      <c r="B21" s="19"/>
      <c r="C21" s="22"/>
      <c r="D21" s="37"/>
      <c r="E21" s="37"/>
      <c r="F21" s="37"/>
      <c r="G21" s="38"/>
      <c r="H21" s="17"/>
      <c r="I21" s="17"/>
      <c r="J21" s="17"/>
      <c r="K21" s="17"/>
      <c r="M21" s="16"/>
      <c r="Q21" s="23"/>
    </row>
    <row r="22" spans="1:17">
      <c r="A22" s="8" t="s">
        <v>24</v>
      </c>
      <c r="B22" s="9" t="s">
        <v>214</v>
      </c>
      <c r="C22" s="10">
        <f ca="1">'CDS from CapitalIQ'!C63</f>
        <v>60.666699999999999</v>
      </c>
      <c r="D22" s="35">
        <f ca="1">'CDS from CapitalIQ'!T63</f>
        <v>2.2999999999981924E-3</v>
      </c>
      <c r="E22" s="35">
        <f ca="1">'CDS from CapitalIQ'!T63</f>
        <v>2.2999999999981924E-3</v>
      </c>
      <c r="F22" s="35">
        <f ca="1">'CDS from CapitalIQ'!V63</f>
        <v>-0.18290000000000362</v>
      </c>
      <c r="G22" s="36">
        <f ca="1">'CDS from CapitalIQ'!X63</f>
        <v>-2.008499999999998</v>
      </c>
      <c r="H22" s="11" cm="1">
        <f t="array" aca="1" ref="H22" ca="1">(_xll.TR(N22,"TR.PriceClose")-_xll.TR(N22,"TR.PriceClose","SDate:"&amp;TEXT(WORKDAY(TODAY(),-5),"yyyy-mm-dd")))/_xll.TR(N22,"TR.PriceClose","SDate:"&amp;TEXT(WORKDAY(TODAY(),-5),"yyyy-mm-dd"))</f>
        <v>1.3137254901960873E-2</v>
      </c>
      <c r="I22" s="11" cm="1">
        <f t="array" aca="1" ref="I22" ca="1">(_xll.TR(N22,"TR.PriceClose")-_xll.TR(N22,"TR.PriceClose","SDate:"&amp;TEXT(WORKDAY(TODAY(),-10),"yyyy-mm-dd")))/_xll.TR(N22,"TR.PriceClose","SDate:"&amp;TEXT(WORKDAY(TODAY(),-10),"yyyy-mm-dd"))</f>
        <v>-2.4173748819641086E-2</v>
      </c>
      <c r="J22" s="11" cm="1">
        <f t="array" aca="1" ref="J22" ca="1">(_xll.TR(N22,"TR.PriceClose")-_xll.TR(N22,"TR.PriceClose","SDate:"&amp;EDATE(TODAY(),-3)))/_xll.TR(N22,"TR.PriceClose","SDate:"&amp;EDATE(TODAY(),-3))</f>
        <v>0.166892502258356</v>
      </c>
      <c r="K22" s="11" cm="1">
        <f t="array" aca="1" ref="K22" ca="1">(_xll.TR(N22,"TR.PriceClose")-_xll.TR(N22,"TR.PriceClose","SDate:"&amp;EDATE(TODAY(),-12)))/_xll.TR(N22,"TR.PriceClose","SDate:"&amp;EDATE(TODAY(),-12))</f>
        <v>0.477763477763478</v>
      </c>
      <c r="M22" s="14" t="s">
        <v>24</v>
      </c>
      <c r="N22" s="15" t="s">
        <v>61</v>
      </c>
      <c r="O22" t="s">
        <v>92</v>
      </c>
      <c r="Q22" s="23"/>
    </row>
    <row r="23" spans="1:17">
      <c r="A23" s="12" t="s">
        <v>25</v>
      </c>
      <c r="B23" s="9" t="s">
        <v>214</v>
      </c>
      <c r="C23" s="10">
        <f ca="1">'CDS from CapitalIQ'!C64</f>
        <v>39.036700000000003</v>
      </c>
      <c r="D23" s="35">
        <f ca="1">'CDS from CapitalIQ'!T64</f>
        <v>0.53520000000000323</v>
      </c>
      <c r="E23" s="35">
        <f ca="1">'CDS from CapitalIQ'!T64</f>
        <v>0.53520000000000323</v>
      </c>
      <c r="F23" s="35">
        <f ca="1">'CDS from CapitalIQ'!V64</f>
        <v>1.2243000000000066</v>
      </c>
      <c r="G23" s="36">
        <f ca="1">'CDS from CapitalIQ'!X64</f>
        <v>-10.004899999999999</v>
      </c>
      <c r="H23" s="11" cm="1">
        <f t="array" aca="1" ref="H23" ca="1">(_xll.TR(N23,"TR.PriceClose")-_xll.TR(N23,"TR.PriceClose","SDate:"&amp;TEXT(WORKDAY(TODAY(),-5),"yyyy-mm-dd")))/_xll.TR(N23,"TR.PriceClose","SDate:"&amp;TEXT(WORKDAY(TODAY(),-5),"yyyy-mm-dd"))</f>
        <v>2.0656634746922056E-2</v>
      </c>
      <c r="I23" s="11" cm="1">
        <f t="array" aca="1" ref="I23" ca="1">(_xll.TR(N23,"TR.PriceClose")-_xll.TR(N23,"TR.PriceClose","SDate:"&amp;TEXT(WORKDAY(TODAY(),-10),"yyyy-mm-dd")))/_xll.TR(N23,"TR.PriceClose","SDate:"&amp;TEXT(WORKDAY(TODAY(),-10),"yyyy-mm-dd"))</f>
        <v>1.8149563318777387E-2</v>
      </c>
      <c r="J23" s="11" cm="1">
        <f t="array" aca="1" ref="J23" ca="1">(_xll.TR(N23,"TR.PriceClose")-_xll.TR(N23,"TR.PriceClose","SDate:"&amp;EDATE(TODAY(),-3)))/_xll.TR(N23,"TR.PriceClose","SDate:"&amp;EDATE(TODAY(),-3))</f>
        <v>0.10566093657379975</v>
      </c>
      <c r="K23" s="11" cm="1">
        <f t="array" aca="1" ref="K23" ca="1">(_xll.TR(N23,"TR.PriceClose")-_xll.TR(N23,"TR.PriceClose","SDate:"&amp;EDATE(TODAY(),-12)))/_xll.TR(N23,"TR.PriceClose","SDate:"&amp;EDATE(TODAY(),-12))</f>
        <v>0.59935691318327977</v>
      </c>
      <c r="M23" s="14" t="s">
        <v>25</v>
      </c>
      <c r="N23" s="15" t="s">
        <v>62</v>
      </c>
      <c r="O23" t="s">
        <v>94</v>
      </c>
      <c r="Q23" s="23"/>
    </row>
    <row r="24" spans="1:17">
      <c r="A24" s="8" t="s">
        <v>26</v>
      </c>
      <c r="B24" s="9" t="s">
        <v>214</v>
      </c>
      <c r="C24" s="10">
        <f ca="1">'CDS from CapitalIQ'!C65</f>
        <v>55.879399999999997</v>
      </c>
      <c r="D24" s="35">
        <f ca="1">'CDS from CapitalIQ'!T65</f>
        <v>0.75269999999999726</v>
      </c>
      <c r="E24" s="35">
        <f ca="1">'CDS from CapitalIQ'!T65</f>
        <v>0.75269999999999726</v>
      </c>
      <c r="F24" s="35">
        <f ca="1">'CDS from CapitalIQ'!V65</f>
        <v>1.1400999999999968</v>
      </c>
      <c r="G24" s="36">
        <f ca="1">'CDS from CapitalIQ'!X65</f>
        <v>-0.14339999999999975</v>
      </c>
      <c r="H24" s="11" cm="1">
        <f t="array" aca="1" ref="H24" ca="1">(_xll.TR(N24,"TR.PriceClose")-_xll.TR(N24,"TR.PriceClose","SDate:"&amp;TEXT(WORKDAY(TODAY(),-5),"yyyy-mm-dd")))/_xll.TR(N24,"TR.PriceClose","SDate:"&amp;TEXT(WORKDAY(TODAY(),-5),"yyyy-mm-dd"))</f>
        <v>2.1984732824427446E-2</v>
      </c>
      <c r="I24" s="11" cm="1">
        <f t="array" aca="1" ref="I24" ca="1">(_xll.TR(N24,"TR.PriceClose")-_xll.TR(N24,"TR.PriceClose","SDate:"&amp;TEXT(WORKDAY(TODAY(),-10),"yyyy-mm-dd")))/_xll.TR(N24,"TR.PriceClose","SDate:"&amp;TEXT(WORKDAY(TODAY(),-10),"yyyy-mm-dd"))</f>
        <v>-2.4766899766899768E-2</v>
      </c>
      <c r="J24" s="11" cm="1">
        <f t="array" aca="1" ref="J24" ca="1">(_xll.TR(N24,"TR.PriceClose")-_xll.TR(N24,"TR.PriceClose","SDate:"&amp;EDATE(TODAY(),-3)))/_xll.TR(N24,"TR.PriceClose","SDate:"&amp;EDATE(TODAY(),-3))</f>
        <v>0.10243741765480883</v>
      </c>
      <c r="K24" s="11" cm="1">
        <f t="array" aca="1" ref="K24" ca="1">(_xll.TR(N24,"TR.PriceClose")-_xll.TR(N24,"TR.PriceClose","SDate:"&amp;EDATE(TODAY(),-12)))/_xll.TR(N24,"TR.PriceClose","SDate:"&amp;EDATE(TODAY(),-12))</f>
        <v>0.34905280128980248</v>
      </c>
      <c r="M24" s="14" t="s">
        <v>26</v>
      </c>
      <c r="N24" s="15" t="s">
        <v>63</v>
      </c>
      <c r="O24" t="s">
        <v>95</v>
      </c>
    </row>
    <row r="25" spans="1:17">
      <c r="A25" s="12" t="s">
        <v>27</v>
      </c>
      <c r="B25" s="9" t="s">
        <v>214</v>
      </c>
      <c r="C25" s="10">
        <f ca="1">'CDS from CapitalIQ'!C66</f>
        <v>43.3386</v>
      </c>
      <c r="D25" s="35">
        <f ca="1">'CDS from CapitalIQ'!T66</f>
        <v>0.21359999999999957</v>
      </c>
      <c r="E25" s="35">
        <f ca="1">'CDS from CapitalIQ'!T66</f>
        <v>0.21359999999999957</v>
      </c>
      <c r="F25" s="35">
        <f ca="1">'CDS from CapitalIQ'!V66</f>
        <v>0.89509999999999934</v>
      </c>
      <c r="G25" s="36">
        <f ca="1">'CDS from CapitalIQ'!X66</f>
        <v>-13.462400000000002</v>
      </c>
      <c r="H25" s="11" cm="1">
        <f t="array" aca="1" ref="H25" ca="1">(_xll.TR(N25,"TR.PriceClose")-_xll.TR(N25,"TR.PriceClose","SDate:"&amp;TEXT(WORKDAY(TODAY(),-5),"yyyy-mm-dd")))/_xll.TR(N25,"TR.PriceClose","SDate:"&amp;TEXT(WORKDAY(TODAY(),-5),"yyyy-mm-dd"))</f>
        <v>1.4285714285714286E-3</v>
      </c>
      <c r="I25" s="11" cm="1">
        <f t="array" aca="1" ref="I25" ca="1">(_xll.TR(N25,"TR.PriceClose")-_xll.TR(N25,"TR.PriceClose","SDate:"&amp;TEXT(WORKDAY(TODAY(),-10),"yyyy-mm-dd")))/_xll.TR(N25,"TR.PriceClose","SDate:"&amp;TEXT(WORKDAY(TODAY(),-10),"yyyy-mm-dd"))</f>
        <v>-2.1860465116279069E-2</v>
      </c>
      <c r="J25" s="11" cm="1">
        <f t="array" aca="1" ref="J25" ca="1">(_xll.TR(N25,"TR.PriceClose")-_xll.TR(N25,"TR.PriceClose","SDate:"&amp;EDATE(TODAY(),-3)))/_xll.TR(N25,"TR.PriceClose","SDate:"&amp;EDATE(TODAY(),-3))</f>
        <v>0.16703662597114319</v>
      </c>
      <c r="K25" s="11" cm="1">
        <f t="array" aca="1" ref="K25" ca="1">(_xll.TR(N25,"TR.PriceClose")-_xll.TR(N25,"TR.PriceClose","SDate:"&amp;EDATE(TODAY(),-12)))/_xll.TR(N25,"TR.PriceClose","SDate:"&amp;EDATE(TODAY(),-12))</f>
        <v>0.5699888017917133</v>
      </c>
      <c r="M25" s="14" t="s">
        <v>27</v>
      </c>
      <c r="N25" s="15" t="s">
        <v>64</v>
      </c>
      <c r="O25" t="s">
        <v>93</v>
      </c>
      <c r="Q25" s="16"/>
    </row>
    <row r="26" spans="1:17">
      <c r="A26" s="18" t="s">
        <v>28</v>
      </c>
      <c r="B26" s="19"/>
      <c r="C26" s="22"/>
      <c r="D26" s="37"/>
      <c r="E26" s="37"/>
      <c r="F26" s="37"/>
      <c r="G26" s="38"/>
      <c r="H26" s="17"/>
      <c r="I26" s="17"/>
      <c r="J26" s="17"/>
      <c r="K26" s="17"/>
      <c r="Q26" s="23"/>
    </row>
    <row r="27" spans="1:17">
      <c r="A27" s="8" t="s">
        <v>29</v>
      </c>
      <c r="B27" s="9" t="s">
        <v>214</v>
      </c>
      <c r="C27" s="10">
        <f ca="1">'CDS from CapitalIQ'!C68</f>
        <v>45.833300000000001</v>
      </c>
      <c r="D27" s="35">
        <f ca="1">'CDS from CapitalIQ'!T68</f>
        <v>-0.31749999999999545</v>
      </c>
      <c r="E27" s="35">
        <f ca="1">'CDS from CapitalIQ'!V68</f>
        <v>-1.5416999999999987</v>
      </c>
      <c r="F27" s="35">
        <f ca="1">'CDS from CapitalIQ'!W68</f>
        <v>-10.350699999999996</v>
      </c>
      <c r="G27" s="36">
        <f ca="1">'CDS from CapitalIQ'!X68</f>
        <v>-7.7828999999999979</v>
      </c>
      <c r="H27" s="11" cm="1">
        <f t="array" aca="1" ref="H27" ca="1">(_xll.TR(N27,"TR.PriceClose")-_xll.TR(N27,"TR.PriceClose","SDate:"&amp;TEXT(WORKDAY(TODAY(),-5),"yyyy-mm-dd")))/_xll.TR(N27,"TR.PriceClose","SDate:"&amp;TEXT(WORKDAY(TODAY(),-5),"yyyy-mm-dd"))</f>
        <v>-5.3225806451612625E-3</v>
      </c>
      <c r="I27" s="11" cm="1">
        <f t="array" aca="1" ref="I27" ca="1">(_xll.TR(N27,"TR.PriceClose")-_xll.TR(N27,"TR.PriceClose","SDate:"&amp;TEXT(WORKDAY(TODAY(),-10),"yyyy-mm-dd")))/_xll.TR(N27,"TR.PriceClose","SDate:"&amp;TEXT(WORKDAY(TODAY(),-10),"yyyy-mm-dd"))</f>
        <v>-4.5208236569128375E-2</v>
      </c>
      <c r="J27" s="11" cm="1">
        <f t="array" aca="1" ref="J27" ca="1">(_xll.TR(N27,"TR.PriceClose")-_xll.TR(N27,"TR.PriceClose","SDate:"&amp;EDATE(TODAY(),-3)))/_xll.TR(N27,"TR.PriceClose","SDate:"&amp;EDATE(TODAY(),-3))</f>
        <v>9.034653465346533E-2</v>
      </c>
      <c r="K27" s="11" cm="1">
        <f t="array" aca="1" ref="K27" ca="1">(_xll.TR(N27,"TR.PriceClose")-_xll.TR(N27,"TR.PriceClose","SDate:"&amp;EDATE(TODAY(),-12)))/_xll.TR(N27,"TR.PriceClose","SDate:"&amp;EDATE(TODAY(),-12))</f>
        <v>0.1926126474569716</v>
      </c>
      <c r="M27" s="14" t="s">
        <v>29</v>
      </c>
      <c r="N27" s="15" t="s">
        <v>65</v>
      </c>
      <c r="O27" t="s">
        <v>96</v>
      </c>
      <c r="Q27" s="16"/>
    </row>
    <row r="28" spans="1:17">
      <c r="A28" s="12" t="s">
        <v>30</v>
      </c>
      <c r="B28" s="9" t="s">
        <v>214</v>
      </c>
      <c r="C28" s="10">
        <f ca="1">'CDS from CapitalIQ'!C69</f>
        <v>36.5</v>
      </c>
      <c r="D28" s="35">
        <f ca="1">'CDS from CapitalIQ'!T69</f>
        <v>-1</v>
      </c>
      <c r="E28" s="35">
        <f ca="1">'CDS from CapitalIQ'!V69</f>
        <v>-0.45320000000000249</v>
      </c>
      <c r="F28" s="35">
        <f ca="1">'CDS from CapitalIQ'!W69</f>
        <v>-7.75</v>
      </c>
      <c r="G28" s="36">
        <f ca="1">'CDS from CapitalIQ'!X69</f>
        <v>-6.9170999999999978</v>
      </c>
      <c r="H28" s="11" cm="1">
        <f t="array" aca="1" ref="H28" ca="1">(_xll.TR(N28,"TR.PriceClose")-_xll.TR(N28,"TR.PriceClose","SDate:"&amp;TEXT(WORKDAY(TODAY(),-5),"yyyy-mm-dd")))/_xll.TR(N28,"TR.PriceClose","SDate:"&amp;TEXT(WORKDAY(TODAY(),-5),"yyyy-mm-dd"))</f>
        <v>-5.1480051480051477E-2</v>
      </c>
      <c r="I28" s="11" cm="1">
        <f t="array" aca="1" ref="I28" ca="1">(_xll.TR(N28,"TR.PriceClose")-_xll.TR(N28,"TR.PriceClose","SDate:"&amp;TEXT(WORKDAY(TODAY(),-10),"yyyy-mm-dd")))/_xll.TR(N28,"TR.PriceClose","SDate:"&amp;TEXT(WORKDAY(TODAY(),-10),"yyyy-mm-dd"))</f>
        <v>-3.4582132564841501E-2</v>
      </c>
      <c r="J28" s="11" cm="1">
        <f t="array" aca="1" ref="J28" ca="1">(_xll.TR(N28,"TR.PriceClose")-_xll.TR(N28,"TR.PriceClose","SDate:"&amp;EDATE(TODAY(),-3)))/_xll.TR(N28,"TR.PriceClose","SDate:"&amp;EDATE(TODAY(),-3))</f>
        <v>1.0142543859649248E-2</v>
      </c>
      <c r="K28" s="11" cm="1">
        <f t="array" aca="1" ref="K28" ca="1">(_xll.TR(N28,"TR.PriceClose")-_xll.TR(N28,"TR.PriceClose","SDate:"&amp;EDATE(TODAY(),-12)))/_xll.TR(N28,"TR.PriceClose","SDate:"&amp;EDATE(TODAY(),-12))</f>
        <v>0.30673758865248235</v>
      </c>
      <c r="M28" s="14" t="s">
        <v>30</v>
      </c>
      <c r="N28" s="15" t="s">
        <v>66</v>
      </c>
      <c r="O28" t="s">
        <v>97</v>
      </c>
      <c r="Q28" s="23"/>
    </row>
    <row r="29" spans="1:17">
      <c r="A29" s="18" t="s">
        <v>31</v>
      </c>
      <c r="B29" s="19"/>
      <c r="C29" s="22"/>
      <c r="D29" s="37"/>
      <c r="E29" s="37"/>
      <c r="F29" s="37"/>
      <c r="G29" s="38"/>
      <c r="H29" s="17"/>
      <c r="I29" s="17"/>
      <c r="J29" s="17"/>
      <c r="K29" s="17"/>
      <c r="M29" s="13"/>
      <c r="Q29" s="23"/>
    </row>
    <row r="30" spans="1:17">
      <c r="A30" s="8" t="s">
        <v>32</v>
      </c>
      <c r="B30" s="9" t="s">
        <v>266</v>
      </c>
      <c r="C30" s="10">
        <f ca="1">'CDS from CapitalIQ'!C71</f>
        <v>25.16</v>
      </c>
      <c r="D30" s="35">
        <f ca="1">'CDS from CapitalIQ'!T71</f>
        <v>0.30000000000000071</v>
      </c>
      <c r="E30" s="35">
        <f ca="1">'CDS from CapitalIQ'!V71</f>
        <v>0.44330000000000069</v>
      </c>
      <c r="F30" s="35">
        <f ca="1">'CDS from CapitalIQ'!W71</f>
        <v>-3.4649999999999999</v>
      </c>
      <c r="G30" s="36">
        <f ca="1">'CDS from CapitalIQ'!X71</f>
        <v>-13.3338</v>
      </c>
      <c r="H30" s="11" cm="1">
        <f t="array" aca="1" ref="H30" ca="1">(_xll.TR(N30,"TR.PriceClose")-_xll.TR(N30,"TR.PriceClose","SDate:"&amp;TEXT(WORKDAY(TODAY(),-5),"yyyy-mm-dd")))/_xll.TR(N30,"TR.PriceClose","SDate:"&amp;TEXT(WORKDAY(TODAY(),-5),"yyyy-mm-dd"))</f>
        <v>5.1955154498223525E-3</v>
      </c>
      <c r="I30" s="11" cm="1">
        <f t="array" aca="1" ref="I30" ca="1">(_xll.TR(N30,"TR.PriceClose")-_xll.TR(N30,"TR.PriceClose","SDate:"&amp;TEXT(WORKDAY(TODAY(),-10),"yyyy-mm-dd")))/_xll.TR(N30,"TR.PriceClose","SDate:"&amp;TEXT(WORKDAY(TODAY(),-10),"yyyy-mm-dd"))</f>
        <v>1.0893246187364764E-3</v>
      </c>
      <c r="J30" s="11" cm="1">
        <f t="array" aca="1" ref="J30" ca="1">(_xll.TR(N30,"TR.PriceClose")-_xll.TR(N30,"TR.PriceClose","SDate:"&amp;EDATE(TODAY(),-3)))/_xll.TR(N30,"TR.PriceClose","SDate:"&amp;EDATE(TODAY(),-3))</f>
        <v>0.10856453558504221</v>
      </c>
      <c r="K30" s="11" cm="1">
        <f t="array" aca="1" ref="K30" ca="1">(_xll.TR(N30,"TR.PriceClose")-_xll.TR(N30,"TR.PriceClose","SDate:"&amp;EDATE(TODAY(),-12)))/_xll.TR(N30,"TR.PriceClose","SDate:"&amp;EDATE(TODAY(),-12))</f>
        <v>0.44213417026284824</v>
      </c>
      <c r="M30" t="s">
        <v>32</v>
      </c>
      <c r="N30" t="s">
        <v>67</v>
      </c>
      <c r="O30" t="s">
        <v>98</v>
      </c>
      <c r="Q30" s="24"/>
    </row>
    <row r="31" spans="1:17">
      <c r="A31" s="18" t="s">
        <v>33</v>
      </c>
      <c r="B31" s="18" t="s">
        <v>34</v>
      </c>
      <c r="C31" s="22"/>
      <c r="D31" s="37"/>
      <c r="E31" s="37"/>
      <c r="F31" s="37"/>
      <c r="G31" s="38"/>
      <c r="H31" s="17"/>
      <c r="I31" s="17"/>
      <c r="J31" s="17"/>
      <c r="K31" s="17"/>
      <c r="M31" s="14"/>
      <c r="N31" s="15"/>
    </row>
    <row r="32" spans="1:17">
      <c r="A32" s="12" t="s">
        <v>35</v>
      </c>
      <c r="B32" s="72" t="s">
        <v>265</v>
      </c>
      <c r="C32" s="10">
        <f ca="1">'CDS from CapitalIQ'!C73</f>
        <v>43.433900000000001</v>
      </c>
      <c r="D32" s="35">
        <f ca="1">'CDS from CapitalIQ'!T73</f>
        <v>0.10190000000000055</v>
      </c>
      <c r="E32" s="35">
        <f ca="1">'CDS from CapitalIQ'!V73</f>
        <v>4.0095000000000027</v>
      </c>
      <c r="F32" s="35">
        <f ca="1">'CDS from CapitalIQ'!W73</f>
        <v>0.60670000000000357</v>
      </c>
      <c r="G32" s="36">
        <f ca="1">'CDS from CapitalIQ'!X73</f>
        <v>7.3338999999999999</v>
      </c>
      <c r="H32" s="11" cm="1">
        <f t="array" aca="1" ref="H32" ca="1">(_xll.TR(N32,"TR.PriceClose")-_xll.TR(N32,"TR.PriceClose","SDate:"&amp;TEXT(WORKDAY(TODAY(),-5),"yyyy-mm-dd")))/_xll.TR(N32,"TR.PriceClose","SDate:"&amp;TEXT(WORKDAY(TODAY(),-5),"yyyy-mm-dd"))</f>
        <v>-1.9203614798079638E-2</v>
      </c>
      <c r="I32" s="11" cm="1">
        <f t="array" aca="1" ref="I32" ca="1">(_xll.TR(N32,"TR.PriceClose")-_xll.TR(N32,"TR.PriceClose","SDate:"&amp;TEXT(WORKDAY(TODAY(),-10),"yyyy-mm-dd")))/_xll.TR(N32,"TR.PriceClose","SDate:"&amp;TEXT(WORKDAY(TODAY(),-10),"yyyy-mm-dd"))</f>
        <v>3.0563798219584569E-2</v>
      </c>
      <c r="J32" s="11" cm="1">
        <f t="array" aca="1" ref="J32" ca="1">(_xll.TR(N32,"TR.PriceClose")-_xll.TR(N32,"TR.PriceClose","SDate:"&amp;EDATE(TODAY(),-3)))/_xll.TR(N32,"TR.PriceClose","SDate:"&amp;EDATE(TODAY(),-3))</f>
        <v>0.20989374673401848</v>
      </c>
      <c r="K32" s="11" cm="1">
        <f t="array" aca="1" ref="K32" ca="1">(_xll.TR(N32,"TR.PriceClose")-_xll.TR(N32,"TR.PriceClose","SDate:"&amp;EDATE(TODAY(),-12)))/_xll.TR(N32,"TR.PriceClose","SDate:"&amp;EDATE(TODAY(),-12))</f>
        <v>0.76473577235772361</v>
      </c>
      <c r="M32" s="14" t="s">
        <v>68</v>
      </c>
      <c r="N32" s="15" t="s">
        <v>69</v>
      </c>
      <c r="O32" t="s">
        <v>99</v>
      </c>
      <c r="Q32" s="16"/>
    </row>
    <row r="33" spans="1:17">
      <c r="A33" s="8" t="s">
        <v>36</v>
      </c>
      <c r="B33" s="72" t="s">
        <v>265</v>
      </c>
      <c r="C33" s="10">
        <f ca="1">'CDS from CapitalIQ'!C74</f>
        <v>41.3125</v>
      </c>
      <c r="D33" s="35">
        <f ca="1">'CDS from CapitalIQ'!T74</f>
        <v>-0.50529999999999831</v>
      </c>
      <c r="E33" s="35">
        <f ca="1">'CDS from CapitalIQ'!V74</f>
        <v>-0.19910000000000139</v>
      </c>
      <c r="F33" s="35">
        <f ca="1">'CDS from CapitalIQ'!W74</f>
        <v>-2.020000000000266E-2</v>
      </c>
      <c r="G33" s="36">
        <f ca="1">'CDS from CapitalIQ'!X74</f>
        <v>9.9791999999999987</v>
      </c>
      <c r="H33" s="11" cm="1">
        <f t="array" aca="1" ref="H33" ca="1">(_xll.TR(N33,"TR.PriceClose")-_xll.TR(N33,"TR.PriceClose","SDate:"&amp;TEXT(WORKDAY(TODAY(),-5),"yyyy-mm-dd")))/_xll.TR(N33,"TR.PriceClose","SDate:"&amp;TEXT(WORKDAY(TODAY(),-5),"yyyy-mm-dd"))</f>
        <v>-2.9458483754512637E-2</v>
      </c>
      <c r="I33" s="11" cm="1">
        <f t="array" aca="1" ref="I33" ca="1">(_xll.TR(N33,"TR.PriceClose")-_xll.TR(N33,"TR.PriceClose","SDate:"&amp;TEXT(WORKDAY(TODAY(),-10),"yyyy-mm-dd")))/_xll.TR(N33,"TR.PriceClose","SDate:"&amp;TEXT(WORKDAY(TODAY(),-10),"yyyy-mm-dd"))</f>
        <v>-1.1617647058823529E-2</v>
      </c>
      <c r="J33" s="11" cm="1">
        <f t="array" aca="1" ref="J33" ca="1">(_xll.TR(N33,"TR.PriceClose")-_xll.TR(N33,"TR.PriceClose","SDate:"&amp;EDATE(TODAY(),-3)))/_xll.TR(N33,"TR.PriceClose","SDate:"&amp;EDATE(TODAY(),-3))</f>
        <v>0.20556053811659192</v>
      </c>
      <c r="K33" s="11" cm="1">
        <f t="array" aca="1" ref="K33" ca="1">(_xll.TR(N33,"TR.PriceClose")-_xll.TR(N33,"TR.PriceClose","SDate:"&amp;EDATE(TODAY(),-12)))/_xll.TR(N33,"TR.PriceClose","SDate:"&amp;EDATE(TODAY(),-12))</f>
        <v>0.86798221234018902</v>
      </c>
      <c r="M33" s="14" t="s">
        <v>36</v>
      </c>
      <c r="N33" s="15" t="s">
        <v>70</v>
      </c>
      <c r="O33" t="s">
        <v>100</v>
      </c>
      <c r="Q33" s="23"/>
    </row>
    <row r="34" spans="1:17">
      <c r="A34" s="12" t="s">
        <v>37</v>
      </c>
      <c r="B34" s="72" t="s">
        <v>265</v>
      </c>
      <c r="C34" s="10">
        <f ca="1">'CDS from CapitalIQ'!C75</f>
        <v>41.042499999999997</v>
      </c>
      <c r="D34" s="35">
        <f ca="1">'CDS from CapitalIQ'!T75</f>
        <v>-4.6700000000001296E-2</v>
      </c>
      <c r="E34" s="35">
        <f ca="1">'CDS from CapitalIQ'!V75</f>
        <v>-2.1950000000000003</v>
      </c>
      <c r="F34" s="35">
        <f ca="1">'CDS from CapitalIQ'!W75</f>
        <v>-5.3475000000000037</v>
      </c>
      <c r="G34" s="36">
        <f ca="1">'CDS from CapitalIQ'!X75</f>
        <v>-14.760000000000005</v>
      </c>
      <c r="H34" s="11" cm="1">
        <f t="array" aca="1" ref="H34" ca="1">(_xll.TR(N34,"TR.PriceClose")-_xll.TR(N34,"TR.PriceClose","SDate:"&amp;TEXT(WORKDAY(TODAY(),-5),"yyyy-mm-dd")))/_xll.TR(N34,"TR.PriceClose","SDate:"&amp;TEXT(WORKDAY(TODAY(),-5),"yyyy-mm-dd"))</f>
        <v>-5.7859094689319233E-2</v>
      </c>
      <c r="I34" s="11" cm="1">
        <f t="array" aca="1" ref="I34" ca="1">(_xll.TR(N34,"TR.PriceClose")-_xll.TR(N34,"TR.PriceClose","SDate:"&amp;TEXT(WORKDAY(TODAY(),-10),"yyyy-mm-dd")))/_xll.TR(N34,"TR.PriceClose","SDate:"&amp;TEXT(WORKDAY(TODAY(),-10),"yyyy-mm-dd"))</f>
        <v>-3.2336790726052472E-2</v>
      </c>
      <c r="J34" s="11" cm="1">
        <f t="array" aca="1" ref="J34" ca="1">(_xll.TR(N34,"TR.PriceClose")-_xll.TR(N34,"TR.PriceClose","SDate:"&amp;EDATE(TODAY(),-3)))/_xll.TR(N34,"TR.PriceClose","SDate:"&amp;EDATE(TODAY(),-3))</f>
        <v>0.17047970479704797</v>
      </c>
      <c r="K34" s="11" cm="1">
        <f t="array" aca="1" ref="K34" ca="1">(_xll.TR(N34,"TR.PriceClose")-_xll.TR(N34,"TR.PriceClose","SDate:"&amp;EDATE(TODAY(),-12)))/_xll.TR(N34,"TR.PriceClose","SDate:"&amp;EDATE(TODAY(),-12))</f>
        <v>0.92195831313620935</v>
      </c>
      <c r="M34" s="14" t="s">
        <v>37</v>
      </c>
      <c r="N34" s="15" t="s">
        <v>71</v>
      </c>
      <c r="O34" t="s">
        <v>101</v>
      </c>
      <c r="Q34" s="23"/>
    </row>
    <row r="35" spans="1:17">
      <c r="A35" s="8" t="s">
        <v>38</v>
      </c>
      <c r="B35" s="72" t="s">
        <v>265</v>
      </c>
      <c r="C35" s="10">
        <f ca="1">'CDS from CapitalIQ'!C76</f>
        <v>63.653300000000002</v>
      </c>
      <c r="D35" s="35">
        <f ca="1">'CDS from CapitalIQ'!T76</f>
        <v>-0.42159999999999798</v>
      </c>
      <c r="E35" s="35">
        <f ca="1">'CDS from CapitalIQ'!V76</f>
        <v>-1.5156999999999954</v>
      </c>
      <c r="F35" s="35">
        <f ca="1">'CDS from CapitalIQ'!W76</f>
        <v>-7.060299999999998</v>
      </c>
      <c r="G35" s="36">
        <f ca="1">'CDS from CapitalIQ'!X76</f>
        <v>-5.8632999999999953</v>
      </c>
      <c r="H35" s="11" cm="1">
        <f t="array" aca="1" ref="H35" ca="1">(_xll.TR(N35,"TR.PriceClose")-_xll.TR(N35,"TR.PriceClose","SDate:"&amp;TEXT(WORKDAY(TODAY(),-5),"yyyy-mm-dd")))/_xll.TR(N35,"TR.PriceClose","SDate:"&amp;TEXT(WORKDAY(TODAY(),-5),"yyyy-mm-dd"))</f>
        <v>1.4068655036578502E-3</v>
      </c>
      <c r="I35" s="11" cm="1">
        <f t="array" aca="1" ref="I35" ca="1">(_xll.TR(N35,"TR.PriceClose")-_xll.TR(N35,"TR.PriceClose","SDate:"&amp;TEXT(WORKDAY(TODAY(),-10),"yyyy-mm-dd")))/_xll.TR(N35,"TR.PriceClose","SDate:"&amp;TEXT(WORKDAY(TODAY(),-10),"yyyy-mm-dd"))</f>
        <v>3.8517653924715498E-2</v>
      </c>
      <c r="J35" s="11" cm="1">
        <f t="array" aca="1" ref="J35" ca="1">(_xll.TR(N35,"TR.PriceClose")-_xll.TR(N35,"TR.PriceClose","SDate:"&amp;EDATE(TODAY(),-3)))/_xll.TR(N35,"TR.PriceClose","SDate:"&amp;EDATE(TODAY(),-3))</f>
        <v>0.16803413193304889</v>
      </c>
      <c r="K35" s="11" cm="1">
        <f t="array" aca="1" ref="K35" ca="1">(_xll.TR(N35,"TR.PriceClose")-_xll.TR(N35,"TR.PriceClose","SDate:"&amp;EDATE(TODAY(),-12)))/_xll.TR(N35,"TR.PriceClose","SDate:"&amp;EDATE(TODAY(),-12))</f>
        <v>0.7514763779527559</v>
      </c>
      <c r="M35" s="14" t="s">
        <v>38</v>
      </c>
      <c r="N35" s="15" t="s">
        <v>72</v>
      </c>
      <c r="O35" t="s">
        <v>102</v>
      </c>
    </row>
    <row r="36" spans="1:17">
      <c r="A36" s="12" t="s">
        <v>39</v>
      </c>
      <c r="B36" s="72" t="s">
        <v>265</v>
      </c>
      <c r="C36" s="10">
        <f ca="1">'CDS from CapitalIQ'!C77</f>
        <v>75.218100000000007</v>
      </c>
      <c r="D36" s="35">
        <f ca="1">'CDS from CapitalIQ'!T77</f>
        <v>7.40000000000407E-3</v>
      </c>
      <c r="E36" s="35">
        <f ca="1">'CDS from CapitalIQ'!V77</f>
        <v>-0.66049999999999898</v>
      </c>
      <c r="F36" s="35">
        <f ca="1">'CDS from CapitalIQ'!W77</f>
        <v>1.0774000000000115</v>
      </c>
      <c r="G36" s="36">
        <f ca="1">'CDS from CapitalIQ'!X77</f>
        <v>-3.4553999999999974</v>
      </c>
      <c r="H36" s="11" cm="1">
        <f t="array" aca="1" ref="H36" ca="1">(_xll.TR(N36,"TR.PriceClose")-_xll.TR(N36,"TR.PriceClose","SDate:"&amp;TEXT(WORKDAY(TODAY(),-5),"yyyy-mm-dd")))/_xll.TR(N36,"TR.PriceClose","SDate:"&amp;TEXT(WORKDAY(TODAY(),-5),"yyyy-mm-dd"))</f>
        <v>-1.4586709886547812E-2</v>
      </c>
      <c r="I36" s="11" cm="1">
        <f t="array" aca="1" ref="I36" ca="1">(_xll.TR(N36,"TR.PriceClose")-_xll.TR(N36,"TR.PriceClose","SDate:"&amp;TEXT(WORKDAY(TODAY(),-10),"yyyy-mm-dd")))/_xll.TR(N36,"TR.PriceClose","SDate:"&amp;TEXT(WORKDAY(TODAY(),-10),"yyyy-mm-dd"))</f>
        <v>2.0134228187919462E-2</v>
      </c>
      <c r="J36" s="11" cm="1">
        <f t="array" aca="1" ref="J36" ca="1">(_xll.TR(N36,"TR.PriceClose")-_xll.TR(N36,"TR.PriceClose","SDate:"&amp;TEXT(WORKDAY(TODAY(),-65),"yyyy-mm-dd")))/_xll.TR(N36,"TR.PriceClose","SDate:"&amp;TEXT(WORKDAY(TODAY(),-65),"yyyy-mm-dd"))</f>
        <v>0.13348247576435496</v>
      </c>
      <c r="K36" s="11" cm="1">
        <f t="array" aca="1" ref="K36" ca="1">(_xll.TR(N36,"TR.PriceClose")-_xll.TR(N36,"TR.PriceClose","SDate:"&amp;EDATE(TODAY(),-12)))/_xll.TR(N36,"TR.PriceClose","SDate:"&amp;EDATE(TODAY(),-12))</f>
        <v>0.62775754979653042</v>
      </c>
      <c r="M36" s="14" t="s">
        <v>39</v>
      </c>
      <c r="N36" s="15" t="s">
        <v>73</v>
      </c>
      <c r="O36" t="s">
        <v>103</v>
      </c>
      <c r="Q36" s="16"/>
    </row>
    <row r="37" spans="1:17">
      <c r="A37" s="18" t="s">
        <v>40</v>
      </c>
      <c r="B37" s="18" t="s">
        <v>41</v>
      </c>
      <c r="C37" s="22"/>
      <c r="D37" s="37"/>
      <c r="E37" s="37"/>
      <c r="F37" s="37"/>
      <c r="G37" s="38"/>
      <c r="H37" s="17"/>
      <c r="I37" s="17"/>
      <c r="J37" s="17"/>
      <c r="K37" s="17"/>
      <c r="M37" s="13"/>
      <c r="N37" s="13"/>
      <c r="Q37" s="23"/>
    </row>
    <row r="38" spans="1:17">
      <c r="A38" s="8" t="s">
        <v>42</v>
      </c>
      <c r="B38" s="9" t="s">
        <v>263</v>
      </c>
      <c r="C38" s="10">
        <f ca="1">'CDS from CapitalIQ'!C79</f>
        <v>61.166699999999999</v>
      </c>
      <c r="D38" s="35">
        <f ca="1">'CDS from CapitalIQ'!T79</f>
        <v>-0.33330000000000126</v>
      </c>
      <c r="E38" s="35">
        <f ca="1">'CDS from CapitalIQ'!V79</f>
        <v>-0.16660000000000252</v>
      </c>
      <c r="F38" s="35">
        <f ca="1">'CDS from CapitalIQ'!W79</f>
        <v>8.7441999999999993</v>
      </c>
      <c r="G38" s="36">
        <f ca="1">'CDS from CapitalIQ'!X79</f>
        <v>20.651800000000001</v>
      </c>
      <c r="H38" s="11" cm="1">
        <f t="array" aca="1" ref="H38" ca="1">(_xll.TR(N38,"TR.PriceClose")-_xll.TR(N38,"TR.PriceClose","SDate:"&amp;TEXT(WORKDAY(TODAY(),-5),"yyyy-mm-dd")))/_xll.TR(N38,"TR.PriceClose","SDate:"&amp;TEXT(WORKDAY(TODAY(),-5),"yyyy-mm-dd"))</f>
        <v>6.5075921908893889E-3</v>
      </c>
      <c r="I38" s="11" cm="1">
        <f t="array" aca="1" ref="I38" ca="1">(_xll.TR(N38,"TR.PriceClose")-_xll.TR(N38,"TR.PriceClose","SDate:"&amp;TEXT(WORKDAY(TODAY(),-10),"yyyy-mm-dd")))/_xll.TR(N38,"TR.PriceClose","SDate:"&amp;TEXT(WORKDAY(TODAY(),-10),"yyyy-mm-dd"))</f>
        <v>1.4495100817880042E-2</v>
      </c>
      <c r="J38" s="11" cm="1">
        <f t="array" aca="1" ref="J38" ca="1">(_xll.TR(N38,"TR.PriceClose")-_xll.TR(N38,"TR.PriceClose","SDate:"&amp;TEXT(WORKDAY(TODAY(),-65),"yyyy-mm-dd")))/_xll.TR(N38,"TR.PriceClose","SDate:"&amp;TEXT(WORKDAY(TODAY(),-65),"yyyy-mm-dd"))</f>
        <v>0.19439412718085614</v>
      </c>
      <c r="K38" s="11" cm="1">
        <f t="array" aca="1" ref="K38" ca="1">(_xll.TR(N38,"TR.PriceClose")-_xll.TR(N38,"TR.PriceClose","SDate:"&amp;EDATE(TODAY(),-12)))/_xll.TR(N38,"TR.PriceClose","SDate:"&amp;EDATE(TODAY(),-12))</f>
        <v>0.65364308342133037</v>
      </c>
      <c r="M38" s="14" t="s">
        <v>42</v>
      </c>
      <c r="N38" s="15" t="s">
        <v>74</v>
      </c>
      <c r="O38" t="s">
        <v>104</v>
      </c>
      <c r="Q38" s="23"/>
    </row>
    <row r="39" spans="1:17">
      <c r="A39" s="12" t="s">
        <v>43</v>
      </c>
      <c r="B39" s="9" t="s">
        <v>263</v>
      </c>
      <c r="C39" s="10">
        <f ca="1">'CDS from CapitalIQ'!C80</f>
        <v>57.836399999999998</v>
      </c>
      <c r="D39" s="35">
        <f ca="1">'CDS from CapitalIQ'!T80</f>
        <v>1.3363999999999976</v>
      </c>
      <c r="E39" s="35">
        <f ca="1">'CDS from CapitalIQ'!V80</f>
        <v>1.8363999999999976</v>
      </c>
      <c r="F39" s="35">
        <f ca="1">'CDS from CapitalIQ'!W80</f>
        <v>0.13009999999999877</v>
      </c>
      <c r="G39" s="36">
        <f ca="1">'CDS from CapitalIQ'!X80</f>
        <v>15.0702</v>
      </c>
      <c r="H39" s="11" cm="1">
        <f t="array" aca="1" ref="H39" ca="1">(_xll.TR(N39,"TR.PriceClose")-_xll.TR(N39,"TR.PriceClose","SDate:"&amp;TEXT(WORKDAY(TODAY(),-5),"yyyy-mm-dd")))/_xll.TR(N39,"TR.PriceClose","SDate:"&amp;TEXT(WORKDAY(TODAY(),-5),"yyyy-mm-dd"))</f>
        <v>8.5378868729989194E-3</v>
      </c>
      <c r="I39" s="11" cm="1">
        <f t="array" aca="1" ref="I39" ca="1">(_xll.TR(N39,"TR.PriceClose")-_xll.TR(N39,"TR.PriceClose","SDate:"&amp;TEXT(WORKDAY(TODAY(),-10),"yyyy-mm-dd")))/_xll.TR(N39,"TR.PriceClose","SDate:"&amp;TEXT(WORKDAY(TODAY(),-10),"yyyy-mm-dd"))</f>
        <v>1.998800719568259E-2</v>
      </c>
      <c r="J39" s="11" cm="1">
        <f t="array" aca="1" ref="J39" ca="1">(_xll.TR(N39,"TR.PriceClose")-_xll.TR(N39,"TR.PriceClose","SDate:"&amp;TEXT(WORKDAY(TODAY(),-65),"yyyy-mm-dd")))/_xll.TR(N39,"TR.PriceClose","SDate:"&amp;TEXT(WORKDAY(TODAY(),-65),"yyyy-mm-dd"))</f>
        <v>0.21726062687848857</v>
      </c>
      <c r="K39" s="11" cm="1">
        <f t="array" aca="1" ref="K39" ca="1">(_xll.TR(N39,"TR.PriceClose")-_xll.TR(N39,"TR.PriceClose","SDate:"&amp;EDATE(TODAY(),-12)))/_xll.TR(N39,"TR.PriceClose","SDate:"&amp;EDATE(TODAY(),-12))</f>
        <v>0.6267134204654129</v>
      </c>
      <c r="M39" s="14" t="s">
        <v>43</v>
      </c>
      <c r="N39" s="15" t="s">
        <v>75</v>
      </c>
      <c r="O39" t="s">
        <v>108</v>
      </c>
      <c r="Q39" s="23"/>
    </row>
    <row r="40" spans="1:17">
      <c r="A40" s="8" t="s">
        <v>44</v>
      </c>
      <c r="B40" s="9" t="s">
        <v>263</v>
      </c>
      <c r="C40" s="10">
        <f ca="1">'CDS from CapitalIQ'!C81</f>
        <v>62.128599999999999</v>
      </c>
      <c r="D40" s="35">
        <f ca="1">'CDS from CapitalIQ'!T81</f>
        <v>-0.37800000000000011</v>
      </c>
      <c r="E40" s="35">
        <f ca="1">'CDS from CapitalIQ'!V81</f>
        <v>0.26559999999999917</v>
      </c>
      <c r="F40" s="35">
        <f ca="1">'CDS from CapitalIQ'!W81</f>
        <v>1.1280999999999963</v>
      </c>
      <c r="G40" s="36">
        <f ca="1">'CDS from CapitalIQ'!X81</f>
        <v>19.140099999999997</v>
      </c>
      <c r="H40" s="11" cm="1">
        <f t="array" aca="1" ref="H40" ca="1">(_xll.TR(N40,"TR.PriceClose")-_xll.TR(N40,"TR.PriceClose","SDate:"&amp;TEXT(WORKDAY(TODAY(),-5),"yyyy-mm-dd")))/_xll.TR(N40,"TR.PriceClose","SDate:"&amp;TEXT(WORKDAY(TODAY(),-5),"yyyy-mm-dd"))</f>
        <v>2.3919985539555336E-2</v>
      </c>
      <c r="I40" s="11" cm="1">
        <f t="array" aca="1" ref="I40" ca="1">(_xll.TR(N40,"TR.PriceClose")-_xll.TR(N40,"TR.PriceClose","SDate:"&amp;TEXT(WORKDAY(TODAY(),-10),"yyyy-mm-dd")))/_xll.TR(N40,"TR.PriceClose","SDate:"&amp;TEXT(WORKDAY(TODAY(),-10),"yyyy-mm-dd"))</f>
        <v>3.7674787812175536E-2</v>
      </c>
      <c r="J40" s="11" cm="1">
        <f t="array" aca="1" ref="J40" ca="1">(_xll.TR(N40,"TR.PriceClose")-_xll.TR(N40,"TR.PriceClose","SDate:"&amp;TEXT(WORKDAY(TODAY(),-65),"yyyy-mm-dd")))/_xll.TR(N40,"TR.PriceClose","SDate:"&amp;TEXT(WORKDAY(TODAY(),-65),"yyyy-mm-dd"))</f>
        <v>0.12999534543520189</v>
      </c>
      <c r="K40" s="11" cm="1">
        <f t="array" aca="1" ref="K40" ca="1">(_xll.TR(N40,"TR.PriceClose")-_xll.TR(N40,"TR.PriceClose","SDate:"&amp;EDATE(TODAY(),-12)))/_xll.TR(N40,"TR.PriceClose","SDate:"&amp;EDATE(TODAY(),-12))</f>
        <v>0.68909651128118476</v>
      </c>
      <c r="M40" s="14" t="s">
        <v>44</v>
      </c>
      <c r="N40" s="15" t="s">
        <v>76</v>
      </c>
      <c r="O40" t="s">
        <v>105</v>
      </c>
      <c r="Q40" s="23"/>
    </row>
    <row r="41" spans="1:17">
      <c r="A41" s="12" t="s">
        <v>45</v>
      </c>
      <c r="B41" s="9" t="s">
        <v>263</v>
      </c>
      <c r="C41" s="10">
        <f ca="1">'CDS from CapitalIQ'!C82</f>
        <v>56</v>
      </c>
      <c r="D41" s="35">
        <f ca="1">'CDS from CapitalIQ'!T82</f>
        <v>-0.5</v>
      </c>
      <c r="E41" s="35">
        <f ca="1">'CDS from CapitalIQ'!V82</f>
        <v>0</v>
      </c>
      <c r="F41" s="35">
        <f ca="1">'CDS from CapitalIQ'!W82</f>
        <v>3.0277000000000029</v>
      </c>
      <c r="G41" s="36">
        <f ca="1">'CDS from CapitalIQ'!X82</f>
        <v>9.8522000000000034</v>
      </c>
      <c r="H41" s="11" cm="1">
        <f t="array" aca="1" ref="H41" ca="1">(_xll.TR(N41,"TR.PriceClose")-_xll.TR(N41,"TR.PriceClose","SDate:"&amp;TEXT(WORKDAY(TODAY(),-5),"yyyy-mm-dd")))/_xll.TR(N41,"TR.PriceClose","SDate:"&amp;TEXT(WORKDAY(TODAY(),-5),"yyyy-mm-dd"))</f>
        <v>1.5349463940476914E-2</v>
      </c>
      <c r="I41" s="11" cm="1">
        <f t="array" aca="1" ref="I41" ca="1">(_xll.TR(N41,"TR.PriceClose")-_xll.TR(N41,"TR.PriceClose","SDate:"&amp;TEXT(WORKDAY(TODAY(),-10),"yyyy-mm-dd")))/_xll.TR(N41,"TR.PriceClose","SDate:"&amp;TEXT(WORKDAY(TODAY(),-10),"yyyy-mm-dd"))</f>
        <v>1.1615689936960128E-2</v>
      </c>
      <c r="J41" s="11" cm="1">
        <f t="array" aca="1" ref="J41" ca="1">(_xll.TR(N41,"TR.PriceClose")-_xll.TR(N41,"TR.PriceClose","SDate:"&amp;TEXT(WORKDAY(TODAY(),-65),"yyyy-mm-dd")))/_xll.TR(N41,"TR.PriceClose","SDate:"&amp;TEXT(WORKDAY(TODAY(),-65),"yyyy-mm-dd"))</f>
        <v>0.19187126057355069</v>
      </c>
      <c r="K41" s="11" cm="1">
        <f t="array" aca="1" ref="K41" ca="1">(_xll.TR(N41,"TR.PriceClose")-_xll.TR(N41,"TR.PriceClose","SDate:"&amp;EDATE(TODAY(),-12)))/_xll.TR(N41,"TR.PriceClose","SDate:"&amp;EDATE(TODAY(),-12))</f>
        <v>0.71577071577071572</v>
      </c>
      <c r="M41" s="14" t="s">
        <v>45</v>
      </c>
      <c r="N41" s="15" t="s">
        <v>77</v>
      </c>
      <c r="O41" t="s">
        <v>109</v>
      </c>
      <c r="Q41" s="23"/>
    </row>
    <row r="42" spans="1:17">
      <c r="A42" s="8" t="s">
        <v>46</v>
      </c>
      <c r="B42" s="9" t="s">
        <v>263</v>
      </c>
      <c r="C42" s="10">
        <f ca="1">'CDS from CapitalIQ'!C83</f>
        <v>60.8123</v>
      </c>
      <c r="D42" s="35" cm="1">
        <f t="array" ref="D42">_xll.TR(O42,"MID_SPREAD")*_xll.TR(O42,"PCTCHG_1W")/(100+_xll.TR(O42,"PCTCHG_1W"))</f>
        <v>2.3440778096542349E-2</v>
      </c>
      <c r="E42" s="35">
        <f ca="1">'CDS from CapitalIQ'!V83</f>
        <v>0.93670000000000186</v>
      </c>
      <c r="F42" s="35">
        <f ca="1">'CDS from CapitalIQ'!W83</f>
        <v>7.070999999999998</v>
      </c>
      <c r="G42" s="36">
        <f ca="1">'CDS from CapitalIQ'!X83</f>
        <v>19.640500000000003</v>
      </c>
      <c r="H42" s="11" cm="1">
        <f t="array" aca="1" ref="H42" ca="1">(_xll.TR(N42,"TR.PriceClose")-_xll.TR(N42,"TR.PriceClose","SDate:"&amp;TEXT(WORKDAY(TODAY(),-5),"yyyy-mm-dd")))/_xll.TR(N42,"TR.PriceClose","SDate:"&amp;TEXT(WORKDAY(TODAY(),-5),"yyyy-mm-dd"))</f>
        <v>1.4335593903175927E-2</v>
      </c>
      <c r="I42" s="11" cm="1">
        <f t="array" aca="1" ref="I42" ca="1">(_xll.TR(N42,"TR.PriceClose")-_xll.TR(N42,"TR.PriceClose","SDate:"&amp;TEXT(WORKDAY(TODAY(),-10),"yyyy-mm-dd")))/_xll.TR(N42,"TR.PriceClose","SDate:"&amp;TEXT(WORKDAY(TODAY(),-10),"yyyy-mm-dd"))</f>
        <v>2.3163669612922804E-2</v>
      </c>
      <c r="J42" s="11" cm="1">
        <f t="array" aca="1" ref="J42" ca="1">(_xll.TR(N42,"TR.PriceClose")-_xll.TR(N42,"TR.PriceClose","SDate:"&amp;TEXT(WORKDAY(TODAY(),-65),"yyyy-mm-dd")))/_xll.TR(N42,"TR.PriceClose","SDate:"&amp;TEXT(WORKDAY(TODAY(),-65),"yyyy-mm-dd"))</f>
        <v>0.22892007321537525</v>
      </c>
      <c r="K42" s="11" cm="1">
        <f t="array" aca="1" ref="K42" ca="1">(_xll.TR(N42,"TR.PriceClose")-_xll.TR(N42,"TR.PriceClose","SDate:"&amp;EDATE(TODAY(),-12)))/_xll.TR(N42,"TR.PriceClose","SDate:"&amp;EDATE(TODAY(),-12))</f>
        <v>0.6587789612386078</v>
      </c>
      <c r="M42" s="14" t="s">
        <v>46</v>
      </c>
      <c r="N42" s="15" t="s">
        <v>78</v>
      </c>
      <c r="O42" t="s">
        <v>106</v>
      </c>
      <c r="Q42" s="23"/>
    </row>
    <row r="43" spans="1:17">
      <c r="A43" s="12" t="s">
        <v>47</v>
      </c>
      <c r="B43" s="9" t="s">
        <v>263</v>
      </c>
      <c r="C43" s="10">
        <f ca="1">'CDS from CapitalIQ'!C84</f>
        <v>60.006599999999999</v>
      </c>
      <c r="D43" s="35">
        <f ca="1">'CDS from CapitalIQ'!T84</f>
        <v>-0.54749999999999943</v>
      </c>
      <c r="E43" s="35">
        <f ca="1">'CDS from CapitalIQ'!V84</f>
        <v>-1.4000000000002899E-2</v>
      </c>
      <c r="F43" s="35">
        <f ca="1">'CDS from CapitalIQ'!W84</f>
        <v>8.6835000000000022</v>
      </c>
      <c r="G43" s="36">
        <f ca="1">'CDS from CapitalIQ'!X84</f>
        <v>7.7394999999999996</v>
      </c>
      <c r="H43" s="11" cm="1">
        <f t="array" aca="1" ref="H43" ca="1">(_xll.TR(N43,"TR.PriceClose")-_xll.TR(N43,"TR.PriceClose","SDate:"&amp;TEXT(WORKDAY(TODAY(),-5),"yyyy-mm-dd")))/_xll.TR(N43,"TR.PriceClose","SDate:"&amp;TEXT(WORKDAY(TODAY(),-5),"yyyy-mm-dd"))</f>
        <v>2.5095256865063677E-2</v>
      </c>
      <c r="I43" s="11" cm="1">
        <f t="array" aca="1" ref="I43" ca="1">(_xll.TR(N43,"TR.PriceClose")-_xll.TR(N43,"TR.PriceClose","SDate:"&amp;TEXT(WORKDAY(TODAY(),-10),"yyyy-mm-dd")))/_xll.TR(N43,"TR.PriceClose","SDate:"&amp;TEXT(WORKDAY(TODAY(),-10),"yyyy-mm-dd"))</f>
        <v>3.2238147739801555E-2</v>
      </c>
      <c r="J43" s="11" cm="1">
        <f t="array" aca="1" ref="J43" ca="1">(_xll.TR(N43,"TR.PriceClose")-_xll.TR(N43,"TR.PriceClose","SDate:"&amp;TEXT(WORKDAY(TODAY(),-65),"yyyy-mm-dd")))/_xll.TR(N43,"TR.PriceClose","SDate:"&amp;TEXT(WORKDAY(TODAY(),-65),"yyyy-mm-dd"))</f>
        <v>0.14915553809897877</v>
      </c>
      <c r="K43" s="11" cm="1">
        <f t="array" aca="1" ref="K43" ca="1">(_xll.TR(N43,"TR.PriceClose")-_xll.TR(N43,"TR.PriceClose","SDate:"&amp;EDATE(TODAY(),-12)))/_xll.TR(N43,"TR.PriceClose","SDate:"&amp;EDATE(TODAY(),-12))</f>
        <v>0.63267299107142838</v>
      </c>
      <c r="M43" s="14" t="s">
        <v>47</v>
      </c>
      <c r="N43" s="15" t="s">
        <v>79</v>
      </c>
      <c r="O43" t="s">
        <v>107</v>
      </c>
    </row>
    <row r="44" spans="1:17">
      <c r="A44" s="8" t="s">
        <v>48</v>
      </c>
      <c r="B44" s="9" t="s">
        <v>263</v>
      </c>
      <c r="C44" s="10" t="str" cm="1">
        <f t="array" ref="C44">_xll.TR(O44,"MID_SPREAD")</f>
        <v>The record could not be found (Error code: 0)</v>
      </c>
      <c r="D44" s="35" t="e" cm="1">
        <f t="array" ref="D44">_xll.TR(O44,"MID_SPREAD")*_xll.TR(O44,"PCTCHG_1W")/(100+_xll.TR(O44,"PCTCHG_1W"))</f>
        <v>#VALUE!</v>
      </c>
      <c r="E44" s="35">
        <f>'CDS from CapitalIQ'!V85</f>
        <v>0</v>
      </c>
      <c r="F44" s="35">
        <f>'CDS from CapitalIQ'!W85</f>
        <v>0</v>
      </c>
      <c r="G44" s="36">
        <f>'CDS from CapitalIQ'!X85</f>
        <v>0</v>
      </c>
      <c r="H44" s="11" cm="1">
        <f t="array" aca="1" ref="H44" ca="1">(_xll.TR(N44,"TR.PriceClose")-_xll.TR(N44,"TR.PriceClose","SDate:"&amp;TEXT(WORKDAY(TODAY(),-5),"yyyy-mm-dd")))/_xll.TR(N44,"TR.PriceClose","SDate:"&amp;TEXT(WORKDAY(TODAY(),-5),"yyyy-mm-dd"))</f>
        <v>-2.4826216484608097E-3</v>
      </c>
      <c r="I44" s="11" cm="1">
        <f t="array" aca="1" ref="I44" ca="1">(_xll.TR(N44,"TR.PriceClose")-_xll.TR(N44,"TR.PriceClose","SDate:"&amp;TEXT(WORKDAY(TODAY(),-10),"yyyy-mm-dd")))/_xll.TR(N44,"TR.PriceClose","SDate:"&amp;TEXT(WORKDAY(TODAY(),-10),"yyyy-mm-dd"))</f>
        <v>-7.4608306391447737E-4</v>
      </c>
      <c r="J44" s="11" cm="1">
        <f t="array" aca="1" ref="J44" ca="1">(_xll.TR(N44,"TR.PriceClose")-_xll.TR(N44,"TR.PriceClose","SDate:"&amp;TEXT(WORKDAY(TODAY(),-65),"yyyy-mm-dd")))/_xll.TR(N44,"TR.PriceClose","SDate:"&amp;TEXT(WORKDAY(TODAY(),-65),"yyyy-mm-dd"))</f>
        <v>-2.4826216484608097E-3</v>
      </c>
      <c r="K44" s="11" cm="1">
        <f t="array" aca="1" ref="K44" ca="1">(_xll.TR(N44,"TR.PriceClose")-_xll.TR(N44,"TR.PriceClose","SDate:"&amp;EDATE(TODAY(),-12)))/_xll.TR(N44,"TR.PriceClose","SDate:"&amp;EDATE(TODAY(),-12))</f>
        <v>0.28411633109619688</v>
      </c>
      <c r="M44" s="14" t="s">
        <v>48</v>
      </c>
      <c r="N44" s="15" t="s">
        <v>80</v>
      </c>
      <c r="O44" t="s">
        <v>110</v>
      </c>
      <c r="Q44" s="16"/>
    </row>
    <row r="45" spans="1:17">
      <c r="Q45" s="23"/>
    </row>
    <row r="46" spans="1:17">
      <c r="A46" t="s">
        <v>237</v>
      </c>
      <c r="F46" s="24"/>
      <c r="H46" s="52">
        <f ca="1">_xlfn.PERCENTILE.INC(H$8:H$44,0.2)</f>
        <v>-1.5510090868854173E-2</v>
      </c>
      <c r="I46" s="52">
        <f ca="1">_xlfn.PERCENTILE.INC(I$8:I$44,0.2)</f>
        <v>-2.5756788611358619E-2</v>
      </c>
      <c r="J46" s="53">
        <f ca="1">_xlfn.PERCENTILE.INC(J$8:J$44,0.2)</f>
        <v>7.436448575935023E-2</v>
      </c>
      <c r="K46" s="53">
        <f ca="1">_xlfn.PERCENTILE.INC(K$8:K$44,0.2)</f>
        <v>0.30435034142071793</v>
      </c>
      <c r="M46" s="16"/>
      <c r="Q46" s="23"/>
    </row>
    <row r="47" spans="1:17">
      <c r="H47" s="51">
        <f ca="1">_xlfn.PERCENTILE.INC(H$8:H$44,0.8)</f>
        <v>1.9842922321996855E-2</v>
      </c>
      <c r="I47" s="51">
        <f ca="1">_xlfn.PERCENTILE.INC(I$8:I$44,0.8)</f>
        <v>2.2929895859145559E-2</v>
      </c>
      <c r="J47" s="54">
        <f ca="1">_xlfn.PERCENTILE.INC(J$8:J$44,0.8)</f>
        <v>0.19662740936800333</v>
      </c>
      <c r="K47" s="54">
        <f ca="1">_xlfn.PERCENTILE.INC(K$8:K$44,0.8)</f>
        <v>0.68331741302943749</v>
      </c>
      <c r="Q47" s="23"/>
    </row>
    <row r="48" spans="1:17">
      <c r="C48" s="41"/>
      <c r="D48" s="41"/>
      <c r="M48" s="13"/>
      <c r="N48" s="13"/>
      <c r="Q48" s="23"/>
    </row>
    <row r="49" spans="4:17">
      <c r="M49" s="14"/>
      <c r="N49" s="15"/>
      <c r="Q49" s="23"/>
    </row>
    <row r="50" spans="4:17">
      <c r="D50" s="41"/>
      <c r="M50" s="14"/>
      <c r="N50" s="15"/>
      <c r="Q50" s="23"/>
    </row>
    <row r="51" spans="4:17">
      <c r="M51" s="14"/>
      <c r="N51" s="15"/>
      <c r="Q51" s="23"/>
    </row>
    <row r="52" spans="4:17">
      <c r="M52" s="14"/>
      <c r="N52" s="15"/>
      <c r="Q52" s="23"/>
    </row>
    <row r="53" spans="4:17">
      <c r="M53" s="14"/>
      <c r="N53" s="15"/>
    </row>
    <row r="55" spans="4:17">
      <c r="M55" s="16"/>
    </row>
    <row r="57" spans="4:17">
      <c r="M57" s="13"/>
      <c r="N57" s="13"/>
    </row>
    <row r="58" spans="4:17">
      <c r="M58" s="14"/>
      <c r="N58" s="15"/>
    </row>
    <row r="59" spans="4:17">
      <c r="M59" s="14"/>
      <c r="N59" s="15"/>
    </row>
    <row r="60" spans="4:17">
      <c r="M60" s="14"/>
      <c r="N60" s="15"/>
    </row>
    <row r="61" spans="4:17">
      <c r="M61" s="14"/>
      <c r="N61" s="15"/>
    </row>
    <row r="62" spans="4:17">
      <c r="M62" s="14"/>
      <c r="N62" s="15"/>
    </row>
    <row r="63" spans="4:17">
      <c r="M63" s="14"/>
      <c r="N63" s="15"/>
    </row>
    <row r="64" spans="4:17">
      <c r="M64" s="14"/>
      <c r="N64" s="15"/>
    </row>
  </sheetData>
  <mergeCells count="4">
    <mergeCell ref="C1:G1"/>
    <mergeCell ref="C5:G5"/>
    <mergeCell ref="H1:K1"/>
    <mergeCell ref="H5:K5"/>
  </mergeCells>
  <conditionalFormatting sqref="D8:D43">
    <cfRule type="expression" dxfId="23" priority="15" stopIfTrue="1">
      <formula>D8&lt;=-3</formula>
    </cfRule>
    <cfRule type="expression" dxfId="22" priority="16" stopIfTrue="1">
      <formula>D8&gt;3</formula>
    </cfRule>
  </conditionalFormatting>
  <conditionalFormatting sqref="E8:E44">
    <cfRule type="expression" dxfId="21" priority="13" stopIfTrue="1">
      <formula>E8&lt;=-3</formula>
    </cfRule>
    <cfRule type="expression" dxfId="20" priority="14" stopIfTrue="1">
      <formula>E8&gt;3</formula>
    </cfRule>
  </conditionalFormatting>
  <conditionalFormatting sqref="F8:G44">
    <cfRule type="expression" dxfId="19" priority="9" stopIfTrue="1">
      <formula>F8&lt;=-20</formula>
    </cfRule>
    <cfRule type="expression" dxfId="18" priority="10" stopIfTrue="1">
      <formula>F8&gt;20</formula>
    </cfRule>
  </conditionalFormatting>
  <conditionalFormatting sqref="H8:H44 H46">
    <cfRule type="expression" dxfId="17" priority="7" stopIfTrue="1">
      <formula>H8&gt;=0.02</formula>
    </cfRule>
    <cfRule type="expression" dxfId="16" priority="8" stopIfTrue="1">
      <formula>H8&lt;=-0.03</formula>
    </cfRule>
  </conditionalFormatting>
  <conditionalFormatting sqref="I8:I44 I46">
    <cfRule type="expression" dxfId="15" priority="5" stopIfTrue="1">
      <formula>I8&gt;=0.1</formula>
    </cfRule>
    <cfRule type="expression" dxfId="14" priority="6" stopIfTrue="1">
      <formula>I8&lt;=-0.03</formula>
    </cfRule>
  </conditionalFormatting>
  <conditionalFormatting sqref="J8:J44">
    <cfRule type="expression" dxfId="13" priority="3" stopIfTrue="1">
      <formula>J8&gt;=0.3</formula>
    </cfRule>
    <cfRule type="expression" dxfId="12" priority="4" stopIfTrue="1">
      <formula>J8&lt;=-0.13</formula>
    </cfRule>
  </conditionalFormatting>
  <conditionalFormatting sqref="K8:K44">
    <cfRule type="expression" dxfId="11" priority="1" stopIfTrue="1">
      <formula>K8&gt;=0.7</formula>
    </cfRule>
    <cfRule type="expression" dxfId="10" priority="2" stopIfTrue="1">
      <formula>K8&lt;=-0.3</formula>
    </cfRule>
  </conditionalFormatting>
  <pageMargins left="0.7" right="0.7" top="0.75" bottom="0.75" header="0.3" footer="0.3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D83A-8344-46DF-9263-3D6EDECA8BF0}">
  <dimension ref="A1:K44"/>
  <sheetViews>
    <sheetView topLeftCell="A23" zoomScale="98" zoomScaleNormal="98" workbookViewId="0">
      <selection activeCell="F16" sqref="F16"/>
    </sheetView>
  </sheetViews>
  <sheetFormatPr defaultRowHeight="14"/>
  <cols>
    <col min="1" max="1" width="27.26953125" style="55" customWidth="1"/>
    <col min="2" max="3" width="15.26953125" style="55" customWidth="1"/>
    <col min="4" max="4" width="21.81640625" style="55" customWidth="1"/>
    <col min="5" max="5" width="19.6328125" style="55" customWidth="1"/>
    <col min="6" max="6" width="21.81640625" style="55" customWidth="1"/>
    <col min="7" max="7" width="20.7265625" style="55" customWidth="1"/>
    <col min="8" max="8" width="16.36328125" style="55" customWidth="1"/>
    <col min="9" max="9" width="8.7265625" style="55"/>
    <col min="10" max="10" width="19.6328125" style="55" customWidth="1"/>
    <col min="11" max="11" width="24" style="55" customWidth="1"/>
    <col min="12" max="16384" width="8.7265625" style="55"/>
  </cols>
  <sheetData>
    <row r="1" spans="1:11" ht="18" customHeight="1">
      <c r="A1" s="80" t="s">
        <v>262</v>
      </c>
      <c r="B1" s="80"/>
      <c r="C1" s="80"/>
      <c r="D1" s="80"/>
      <c r="E1" s="80"/>
      <c r="F1" s="80"/>
      <c r="G1" s="80"/>
      <c r="H1" s="80"/>
      <c r="J1" s="81" t="s">
        <v>261</v>
      </c>
      <c r="K1" s="81"/>
    </row>
    <row r="2" spans="1:11">
      <c r="J2" s="70" t="s">
        <v>260</v>
      </c>
      <c r="K2" s="71">
        <v>0.6</v>
      </c>
    </row>
    <row r="3" spans="1:11">
      <c r="J3" s="70" t="s">
        <v>259</v>
      </c>
      <c r="K3" s="71">
        <v>0.4</v>
      </c>
    </row>
    <row r="4" spans="1:11">
      <c r="J4" s="70" t="s">
        <v>258</v>
      </c>
      <c r="K4" s="69" t="s">
        <v>257</v>
      </c>
    </row>
    <row r="5" spans="1:11">
      <c r="J5" s="70" t="s">
        <v>256</v>
      </c>
      <c r="K5" s="69" t="s">
        <v>255</v>
      </c>
    </row>
    <row r="7" spans="1:11" ht="34.5" customHeight="1">
      <c r="A7" s="68" t="s">
        <v>2</v>
      </c>
      <c r="B7" s="68" t="s">
        <v>254</v>
      </c>
      <c r="C7" s="68" t="s">
        <v>253</v>
      </c>
      <c r="D7" s="68" t="s">
        <v>252</v>
      </c>
      <c r="E7" s="68" t="s">
        <v>251</v>
      </c>
      <c r="F7" s="68" t="s">
        <v>250</v>
      </c>
      <c r="G7" s="68" t="s">
        <v>249</v>
      </c>
      <c r="H7" s="68" t="s">
        <v>247</v>
      </c>
    </row>
    <row r="8" spans="1:11">
      <c r="A8" s="60" t="s">
        <v>10</v>
      </c>
      <c r="B8" s="60" t="s">
        <v>238</v>
      </c>
      <c r="C8" s="59">
        <f ca="1">Report!$C$8</f>
        <v>53.669199999999996</v>
      </c>
      <c r="D8" s="58">
        <f ca="1">Report!$I$8</f>
        <v>-0.10079243709161684</v>
      </c>
      <c r="E8" s="62">
        <f ca="1">_xlfn.PERCENTRANK.INC($C$8:$C$14,C8)*100</f>
        <v>50</v>
      </c>
      <c r="F8" s="62">
        <f ca="1">(1-_xlfn.PERCENTRANK.INC($D$8:$D$14,D8))*100</f>
        <v>100</v>
      </c>
      <c r="G8" s="62">
        <f t="shared" ref="G8:G14" ca="1" si="0">IF(OR(E8="",F8=""),"",$K$2*E8+$K$3*F8)</f>
        <v>70</v>
      </c>
      <c r="H8" s="61" t="str">
        <f t="shared" ref="H8:H14" ca="1" si="1">IF(G8="","",IF(G8&lt;=25,"Low",IF(G8&lt;=50,"Moderate",IF(G8&lt;=75,"Elevated","High"))))</f>
        <v>Elevated</v>
      </c>
      <c r="J8" s="67" t="s">
        <v>248</v>
      </c>
      <c r="K8" s="67" t="s">
        <v>247</v>
      </c>
    </row>
    <row r="9" spans="1:11">
      <c r="A9" s="60" t="s">
        <v>11</v>
      </c>
      <c r="B9" s="60" t="s">
        <v>238</v>
      </c>
      <c r="C9" s="59">
        <f ca="1">Report!$C$9</f>
        <v>55.617600000000003</v>
      </c>
      <c r="D9" s="58">
        <f ca="1">Report!$I$9</f>
        <v>2.2871452420701245E-2</v>
      </c>
      <c r="E9" s="62">
        <f t="shared" ref="E9:E14" ca="1" si="2">_xlfn.PERCENTRANK.INC($C$8:$C$14,C9)*100</f>
        <v>83.3</v>
      </c>
      <c r="F9" s="62">
        <f t="shared" ref="F9:F14" ca="1" si="3">(1-_xlfn.PERCENTRANK.INC($D$8:$D$14,D9))*100</f>
        <v>16.700000000000003</v>
      </c>
      <c r="G9" s="62">
        <f t="shared" ca="1" si="0"/>
        <v>56.66</v>
      </c>
      <c r="H9" s="61" t="str">
        <f t="shared" ca="1" si="1"/>
        <v>Elevated</v>
      </c>
      <c r="J9" s="66" t="s">
        <v>246</v>
      </c>
      <c r="K9" s="66" t="s">
        <v>245</v>
      </c>
    </row>
    <row r="10" spans="1:11">
      <c r="A10" s="60" t="s">
        <v>12</v>
      </c>
      <c r="B10" s="60" t="s">
        <v>238</v>
      </c>
      <c r="C10" s="59">
        <f ca="1">Report!$C$10</f>
        <v>40.803199999999997</v>
      </c>
      <c r="D10" s="58">
        <f ca="1">Report!$I$10</f>
        <v>1.0008290891863067E-2</v>
      </c>
      <c r="E10" s="62">
        <f t="shared" ca="1" si="2"/>
        <v>0</v>
      </c>
      <c r="F10" s="62">
        <f t="shared" ca="1" si="3"/>
        <v>33.4</v>
      </c>
      <c r="G10" s="62">
        <f t="shared" ca="1" si="0"/>
        <v>13.36</v>
      </c>
      <c r="H10" s="61" t="str">
        <f t="shared" ca="1" si="1"/>
        <v>Low</v>
      </c>
      <c r="J10" s="65" t="s">
        <v>244</v>
      </c>
      <c r="K10" s="65" t="s">
        <v>243</v>
      </c>
    </row>
    <row r="11" spans="1:11">
      <c r="A11" s="60" t="s">
        <v>13</v>
      </c>
      <c r="B11" s="60" t="s">
        <v>238</v>
      </c>
      <c r="C11" s="59">
        <f ca="1">Report!$C$11</f>
        <v>55.264099999999999</v>
      </c>
      <c r="D11" s="58">
        <f ca="1">Report!$I$11</f>
        <v>9.4097357124582476E-3</v>
      </c>
      <c r="E11" s="62">
        <f t="shared" ca="1" si="2"/>
        <v>66.600000000000009</v>
      </c>
      <c r="F11" s="62">
        <f t="shared" ca="1" si="3"/>
        <v>50</v>
      </c>
      <c r="G11" s="62">
        <f t="shared" ca="1" si="0"/>
        <v>59.96</v>
      </c>
      <c r="H11" s="61" t="str">
        <f t="shared" ca="1" si="1"/>
        <v>Elevated</v>
      </c>
      <c r="J11" s="64" t="s">
        <v>242</v>
      </c>
      <c r="K11" s="64" t="s">
        <v>241</v>
      </c>
    </row>
    <row r="12" spans="1:11">
      <c r="A12" s="60" t="s">
        <v>14</v>
      </c>
      <c r="B12" s="60" t="s">
        <v>238</v>
      </c>
      <c r="C12" s="59">
        <f ca="1">Report!$C$12</f>
        <v>58.314</v>
      </c>
      <c r="D12" s="58">
        <f ca="1">Report!$I$12</f>
        <v>-2.9716343989194031E-2</v>
      </c>
      <c r="E12" s="62">
        <f t="shared" ca="1" si="2"/>
        <v>100</v>
      </c>
      <c r="F12" s="62">
        <f t="shared" ca="1" si="3"/>
        <v>83.399999999999991</v>
      </c>
      <c r="G12" s="62">
        <f t="shared" ca="1" si="0"/>
        <v>93.36</v>
      </c>
      <c r="H12" s="61" t="str">
        <f t="shared" ca="1" si="1"/>
        <v>High</v>
      </c>
      <c r="J12" s="63" t="s">
        <v>240</v>
      </c>
      <c r="K12" s="63" t="s">
        <v>239</v>
      </c>
    </row>
    <row r="13" spans="1:11">
      <c r="A13" s="60" t="s">
        <v>15</v>
      </c>
      <c r="B13" s="60" t="s">
        <v>238</v>
      </c>
      <c r="C13" s="59">
        <f ca="1">Report!$C$13</f>
        <v>49.766399999999997</v>
      </c>
      <c r="D13" s="58">
        <f ca="1">Report!$I$13</f>
        <v>6.8610634648373094E-4</v>
      </c>
      <c r="E13" s="62">
        <f t="shared" ca="1" si="2"/>
        <v>16.600000000000001</v>
      </c>
      <c r="F13" s="62">
        <f t="shared" ca="1" si="3"/>
        <v>66.7</v>
      </c>
      <c r="G13" s="62">
        <f t="shared" ca="1" si="0"/>
        <v>36.64</v>
      </c>
      <c r="H13" s="61" t="str">
        <f t="shared" ca="1" si="1"/>
        <v>Moderate</v>
      </c>
    </row>
    <row r="14" spans="1:11">
      <c r="A14" s="60" t="s">
        <v>16</v>
      </c>
      <c r="B14" s="60" t="s">
        <v>238</v>
      </c>
      <c r="C14" s="59">
        <f ca="1">Report!$C$14</f>
        <v>51.447800000000001</v>
      </c>
      <c r="D14" s="58">
        <f ca="1">Report!$I$14</f>
        <v>3.71675380768356E-2</v>
      </c>
      <c r="E14" s="62">
        <f t="shared" ca="1" si="2"/>
        <v>33.300000000000004</v>
      </c>
      <c r="F14" s="62">
        <f t="shared" ca="1" si="3"/>
        <v>0</v>
      </c>
      <c r="G14" s="62">
        <f t="shared" ca="1" si="0"/>
        <v>19.98</v>
      </c>
      <c r="H14" s="61" t="str">
        <f t="shared" ca="1" si="1"/>
        <v>Low</v>
      </c>
    </row>
    <row r="15" spans="1:11" ht="14.65" customHeight="1">
      <c r="A15" s="77" t="s">
        <v>17</v>
      </c>
      <c r="B15" s="77"/>
      <c r="C15" s="78"/>
      <c r="D15" s="79"/>
      <c r="E15" s="78"/>
      <c r="F15" s="78"/>
      <c r="G15" s="78"/>
      <c r="H15" s="77"/>
    </row>
    <row r="16" spans="1:11">
      <c r="A16" s="60" t="s">
        <v>18</v>
      </c>
      <c r="B16" s="60" t="s">
        <v>17</v>
      </c>
      <c r="C16" s="59">
        <f ca="1">Report!$C$16</f>
        <v>43.5488</v>
      </c>
      <c r="D16" s="58">
        <f ca="1">Report!$I$16</f>
        <v>-1.6023166023165992E-2</v>
      </c>
      <c r="E16" s="62">
        <f ca="1">_xlfn.PERCENTRANK.INC($C$16:$C$18,C16)*100</f>
        <v>50</v>
      </c>
      <c r="F16" s="62">
        <f ca="1">(1-_xlfn.PERCENTRANK.INC($D$16:$D$18,D16))*100</f>
        <v>50</v>
      </c>
      <c r="G16" s="62" t="e">
        <f ca="1">IF(OR(#REF!="",F16=""),"",$K$2*#REF!+$K$3*F16)</f>
        <v>#REF!</v>
      </c>
      <c r="H16" s="61" t="e">
        <f ca="1">IF(G16="","",IF(G16&lt;=25,"Low",IF(G16&lt;=50,"Moderate",IF(G16&lt;=75,"Elevated","High"))))</f>
        <v>#REF!</v>
      </c>
    </row>
    <row r="17" spans="1:8">
      <c r="A17" s="60" t="s">
        <v>19</v>
      </c>
      <c r="B17" s="60" t="s">
        <v>17</v>
      </c>
      <c r="C17" s="59">
        <f ca="1">Report!$C$17</f>
        <v>35.233699999999999</v>
      </c>
      <c r="D17" s="58">
        <f ca="1">Report!$I$17</f>
        <v>-3.6414565826331244E-3</v>
      </c>
      <c r="E17" s="62">
        <f t="shared" ref="E17:E18" ca="1" si="4">_xlfn.PERCENTRANK.INC($C$16:$C$18,C17)*100</f>
        <v>0</v>
      </c>
      <c r="F17" s="62">
        <f t="shared" ref="F17:F18" ca="1" si="5">(1-_xlfn.PERCENTRANK.INC($D$16:$D$18,D17))*100</f>
        <v>0</v>
      </c>
      <c r="G17" s="62">
        <f ca="1">IF(OR(E16="",F17=""),"",$K$2*E16+$K$3*F17)</f>
        <v>30</v>
      </c>
      <c r="H17" s="61" t="str">
        <f ca="1">IF(G17="","",IF(G17&lt;=25,"Low",IF(G17&lt;=50,"Moderate",IF(G17&lt;=75,"Elevated","High"))))</f>
        <v>Moderate</v>
      </c>
    </row>
    <row r="18" spans="1:8">
      <c r="A18" s="60" t="s">
        <v>20</v>
      </c>
      <c r="B18" s="60" t="s">
        <v>17</v>
      </c>
      <c r="C18" s="59">
        <f ca="1">Report!$C$18</f>
        <v>43.881100000000004</v>
      </c>
      <c r="D18" s="58">
        <f ca="1">Report!$I$18</f>
        <v>-4.1280864197530964E-2</v>
      </c>
      <c r="E18" s="62">
        <f t="shared" ca="1" si="4"/>
        <v>100</v>
      </c>
      <c r="F18" s="62">
        <f t="shared" ca="1" si="5"/>
        <v>100</v>
      </c>
      <c r="G18" s="62">
        <f ca="1">IF(OR(E18="",F18=""),"",$K$2*E18+$K$3*F18)</f>
        <v>100</v>
      </c>
      <c r="H18" s="61" t="str">
        <f ca="1">IF(G18="","",IF(G18&lt;=25,"Low",IF(G18&lt;=50,"Moderate",IF(G18&lt;=75,"Elevated","High"))))</f>
        <v>High</v>
      </c>
    </row>
    <row r="19" spans="1:8" ht="14.65" customHeight="1">
      <c r="A19" s="77" t="s">
        <v>21</v>
      </c>
      <c r="B19" s="77"/>
      <c r="C19" s="78"/>
      <c r="D19" s="79"/>
      <c r="E19" s="78"/>
      <c r="F19" s="78"/>
      <c r="G19" s="78"/>
      <c r="H19" s="77"/>
    </row>
    <row r="20" spans="1:8">
      <c r="A20" s="60" t="s">
        <v>22</v>
      </c>
      <c r="B20" s="60" t="s">
        <v>21</v>
      </c>
      <c r="C20" s="59">
        <f ca="1">Report!$C$20</f>
        <v>47.959400000000002</v>
      </c>
      <c r="D20" s="58">
        <f ca="1">Report!$I$20</f>
        <v>1.5274463007159919E-2</v>
      </c>
      <c r="E20" s="62" t="str">
        <f ca="1">IF(OR(C20="",COUNTIFS($B$8:$B$44,B20,$C$8:$C$44,"&lt;&gt;")&lt;2),"",100*(COUNTIFS($B$8:$B$44,B20,$C$8:$C$44,"&lt;"&amp;C20)+0.5*(COUNTIFS($B$8:$B$44,B20,$C$8:$C$44,"="&amp;C20)-1))/(COUNTIFS($B$8:$B$44,B20,$C$8:$C$44,"&lt;&gt;")-1))</f>
        <v/>
      </c>
      <c r="F20" s="62" t="str">
        <f ca="1">IF(OR(D20="",COUNTIFS($B$8:$B$44,B20,$D$8:$D$44,"&lt;&gt;")&lt;2),"",100*(COUNTIFS($B$8:$B$44,B20,$D$8:$D$44,"&gt;"&amp;D20)+0.5*(COUNTIFS($B$8:$B$44,B20,$D$8:$D$44,"="&amp;D20)-1))/(COUNTIFS($B$8:$B$44,B20,$D$8:$D$44,"&lt;&gt;")-1))</f>
        <v/>
      </c>
      <c r="G20" s="62" t="str">
        <f ca="1">IF(OR(E20="",F20=""),"",$K$2*E20+$K$3*F20)</f>
        <v/>
      </c>
      <c r="H20" s="61" t="str">
        <f ca="1">IF(G20="","",IF(G20&lt;=25,"Low",IF(G20&lt;=50,"Moderate",IF(G20&lt;=75,"Elevated","High"))))</f>
        <v/>
      </c>
    </row>
    <row r="21" spans="1:8" ht="14.65" customHeight="1">
      <c r="A21" s="77" t="s">
        <v>23</v>
      </c>
      <c r="B21" s="77"/>
      <c r="C21" s="78"/>
      <c r="D21" s="79"/>
      <c r="E21" s="78"/>
      <c r="F21" s="78"/>
      <c r="G21" s="78"/>
      <c r="H21" s="77"/>
    </row>
    <row r="22" spans="1:8">
      <c r="A22" s="60" t="s">
        <v>24</v>
      </c>
      <c r="B22" s="60" t="s">
        <v>23</v>
      </c>
      <c r="C22" s="59">
        <f ca="1">Report!$C$22</f>
        <v>60.666699999999999</v>
      </c>
      <c r="D22" s="58">
        <f ca="1">Report!$I$22</f>
        <v>-2.4173748819641086E-2</v>
      </c>
      <c r="E22" s="62">
        <f ca="1">_xlfn.PERCENTRANK.INC($C$22:$C$25,C22)*100</f>
        <v>100</v>
      </c>
      <c r="F22" s="62">
        <f ca="1">(1-_xlfn.PERCENTRANK.INC($D$22:$D$25,D22))*100</f>
        <v>66.7</v>
      </c>
      <c r="G22" s="62">
        <f ca="1">IF(OR(E22="",F22=""),"",$K$2*E22+$K$3*F22)</f>
        <v>86.68</v>
      </c>
      <c r="H22" s="61" t="str">
        <f ca="1">IF(G22="","",IF(G22&lt;=25,"Low",IF(G22&lt;=50,"Moderate",IF(G22&lt;=75,"Elevated","High"))))</f>
        <v>High</v>
      </c>
    </row>
    <row r="23" spans="1:8">
      <c r="A23" s="60" t="s">
        <v>25</v>
      </c>
      <c r="B23" s="60" t="s">
        <v>23</v>
      </c>
      <c r="C23" s="59">
        <f ca="1">Report!$C$23</f>
        <v>39.036700000000003</v>
      </c>
      <c r="D23" s="58">
        <f ca="1">Report!$I$23</f>
        <v>1.8149563318777387E-2</v>
      </c>
      <c r="E23" s="62">
        <f t="shared" ref="E23:E25" ca="1" si="6">_xlfn.PERCENTRANK.INC($C$22:$C$25,C23)*100</f>
        <v>0</v>
      </c>
      <c r="F23" s="62">
        <f t="shared" ref="F23:F25" ca="1" si="7">(1-_xlfn.PERCENTRANK.INC($D$22:$D$25,D23))*100</f>
        <v>0</v>
      </c>
      <c r="G23" s="62">
        <f ca="1">IF(OR(E23="",F23=""),"",$K$2*E23+$K$3*F23)</f>
        <v>0</v>
      </c>
      <c r="H23" s="61" t="str">
        <f ca="1">IF(G23="","",IF(G23&lt;=25,"Low",IF(G23&lt;=50,"Moderate",IF(G23&lt;=75,"Elevated","High"))))</f>
        <v>Low</v>
      </c>
    </row>
    <row r="24" spans="1:8">
      <c r="A24" s="60" t="s">
        <v>26</v>
      </c>
      <c r="B24" s="60" t="s">
        <v>23</v>
      </c>
      <c r="C24" s="59">
        <f ca="1">Report!$C$24</f>
        <v>55.879399999999997</v>
      </c>
      <c r="D24" s="58">
        <f ca="1">Report!$I$24</f>
        <v>-2.4766899766899768E-2</v>
      </c>
      <c r="E24" s="62">
        <f t="shared" ca="1" si="6"/>
        <v>66.600000000000009</v>
      </c>
      <c r="F24" s="62">
        <f t="shared" ca="1" si="7"/>
        <v>100</v>
      </c>
      <c r="G24" s="62">
        <f ca="1">IF(OR(E24="",F24=""),"",$K$2*E24+$K$3*F24)</f>
        <v>79.960000000000008</v>
      </c>
      <c r="H24" s="61" t="str">
        <f ca="1">IF(G24="","",IF(G24&lt;=25,"Low",IF(G24&lt;=50,"Moderate",IF(G24&lt;=75,"Elevated","High"))))</f>
        <v>High</v>
      </c>
    </row>
    <row r="25" spans="1:8">
      <c r="A25" s="60" t="s">
        <v>27</v>
      </c>
      <c r="B25" s="60" t="s">
        <v>23</v>
      </c>
      <c r="C25" s="59">
        <f ca="1">Report!$C$25</f>
        <v>43.3386</v>
      </c>
      <c r="D25" s="58">
        <f ca="1">Report!$I$25</f>
        <v>-2.1860465116279069E-2</v>
      </c>
      <c r="E25" s="62">
        <f t="shared" ca="1" si="6"/>
        <v>33.300000000000004</v>
      </c>
      <c r="F25" s="62">
        <f t="shared" ca="1" si="7"/>
        <v>33.4</v>
      </c>
      <c r="G25" s="62">
        <f ca="1">IF(OR(E25="",F25=""),"",$K$2*E25+$K$3*F25)</f>
        <v>33.340000000000003</v>
      </c>
      <c r="H25" s="61" t="str">
        <f ca="1">IF(G25="","",IF(G25&lt;=25,"Low",IF(G25&lt;=50,"Moderate",IF(G25&lt;=75,"Elevated","High"))))</f>
        <v>Moderate</v>
      </c>
    </row>
    <row r="26" spans="1:8" ht="14.65" customHeight="1">
      <c r="A26" s="77" t="s">
        <v>28</v>
      </c>
      <c r="B26" s="77"/>
      <c r="C26" s="78"/>
      <c r="D26" s="79"/>
      <c r="E26" s="78"/>
      <c r="F26" s="78"/>
      <c r="G26" s="78"/>
      <c r="H26" s="77"/>
    </row>
    <row r="27" spans="1:8">
      <c r="A27" s="60" t="s">
        <v>29</v>
      </c>
      <c r="B27" s="60" t="s">
        <v>28</v>
      </c>
      <c r="C27" s="59">
        <f ca="1">Report!$C$27</f>
        <v>45.833300000000001</v>
      </c>
      <c r="D27" s="58">
        <f ca="1">Report!$I$27</f>
        <v>-4.5208236569128375E-2</v>
      </c>
      <c r="E27" s="62">
        <f ca="1">_xlfn.PERCENTRANK.INC($C$27:$C$28,C27)*100</f>
        <v>100</v>
      </c>
      <c r="F27" s="62">
        <f ca="1">(1-_xlfn.PERCENTRANK.INC($D$27:$D$28,D27))*100</f>
        <v>100</v>
      </c>
      <c r="G27" s="62">
        <f ca="1">IF(OR(E27="",F27=""),"",$K$2*E27+$K$3*F27)</f>
        <v>100</v>
      </c>
      <c r="H27" s="61" t="str">
        <f ca="1">IF(G27="","",IF(G27&lt;=25,"Low",IF(G27&lt;=50,"Moderate",IF(G27&lt;=75,"Elevated","High"))))</f>
        <v>High</v>
      </c>
    </row>
    <row r="28" spans="1:8">
      <c r="A28" s="60" t="s">
        <v>30</v>
      </c>
      <c r="B28" s="60" t="s">
        <v>28</v>
      </c>
      <c r="C28" s="59">
        <f ca="1">Report!$C$28</f>
        <v>36.5</v>
      </c>
      <c r="D28" s="58">
        <f ca="1">Report!$I$28</f>
        <v>-3.4582132564841501E-2</v>
      </c>
      <c r="E28" s="62">
        <f ca="1">_xlfn.PERCENTRANK.INC($C$27:$C$28,C28)*100</f>
        <v>0</v>
      </c>
      <c r="F28" s="62">
        <f ca="1">(1-_xlfn.PERCENTRANK.INC($D$27:$D$28,D28))*100</f>
        <v>0</v>
      </c>
      <c r="G28" s="62">
        <f ca="1">IF(OR(E28="",F28=""),"",$K$2*E28+$K$3*F28)</f>
        <v>0</v>
      </c>
      <c r="H28" s="61" t="str">
        <f ca="1">IF(G28="","",IF(G28&lt;=25,"Low",IF(G28&lt;=50,"Moderate",IF(G28&lt;=75,"Elevated","High"))))</f>
        <v>Low</v>
      </c>
    </row>
    <row r="29" spans="1:8" ht="14.65" customHeight="1">
      <c r="A29" s="77" t="s">
        <v>31</v>
      </c>
      <c r="B29" s="77"/>
      <c r="C29" s="78"/>
      <c r="D29" s="79"/>
      <c r="E29" s="78"/>
      <c r="F29" s="78"/>
      <c r="G29" s="78"/>
      <c r="H29" s="77"/>
    </row>
    <row r="30" spans="1:8">
      <c r="A30" s="60" t="s">
        <v>32</v>
      </c>
      <c r="B30" s="60" t="s">
        <v>31</v>
      </c>
      <c r="C30" s="59">
        <f ca="1">Report!$C$30</f>
        <v>25.16</v>
      </c>
      <c r="D30" s="58">
        <f ca="1">Report!$I$30</f>
        <v>1.0893246187364764E-3</v>
      </c>
      <c r="E30" s="62" t="str">
        <f ca="1">IF(OR(C30="",COUNTIFS($B$8:$B$44,B30,$C$8:$C$44,"&lt;&gt;")&lt;2),"",100*(COUNTIFS($B$8:$B$44,B30,$C$8:$C$44,"&lt;"&amp;C30)+0.5*(COUNTIFS($B$8:$B$44,B30,$C$8:$C$44,"="&amp;C30)-1))/(COUNTIFS($B$8:$B$44,B30,$C$8:$C$44,"&lt;&gt;")-1))</f>
        <v/>
      </c>
      <c r="F30" s="62" t="str">
        <f ca="1">IF(OR(D30="",COUNTIFS($B$8:$B$44,B30,$D$8:$D$44,"&lt;&gt;")&lt;2),"",100*(COUNTIFS($B$8:$B$44,B30,$D$8:$D$44,"&gt;"&amp;D30)+0.5*(COUNTIFS($B$8:$B$44,B30,$D$8:$D$44,"="&amp;D30)-1))/(COUNTIFS($B$8:$B$44,B30,$D$8:$D$44,"&lt;&gt;")-1))</f>
        <v/>
      </c>
      <c r="G30" s="62" t="str">
        <f ca="1">IF(OR(E30="",F30=""),"",$K$2*E30+$K$3*F30)</f>
        <v/>
      </c>
      <c r="H30" s="61" t="str">
        <f ca="1">IF(G30="","",IF(G30&lt;=25,"Low",IF(G30&lt;=50,"Moderate",IF(G30&lt;=75,"Elevated","High"))))</f>
        <v/>
      </c>
    </row>
    <row r="31" spans="1:8" ht="14.65" customHeight="1">
      <c r="A31" s="77" t="s">
        <v>33</v>
      </c>
      <c r="B31" s="77"/>
      <c r="C31" s="78"/>
      <c r="D31" s="79"/>
      <c r="E31" s="78"/>
      <c r="F31" s="78"/>
      <c r="G31" s="78"/>
      <c r="H31" s="77"/>
    </row>
    <row r="32" spans="1:8">
      <c r="A32" s="60" t="s">
        <v>35</v>
      </c>
      <c r="B32" s="60" t="s">
        <v>33</v>
      </c>
      <c r="C32" s="59">
        <f ca="1">Report!$C$32</f>
        <v>43.433900000000001</v>
      </c>
      <c r="D32" s="58">
        <f ca="1">Report!$I$32</f>
        <v>3.0563798219584569E-2</v>
      </c>
      <c r="E32" s="62">
        <f ca="1">_xlfn.PERCENTRANK.INC($C$32:$C$36,C32)*100</f>
        <v>50</v>
      </c>
      <c r="F32" s="62">
        <f ca="1">(1-_xlfn.PERCENTRANK.INC($D$32:$D$36,D32))*100</f>
        <v>25</v>
      </c>
      <c r="G32" s="62">
        <f ca="1">IF(OR(E32="",F32=""),"",$K$2*E32+$K$3*F32)</f>
        <v>40</v>
      </c>
      <c r="H32" s="61" t="str">
        <f ca="1">IF(G32="","",IF(G32&lt;=25,"Low",IF(G32&lt;=50,"Moderate",IF(G32&lt;=75,"Elevated","High"))))</f>
        <v>Moderate</v>
      </c>
    </row>
    <row r="33" spans="1:8">
      <c r="A33" s="60" t="s">
        <v>36</v>
      </c>
      <c r="B33" s="60" t="s">
        <v>33</v>
      </c>
      <c r="C33" s="59">
        <f ca="1">Report!$C$33</f>
        <v>41.3125</v>
      </c>
      <c r="D33" s="58">
        <f ca="1">Report!$I$33</f>
        <v>-1.1617647058823529E-2</v>
      </c>
      <c r="E33" s="62">
        <f t="shared" ref="E33:E36" ca="1" si="8">_xlfn.PERCENTRANK.INC($C$32:$C$36,C33)*100</f>
        <v>25</v>
      </c>
      <c r="F33" s="62">
        <f t="shared" ref="F33:F36" ca="1" si="9">(1-_xlfn.PERCENTRANK.INC($D$32:$D$36,D33))*100</f>
        <v>75</v>
      </c>
      <c r="G33" s="62">
        <f ca="1">IF(OR(E33="",F33=""),"",$K$2*E33+$K$3*F33)</f>
        <v>45</v>
      </c>
      <c r="H33" s="61" t="str">
        <f ca="1">IF(G33="","",IF(G33&lt;=25,"Low",IF(G33&lt;=50,"Moderate",IF(G33&lt;=75,"Elevated","High"))))</f>
        <v>Moderate</v>
      </c>
    </row>
    <row r="34" spans="1:8">
      <c r="A34" s="60" t="s">
        <v>37</v>
      </c>
      <c r="B34" s="60" t="s">
        <v>33</v>
      </c>
      <c r="C34" s="59">
        <f ca="1">Report!$C$34</f>
        <v>41.042499999999997</v>
      </c>
      <c r="D34" s="58">
        <f ca="1">Report!$I$34</f>
        <v>-3.2336790726052472E-2</v>
      </c>
      <c r="E34" s="62">
        <f t="shared" ca="1" si="8"/>
        <v>0</v>
      </c>
      <c r="F34" s="62">
        <f t="shared" ca="1" si="9"/>
        <v>100</v>
      </c>
      <c r="G34" s="62">
        <f ca="1">IF(OR(E34="",F34=""),"",$K$2*E34+$K$3*F34)</f>
        <v>40</v>
      </c>
      <c r="H34" s="61" t="str">
        <f ca="1">IF(G34="","",IF(G34&lt;=25,"Low",IF(G34&lt;=50,"Moderate",IF(G34&lt;=75,"Elevated","High"))))</f>
        <v>Moderate</v>
      </c>
    </row>
    <row r="35" spans="1:8">
      <c r="A35" s="60" t="s">
        <v>38</v>
      </c>
      <c r="B35" s="60" t="s">
        <v>33</v>
      </c>
      <c r="C35" s="59">
        <f ca="1">Report!$C$35</f>
        <v>63.653300000000002</v>
      </c>
      <c r="D35" s="58">
        <f ca="1">Report!$I$35</f>
        <v>3.8517653924715498E-2</v>
      </c>
      <c r="E35" s="62">
        <f t="shared" ca="1" si="8"/>
        <v>75</v>
      </c>
      <c r="F35" s="62">
        <f t="shared" ca="1" si="9"/>
        <v>0</v>
      </c>
      <c r="G35" s="62">
        <f ca="1">IF(OR(E35="",F35=""),"",$K$2*E35+$K$3*F35)</f>
        <v>45</v>
      </c>
      <c r="H35" s="61" t="str">
        <f ca="1">IF(G35="","",IF(G35&lt;=25,"Low",IF(G35&lt;=50,"Moderate",IF(G35&lt;=75,"Elevated","High"))))</f>
        <v>Moderate</v>
      </c>
    </row>
    <row r="36" spans="1:8">
      <c r="A36" s="60" t="s">
        <v>39</v>
      </c>
      <c r="B36" s="60" t="s">
        <v>33</v>
      </c>
      <c r="C36" s="59">
        <f ca="1">Report!$C$36</f>
        <v>75.218100000000007</v>
      </c>
      <c r="D36" s="58">
        <f ca="1">Report!$I$36</f>
        <v>2.0134228187919462E-2</v>
      </c>
      <c r="E36" s="62">
        <f t="shared" ca="1" si="8"/>
        <v>100</v>
      </c>
      <c r="F36" s="62">
        <f t="shared" ca="1" si="9"/>
        <v>50</v>
      </c>
      <c r="G36" s="62">
        <f ca="1">IF(OR(E36="",F36=""),"",$K$2*E36+$K$3*F36)</f>
        <v>80</v>
      </c>
      <c r="H36" s="61" t="str">
        <f ca="1">IF(G36="","",IF(G36&lt;=25,"Low",IF(G36&lt;=50,"Moderate",IF(G36&lt;=75,"Elevated","High"))))</f>
        <v>High</v>
      </c>
    </row>
    <row r="37" spans="1:8" ht="14.65" customHeight="1">
      <c r="A37" s="77" t="s">
        <v>40</v>
      </c>
      <c r="B37" s="77"/>
      <c r="C37" s="78"/>
      <c r="D37" s="79"/>
      <c r="E37" s="78"/>
      <c r="F37" s="78"/>
      <c r="G37" s="78"/>
      <c r="H37" s="77"/>
    </row>
    <row r="38" spans="1:8">
      <c r="A38" s="60" t="s">
        <v>42</v>
      </c>
      <c r="B38" s="60" t="s">
        <v>40</v>
      </c>
      <c r="C38" s="59">
        <f ca="1">Report!$C$38</f>
        <v>61.166699999999999</v>
      </c>
      <c r="D38" s="58">
        <f ca="1">Report!$I$38</f>
        <v>1.4495100817880042E-2</v>
      </c>
      <c r="E38" s="62">
        <f ca="1">_xlfn.PERCENTRANK.INC($C$38:$C$43,C38)*100</f>
        <v>80</v>
      </c>
      <c r="F38" s="62">
        <f ca="1">(1-_xlfn.PERCENTRANK.INC($D$38:$D$43,D38))*100</f>
        <v>80</v>
      </c>
      <c r="G38" s="62">
        <f t="shared" ref="G38:G44" ca="1" si="10">IF(OR(E38="",F38=""),"",$K$2*E38+$K$3*F38)</f>
        <v>80</v>
      </c>
      <c r="H38" s="61" t="str">
        <f t="shared" ref="H38:H44" ca="1" si="11">IF(G38="","",IF(G38&lt;=25,"Low",IF(G38&lt;=50,"Moderate",IF(G38&lt;=75,"Elevated","High"))))</f>
        <v>High</v>
      </c>
    </row>
    <row r="39" spans="1:8">
      <c r="A39" s="60" t="s">
        <v>43</v>
      </c>
      <c r="B39" s="60" t="s">
        <v>40</v>
      </c>
      <c r="C39" s="59">
        <f ca="1">Report!$C$39</f>
        <v>57.836399999999998</v>
      </c>
      <c r="D39" s="58">
        <f ca="1">Report!$I$39</f>
        <v>1.998800719568259E-2</v>
      </c>
      <c r="E39" s="62">
        <f t="shared" ref="E39:E43" ca="1" si="12">_xlfn.PERCENTRANK.INC($C$38:$C$43,C39)*100</f>
        <v>20</v>
      </c>
      <c r="F39" s="62">
        <f t="shared" ref="F39:F42" ca="1" si="13">(1-_xlfn.PERCENTRANK.INC($D$38:$D$43,D39))*100</f>
        <v>60</v>
      </c>
      <c r="G39" s="62">
        <f t="shared" ca="1" si="10"/>
        <v>36</v>
      </c>
      <c r="H39" s="61" t="str">
        <f t="shared" ca="1" si="11"/>
        <v>Moderate</v>
      </c>
    </row>
    <row r="40" spans="1:8">
      <c r="A40" s="60" t="s">
        <v>44</v>
      </c>
      <c r="B40" s="60" t="s">
        <v>40</v>
      </c>
      <c r="C40" s="59">
        <f ca="1">Report!$C$40</f>
        <v>62.128599999999999</v>
      </c>
      <c r="D40" s="58">
        <f ca="1">Report!$I$40</f>
        <v>3.7674787812175536E-2</v>
      </c>
      <c r="E40" s="62">
        <f t="shared" ca="1" si="12"/>
        <v>100</v>
      </c>
      <c r="F40" s="62">
        <f t="shared" ca="1" si="13"/>
        <v>0</v>
      </c>
      <c r="G40" s="57">
        <f t="shared" ca="1" si="10"/>
        <v>60</v>
      </c>
      <c r="H40" s="56" t="str">
        <f t="shared" ca="1" si="11"/>
        <v>Elevated</v>
      </c>
    </row>
    <row r="41" spans="1:8">
      <c r="A41" s="60" t="s">
        <v>45</v>
      </c>
      <c r="B41" s="60" t="s">
        <v>40</v>
      </c>
      <c r="C41" s="59">
        <f ca="1">Report!$C$41</f>
        <v>56</v>
      </c>
      <c r="D41" s="58">
        <f ca="1">Report!$I$41</f>
        <v>1.1615689936960128E-2</v>
      </c>
      <c r="E41" s="62">
        <f t="shared" ca="1" si="12"/>
        <v>0</v>
      </c>
      <c r="F41" s="62">
        <f t="shared" ca="1" si="13"/>
        <v>100</v>
      </c>
      <c r="G41" s="57">
        <f t="shared" ca="1" si="10"/>
        <v>40</v>
      </c>
      <c r="H41" s="56" t="str">
        <f t="shared" ca="1" si="11"/>
        <v>Moderate</v>
      </c>
    </row>
    <row r="42" spans="1:8">
      <c r="A42" s="60" t="s">
        <v>46</v>
      </c>
      <c r="B42" s="60" t="s">
        <v>40</v>
      </c>
      <c r="C42" s="59">
        <f ca="1">Report!$C$42</f>
        <v>60.8123</v>
      </c>
      <c r="D42" s="58">
        <f ca="1">Report!$I$42</f>
        <v>2.3163669612922804E-2</v>
      </c>
      <c r="E42" s="62">
        <f t="shared" ca="1" si="12"/>
        <v>60</v>
      </c>
      <c r="F42" s="62">
        <f t="shared" ca="1" si="13"/>
        <v>40</v>
      </c>
      <c r="G42" s="57">
        <f t="shared" ca="1" si="10"/>
        <v>52</v>
      </c>
      <c r="H42" s="56" t="str">
        <f t="shared" ca="1" si="11"/>
        <v>Elevated</v>
      </c>
    </row>
    <row r="43" spans="1:8">
      <c r="A43" s="60" t="s">
        <v>47</v>
      </c>
      <c r="B43" s="60" t="s">
        <v>40</v>
      </c>
      <c r="C43" s="59">
        <f ca="1">Report!$C$43</f>
        <v>60.006599999999999</v>
      </c>
      <c r="D43" s="58">
        <f ca="1">Report!$I$43</f>
        <v>3.2238147739801555E-2</v>
      </c>
      <c r="E43" s="62">
        <f t="shared" ca="1" si="12"/>
        <v>40</v>
      </c>
      <c r="F43" s="57">
        <f t="shared" ref="F43" ca="1" si="14">IF(OR(D43="",COUNTIFS($B$8:$B$44,B43,$D$8:$D$44,"&lt;&gt;")&lt;2),"",100*(COUNTIFS($B$8:$B$44,B43,$D$8:$D$44,"&gt;"&amp;D43)+0.5*(COUNTIFS($B$8:$B$44,B43,$D$8:$D$44,"="&amp;D43)-1))/(COUNTIFS($B$8:$B$44,B43,$D$8:$D$44,"&lt;&gt;")-1))</f>
        <v>20</v>
      </c>
      <c r="G43" s="57">
        <f t="shared" ca="1" si="10"/>
        <v>32</v>
      </c>
      <c r="H43" s="56" t="str">
        <f t="shared" ca="1" si="11"/>
        <v>Moderate</v>
      </c>
    </row>
    <row r="44" spans="1:8">
      <c r="A44" s="60" t="s">
        <v>48</v>
      </c>
      <c r="B44" s="60" t="s">
        <v>40</v>
      </c>
      <c r="C44" s="59"/>
      <c r="D44" s="58"/>
      <c r="E44" s="57" t="str">
        <f t="shared" ref="E44" ca="1" si="15">IF(OR(C44="",COUNTIFS($B$8:$B$44,B44,$C$8:$C$44,"&lt;&gt;")&lt;2),"",100*(COUNTIFS($B$8:$B$44,B44,$C$8:$C$44,"&lt;"&amp;C44)+0.5*(COUNTIFS($B$8:$B$44,B44,$C$8:$C$44,"="&amp;C44)-1))/(COUNTIFS($B$8:$B$44,B44,$C$8:$C$44,"&lt;&gt;")-1))</f>
        <v/>
      </c>
      <c r="F44" s="57"/>
      <c r="G44" s="57" t="str">
        <f t="shared" ca="1" si="10"/>
        <v/>
      </c>
      <c r="H44" s="56" t="str">
        <f t="shared" ca="1" si="11"/>
        <v/>
      </c>
    </row>
  </sheetData>
  <mergeCells count="9">
    <mergeCell ref="A29:H29"/>
    <mergeCell ref="A31:H31"/>
    <mergeCell ref="A37:H37"/>
    <mergeCell ref="A1:H1"/>
    <mergeCell ref="J1:K1"/>
    <mergeCell ref="A15:H15"/>
    <mergeCell ref="A19:H19"/>
    <mergeCell ref="A21:H21"/>
    <mergeCell ref="A26:H26"/>
  </mergeCells>
  <conditionalFormatting sqref="G8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H39">
    <cfRule type="expression" dxfId="9" priority="2">
      <formula>H8="Low"</formula>
    </cfRule>
    <cfRule type="expression" dxfId="8" priority="3">
      <formula>H8="Moderate"</formula>
    </cfRule>
    <cfRule type="expression" dxfId="7" priority="4">
      <formula>H8="Elevated"</formula>
    </cfRule>
    <cfRule type="expression" dxfId="6" priority="5">
      <formula>H8="High"</formula>
    </cfRule>
  </conditionalFormatting>
  <conditionalFormatting sqref="H8:H44">
    <cfRule type="expression" dxfId="5" priority="7">
      <formula>H8="Low"</formula>
    </cfRule>
    <cfRule type="expression" dxfId="4" priority="8">
      <formula>H8="Moderate"</formula>
    </cfRule>
    <cfRule type="expression" dxfId="3" priority="9">
      <formula>H8="Elevated"</formula>
    </cfRule>
    <cfRule type="expression" dxfId="2" priority="10">
      <formula>H8="High"</formula>
    </cfRule>
  </conditionalFormatting>
  <dataValidations count="1">
    <dataValidation type="list" sqref="B8:B39" xr:uid="{00000000-0002-0000-0000-000000000000}">
      <formula1>"US,Canada,Europe,UK,Japan,Other"</formula1>
    </dataValidation>
  </dataValidations>
  <pageMargins left="0.7" right="0.7" top="0.75" bottom="0.75" header="0.3" footer="0.3"/>
  <headerFooter>
    <oddHeader>&amp;R&amp;"Aptos"&amp;10&amp;K000000 Category/Catégorie: Non-Sensitive/Non-Délicat&amp;1#_x000D_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6BCC-4358-41B8-AA3B-EAD66D71F3CC}">
  <dimension ref="A1:Z85"/>
  <sheetViews>
    <sheetView workbookViewId="0">
      <selection activeCell="B85" sqref="B85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6" t="s">
        <v>232</v>
      </c>
      <c r="B1" s="16" t="s">
        <v>231</v>
      </c>
    </row>
    <row r="2" spans="1:26">
      <c r="A2" s="16" t="s">
        <v>230</v>
      </c>
      <c r="C2" s="30">
        <f ca="1">TODAY()</f>
        <v>46223</v>
      </c>
      <c r="D2" s="30">
        <f ca="1">TODAY() - 1</f>
        <v>46222</v>
      </c>
      <c r="E2" s="30">
        <f ca="1">TODAY() - 2</f>
        <v>46221</v>
      </c>
      <c r="F2" s="30">
        <f ca="1">TODAY() - 3</f>
        <v>46220</v>
      </c>
      <c r="G2" s="30">
        <f ca="1">TODAY() - 4</f>
        <v>46219</v>
      </c>
      <c r="H2" s="30">
        <f ca="1">TODAY() - 5</f>
        <v>46218</v>
      </c>
      <c r="I2" s="30">
        <f ca="1">TODAY() - 6</f>
        <v>46217</v>
      </c>
      <c r="J2" s="30">
        <f ca="1">TODAY() - 7</f>
        <v>46216</v>
      </c>
      <c r="K2" s="30">
        <f ca="1">TODAY() - 8</f>
        <v>46215</v>
      </c>
      <c r="L2" s="30">
        <f ca="1">TODAY() - 9</f>
        <v>46214</v>
      </c>
      <c r="M2" s="30">
        <f ca="1">TODAY() - 10</f>
        <v>46213</v>
      </c>
      <c r="N2" s="30">
        <f ca="1">TODAY() - 11</f>
        <v>46212</v>
      </c>
      <c r="O2" s="30">
        <f ca="1">TODAY() - 12</f>
        <v>46211</v>
      </c>
      <c r="P2" s="30">
        <f ca="1">TODAY() - 13</f>
        <v>46210</v>
      </c>
      <c r="Q2" s="30">
        <f ca="1">TODAY() - 14</f>
        <v>46209</v>
      </c>
      <c r="R2" s="30">
        <f ca="1">EDATE(TODAY(), -3)</f>
        <v>46132</v>
      </c>
      <c r="S2" s="30">
        <f ca="1">EDATE(TODAY(), -12)</f>
        <v>45858</v>
      </c>
      <c r="T2" t="s">
        <v>229</v>
      </c>
      <c r="U2" t="s">
        <v>228</v>
      </c>
      <c r="V2" t="s">
        <v>227</v>
      </c>
      <c r="W2" t="s">
        <v>226</v>
      </c>
      <c r="X2" t="s">
        <v>225</v>
      </c>
      <c r="Y2" t="s">
        <v>224</v>
      </c>
    </row>
    <row r="3" spans="1:26">
      <c r="A3" t="s">
        <v>223</v>
      </c>
      <c r="B3" s="25" t="s">
        <v>222</v>
      </c>
      <c r="C3">
        <f ca="1">_xll.ciqfunctions.udf.CIQ($B3,"IQ_CDS_mid",C$2)</f>
        <v>125.47320000000001</v>
      </c>
      <c r="D3">
        <f ca="1">_xll.ciqfunctions.udf.CIQ($B3,"IQ_CDS_mid",D$2)</f>
        <v>125.47320000000001</v>
      </c>
      <c r="E3">
        <f ca="1">_xll.ciqfunctions.udf.CIQ($B3,"IQ_CDS_mid",E$2)</f>
        <v>125.47320000000001</v>
      </c>
      <c r="F3">
        <f ca="1">_xll.ciqfunctions.udf.CIQ($B3,"IQ_CDS_mid",F$2)</f>
        <v>125.47320000000001</v>
      </c>
      <c r="G3">
        <f ca="1">_xll.ciqfunctions.udf.CIQ($B3,"IQ_CDS_mid",G$2)</f>
        <v>123.6443</v>
      </c>
      <c r="H3">
        <f ca="1">_xll.ciqfunctions.udf.CIQ($B3,"IQ_CDS_mid",H$2)</f>
        <v>122.6678</v>
      </c>
      <c r="I3">
        <f ca="1">_xll.ciqfunctions.udf.CIQ($B3,"IQ_CDS_mid",I$2)</f>
        <v>123.6118</v>
      </c>
      <c r="J3">
        <f ca="1">_xll.ciqfunctions.udf.CIQ($B3,"IQ_CDS_mid",J$2)</f>
        <v>124.732</v>
      </c>
      <c r="K3">
        <f ca="1">_xll.ciqfunctions.udf.CIQ($B3,"IQ_CDS_mid",K$2)</f>
        <v>123.66070000000001</v>
      </c>
      <c r="L3">
        <f ca="1">_xll.ciqfunctions.udf.CIQ($B3,"IQ_CDS_mid",L$2)</f>
        <v>123.66070000000001</v>
      </c>
      <c r="M3">
        <f ca="1">_xll.ciqfunctions.udf.CIQ($B3,"IQ_CDS_mid",M$2)</f>
        <v>123.66070000000001</v>
      </c>
      <c r="N3">
        <f ca="1">_xll.ciqfunctions.udf.CIQ($B3,"IQ_CDS_mid",N$2)</f>
        <v>124.8763</v>
      </c>
      <c r="O3">
        <f ca="1">_xll.ciqfunctions.udf.CIQ($B3,"IQ_CDS_mid",O$2)</f>
        <v>126.8395</v>
      </c>
      <c r="P3">
        <f ca="1">_xll.ciqfunctions.udf.CIQ($B3,"IQ_CDS_mid",P$2)</f>
        <v>126.53830000000001</v>
      </c>
      <c r="Q3">
        <f ca="1">_xll.ciqfunctions.udf.CIQ($B3,"IQ_CDS_mid",Q$2)</f>
        <v>124.89700000000001</v>
      </c>
      <c r="R3">
        <f ca="1">_xll.ciqfunctions.udf.CIQ($B3,"IQ_CDS_mid",R$2)</f>
        <v>123.42789999999999</v>
      </c>
      <c r="S3">
        <f ca="1">_xll.ciqfunctions.udf.CIQ($B3,"IQ_CDS_mid",S$2)</f>
        <v>147.7766</v>
      </c>
      <c r="T3">
        <f ca="1">C3-H3</f>
        <v>2.8054000000000059</v>
      </c>
      <c r="U3">
        <f ca="1">C3-M3</f>
        <v>1.8125</v>
      </c>
      <c r="V3">
        <f ca="1">C3-Q3</f>
        <v>0.57620000000000005</v>
      </c>
      <c r="W3">
        <f ca="1">C3-R3</f>
        <v>2.0453000000000117</v>
      </c>
      <c r="X3">
        <f t="shared" ref="X3:X40" ca="1" si="0">C3-S3</f>
        <v>-22.303399999999996</v>
      </c>
      <c r="Y3" t="s">
        <v>221</v>
      </c>
      <c r="Z3" t="s">
        <v>220</v>
      </c>
    </row>
    <row r="4" spans="1:26">
      <c r="A4" t="s">
        <v>40</v>
      </c>
      <c r="B4" s="25" t="s">
        <v>219</v>
      </c>
      <c r="C4">
        <f ca="1">_xll.ciqfunctions.udf.CIQ($B4,"IQ_CDS_mid",C$2)</f>
        <v>11.098699999999999</v>
      </c>
      <c r="D4">
        <f ca="1">_xll.ciqfunctions.udf.CIQ($B4,"IQ_CDS_mid",D$2)</f>
        <v>11.098699999999999</v>
      </c>
      <c r="E4">
        <f ca="1">_xll.ciqfunctions.udf.CIQ($B4,"IQ_CDS_mid",E$2)</f>
        <v>11.098699999999999</v>
      </c>
      <c r="F4">
        <f ca="1">_xll.ciqfunctions.udf.CIQ($B4,"IQ_CDS_mid",F$2)</f>
        <v>11.098699999999999</v>
      </c>
      <c r="G4">
        <f ca="1">_xll.ciqfunctions.udf.CIQ($B4,"IQ_CDS_mid",G$2)</f>
        <v>11.132099999999999</v>
      </c>
      <c r="H4">
        <f ca="1">_xll.ciqfunctions.udf.CIQ($B4,"IQ_CDS_mid",H$2)</f>
        <v>11.144399999999999</v>
      </c>
      <c r="I4">
        <f ca="1">_xll.ciqfunctions.udf.CIQ($B4,"IQ_CDS_mid",I$2)</f>
        <v>11.210100000000001</v>
      </c>
      <c r="J4">
        <f ca="1">_xll.ciqfunctions.udf.CIQ($B4,"IQ_CDS_mid",J$2)</f>
        <v>11.200799999999999</v>
      </c>
      <c r="K4">
        <f ca="1">_xll.ciqfunctions.udf.CIQ($B4,"IQ_CDS_mid",K$2)</f>
        <v>11.2279</v>
      </c>
      <c r="L4">
        <f ca="1">_xll.ciqfunctions.udf.CIQ($B4,"IQ_CDS_mid",L$2)</f>
        <v>11.2279</v>
      </c>
      <c r="M4">
        <f ca="1">_xll.ciqfunctions.udf.CIQ($B4,"IQ_CDS_mid",M$2)</f>
        <v>11.2279</v>
      </c>
      <c r="N4">
        <f ca="1">_xll.ciqfunctions.udf.CIQ($B4,"IQ_CDS_mid",N$2)</f>
        <v>11.2675</v>
      </c>
      <c r="O4">
        <f ca="1">_xll.ciqfunctions.udf.CIQ($B4,"IQ_CDS_mid",O$2)</f>
        <v>11.2979</v>
      </c>
      <c r="P4">
        <f ca="1">_xll.ciqfunctions.udf.CIQ($B4,"IQ_CDS_mid",P$2)</f>
        <v>11.269500000000001</v>
      </c>
      <c r="Q4">
        <f ca="1">_xll.ciqfunctions.udf.CIQ($B4,"IQ_CDS_mid",Q$2)</f>
        <v>11.3787</v>
      </c>
      <c r="R4">
        <f ca="1">_xll.ciqfunctions.udf.CIQ($B4,"IQ_CDS_mid",R$2)</f>
        <v>12.555999999999999</v>
      </c>
      <c r="S4">
        <f ca="1">_xll.ciqfunctions.udf.CIQ($B4,"IQ_CDS_mid",S$2)</f>
        <v>16.200500000000002</v>
      </c>
      <c r="T4">
        <f ca="1">C4-H4</f>
        <v>-4.5700000000000074E-2</v>
      </c>
      <c r="U4">
        <f ca="1">C4-M4</f>
        <v>-0.12920000000000087</v>
      </c>
      <c r="V4">
        <f ca="1">C4-Q4</f>
        <v>-0.28000000000000114</v>
      </c>
      <c r="W4">
        <f ca="1">C4-R4</f>
        <v>-1.4573</v>
      </c>
      <c r="X4">
        <f t="shared" ca="1" si="0"/>
        <v>-5.1018000000000026</v>
      </c>
      <c r="Y4">
        <v>150</v>
      </c>
      <c r="Z4">
        <v>10</v>
      </c>
    </row>
    <row r="5" spans="1:26">
      <c r="A5" t="s">
        <v>218</v>
      </c>
      <c r="B5" s="25" t="s">
        <v>217</v>
      </c>
      <c r="C5">
        <f ca="1">_xll.ciqfunctions.udf.CIQ($B5,"IQ_CDS_mid",C$2)</f>
        <v>86.954099999999997</v>
      </c>
      <c r="D5">
        <f ca="1">_xll.ciqfunctions.udf.CIQ($B5,"IQ_CDS_mid",D$2)</f>
        <v>86.954099999999997</v>
      </c>
      <c r="E5">
        <f ca="1">_xll.ciqfunctions.udf.CIQ($B5,"IQ_CDS_mid",E$2)</f>
        <v>86.954099999999997</v>
      </c>
      <c r="F5">
        <f ca="1">_xll.ciqfunctions.udf.CIQ($B5,"IQ_CDS_mid",F$2)</f>
        <v>86.954099999999997</v>
      </c>
      <c r="G5">
        <f ca="1">_xll.ciqfunctions.udf.CIQ($B5,"IQ_CDS_mid",G$2)</f>
        <v>86.100300000000004</v>
      </c>
      <c r="H5">
        <f ca="1">_xll.ciqfunctions.udf.CIQ($B5,"IQ_CDS_mid",H$2)</f>
        <v>85.436800000000005</v>
      </c>
      <c r="I5">
        <f ca="1">_xll.ciqfunctions.udf.CIQ($B5,"IQ_CDS_mid",I$2)</f>
        <v>85.4435</v>
      </c>
      <c r="J5">
        <f ca="1">_xll.ciqfunctions.udf.CIQ($B5,"IQ_CDS_mid",J$2)</f>
        <v>85.848500000000001</v>
      </c>
      <c r="K5">
        <f ca="1">_xll.ciqfunctions.udf.CIQ($B5,"IQ_CDS_mid",K$2)</f>
        <v>84.654700000000005</v>
      </c>
      <c r="L5">
        <f ca="1">_xll.ciqfunctions.udf.CIQ($B5,"IQ_CDS_mid",L$2)</f>
        <v>84.654700000000005</v>
      </c>
      <c r="M5">
        <f ca="1">_xll.ciqfunctions.udf.CIQ($B5,"IQ_CDS_mid",M$2)</f>
        <v>84.654700000000005</v>
      </c>
      <c r="N5">
        <f ca="1">_xll.ciqfunctions.udf.CIQ($B5,"IQ_CDS_mid",N$2)</f>
        <v>85.111500000000007</v>
      </c>
      <c r="O5">
        <f ca="1">_xll.ciqfunctions.udf.CIQ($B5,"IQ_CDS_mid",O$2)</f>
        <v>86.049000000000007</v>
      </c>
      <c r="P5">
        <f ca="1">_xll.ciqfunctions.udf.CIQ($B5,"IQ_CDS_mid",P$2)</f>
        <v>85.496499999999997</v>
      </c>
      <c r="Q5">
        <f ca="1">_xll.ciqfunctions.udf.CIQ($B5,"IQ_CDS_mid",Q$2)</f>
        <v>84.8095</v>
      </c>
      <c r="R5">
        <f ca="1">_xll.ciqfunctions.udf.CIQ($B5,"IQ_CDS_mid",R$2)</f>
        <v>86.778000000000006</v>
      </c>
      <c r="S5">
        <f ca="1">_xll.ciqfunctions.udf.CIQ($B5,"IQ_CDS_mid",S$2)</f>
        <v>107.2871</v>
      </c>
      <c r="T5">
        <f ca="1">C5-H5</f>
        <v>1.5172999999999917</v>
      </c>
      <c r="U5">
        <f ca="1">C5-M5</f>
        <v>2.2993999999999915</v>
      </c>
      <c r="V5">
        <f ca="1">C5-Q5</f>
        <v>2.144599999999997</v>
      </c>
      <c r="W5">
        <f ca="1">C5-R5</f>
        <v>0.17609999999999104</v>
      </c>
      <c r="X5">
        <f t="shared" ca="1" si="0"/>
        <v>-20.332999999999998</v>
      </c>
    </row>
    <row r="6" spans="1:26">
      <c r="A6" t="s">
        <v>216</v>
      </c>
      <c r="B6" s="25" t="s">
        <v>215</v>
      </c>
      <c r="C6">
        <f ca="1">_xll.ciqfunctions.udf.CIQ($B6,"IQ_CDS_mid",C$2)</f>
        <v>41.833300000000001</v>
      </c>
      <c r="D6">
        <f ca="1">_xll.ciqfunctions.udf.CIQ($B6,"IQ_CDS_mid",D$2)</f>
        <v>41.833300000000001</v>
      </c>
      <c r="E6">
        <f ca="1">_xll.ciqfunctions.udf.CIQ($B6,"IQ_CDS_mid",E$2)</f>
        <v>41.833300000000001</v>
      </c>
      <c r="F6">
        <f ca="1">_xll.ciqfunctions.udf.CIQ($B6,"IQ_CDS_mid",F$2)</f>
        <v>41.833300000000001</v>
      </c>
      <c r="G6">
        <f ca="1">_xll.ciqfunctions.udf.CIQ($B6,"IQ_CDS_mid",G$2)</f>
        <v>41.938299999999998</v>
      </c>
      <c r="H6">
        <f ca="1">_xll.ciqfunctions.udf.CIQ($B6,"IQ_CDS_mid",H$2)</f>
        <v>41.75</v>
      </c>
      <c r="I6">
        <f ca="1">_xll.ciqfunctions.udf.CIQ($B6,"IQ_CDS_mid",I$2)</f>
        <v>41.75</v>
      </c>
      <c r="J6">
        <f ca="1">_xll.ciqfunctions.udf.CIQ($B6,"IQ_CDS_mid",J$2)</f>
        <v>41.75</v>
      </c>
      <c r="K6">
        <f ca="1">_xll.ciqfunctions.udf.CIQ($B6,"IQ_CDS_mid",K$2)</f>
        <v>41.833300000000001</v>
      </c>
      <c r="L6">
        <f ca="1">_xll.ciqfunctions.udf.CIQ($B6,"IQ_CDS_mid",L$2)</f>
        <v>41.833300000000001</v>
      </c>
      <c r="M6">
        <f ca="1">_xll.ciqfunctions.udf.CIQ($B6,"IQ_CDS_mid",M$2)</f>
        <v>41.833300000000001</v>
      </c>
      <c r="N6">
        <f ca="1">_xll.ciqfunctions.udf.CIQ($B6,"IQ_CDS_mid",N$2)</f>
        <v>42</v>
      </c>
      <c r="O6">
        <f ca="1">_xll.ciqfunctions.udf.CIQ($B6,"IQ_CDS_mid",O$2)</f>
        <v>41.948099999999997</v>
      </c>
      <c r="P6">
        <f ca="1">_xll.ciqfunctions.udf.CIQ($B6,"IQ_CDS_mid",P$2)</f>
        <v>41.821399999999997</v>
      </c>
      <c r="Q6">
        <f ca="1">_xll.ciqfunctions.udf.CIQ($B6,"IQ_CDS_mid",Q$2)</f>
        <v>41.874400000000001</v>
      </c>
      <c r="R6">
        <f ca="1">_xll.ciqfunctions.udf.CIQ($B6,"IQ_CDS_mid",R$2)</f>
        <v>38.071199999999997</v>
      </c>
      <c r="S6">
        <f ca="1">_xll.ciqfunctions.udf.CIQ($B6,"IQ_CDS_mid",S$2)</f>
        <v>40.1</v>
      </c>
      <c r="T6">
        <f ca="1">C6-H6</f>
        <v>8.3300000000001262E-2</v>
      </c>
      <c r="U6">
        <f ca="1">C6-M6</f>
        <v>0</v>
      </c>
      <c r="V6">
        <f ca="1">C6-Q6</f>
        <v>-4.1100000000000136E-2</v>
      </c>
      <c r="W6">
        <f ca="1">C6-R6</f>
        <v>3.7621000000000038</v>
      </c>
      <c r="X6">
        <f t="shared" ca="1" si="0"/>
        <v>1.7332999999999998</v>
      </c>
    </row>
    <row r="7" spans="1:26">
      <c r="A7" s="16" t="s">
        <v>214</v>
      </c>
      <c r="X7">
        <f t="shared" si="0"/>
        <v>0</v>
      </c>
    </row>
    <row r="8" spans="1:26">
      <c r="A8" t="s">
        <v>213</v>
      </c>
      <c r="B8" s="25" t="s">
        <v>212</v>
      </c>
      <c r="C8">
        <f ca="1">_xll.ciqfunctions.udf.CIQ($B8,"IQ_CDS_mid",C$2)</f>
        <v>10.98</v>
      </c>
      <c r="D8">
        <f ca="1">_xll.ciqfunctions.udf.CIQ($B8,"IQ_CDS_mid",D$2)</f>
        <v>10.98</v>
      </c>
      <c r="E8">
        <f ca="1">_xll.ciqfunctions.udf.CIQ($B8,"IQ_CDS_mid",E$2)</f>
        <v>10.98</v>
      </c>
      <c r="F8">
        <f ca="1">_xll.ciqfunctions.udf.CIQ($B8,"IQ_CDS_mid",F$2)</f>
        <v>10.98</v>
      </c>
      <c r="G8">
        <f ca="1">_xll.ciqfunctions.udf.CIQ($B8,"IQ_CDS_mid",G$2)</f>
        <v>10.9</v>
      </c>
      <c r="H8">
        <f ca="1">_xll.ciqfunctions.udf.CIQ($B8,"IQ_CDS_mid",H$2)</f>
        <v>11</v>
      </c>
      <c r="I8">
        <f ca="1">_xll.ciqfunctions.udf.CIQ($B8,"IQ_CDS_mid",I$2)</f>
        <v>11</v>
      </c>
      <c r="J8">
        <f ca="1">_xll.ciqfunctions.udf.CIQ($B8,"IQ_CDS_mid",J$2)</f>
        <v>10.9998</v>
      </c>
      <c r="K8">
        <f ca="1">_xll.ciqfunctions.udf.CIQ($B8,"IQ_CDS_mid",K$2)</f>
        <v>10.999000000000001</v>
      </c>
      <c r="L8">
        <f ca="1">_xll.ciqfunctions.udf.CIQ($B8,"IQ_CDS_mid",L$2)</f>
        <v>10.999000000000001</v>
      </c>
      <c r="M8">
        <f ca="1">_xll.ciqfunctions.udf.CIQ($B8,"IQ_CDS_mid",M$2)</f>
        <v>10.999000000000001</v>
      </c>
      <c r="N8">
        <f ca="1">_xll.ciqfunctions.udf.CIQ($B8,"IQ_CDS_mid",N$2)</f>
        <v>10.996</v>
      </c>
      <c r="O8">
        <f ca="1">_xll.ciqfunctions.udf.CIQ($B8,"IQ_CDS_mid",O$2)</f>
        <v>10.98</v>
      </c>
      <c r="P8">
        <f ca="1">_xll.ciqfunctions.udf.CIQ($B8,"IQ_CDS_mid",P$2)</f>
        <v>10.9</v>
      </c>
      <c r="Q8">
        <f ca="1">_xll.ciqfunctions.udf.CIQ($B8,"IQ_CDS_mid",Q$2)</f>
        <v>11</v>
      </c>
      <c r="R8">
        <f ca="1">_xll.ciqfunctions.udf.CIQ($B8,"IQ_CDS_mid",R$2)</f>
        <v>13.6396</v>
      </c>
      <c r="S8">
        <f ca="1">_xll.ciqfunctions.udf.CIQ($B8,"IQ_CDS_mid",S$2)</f>
        <v>14.9688</v>
      </c>
      <c r="T8">
        <f t="shared" ref="T8:T20" ca="1" si="1">C8-H8</f>
        <v>-1.9999999999999574E-2</v>
      </c>
      <c r="U8">
        <f t="shared" ref="U8:U20" ca="1" si="2">C8-M8</f>
        <v>-1.9000000000000128E-2</v>
      </c>
      <c r="V8">
        <f t="shared" ref="V8:V20" ca="1" si="3">C8-Q8</f>
        <v>-1.9999999999999574E-2</v>
      </c>
      <c r="W8">
        <f t="shared" ref="W8:W20" ca="1" si="4">C8-R8</f>
        <v>-2.6595999999999993</v>
      </c>
      <c r="X8">
        <f t="shared" ca="1" si="0"/>
        <v>-3.9887999999999995</v>
      </c>
    </row>
    <row r="9" spans="1:26">
      <c r="A9" t="s">
        <v>211</v>
      </c>
      <c r="B9" s="25" t="s">
        <v>210</v>
      </c>
      <c r="C9">
        <f ca="1">_xll.ciqfunctions.udf.CIQ($B9,"IQ_CDS_mid",C$2)</f>
        <v>17.375</v>
      </c>
      <c r="D9">
        <f ca="1">_xll.ciqfunctions.udf.CIQ($B9,"IQ_CDS_mid",D$2)</f>
        <v>17.375</v>
      </c>
      <c r="E9">
        <f ca="1">_xll.ciqfunctions.udf.CIQ($B9,"IQ_CDS_mid",E$2)</f>
        <v>17.375</v>
      </c>
      <c r="F9">
        <f ca="1">_xll.ciqfunctions.udf.CIQ($B9,"IQ_CDS_mid",F$2)</f>
        <v>17.375</v>
      </c>
      <c r="G9">
        <f ca="1">_xll.ciqfunctions.udf.CIQ($B9,"IQ_CDS_mid",G$2)</f>
        <v>17.375</v>
      </c>
      <c r="H9">
        <f ca="1">_xll.ciqfunctions.udf.CIQ($B9,"IQ_CDS_mid",H$2)</f>
        <v>17.375</v>
      </c>
      <c r="I9">
        <f ca="1">_xll.ciqfunctions.udf.CIQ($B9,"IQ_CDS_mid",I$2)</f>
        <v>17.375</v>
      </c>
      <c r="J9">
        <f ca="1">_xll.ciqfunctions.udf.CIQ($B9,"IQ_CDS_mid",J$2)</f>
        <v>17.333300000000001</v>
      </c>
      <c r="K9">
        <f ca="1">_xll.ciqfunctions.udf.CIQ($B9,"IQ_CDS_mid",K$2)</f>
        <v>17.427399999999999</v>
      </c>
      <c r="L9">
        <f ca="1">_xll.ciqfunctions.udf.CIQ($B9,"IQ_CDS_mid",L$2)</f>
        <v>17.427399999999999</v>
      </c>
      <c r="M9">
        <f ca="1">_xll.ciqfunctions.udf.CIQ($B9,"IQ_CDS_mid",M$2)</f>
        <v>17.427399999999999</v>
      </c>
      <c r="N9">
        <f ca="1">_xll.ciqfunctions.udf.CIQ($B9,"IQ_CDS_mid",N$2)</f>
        <v>17.45</v>
      </c>
      <c r="O9">
        <f ca="1">_xll.ciqfunctions.udf.CIQ($B9,"IQ_CDS_mid",O$2)</f>
        <v>17.45</v>
      </c>
      <c r="P9">
        <f ca="1">_xll.ciqfunctions.udf.CIQ($B9,"IQ_CDS_mid",P$2)</f>
        <v>17.399999999999999</v>
      </c>
      <c r="Q9">
        <f ca="1">_xll.ciqfunctions.udf.CIQ($B9,"IQ_CDS_mid",Q$2)</f>
        <v>17.375</v>
      </c>
      <c r="R9">
        <f ca="1">_xll.ciqfunctions.udf.CIQ($B9,"IQ_CDS_mid",R$2)</f>
        <v>17.95</v>
      </c>
      <c r="S9">
        <f ca="1">_xll.ciqfunctions.udf.CIQ($B9,"IQ_CDS_mid",S$2)</f>
        <v>23.333300000000001</v>
      </c>
      <c r="T9">
        <f t="shared" ca="1" si="1"/>
        <v>0</v>
      </c>
      <c r="U9">
        <f t="shared" ca="1" si="2"/>
        <v>-5.239999999999867E-2</v>
      </c>
      <c r="V9">
        <f t="shared" ca="1" si="3"/>
        <v>0</v>
      </c>
      <c r="W9">
        <f t="shared" ca="1" si="4"/>
        <v>-0.57499999999999929</v>
      </c>
      <c r="X9">
        <f t="shared" ca="1" si="0"/>
        <v>-5.9583000000000013</v>
      </c>
    </row>
    <row r="10" spans="1:26">
      <c r="A10" t="s">
        <v>209</v>
      </c>
      <c r="B10" s="25" t="s">
        <v>208</v>
      </c>
      <c r="C10">
        <f ca="1">_xll.ciqfunctions.udf.CIQ($B10,"IQ_CDS_mid",C$2)</f>
        <v>11.166700000000001</v>
      </c>
      <c r="D10">
        <f ca="1">_xll.ciqfunctions.udf.CIQ($B10,"IQ_CDS_mid",D$2)</f>
        <v>11.166700000000001</v>
      </c>
      <c r="E10">
        <f ca="1">_xll.ciqfunctions.udf.CIQ($B10,"IQ_CDS_mid",E$2)</f>
        <v>11.166700000000001</v>
      </c>
      <c r="F10">
        <f ca="1">_xll.ciqfunctions.udf.CIQ($B10,"IQ_CDS_mid",F$2)</f>
        <v>11.166700000000001</v>
      </c>
      <c r="G10">
        <f ca="1">_xll.ciqfunctions.udf.CIQ($B10,"IQ_CDS_mid",G$2)</f>
        <v>11.393800000000001</v>
      </c>
      <c r="H10">
        <f ca="1">_xll.ciqfunctions.udf.CIQ($B10,"IQ_CDS_mid",H$2)</f>
        <v>11.166700000000001</v>
      </c>
      <c r="I10">
        <f ca="1">_xll.ciqfunctions.udf.CIQ($B10,"IQ_CDS_mid",I$2)</f>
        <v>11.166700000000001</v>
      </c>
      <c r="J10">
        <f ca="1">_xll.ciqfunctions.udf.CIQ($B10,"IQ_CDS_mid",J$2)</f>
        <v>11.375400000000001</v>
      </c>
      <c r="K10">
        <f ca="1">_xll.ciqfunctions.udf.CIQ($B10,"IQ_CDS_mid",K$2)</f>
        <v>11.25</v>
      </c>
      <c r="L10">
        <f ca="1">_xll.ciqfunctions.udf.CIQ($B10,"IQ_CDS_mid",L$2)</f>
        <v>11.25</v>
      </c>
      <c r="M10">
        <f ca="1">_xll.ciqfunctions.udf.CIQ($B10,"IQ_CDS_mid",M$2)</f>
        <v>11.25</v>
      </c>
      <c r="N10">
        <f ca="1">_xll.ciqfunctions.udf.CIQ($B10,"IQ_CDS_mid",N$2)</f>
        <v>11.25</v>
      </c>
      <c r="O10">
        <f ca="1">_xll.ciqfunctions.udf.CIQ($B10,"IQ_CDS_mid",O$2)</f>
        <v>11.0625</v>
      </c>
      <c r="P10">
        <f ca="1">_xll.ciqfunctions.udf.CIQ($B10,"IQ_CDS_mid",P$2)</f>
        <v>11</v>
      </c>
      <c r="Q10">
        <f ca="1">_xll.ciqfunctions.udf.CIQ($B10,"IQ_CDS_mid",Q$2)</f>
        <v>11.375</v>
      </c>
      <c r="R10">
        <f ca="1">_xll.ciqfunctions.udf.CIQ($B10,"IQ_CDS_mid",R$2)</f>
        <v>12.666700000000001</v>
      </c>
      <c r="S10">
        <f ca="1">_xll.ciqfunctions.udf.CIQ($B10,"IQ_CDS_mid",S$2)</f>
        <v>16.177399999999999</v>
      </c>
      <c r="T10">
        <f t="shared" ca="1" si="1"/>
        <v>0</v>
      </c>
      <c r="U10">
        <f t="shared" ca="1" si="2"/>
        <v>-8.3299999999999486E-2</v>
      </c>
      <c r="V10">
        <f t="shared" ca="1" si="3"/>
        <v>-0.20829999999999949</v>
      </c>
      <c r="W10">
        <f t="shared" ca="1" si="4"/>
        <v>-1.5</v>
      </c>
      <c r="X10">
        <f t="shared" ca="1" si="0"/>
        <v>-5.0106999999999982</v>
      </c>
    </row>
    <row r="11" spans="1:26">
      <c r="A11" t="s">
        <v>17</v>
      </c>
      <c r="B11" s="25" t="s">
        <v>207</v>
      </c>
      <c r="C11">
        <f ca="1">_xll.ciqfunctions.udf.CIQ($B11,"IQ_CDS_mid",C$2)</f>
        <v>31.45</v>
      </c>
      <c r="D11">
        <f ca="1">_xll.ciqfunctions.udf.CIQ($B11,"IQ_CDS_mid",D$2)</f>
        <v>31.45</v>
      </c>
      <c r="E11">
        <f ca="1">_xll.ciqfunctions.udf.CIQ($B11,"IQ_CDS_mid",E$2)</f>
        <v>31.45</v>
      </c>
      <c r="F11">
        <f ca="1">_xll.ciqfunctions.udf.CIQ($B11,"IQ_CDS_mid",F$2)</f>
        <v>31.45</v>
      </c>
      <c r="G11">
        <f ca="1">_xll.ciqfunctions.udf.CIQ($B11,"IQ_CDS_mid",G$2)</f>
        <v>31.25</v>
      </c>
      <c r="H11">
        <f ca="1">_xll.ciqfunctions.udf.CIQ($B11,"IQ_CDS_mid",H$2)</f>
        <v>31.160900000000002</v>
      </c>
      <c r="I11">
        <f ca="1">_xll.ciqfunctions.udf.CIQ($B11,"IQ_CDS_mid",I$2)</f>
        <v>31.2224</v>
      </c>
      <c r="J11">
        <f ca="1">_xll.ciqfunctions.udf.CIQ($B11,"IQ_CDS_mid",J$2)</f>
        <v>30.8581</v>
      </c>
      <c r="K11">
        <f ca="1">_xll.ciqfunctions.udf.CIQ($B11,"IQ_CDS_mid",K$2)</f>
        <v>30.703900000000001</v>
      </c>
      <c r="L11">
        <f ca="1">_xll.ciqfunctions.udf.CIQ($B11,"IQ_CDS_mid",L$2)</f>
        <v>30.703900000000001</v>
      </c>
      <c r="M11">
        <f ca="1">_xll.ciqfunctions.udf.CIQ($B11,"IQ_CDS_mid",M$2)</f>
        <v>30.703900000000001</v>
      </c>
      <c r="N11">
        <f ca="1">_xll.ciqfunctions.udf.CIQ($B11,"IQ_CDS_mid",N$2)</f>
        <v>30.691600000000001</v>
      </c>
      <c r="O11">
        <f ca="1">_xll.ciqfunctions.udf.CIQ($B11,"IQ_CDS_mid",O$2)</f>
        <v>30.727699999999999</v>
      </c>
      <c r="P11">
        <f ca="1">_xll.ciqfunctions.udf.CIQ($B11,"IQ_CDS_mid",P$2)</f>
        <v>29.646000000000001</v>
      </c>
      <c r="Q11">
        <f ca="1">_xll.ciqfunctions.udf.CIQ($B11,"IQ_CDS_mid",Q$2)</f>
        <v>29.086500000000001</v>
      </c>
      <c r="R11">
        <f ca="1">_xll.ciqfunctions.udf.CIQ($B11,"IQ_CDS_mid",R$2)</f>
        <v>27.067</v>
      </c>
      <c r="S11">
        <f ca="1">_xll.ciqfunctions.udf.CIQ($B11,"IQ_CDS_mid",S$2)</f>
        <v>33.532899999999998</v>
      </c>
      <c r="T11">
        <f t="shared" ca="1" si="1"/>
        <v>0.28909999999999769</v>
      </c>
      <c r="U11">
        <f t="shared" ca="1" si="2"/>
        <v>0.74609999999999843</v>
      </c>
      <c r="V11">
        <f t="shared" ca="1" si="3"/>
        <v>2.3634999999999984</v>
      </c>
      <c r="W11">
        <f t="shared" ca="1" si="4"/>
        <v>4.3829999999999991</v>
      </c>
      <c r="X11">
        <f t="shared" ca="1" si="0"/>
        <v>-2.0828999999999986</v>
      </c>
    </row>
    <row r="12" spans="1:26">
      <c r="A12" t="s">
        <v>28</v>
      </c>
      <c r="B12" s="25" t="s">
        <v>206</v>
      </c>
      <c r="C12">
        <f ca="1">_xll.ciqfunctions.udf.CIQ($B12,"IQ_CDS_mid",C$2)</f>
        <v>7.1009000000000002</v>
      </c>
      <c r="D12">
        <f ca="1">_xll.ciqfunctions.udf.CIQ($B12,"IQ_CDS_mid",D$2)</f>
        <v>7.1009000000000002</v>
      </c>
      <c r="E12">
        <f ca="1">_xll.ciqfunctions.udf.CIQ($B12,"IQ_CDS_mid",E$2)</f>
        <v>7.1009000000000002</v>
      </c>
      <c r="F12">
        <f ca="1">_xll.ciqfunctions.udf.CIQ($B12,"IQ_CDS_mid",F$2)</f>
        <v>7.1009000000000002</v>
      </c>
      <c r="G12">
        <f ca="1">_xll.ciqfunctions.udf.CIQ($B12,"IQ_CDS_mid",G$2)</f>
        <v>7.0042999999999997</v>
      </c>
      <c r="H12">
        <f ca="1">_xll.ciqfunctions.udf.CIQ($B12,"IQ_CDS_mid",H$2)</f>
        <v>7.0171000000000001</v>
      </c>
      <c r="I12">
        <f ca="1">_xll.ciqfunctions.udf.CIQ($B12,"IQ_CDS_mid",I$2)</f>
        <v>7.1001000000000003</v>
      </c>
      <c r="J12">
        <f ca="1">_xll.ciqfunctions.udf.CIQ($B12,"IQ_CDS_mid",J$2)</f>
        <v>7.0004999999999997</v>
      </c>
      <c r="K12">
        <f ca="1">_xll.ciqfunctions.udf.CIQ($B12,"IQ_CDS_mid",K$2)</f>
        <v>7.0019999999999998</v>
      </c>
      <c r="L12">
        <f ca="1">_xll.ciqfunctions.udf.CIQ($B12,"IQ_CDS_mid",L$2)</f>
        <v>7.0019999999999998</v>
      </c>
      <c r="M12">
        <f ca="1">_xll.ciqfunctions.udf.CIQ($B12,"IQ_CDS_mid",M$2)</f>
        <v>7.0019999999999998</v>
      </c>
      <c r="N12">
        <f ca="1">_xll.ciqfunctions.udf.CIQ($B12,"IQ_CDS_mid",N$2)</f>
        <v>7.0079000000000002</v>
      </c>
      <c r="O12">
        <f ca="1">_xll.ciqfunctions.udf.CIQ($B12,"IQ_CDS_mid",O$2)</f>
        <v>7.0315000000000003</v>
      </c>
      <c r="P12">
        <f ca="1">_xll.ciqfunctions.udf.CIQ($B12,"IQ_CDS_mid",P$2)</f>
        <v>7.1260000000000003</v>
      </c>
      <c r="Q12">
        <f ca="1">_xll.ciqfunctions.udf.CIQ($B12,"IQ_CDS_mid",Q$2)</f>
        <v>7.0041000000000002</v>
      </c>
      <c r="R12">
        <f ca="1">_xll.ciqfunctions.udf.CIQ($B12,"IQ_CDS_mid",R$2)</f>
        <v>8.8332999999999995</v>
      </c>
      <c r="S12">
        <f ca="1">_xll.ciqfunctions.udf.CIQ($B12,"IQ_CDS_mid",S$2)</f>
        <v>9.1667000000000005</v>
      </c>
      <c r="T12">
        <f t="shared" ca="1" si="1"/>
        <v>8.3800000000000097E-2</v>
      </c>
      <c r="U12">
        <f t="shared" ca="1" si="2"/>
        <v>9.8900000000000432E-2</v>
      </c>
      <c r="V12">
        <f t="shared" ca="1" si="3"/>
        <v>9.6799999999999997E-2</v>
      </c>
      <c r="W12">
        <f t="shared" ca="1" si="4"/>
        <v>-1.7323999999999993</v>
      </c>
      <c r="X12">
        <f t="shared" ca="1" si="0"/>
        <v>-2.0658000000000003</v>
      </c>
    </row>
    <row r="13" spans="1:26">
      <c r="A13" t="s">
        <v>205</v>
      </c>
      <c r="B13" s="25" t="s">
        <v>204</v>
      </c>
      <c r="C13">
        <f ca="1">_xll.ciqfunctions.udf.CIQ($B13,"IQ_CDS_mid",C$2)</f>
        <v>29.625</v>
      </c>
      <c r="D13">
        <f ca="1">_xll.ciqfunctions.udf.CIQ($B13,"IQ_CDS_mid",D$2)</f>
        <v>29.625</v>
      </c>
      <c r="E13">
        <f ca="1">_xll.ciqfunctions.udf.CIQ($B13,"IQ_CDS_mid",E$2)</f>
        <v>29.625</v>
      </c>
      <c r="F13">
        <f ca="1">_xll.ciqfunctions.udf.CIQ($B13,"IQ_CDS_mid",F$2)</f>
        <v>29.625</v>
      </c>
      <c r="G13">
        <f ca="1">_xll.ciqfunctions.udf.CIQ($B13,"IQ_CDS_mid",G$2)</f>
        <v>29.333300000000001</v>
      </c>
      <c r="H13">
        <f ca="1">_xll.ciqfunctions.udf.CIQ($B13,"IQ_CDS_mid",H$2)</f>
        <v>29.4375</v>
      </c>
      <c r="I13">
        <f ca="1">_xll.ciqfunctions.udf.CIQ($B13,"IQ_CDS_mid",I$2)</f>
        <v>29.3507</v>
      </c>
      <c r="J13">
        <f ca="1">_xll.ciqfunctions.udf.CIQ($B13,"IQ_CDS_mid",J$2)</f>
        <v>29.182700000000001</v>
      </c>
      <c r="K13">
        <f ca="1">_xll.ciqfunctions.udf.CIQ($B13,"IQ_CDS_mid",K$2)</f>
        <v>29.1875</v>
      </c>
      <c r="L13">
        <f ca="1">_xll.ciqfunctions.udf.CIQ($B13,"IQ_CDS_mid",L$2)</f>
        <v>29.1875</v>
      </c>
      <c r="M13">
        <f ca="1">_xll.ciqfunctions.udf.CIQ($B13,"IQ_CDS_mid",M$2)</f>
        <v>29.1875</v>
      </c>
      <c r="N13">
        <f ca="1">_xll.ciqfunctions.udf.CIQ($B13,"IQ_CDS_mid",N$2)</f>
        <v>29.448399999999999</v>
      </c>
      <c r="O13">
        <f ca="1">_xll.ciqfunctions.udf.CIQ($B13,"IQ_CDS_mid",O$2)</f>
        <v>29.5</v>
      </c>
      <c r="P13">
        <f ca="1">_xll.ciqfunctions.udf.CIQ($B13,"IQ_CDS_mid",P$2)</f>
        <v>28.45</v>
      </c>
      <c r="Q13">
        <f ca="1">_xll.ciqfunctions.udf.CIQ($B13,"IQ_CDS_mid",Q$2)</f>
        <v>28.583300000000001</v>
      </c>
      <c r="R13">
        <f ca="1">_xll.ciqfunctions.udf.CIQ($B13,"IQ_CDS_mid",R$2)</f>
        <v>30.787800000000001</v>
      </c>
      <c r="S13">
        <f ca="1">_xll.ciqfunctions.udf.CIQ($B13,"IQ_CDS_mid",S$2)</f>
        <v>46.207500000000003</v>
      </c>
      <c r="T13">
        <f t="shared" ca="1" si="1"/>
        <v>0.1875</v>
      </c>
      <c r="U13">
        <f t="shared" ca="1" si="2"/>
        <v>0.4375</v>
      </c>
      <c r="V13">
        <f t="shared" ca="1" si="3"/>
        <v>1.0416999999999987</v>
      </c>
      <c r="W13">
        <f t="shared" ca="1" si="4"/>
        <v>-1.1628000000000007</v>
      </c>
      <c r="X13">
        <f t="shared" ca="1" si="0"/>
        <v>-16.582500000000003</v>
      </c>
    </row>
    <row r="14" spans="1:26">
      <c r="A14" t="s">
        <v>203</v>
      </c>
      <c r="B14" s="25" t="s">
        <v>202</v>
      </c>
      <c r="C14">
        <f ca="1">_xll.ciqfunctions.udf.CIQ($B14,"IQ_CDS_mid",C$2)</f>
        <v>14.5625</v>
      </c>
      <c r="D14">
        <f ca="1">_xll.ciqfunctions.udf.CIQ($B14,"IQ_CDS_mid",D$2)</f>
        <v>14.5625</v>
      </c>
      <c r="E14">
        <f ca="1">_xll.ciqfunctions.udf.CIQ($B14,"IQ_CDS_mid",E$2)</f>
        <v>14.5625</v>
      </c>
      <c r="F14">
        <f ca="1">_xll.ciqfunctions.udf.CIQ($B14,"IQ_CDS_mid",F$2)</f>
        <v>14.5625</v>
      </c>
      <c r="G14">
        <f ca="1">_xll.ciqfunctions.udf.CIQ($B14,"IQ_CDS_mid",G$2)</f>
        <v>14.4375</v>
      </c>
      <c r="H14">
        <f ca="1">_xll.ciqfunctions.udf.CIQ($B14,"IQ_CDS_mid",H$2)</f>
        <v>14.5625</v>
      </c>
      <c r="I14">
        <f ca="1">_xll.ciqfunctions.udf.CIQ($B14,"IQ_CDS_mid",I$2)</f>
        <v>14.5</v>
      </c>
      <c r="J14">
        <f ca="1">_xll.ciqfunctions.udf.CIQ($B14,"IQ_CDS_mid",J$2)</f>
        <v>14.333299999999999</v>
      </c>
      <c r="K14">
        <f ca="1">_xll.ciqfunctions.udf.CIQ($B14,"IQ_CDS_mid",K$2)</f>
        <v>14.333299999999999</v>
      </c>
      <c r="L14">
        <f ca="1">_xll.ciqfunctions.udf.CIQ($B14,"IQ_CDS_mid",L$2)</f>
        <v>14.333299999999999</v>
      </c>
      <c r="M14">
        <f ca="1">_xll.ciqfunctions.udf.CIQ($B14,"IQ_CDS_mid",M$2)</f>
        <v>14.333299999999999</v>
      </c>
      <c r="N14">
        <f ca="1">_xll.ciqfunctions.udf.CIQ($B14,"IQ_CDS_mid",N$2)</f>
        <v>14.333299999999999</v>
      </c>
      <c r="O14">
        <f ca="1">_xll.ciqfunctions.udf.CIQ($B14,"IQ_CDS_mid",O$2)</f>
        <v>14.375</v>
      </c>
      <c r="P14">
        <f ca="1">_xll.ciqfunctions.udf.CIQ($B14,"IQ_CDS_mid",P$2)</f>
        <v>14.5</v>
      </c>
      <c r="Q14">
        <f ca="1">_xll.ciqfunctions.udf.CIQ($B14,"IQ_CDS_mid",Q$2)</f>
        <v>14</v>
      </c>
      <c r="R14">
        <f ca="1">_xll.ciqfunctions.udf.CIQ($B14,"IQ_CDS_mid",R$2)</f>
        <v>15.75</v>
      </c>
      <c r="S14">
        <f ca="1">_xll.ciqfunctions.udf.CIQ($B14,"IQ_CDS_mid",S$2)</f>
        <v>18.5</v>
      </c>
      <c r="T14">
        <f t="shared" ca="1" si="1"/>
        <v>0</v>
      </c>
      <c r="U14">
        <f t="shared" ca="1" si="2"/>
        <v>0.22920000000000051</v>
      </c>
      <c r="V14">
        <f t="shared" ca="1" si="3"/>
        <v>0.5625</v>
      </c>
      <c r="W14">
        <f t="shared" ca="1" si="4"/>
        <v>-1.1875</v>
      </c>
      <c r="X14">
        <f t="shared" ca="1" si="0"/>
        <v>-3.9375</v>
      </c>
    </row>
    <row r="15" spans="1:26">
      <c r="A15" t="s">
        <v>201</v>
      </c>
      <c r="B15" s="25" t="s">
        <v>200</v>
      </c>
      <c r="C15">
        <f ca="1">_xll.ciqfunctions.udf.CIQ($B15,"IQ_CDS_mid",C$2)</f>
        <v>30.291699999999999</v>
      </c>
      <c r="D15">
        <f ca="1">_xll.ciqfunctions.udf.CIQ($B15,"IQ_CDS_mid",D$2)</f>
        <v>30.291699999999999</v>
      </c>
      <c r="E15">
        <f ca="1">_xll.ciqfunctions.udf.CIQ($B15,"IQ_CDS_mid",E$2)</f>
        <v>30.291699999999999</v>
      </c>
      <c r="F15">
        <f ca="1">_xll.ciqfunctions.udf.CIQ($B15,"IQ_CDS_mid",F$2)</f>
        <v>30.291699999999999</v>
      </c>
      <c r="G15">
        <f ca="1">_xll.ciqfunctions.udf.CIQ($B15,"IQ_CDS_mid",G$2)</f>
        <v>30</v>
      </c>
      <c r="H15">
        <f ca="1">_xll.ciqfunctions.udf.CIQ($B15,"IQ_CDS_mid",H$2)</f>
        <v>29.85</v>
      </c>
      <c r="I15">
        <f ca="1">_xll.ciqfunctions.udf.CIQ($B15,"IQ_CDS_mid",I$2)</f>
        <v>29.845600000000001</v>
      </c>
      <c r="J15">
        <f ca="1">_xll.ciqfunctions.udf.CIQ($B15,"IQ_CDS_mid",J$2)</f>
        <v>29.152699999999999</v>
      </c>
      <c r="K15">
        <f ca="1">_xll.ciqfunctions.udf.CIQ($B15,"IQ_CDS_mid",K$2)</f>
        <v>29.305</v>
      </c>
      <c r="L15">
        <f ca="1">_xll.ciqfunctions.udf.CIQ($B15,"IQ_CDS_mid",L$2)</f>
        <v>29.305</v>
      </c>
      <c r="M15">
        <f ca="1">_xll.ciqfunctions.udf.CIQ($B15,"IQ_CDS_mid",M$2)</f>
        <v>29.305</v>
      </c>
      <c r="N15">
        <f ca="1">_xll.ciqfunctions.udf.CIQ($B15,"IQ_CDS_mid",N$2)</f>
        <v>29.441099999999999</v>
      </c>
      <c r="O15">
        <f ca="1">_xll.ciqfunctions.udf.CIQ($B15,"IQ_CDS_mid",O$2)</f>
        <v>29.428899999999999</v>
      </c>
      <c r="P15">
        <f ca="1">_xll.ciqfunctions.udf.CIQ($B15,"IQ_CDS_mid",P$2)</f>
        <v>28.681899999999999</v>
      </c>
      <c r="Q15">
        <f ca="1">_xll.ciqfunctions.udf.CIQ($B15,"IQ_CDS_mid",Q$2)</f>
        <v>28.4375</v>
      </c>
      <c r="R15">
        <f ca="1">_xll.ciqfunctions.udf.CIQ($B15,"IQ_CDS_mid",R$2)</f>
        <v>30.2028</v>
      </c>
      <c r="S15">
        <f ca="1">_xll.ciqfunctions.udf.CIQ($B15,"IQ_CDS_mid",S$2)</f>
        <v>43.1</v>
      </c>
      <c r="T15">
        <f t="shared" ca="1" si="1"/>
        <v>0.44169999999999732</v>
      </c>
      <c r="U15">
        <f t="shared" ca="1" si="2"/>
        <v>0.98669999999999902</v>
      </c>
      <c r="V15">
        <f t="shared" ca="1" si="3"/>
        <v>1.8541999999999987</v>
      </c>
      <c r="W15">
        <f t="shared" ca="1" si="4"/>
        <v>8.8899999999998869E-2</v>
      </c>
      <c r="X15">
        <f t="shared" ca="1" si="0"/>
        <v>-12.808300000000003</v>
      </c>
    </row>
    <row r="16" spans="1:26">
      <c r="A16" t="s">
        <v>199</v>
      </c>
      <c r="B16" s="25" t="s">
        <v>198</v>
      </c>
      <c r="C16">
        <f ca="1">_xll.ciqfunctions.udf.CIQ($B16,"IQ_CDS_mid",C$2)</f>
        <v>10.3817</v>
      </c>
      <c r="D16">
        <f ca="1">_xll.ciqfunctions.udf.CIQ($B16,"IQ_CDS_mid",D$2)</f>
        <v>10.3817</v>
      </c>
      <c r="E16">
        <f ca="1">_xll.ciqfunctions.udf.CIQ($B16,"IQ_CDS_mid",E$2)</f>
        <v>10.3817</v>
      </c>
      <c r="F16">
        <f ca="1">_xll.ciqfunctions.udf.CIQ($B16,"IQ_CDS_mid",F$2)</f>
        <v>10.3817</v>
      </c>
      <c r="G16">
        <f ca="1">_xll.ciqfunctions.udf.CIQ($B16,"IQ_CDS_mid",G$2)</f>
        <v>10.3414</v>
      </c>
      <c r="H16">
        <f ca="1">_xll.ciqfunctions.udf.CIQ($B16,"IQ_CDS_mid",H$2)</f>
        <v>10.623799999999999</v>
      </c>
      <c r="I16">
        <f ca="1">_xll.ciqfunctions.udf.CIQ($B16,"IQ_CDS_mid",I$2)</f>
        <v>10.6304</v>
      </c>
      <c r="J16">
        <f ca="1">_xll.ciqfunctions.udf.CIQ($B16,"IQ_CDS_mid",J$2)</f>
        <v>9.9968000000000004</v>
      </c>
      <c r="K16">
        <f ca="1">_xll.ciqfunctions.udf.CIQ($B16,"IQ_CDS_mid",K$2)</f>
        <v>10.537800000000001</v>
      </c>
      <c r="L16">
        <f ca="1">_xll.ciqfunctions.udf.CIQ($B16,"IQ_CDS_mid",L$2)</f>
        <v>10.537800000000001</v>
      </c>
      <c r="M16">
        <f ca="1">_xll.ciqfunctions.udf.CIQ($B16,"IQ_CDS_mid",M$2)</f>
        <v>10.537800000000001</v>
      </c>
      <c r="N16">
        <f ca="1">_xll.ciqfunctions.udf.CIQ($B16,"IQ_CDS_mid",N$2)</f>
        <v>10.6538</v>
      </c>
      <c r="O16">
        <f ca="1">_xll.ciqfunctions.udf.CIQ($B16,"IQ_CDS_mid",O$2)</f>
        <v>9.9497999999999998</v>
      </c>
      <c r="P16">
        <f ca="1">_xll.ciqfunctions.udf.CIQ($B16,"IQ_CDS_mid",P$2)</f>
        <v>10.3782</v>
      </c>
      <c r="Q16">
        <f ca="1">_xll.ciqfunctions.udf.CIQ($B16,"IQ_CDS_mid",Q$2)</f>
        <v>10.0754</v>
      </c>
      <c r="R16">
        <f ca="1">_xll.ciqfunctions.udf.CIQ($B16,"IQ_CDS_mid",R$2)</f>
        <v>10.284000000000001</v>
      </c>
      <c r="S16">
        <f ca="1">_xll.ciqfunctions.udf.CIQ($B16,"IQ_CDS_mid",S$2)</f>
        <v>15.6066</v>
      </c>
      <c r="T16">
        <f t="shared" ca="1" si="1"/>
        <v>-0.24209999999999887</v>
      </c>
      <c r="U16">
        <f t="shared" ca="1" si="2"/>
        <v>-0.15610000000000035</v>
      </c>
      <c r="V16">
        <f t="shared" ca="1" si="3"/>
        <v>0.30630000000000024</v>
      </c>
      <c r="W16">
        <f t="shared" ca="1" si="4"/>
        <v>9.7699999999999676E-2</v>
      </c>
      <c r="X16">
        <f t="shared" ca="1" si="0"/>
        <v>-5.2248999999999999</v>
      </c>
    </row>
    <row r="17" spans="1:24">
      <c r="A17" t="s">
        <v>197</v>
      </c>
      <c r="B17" s="25" t="s">
        <v>196</v>
      </c>
      <c r="C17">
        <f ca="1">_xll.ciqfunctions.udf.CIQ($B17,"IQ_CDS_mid",C$2)</f>
        <v>7.8333000000000004</v>
      </c>
      <c r="D17">
        <f ca="1">_xll.ciqfunctions.udf.CIQ($B17,"IQ_CDS_mid",D$2)</f>
        <v>7.8333000000000004</v>
      </c>
      <c r="E17">
        <f ca="1">_xll.ciqfunctions.udf.CIQ($B17,"IQ_CDS_mid",E$2)</f>
        <v>7.8333000000000004</v>
      </c>
      <c r="F17">
        <f ca="1">_xll.ciqfunctions.udf.CIQ($B17,"IQ_CDS_mid",F$2)</f>
        <v>7.8333000000000004</v>
      </c>
      <c r="G17">
        <f ca="1">_xll.ciqfunctions.udf.CIQ($B17,"IQ_CDS_mid",G$2)</f>
        <v>7.8967000000000001</v>
      </c>
      <c r="H17">
        <f ca="1">_xll.ciqfunctions.udf.CIQ($B17,"IQ_CDS_mid",H$2)</f>
        <v>7.875</v>
      </c>
      <c r="I17">
        <f ca="1">_xll.ciqfunctions.udf.CIQ($B17,"IQ_CDS_mid",I$2)</f>
        <v>7.875</v>
      </c>
      <c r="J17">
        <f ca="1">_xll.ciqfunctions.udf.CIQ($B17,"IQ_CDS_mid",J$2)</f>
        <v>7.8</v>
      </c>
      <c r="K17">
        <f ca="1">_xll.ciqfunctions.udf.CIQ($B17,"IQ_CDS_mid",K$2)</f>
        <v>7.6718999999999999</v>
      </c>
      <c r="L17">
        <f ca="1">_xll.ciqfunctions.udf.CIQ($B17,"IQ_CDS_mid",L$2)</f>
        <v>7.6718999999999999</v>
      </c>
      <c r="M17">
        <f ca="1">_xll.ciqfunctions.udf.CIQ($B17,"IQ_CDS_mid",M$2)</f>
        <v>7.6718999999999999</v>
      </c>
      <c r="N17">
        <f ca="1">_xll.ciqfunctions.udf.CIQ($B17,"IQ_CDS_mid",N$2)</f>
        <v>7.75</v>
      </c>
      <c r="O17">
        <f ca="1">_xll.ciqfunctions.udf.CIQ($B17,"IQ_CDS_mid",O$2)</f>
        <v>7.8125</v>
      </c>
      <c r="P17">
        <f ca="1">_xll.ciqfunctions.udf.CIQ($B17,"IQ_CDS_mid",P$2)</f>
        <v>7.9375</v>
      </c>
      <c r="Q17">
        <f ca="1">_xll.ciqfunctions.udf.CIQ($B17,"IQ_CDS_mid",Q$2)</f>
        <v>7.8125</v>
      </c>
      <c r="R17">
        <f ca="1">_xll.ciqfunctions.udf.CIQ($B17,"IQ_CDS_mid",R$2)</f>
        <v>8.9175000000000004</v>
      </c>
      <c r="S17">
        <f ca="1">_xll.ciqfunctions.udf.CIQ($B17,"IQ_CDS_mid",S$2)</f>
        <v>10.333299999999999</v>
      </c>
      <c r="T17">
        <f t="shared" ca="1" si="1"/>
        <v>-4.1699999999999626E-2</v>
      </c>
      <c r="U17">
        <f t="shared" ca="1" si="2"/>
        <v>0.16140000000000043</v>
      </c>
      <c r="V17">
        <f t="shared" ca="1" si="3"/>
        <v>2.0800000000000374E-2</v>
      </c>
      <c r="W17">
        <f t="shared" ca="1" si="4"/>
        <v>-1.0842000000000001</v>
      </c>
      <c r="X17">
        <f t="shared" ca="1" si="0"/>
        <v>-2.4999999999999991</v>
      </c>
    </row>
    <row r="18" spans="1:24">
      <c r="A18" t="s">
        <v>195</v>
      </c>
      <c r="B18" s="25" t="s">
        <v>194</v>
      </c>
      <c r="C18">
        <f ca="1">_xll.ciqfunctions.udf.CIQ($B18,"IQ_CDS_mid",C$2)</f>
        <v>14.4</v>
      </c>
      <c r="D18">
        <f ca="1">_xll.ciqfunctions.udf.CIQ($B18,"IQ_CDS_mid",D$2)</f>
        <v>14.4</v>
      </c>
      <c r="E18">
        <f ca="1">_xll.ciqfunctions.udf.CIQ($B18,"IQ_CDS_mid",E$2)</f>
        <v>14.4</v>
      </c>
      <c r="F18">
        <f ca="1">_xll.ciqfunctions.udf.CIQ($B18,"IQ_CDS_mid",F$2)</f>
        <v>14.4</v>
      </c>
      <c r="G18">
        <f ca="1">_xll.ciqfunctions.udf.CIQ($B18,"IQ_CDS_mid",G$2)</f>
        <v>14.375</v>
      </c>
      <c r="H18">
        <f ca="1">_xll.ciqfunctions.udf.CIQ($B18,"IQ_CDS_mid",H$2)</f>
        <v>14.3125</v>
      </c>
      <c r="I18">
        <f ca="1">_xll.ciqfunctions.udf.CIQ($B18,"IQ_CDS_mid",I$2)</f>
        <v>14.35</v>
      </c>
      <c r="J18">
        <f ca="1">_xll.ciqfunctions.udf.CIQ($B18,"IQ_CDS_mid",J$2)</f>
        <v>14.25</v>
      </c>
      <c r="K18">
        <f ca="1">_xll.ciqfunctions.udf.CIQ($B18,"IQ_CDS_mid",K$2)</f>
        <v>14.125</v>
      </c>
      <c r="L18">
        <f ca="1">_xll.ciqfunctions.udf.CIQ($B18,"IQ_CDS_mid",L$2)</f>
        <v>14.125</v>
      </c>
      <c r="M18">
        <f ca="1">_xll.ciqfunctions.udf.CIQ($B18,"IQ_CDS_mid",M$2)</f>
        <v>14.125</v>
      </c>
      <c r="N18">
        <f ca="1">_xll.ciqfunctions.udf.CIQ($B18,"IQ_CDS_mid",N$2)</f>
        <v>14.2</v>
      </c>
      <c r="O18">
        <f ca="1">_xll.ciqfunctions.udf.CIQ($B18,"IQ_CDS_mid",O$2)</f>
        <v>14.3125</v>
      </c>
      <c r="P18">
        <f ca="1">_xll.ciqfunctions.udf.CIQ($B18,"IQ_CDS_mid",P$2)</f>
        <v>14.262499999999999</v>
      </c>
      <c r="Q18">
        <f ca="1">_xll.ciqfunctions.udf.CIQ($B18,"IQ_CDS_mid",Q$2)</f>
        <v>14.166700000000001</v>
      </c>
      <c r="R18">
        <f ca="1">_xll.ciqfunctions.udf.CIQ($B18,"IQ_CDS_mid",R$2)</f>
        <v>16.495999999999999</v>
      </c>
      <c r="S18">
        <f ca="1">_xll.ciqfunctions.udf.CIQ($B18,"IQ_CDS_mid",S$2)</f>
        <v>23.375</v>
      </c>
      <c r="T18">
        <f t="shared" ca="1" si="1"/>
        <v>8.7500000000000355E-2</v>
      </c>
      <c r="U18">
        <f t="shared" ca="1" si="2"/>
        <v>0.27500000000000036</v>
      </c>
      <c r="V18">
        <f t="shared" ca="1" si="3"/>
        <v>0.23329999999999984</v>
      </c>
      <c r="W18">
        <f t="shared" ca="1" si="4"/>
        <v>-2.0959999999999983</v>
      </c>
      <c r="X18">
        <f t="shared" ca="1" si="0"/>
        <v>-8.9749999999999996</v>
      </c>
    </row>
    <row r="19" spans="1:24">
      <c r="A19" t="s">
        <v>193</v>
      </c>
      <c r="B19" s="25" t="s">
        <v>192</v>
      </c>
      <c r="C19">
        <f ca="1">_xll.ciqfunctions.udf.CIQ($B19,"IQ_CDS_mid",C$2)</f>
        <v>35.417200000000001</v>
      </c>
      <c r="D19">
        <f ca="1">_xll.ciqfunctions.udf.CIQ($B19,"IQ_CDS_mid",D$2)</f>
        <v>35.417200000000001</v>
      </c>
      <c r="E19">
        <f ca="1">_xll.ciqfunctions.udf.CIQ($B19,"IQ_CDS_mid",E$2)</f>
        <v>35.417200000000001</v>
      </c>
      <c r="F19">
        <f ca="1">_xll.ciqfunctions.udf.CIQ($B19,"IQ_CDS_mid",F$2)</f>
        <v>35.417200000000001</v>
      </c>
      <c r="G19">
        <f ca="1">_xll.ciqfunctions.udf.CIQ($B19,"IQ_CDS_mid",G$2)</f>
        <v>36.054499999999997</v>
      </c>
      <c r="H19">
        <f ca="1">_xll.ciqfunctions.udf.CIQ($B19,"IQ_CDS_mid",H$2)</f>
        <v>35.6477</v>
      </c>
      <c r="I19">
        <f ca="1">_xll.ciqfunctions.udf.CIQ($B19,"IQ_CDS_mid",I$2)</f>
        <v>35.881599999999999</v>
      </c>
      <c r="J19">
        <f ca="1">_xll.ciqfunctions.udf.CIQ($B19,"IQ_CDS_mid",J$2)</f>
        <v>36.149299999999997</v>
      </c>
      <c r="K19">
        <f ca="1">_xll.ciqfunctions.udf.CIQ($B19,"IQ_CDS_mid",K$2)</f>
        <v>36.468200000000003</v>
      </c>
      <c r="L19">
        <f ca="1">_xll.ciqfunctions.udf.CIQ($B19,"IQ_CDS_mid",L$2)</f>
        <v>36.468200000000003</v>
      </c>
      <c r="M19">
        <f ca="1">_xll.ciqfunctions.udf.CIQ($B19,"IQ_CDS_mid",M$2)</f>
        <v>36.468200000000003</v>
      </c>
      <c r="N19">
        <f ca="1">_xll.ciqfunctions.udf.CIQ($B19,"IQ_CDS_mid",N$2)</f>
        <v>36.967199999999998</v>
      </c>
      <c r="O19">
        <f ca="1">_xll.ciqfunctions.udf.CIQ($B19,"IQ_CDS_mid",O$2)</f>
        <v>37.1873</v>
      </c>
      <c r="P19">
        <f ca="1">_xll.ciqfunctions.udf.CIQ($B19,"IQ_CDS_mid",P$2)</f>
        <v>38.5794</v>
      </c>
      <c r="Q19">
        <f ca="1">_xll.ciqfunctions.udf.CIQ($B19,"IQ_CDS_mid",Q$2)</f>
        <v>38.6676</v>
      </c>
      <c r="R19">
        <f ca="1">_xll.ciqfunctions.udf.CIQ($B19,"IQ_CDS_mid",R$2)</f>
        <v>38.611499999999999</v>
      </c>
      <c r="S19">
        <f ca="1">_xll.ciqfunctions.udf.CIQ($B19,"IQ_CDS_mid",S$2)</f>
        <v>32.973799999999997</v>
      </c>
      <c r="T19">
        <f t="shared" ca="1" si="1"/>
        <v>-0.23049999999999926</v>
      </c>
      <c r="U19">
        <f t="shared" ca="1" si="2"/>
        <v>-1.0510000000000019</v>
      </c>
      <c r="V19">
        <f t="shared" ca="1" si="3"/>
        <v>-3.2503999999999991</v>
      </c>
      <c r="W19">
        <f t="shared" ca="1" si="4"/>
        <v>-3.1942999999999984</v>
      </c>
      <c r="X19">
        <f t="shared" ca="1" si="0"/>
        <v>2.443400000000004</v>
      </c>
    </row>
    <row r="20" spans="1:24">
      <c r="A20" t="s">
        <v>191</v>
      </c>
      <c r="B20" s="25" t="s">
        <v>190</v>
      </c>
      <c r="C20">
        <f ca="1">_xll.ciqfunctions.udf.CIQ($B20,"IQ_CDS_mid",C$2)</f>
        <v>16.5</v>
      </c>
      <c r="D20">
        <f ca="1">_xll.ciqfunctions.udf.CIQ($B20,"IQ_CDS_mid",D$2)</f>
        <v>16.5</v>
      </c>
      <c r="E20">
        <f ca="1">_xll.ciqfunctions.udf.CIQ($B20,"IQ_CDS_mid",E$2)</f>
        <v>16.5</v>
      </c>
      <c r="F20">
        <f ca="1">_xll.ciqfunctions.udf.CIQ($B20,"IQ_CDS_mid",F$2)</f>
        <v>16.5</v>
      </c>
      <c r="G20">
        <f ca="1">_xll.ciqfunctions.udf.CIQ($B20,"IQ_CDS_mid",G$2)</f>
        <v>16.5</v>
      </c>
      <c r="H20">
        <f ca="1">_xll.ciqfunctions.udf.CIQ($B20,"IQ_CDS_mid",H$2)</f>
        <v>16.5837</v>
      </c>
      <c r="I20">
        <f ca="1">_xll.ciqfunctions.udf.CIQ($B20,"IQ_CDS_mid",I$2)</f>
        <v>16.5</v>
      </c>
      <c r="J20">
        <f ca="1">_xll.ciqfunctions.udf.CIQ($B20,"IQ_CDS_mid",J$2)</f>
        <v>16.020600000000002</v>
      </c>
      <c r="K20">
        <f ca="1">_xll.ciqfunctions.udf.CIQ($B20,"IQ_CDS_mid",K$2)</f>
        <v>16.166699999999999</v>
      </c>
      <c r="L20">
        <f ca="1">_xll.ciqfunctions.udf.CIQ($B20,"IQ_CDS_mid",L$2)</f>
        <v>16.166699999999999</v>
      </c>
      <c r="M20">
        <f ca="1">_xll.ciqfunctions.udf.CIQ($B20,"IQ_CDS_mid",M$2)</f>
        <v>16.166699999999999</v>
      </c>
      <c r="N20">
        <f ca="1">_xll.ciqfunctions.udf.CIQ($B20,"IQ_CDS_mid",N$2)</f>
        <v>16.166699999999999</v>
      </c>
      <c r="O20">
        <f ca="1">_xll.ciqfunctions.udf.CIQ($B20,"IQ_CDS_mid",O$2)</f>
        <v>16.020399999999999</v>
      </c>
      <c r="P20">
        <f ca="1">_xll.ciqfunctions.udf.CIQ($B20,"IQ_CDS_mid",P$2)</f>
        <v>15.833299999999999</v>
      </c>
      <c r="Q20">
        <f ca="1">_xll.ciqfunctions.udf.CIQ($B20,"IQ_CDS_mid",Q$2)</f>
        <v>16</v>
      </c>
      <c r="R20">
        <f ca="1">_xll.ciqfunctions.udf.CIQ($B20,"IQ_CDS_mid",R$2)</f>
        <v>16.955200000000001</v>
      </c>
      <c r="S20">
        <f ca="1">_xll.ciqfunctions.udf.CIQ($B20,"IQ_CDS_mid",S$2)</f>
        <v>28.3932</v>
      </c>
      <c r="T20">
        <f t="shared" ca="1" si="1"/>
        <v>-8.370000000000033E-2</v>
      </c>
      <c r="U20">
        <f t="shared" ca="1" si="2"/>
        <v>0.33330000000000126</v>
      </c>
      <c r="V20">
        <f t="shared" ca="1" si="3"/>
        <v>0.5</v>
      </c>
      <c r="W20">
        <f t="shared" ca="1" si="4"/>
        <v>-0.45520000000000138</v>
      </c>
      <c r="X20">
        <f t="shared" ca="1" si="0"/>
        <v>-11.8932</v>
      </c>
    </row>
    <row r="21" spans="1:24">
      <c r="A21" s="16" t="s">
        <v>189</v>
      </c>
      <c r="X21">
        <f t="shared" si="0"/>
        <v>0</v>
      </c>
    </row>
    <row r="22" spans="1:24">
      <c r="A22" t="s">
        <v>188</v>
      </c>
      <c r="B22" s="25" t="s">
        <v>187</v>
      </c>
      <c r="C22">
        <f ca="1">_xll.ciqfunctions.udf.CIQ($B22,"IQ_CDS_mid",C$2)</f>
        <v>18.375</v>
      </c>
      <c r="D22">
        <f ca="1">_xll.ciqfunctions.udf.CIQ($B22,"IQ_CDS_mid",D$2)</f>
        <v>18.375</v>
      </c>
      <c r="E22">
        <f ca="1">_xll.ciqfunctions.udf.CIQ($B22,"IQ_CDS_mid",E$2)</f>
        <v>18.375</v>
      </c>
      <c r="F22">
        <f ca="1">_xll.ciqfunctions.udf.CIQ($B22,"IQ_CDS_mid",F$2)</f>
        <v>18.375</v>
      </c>
      <c r="G22">
        <f ca="1">_xll.ciqfunctions.udf.CIQ($B22,"IQ_CDS_mid",G$2)</f>
        <v>18.399999999999999</v>
      </c>
      <c r="H22">
        <f ca="1">_xll.ciqfunctions.udf.CIQ($B22,"IQ_CDS_mid",H$2)</f>
        <v>18.549700000000001</v>
      </c>
      <c r="I22">
        <f ca="1">_xll.ciqfunctions.udf.CIQ($B22,"IQ_CDS_mid",I$2)</f>
        <v>18.600000000000001</v>
      </c>
      <c r="J22">
        <f ca="1">_xll.ciqfunctions.udf.CIQ($B22,"IQ_CDS_mid",J$2)</f>
        <v>17.833300000000001</v>
      </c>
      <c r="K22">
        <f ca="1">_xll.ciqfunctions.udf.CIQ($B22,"IQ_CDS_mid",K$2)</f>
        <v>17.833300000000001</v>
      </c>
      <c r="L22">
        <f ca="1">_xll.ciqfunctions.udf.CIQ($B22,"IQ_CDS_mid",L$2)</f>
        <v>17.833300000000001</v>
      </c>
      <c r="M22">
        <f ca="1">_xll.ciqfunctions.udf.CIQ($B22,"IQ_CDS_mid",M$2)</f>
        <v>17.833300000000001</v>
      </c>
      <c r="N22">
        <f ca="1">_xll.ciqfunctions.udf.CIQ($B22,"IQ_CDS_mid",N$2)</f>
        <v>17.9375</v>
      </c>
      <c r="O22">
        <f ca="1">_xll.ciqfunctions.udf.CIQ($B22,"IQ_CDS_mid",O$2)</f>
        <v>18.100000000000001</v>
      </c>
      <c r="P22">
        <f ca="1">_xll.ciqfunctions.udf.CIQ($B22,"IQ_CDS_mid",P$2)</f>
        <v>17.75</v>
      </c>
      <c r="Q22">
        <f ca="1">_xll.ciqfunctions.udf.CIQ($B22,"IQ_CDS_mid",Q$2)</f>
        <v>17.875</v>
      </c>
      <c r="R22">
        <f ca="1">_xll.ciqfunctions.udf.CIQ($B22,"IQ_CDS_mid",R$2)</f>
        <v>18.5</v>
      </c>
      <c r="S22">
        <f ca="1">_xll.ciqfunctions.udf.CIQ($B22,"IQ_CDS_mid",S$2)</f>
        <v>16.5</v>
      </c>
      <c r="T22">
        <f t="shared" ref="T22:T29" ca="1" si="5">C22-H22</f>
        <v>-0.17470000000000141</v>
      </c>
      <c r="U22">
        <f t="shared" ref="U22:U29" ca="1" si="6">C22-M22</f>
        <v>0.54169999999999874</v>
      </c>
      <c r="V22">
        <f t="shared" ref="V22:V29" ca="1" si="7">C22-Q22</f>
        <v>0.5</v>
      </c>
      <c r="W22">
        <f t="shared" ref="W22:W29" ca="1" si="8">C22-R22</f>
        <v>-0.125</v>
      </c>
      <c r="X22">
        <f t="shared" ca="1" si="0"/>
        <v>1.875</v>
      </c>
    </row>
    <row r="23" spans="1:24">
      <c r="A23" t="s">
        <v>186</v>
      </c>
      <c r="B23" s="25" t="s">
        <v>185</v>
      </c>
      <c r="C23">
        <f ca="1">_xll.ciqfunctions.udf.CIQ($B23,"IQ_CDS_mid",C$2)</f>
        <v>29.510300000000001</v>
      </c>
      <c r="D23">
        <f ca="1">_xll.ciqfunctions.udf.CIQ($B23,"IQ_CDS_mid",D$2)</f>
        <v>29.510300000000001</v>
      </c>
      <c r="E23">
        <f ca="1">_xll.ciqfunctions.udf.CIQ($B23,"IQ_CDS_mid",E$2)</f>
        <v>29.510300000000001</v>
      </c>
      <c r="F23">
        <f ca="1">_xll.ciqfunctions.udf.CIQ($B23,"IQ_CDS_mid",F$2)</f>
        <v>29.510300000000001</v>
      </c>
      <c r="G23">
        <f ca="1">_xll.ciqfunctions.udf.CIQ($B23,"IQ_CDS_mid",G$2)</f>
        <v>29.828800000000001</v>
      </c>
      <c r="H23">
        <f ca="1">_xll.ciqfunctions.udf.CIQ($B23,"IQ_CDS_mid",H$2)</f>
        <v>29.7485</v>
      </c>
      <c r="I23">
        <f ca="1">_xll.ciqfunctions.udf.CIQ($B23,"IQ_CDS_mid",I$2)</f>
        <v>29.4392</v>
      </c>
      <c r="J23">
        <f ca="1">_xll.ciqfunctions.udf.CIQ($B23,"IQ_CDS_mid",J$2)</f>
        <v>28.9693</v>
      </c>
      <c r="K23">
        <f ca="1">_xll.ciqfunctions.udf.CIQ($B23,"IQ_CDS_mid",K$2)</f>
        <v>28.029199999999999</v>
      </c>
      <c r="L23">
        <f ca="1">_xll.ciqfunctions.udf.CIQ($B23,"IQ_CDS_mid",L$2)</f>
        <v>28.029199999999999</v>
      </c>
      <c r="M23">
        <f ca="1">_xll.ciqfunctions.udf.CIQ($B23,"IQ_CDS_mid",M$2)</f>
        <v>28.029199999999999</v>
      </c>
      <c r="N23">
        <f ca="1">_xll.ciqfunctions.udf.CIQ($B23,"IQ_CDS_mid",N$2)</f>
        <v>27.785</v>
      </c>
      <c r="O23">
        <f ca="1">_xll.ciqfunctions.udf.CIQ($B23,"IQ_CDS_mid",O$2)</f>
        <v>26.265599999999999</v>
      </c>
      <c r="P23">
        <f ca="1">_xll.ciqfunctions.udf.CIQ($B23,"IQ_CDS_mid",P$2)</f>
        <v>28.867100000000001</v>
      </c>
      <c r="Q23">
        <f ca="1">_xll.ciqfunctions.udf.CIQ($B23,"IQ_CDS_mid",Q$2)</f>
        <v>28.5091</v>
      </c>
      <c r="R23">
        <f ca="1">_xll.ciqfunctions.udf.CIQ($B23,"IQ_CDS_mid",R$2)</f>
        <v>29.1265</v>
      </c>
      <c r="S23">
        <f ca="1">_xll.ciqfunctions.udf.CIQ($B23,"IQ_CDS_mid",S$2)</f>
        <v>25.668199999999999</v>
      </c>
      <c r="T23">
        <f t="shared" ca="1" si="5"/>
        <v>-0.23819999999999908</v>
      </c>
      <c r="U23">
        <f t="shared" ca="1" si="6"/>
        <v>1.4811000000000014</v>
      </c>
      <c r="V23">
        <f t="shared" ca="1" si="7"/>
        <v>1.0012000000000008</v>
      </c>
      <c r="W23">
        <f t="shared" ca="1" si="8"/>
        <v>0.38380000000000081</v>
      </c>
      <c r="X23">
        <f t="shared" ca="1" si="0"/>
        <v>3.8421000000000021</v>
      </c>
    </row>
    <row r="24" spans="1:24">
      <c r="A24" t="s">
        <v>31</v>
      </c>
      <c r="B24" s="25" t="s">
        <v>184</v>
      </c>
      <c r="C24">
        <f ca="1">_xll.ciqfunctions.udf.CIQ($B24,"IQ_CDS_mid",C$2)</f>
        <v>8.125</v>
      </c>
      <c r="D24">
        <f ca="1">_xll.ciqfunctions.udf.CIQ($B24,"IQ_CDS_mid",D$2)</f>
        <v>8.125</v>
      </c>
      <c r="E24">
        <f ca="1">_xll.ciqfunctions.udf.CIQ($B24,"IQ_CDS_mid",E$2)</f>
        <v>8.125</v>
      </c>
      <c r="F24">
        <f ca="1">_xll.ciqfunctions.udf.CIQ($B24,"IQ_CDS_mid",F$2)</f>
        <v>8.125</v>
      </c>
      <c r="G24">
        <f ca="1">_xll.ciqfunctions.udf.CIQ($B24,"IQ_CDS_mid",G$2)</f>
        <v>7.8333000000000004</v>
      </c>
      <c r="H24">
        <f ca="1">_xll.ciqfunctions.udf.CIQ($B24,"IQ_CDS_mid",H$2)</f>
        <v>8.0832999999999995</v>
      </c>
      <c r="I24">
        <f ca="1">_xll.ciqfunctions.udf.CIQ($B24,"IQ_CDS_mid",I$2)</f>
        <v>8</v>
      </c>
      <c r="J24">
        <f ca="1">_xll.ciqfunctions.udf.CIQ($B24,"IQ_CDS_mid",J$2)</f>
        <v>7.9127000000000001</v>
      </c>
      <c r="K24">
        <f ca="1">_xll.ciqfunctions.udf.CIQ($B24,"IQ_CDS_mid",K$2)</f>
        <v>7.9162999999999997</v>
      </c>
      <c r="L24">
        <f ca="1">_xll.ciqfunctions.udf.CIQ($B24,"IQ_CDS_mid",L$2)</f>
        <v>7.9162999999999997</v>
      </c>
      <c r="M24">
        <f ca="1">_xll.ciqfunctions.udf.CIQ($B24,"IQ_CDS_mid",M$2)</f>
        <v>7.9162999999999997</v>
      </c>
      <c r="N24">
        <f ca="1">_xll.ciqfunctions.udf.CIQ($B24,"IQ_CDS_mid",N$2)</f>
        <v>7.9375</v>
      </c>
      <c r="O24">
        <f ca="1">_xll.ciqfunctions.udf.CIQ($B24,"IQ_CDS_mid",O$2)</f>
        <v>7.8333000000000004</v>
      </c>
      <c r="P24">
        <f ca="1">_xll.ciqfunctions.udf.CIQ($B24,"IQ_CDS_mid",P$2)</f>
        <v>7.8333000000000004</v>
      </c>
      <c r="Q24">
        <f ca="1">_xll.ciqfunctions.udf.CIQ($B24,"IQ_CDS_mid",Q$2)</f>
        <v>8.125</v>
      </c>
      <c r="R24">
        <f ca="1">_xll.ciqfunctions.udf.CIQ($B24,"IQ_CDS_mid",R$2)</f>
        <v>9</v>
      </c>
      <c r="S24">
        <f ca="1">_xll.ciqfunctions.udf.CIQ($B24,"IQ_CDS_mid",S$2)</f>
        <v>9.4113000000000007</v>
      </c>
      <c r="T24">
        <f t="shared" ca="1" si="5"/>
        <v>4.1700000000000514E-2</v>
      </c>
      <c r="U24">
        <f t="shared" ca="1" si="6"/>
        <v>0.20870000000000033</v>
      </c>
      <c r="V24">
        <f t="shared" ca="1" si="7"/>
        <v>0</v>
      </c>
      <c r="W24">
        <f t="shared" ca="1" si="8"/>
        <v>-0.875</v>
      </c>
      <c r="X24">
        <f t="shared" ca="1" si="0"/>
        <v>-1.2863000000000007</v>
      </c>
    </row>
    <row r="25" spans="1:24">
      <c r="A25" t="s">
        <v>183</v>
      </c>
      <c r="B25" s="25" t="s">
        <v>182</v>
      </c>
      <c r="C25">
        <f ca="1">_xll.ciqfunctions.udf.CIQ($B25,"IQ_CDS_mid",C$2)</f>
        <v>4.7626999999999997</v>
      </c>
      <c r="D25">
        <f ca="1">_xll.ciqfunctions.udf.CIQ($B25,"IQ_CDS_mid",D$2)</f>
        <v>4.7626999999999997</v>
      </c>
      <c r="E25">
        <f ca="1">_xll.ciqfunctions.udf.CIQ($B25,"IQ_CDS_mid",E$2)</f>
        <v>4.7626999999999997</v>
      </c>
      <c r="F25">
        <f ca="1">_xll.ciqfunctions.udf.CIQ($B25,"IQ_CDS_mid",F$2)</f>
        <v>4.7626999999999997</v>
      </c>
      <c r="G25">
        <f ca="1">_xll.ciqfunctions.udf.CIQ($B25,"IQ_CDS_mid",G$2)</f>
        <v>4.7927</v>
      </c>
      <c r="H25">
        <f ca="1">_xll.ciqfunctions.udf.CIQ($B25,"IQ_CDS_mid",H$2)</f>
        <v>4.5082000000000004</v>
      </c>
      <c r="I25">
        <f ca="1">_xll.ciqfunctions.udf.CIQ($B25,"IQ_CDS_mid",I$2)</f>
        <v>4.5067000000000004</v>
      </c>
      <c r="J25">
        <f ca="1">_xll.ciqfunctions.udf.CIQ($B25,"IQ_CDS_mid",J$2)</f>
        <v>4.4958</v>
      </c>
      <c r="K25">
        <f ca="1">_xll.ciqfunctions.udf.CIQ($B25,"IQ_CDS_mid",K$2)</f>
        <v>4.4996</v>
      </c>
      <c r="L25">
        <f ca="1">_xll.ciqfunctions.udf.CIQ($B25,"IQ_CDS_mid",L$2)</f>
        <v>4.4996</v>
      </c>
      <c r="M25">
        <f ca="1">_xll.ciqfunctions.udf.CIQ($B25,"IQ_CDS_mid",M$2)</f>
        <v>4.4996</v>
      </c>
      <c r="N25">
        <f ca="1">_xll.ciqfunctions.udf.CIQ($B25,"IQ_CDS_mid",N$2)</f>
        <v>4.5007999999999999</v>
      </c>
      <c r="O25">
        <f ca="1">_xll.ciqfunctions.udf.CIQ($B25,"IQ_CDS_mid",O$2)</f>
        <v>4.7224000000000004</v>
      </c>
      <c r="P25">
        <f ca="1">_xll.ciqfunctions.udf.CIQ($B25,"IQ_CDS_mid",P$2)</f>
        <v>4.8080999999999996</v>
      </c>
      <c r="Q25">
        <f ca="1">_xll.ciqfunctions.udf.CIQ($B25,"IQ_CDS_mid",Q$2)</f>
        <v>4.7081999999999997</v>
      </c>
      <c r="R25">
        <f ca="1">_xll.ciqfunctions.udf.CIQ($B25,"IQ_CDS_mid",R$2)</f>
        <v>5.5667</v>
      </c>
      <c r="S25">
        <f ca="1">_xll.ciqfunctions.udf.CIQ($B25,"IQ_CDS_mid",S$2)</f>
        <v>8.4663000000000004</v>
      </c>
      <c r="T25">
        <f t="shared" ca="1" si="5"/>
        <v>0.25449999999999928</v>
      </c>
      <c r="U25">
        <f t="shared" ca="1" si="6"/>
        <v>0.26309999999999967</v>
      </c>
      <c r="V25">
        <f t="shared" ca="1" si="7"/>
        <v>5.4499999999999993E-2</v>
      </c>
      <c r="W25">
        <f t="shared" ca="1" si="8"/>
        <v>-0.80400000000000027</v>
      </c>
      <c r="X25">
        <f t="shared" ca="1" si="0"/>
        <v>-3.7036000000000007</v>
      </c>
    </row>
    <row r="26" spans="1:24">
      <c r="A26" t="s">
        <v>181</v>
      </c>
      <c r="B26" s="25" t="s">
        <v>180</v>
      </c>
      <c r="C26">
        <f ca="1">_xll.ciqfunctions.udf.CIQ($B26,"IQ_CDS_mid",C$2)</f>
        <v>50.913400000000003</v>
      </c>
      <c r="D26">
        <f ca="1">_xll.ciqfunctions.udf.CIQ($B26,"IQ_CDS_mid",D$2)</f>
        <v>50.913400000000003</v>
      </c>
      <c r="E26">
        <f ca="1">_xll.ciqfunctions.udf.CIQ($B26,"IQ_CDS_mid",E$2)</f>
        <v>50.913400000000003</v>
      </c>
      <c r="F26">
        <f ca="1">_xll.ciqfunctions.udf.CIQ($B26,"IQ_CDS_mid",F$2)</f>
        <v>50.913400000000003</v>
      </c>
      <c r="G26">
        <f ca="1">_xll.ciqfunctions.udf.CIQ($B26,"IQ_CDS_mid",G$2)</f>
        <v>50.662199999999999</v>
      </c>
      <c r="H26">
        <f ca="1">_xll.ciqfunctions.udf.CIQ($B26,"IQ_CDS_mid",H$2)</f>
        <v>50.5535</v>
      </c>
      <c r="I26">
        <f ca="1">_xll.ciqfunctions.udf.CIQ($B26,"IQ_CDS_mid",I$2)</f>
        <v>50.5366</v>
      </c>
      <c r="J26">
        <f ca="1">_xll.ciqfunctions.udf.CIQ($B26,"IQ_CDS_mid",J$2)</f>
        <v>50.558</v>
      </c>
      <c r="K26">
        <f ca="1">_xll.ciqfunctions.udf.CIQ($B26,"IQ_CDS_mid",K$2)</f>
        <v>50.546199999999999</v>
      </c>
      <c r="L26">
        <f ca="1">_xll.ciqfunctions.udf.CIQ($B26,"IQ_CDS_mid",L$2)</f>
        <v>50.546199999999999</v>
      </c>
      <c r="M26">
        <f ca="1">_xll.ciqfunctions.udf.CIQ($B26,"IQ_CDS_mid",M$2)</f>
        <v>50.546199999999999</v>
      </c>
      <c r="N26">
        <f ca="1">_xll.ciqfunctions.udf.CIQ($B26,"IQ_CDS_mid",N$2)</f>
        <v>50.543700000000001</v>
      </c>
      <c r="O26">
        <f ca="1">_xll.ciqfunctions.udf.CIQ($B26,"IQ_CDS_mid",O$2)</f>
        <v>50.552999999999997</v>
      </c>
      <c r="P26">
        <f ca="1">_xll.ciqfunctions.udf.CIQ($B26,"IQ_CDS_mid",P$2)</f>
        <v>50.561900000000001</v>
      </c>
      <c r="Q26">
        <f ca="1">_xll.ciqfunctions.udf.CIQ($B26,"IQ_CDS_mid",Q$2)</f>
        <v>50.548000000000002</v>
      </c>
      <c r="R26">
        <f ca="1">_xll.ciqfunctions.udf.CIQ($B26,"IQ_CDS_mid",R$2)</f>
        <v>52.973399999999998</v>
      </c>
      <c r="S26">
        <f ca="1">_xll.ciqfunctions.udf.CIQ($B26,"IQ_CDS_mid",S$2)</f>
        <v>66.284099999999995</v>
      </c>
      <c r="T26">
        <f t="shared" ca="1" si="5"/>
        <v>0.35990000000000322</v>
      </c>
      <c r="U26">
        <f t="shared" ca="1" si="6"/>
        <v>0.36720000000000397</v>
      </c>
      <c r="V26">
        <f t="shared" ca="1" si="7"/>
        <v>0.36540000000000106</v>
      </c>
      <c r="W26">
        <f t="shared" ca="1" si="8"/>
        <v>-2.0599999999999952</v>
      </c>
      <c r="X26">
        <f t="shared" ca="1" si="0"/>
        <v>-15.370699999999992</v>
      </c>
    </row>
    <row r="27" spans="1:24">
      <c r="A27" t="s">
        <v>179</v>
      </c>
      <c r="B27" s="25" t="s">
        <v>178</v>
      </c>
      <c r="C27">
        <f ca="1">_xll.ciqfunctions.udf.CIQ($B27,"IQ_CDS_mid",C$2)</f>
        <v>7.25</v>
      </c>
      <c r="D27">
        <f ca="1">_xll.ciqfunctions.udf.CIQ($B27,"IQ_CDS_mid",D$2)</f>
        <v>7.25</v>
      </c>
      <c r="E27">
        <f ca="1">_xll.ciqfunctions.udf.CIQ($B27,"IQ_CDS_mid",E$2)</f>
        <v>7.25</v>
      </c>
      <c r="F27">
        <f ca="1">_xll.ciqfunctions.udf.CIQ($B27,"IQ_CDS_mid",F$2)</f>
        <v>7.25</v>
      </c>
      <c r="G27">
        <f ca="1">_xll.ciqfunctions.udf.CIQ($B27,"IQ_CDS_mid",G$2)</f>
        <v>6.4809000000000001</v>
      </c>
      <c r="H27">
        <f ca="1">_xll.ciqfunctions.udf.CIQ($B27,"IQ_CDS_mid",H$2)</f>
        <v>6.8322000000000003</v>
      </c>
      <c r="I27">
        <f ca="1">_xll.ciqfunctions.udf.CIQ($B27,"IQ_CDS_mid",I$2)</f>
        <v>7.25</v>
      </c>
      <c r="J27">
        <f ca="1">_xll.ciqfunctions.udf.CIQ($B27,"IQ_CDS_mid",J$2)</f>
        <v>6.8292999999999999</v>
      </c>
      <c r="K27">
        <f ca="1">_xll.ciqfunctions.udf.CIQ($B27,"IQ_CDS_mid",K$2)</f>
        <v>6.7275999999999998</v>
      </c>
      <c r="L27">
        <f ca="1">_xll.ciqfunctions.udf.CIQ($B27,"IQ_CDS_mid",L$2)</f>
        <v>6.7275999999999998</v>
      </c>
      <c r="M27">
        <f ca="1">_xll.ciqfunctions.udf.CIQ($B27,"IQ_CDS_mid",M$2)</f>
        <v>6.7275999999999998</v>
      </c>
      <c r="N27">
        <f ca="1">_xll.ciqfunctions.udf.CIQ($B27,"IQ_CDS_mid",N$2)</f>
        <v>7.3333000000000004</v>
      </c>
      <c r="O27">
        <f ca="1">_xll.ciqfunctions.udf.CIQ($B27,"IQ_CDS_mid",O$2)</f>
        <v>7.3333000000000004</v>
      </c>
      <c r="P27">
        <f ca="1">_xll.ciqfunctions.udf.CIQ($B27,"IQ_CDS_mid",P$2)</f>
        <v>7.5</v>
      </c>
      <c r="Q27">
        <f ca="1">_xll.ciqfunctions.udf.CIQ($B27,"IQ_CDS_mid",Q$2)</f>
        <v>6.8490000000000002</v>
      </c>
      <c r="R27">
        <f ca="1">_xll.ciqfunctions.udf.CIQ($B27,"IQ_CDS_mid",R$2)</f>
        <v>7.8333000000000004</v>
      </c>
      <c r="S27">
        <f ca="1">_xll.ciqfunctions.udf.CIQ($B27,"IQ_CDS_mid",S$2)</f>
        <v>10.150499999999999</v>
      </c>
      <c r="T27">
        <f t="shared" ca="1" si="5"/>
        <v>0.41779999999999973</v>
      </c>
      <c r="U27">
        <f t="shared" ca="1" si="6"/>
        <v>0.5224000000000002</v>
      </c>
      <c r="V27">
        <f t="shared" ca="1" si="7"/>
        <v>0.4009999999999998</v>
      </c>
      <c r="W27">
        <f t="shared" ca="1" si="8"/>
        <v>-0.58330000000000037</v>
      </c>
      <c r="X27">
        <f t="shared" ca="1" si="0"/>
        <v>-2.9004999999999992</v>
      </c>
    </row>
    <row r="28" spans="1:24">
      <c r="A28" t="s">
        <v>21</v>
      </c>
      <c r="B28" s="25" t="s">
        <v>177</v>
      </c>
      <c r="C28">
        <f ca="1">_xll.ciqfunctions.udf.CIQ($B28,"IQ_CDS_mid",C$2)</f>
        <v>7.2477</v>
      </c>
      <c r="D28">
        <f ca="1">_xll.ciqfunctions.udf.CIQ($B28,"IQ_CDS_mid",D$2)</f>
        <v>7.2477</v>
      </c>
      <c r="E28">
        <f ca="1">_xll.ciqfunctions.udf.CIQ($B28,"IQ_CDS_mid",E$2)</f>
        <v>7.2477</v>
      </c>
      <c r="F28">
        <f ca="1">_xll.ciqfunctions.udf.CIQ($B28,"IQ_CDS_mid",F$2)</f>
        <v>7.2477</v>
      </c>
      <c r="G28">
        <f ca="1">_xll.ciqfunctions.udf.CIQ($B28,"IQ_CDS_mid",G$2)</f>
        <v>7.2488000000000001</v>
      </c>
      <c r="H28">
        <f ca="1">_xll.ciqfunctions.udf.CIQ($B28,"IQ_CDS_mid",H$2)</f>
        <v>7.2503000000000002</v>
      </c>
      <c r="I28">
        <f ca="1">_xll.ciqfunctions.udf.CIQ($B28,"IQ_CDS_mid",I$2)</f>
        <v>7.2491000000000003</v>
      </c>
      <c r="J28">
        <f ca="1">_xll.ciqfunctions.udf.CIQ($B28,"IQ_CDS_mid",J$2)</f>
        <v>7.2408000000000001</v>
      </c>
      <c r="K28">
        <f ca="1">_xll.ciqfunctions.udf.CIQ($B28,"IQ_CDS_mid",K$2)</f>
        <v>7.2432999999999996</v>
      </c>
      <c r="L28">
        <f ca="1">_xll.ciqfunctions.udf.CIQ($B28,"IQ_CDS_mid",L$2)</f>
        <v>7.2432999999999996</v>
      </c>
      <c r="M28">
        <f ca="1">_xll.ciqfunctions.udf.CIQ($B28,"IQ_CDS_mid",M$2)</f>
        <v>7.2432999999999996</v>
      </c>
      <c r="N28">
        <f ca="1">_xll.ciqfunctions.udf.CIQ($B28,"IQ_CDS_mid",N$2)</f>
        <v>7.2461000000000002</v>
      </c>
      <c r="O28">
        <f ca="1">_xll.ciqfunctions.udf.CIQ($B28,"IQ_CDS_mid",O$2)</f>
        <v>7.2419000000000002</v>
      </c>
      <c r="P28">
        <f ca="1">_xll.ciqfunctions.udf.CIQ($B28,"IQ_CDS_mid",P$2)</f>
        <v>7.2398999999999996</v>
      </c>
      <c r="Q28">
        <f ca="1">_xll.ciqfunctions.udf.CIQ($B28,"IQ_CDS_mid",Q$2)</f>
        <v>7.2442000000000002</v>
      </c>
      <c r="R28">
        <f ca="1">_xll.ciqfunctions.udf.CIQ($B28,"IQ_CDS_mid",R$2)</f>
        <v>7.8905000000000003</v>
      </c>
      <c r="S28">
        <f ca="1">_xll.ciqfunctions.udf.CIQ($B28,"IQ_CDS_mid",S$2)</f>
        <v>8.1667000000000005</v>
      </c>
      <c r="T28">
        <f t="shared" ca="1" si="5"/>
        <v>-2.6000000000001577E-3</v>
      </c>
      <c r="U28">
        <f t="shared" ca="1" si="6"/>
        <v>4.4000000000004036E-3</v>
      </c>
      <c r="V28">
        <f t="shared" ca="1" si="7"/>
        <v>3.4999999999998366E-3</v>
      </c>
      <c r="W28">
        <f t="shared" ca="1" si="8"/>
        <v>-0.64280000000000026</v>
      </c>
      <c r="X28">
        <f t="shared" ca="1" si="0"/>
        <v>-0.91900000000000048</v>
      </c>
    </row>
    <row r="29" spans="1:24">
      <c r="A29" t="s">
        <v>176</v>
      </c>
      <c r="B29" s="25" t="s">
        <v>175</v>
      </c>
      <c r="C29">
        <f ca="1">_xll.ciqfunctions.udf.CIQ($B29,"IQ_CDS_mid",C$2)</f>
        <v>760.81479999999999</v>
      </c>
      <c r="D29">
        <f ca="1">_xll.ciqfunctions.udf.CIQ($B29,"IQ_CDS_mid",D$2)</f>
        <v>760.81479999999999</v>
      </c>
      <c r="E29">
        <f ca="1">_xll.ciqfunctions.udf.CIQ($B29,"IQ_CDS_mid",E$2)</f>
        <v>760.81479999999999</v>
      </c>
      <c r="F29">
        <f ca="1">_xll.ciqfunctions.udf.CIQ($B29,"IQ_CDS_mid",F$2)</f>
        <v>760.81479999999999</v>
      </c>
      <c r="G29">
        <f ca="1">_xll.ciqfunctions.udf.CIQ($B29,"IQ_CDS_mid",G$2)</f>
        <v>760.57230000000004</v>
      </c>
      <c r="H29">
        <f ca="1">_xll.ciqfunctions.udf.CIQ($B29,"IQ_CDS_mid",H$2)</f>
        <v>761.11260000000004</v>
      </c>
      <c r="I29">
        <f ca="1">_xll.ciqfunctions.udf.CIQ($B29,"IQ_CDS_mid",I$2)</f>
        <v>761.66399999999999</v>
      </c>
      <c r="J29">
        <f ca="1">_xll.ciqfunctions.udf.CIQ($B29,"IQ_CDS_mid",J$2)</f>
        <v>760.44730000000004</v>
      </c>
      <c r="K29">
        <f ca="1">_xll.ciqfunctions.udf.CIQ($B29,"IQ_CDS_mid",K$2)</f>
        <v>759.85569999999996</v>
      </c>
      <c r="L29">
        <f ca="1">_xll.ciqfunctions.udf.CIQ($B29,"IQ_CDS_mid",L$2)</f>
        <v>759.85569999999996</v>
      </c>
      <c r="M29">
        <f ca="1">_xll.ciqfunctions.udf.CIQ($B29,"IQ_CDS_mid",M$2)</f>
        <v>759.85569999999996</v>
      </c>
      <c r="N29">
        <f ca="1">_xll.ciqfunctions.udf.CIQ($B29,"IQ_CDS_mid",N$2)</f>
        <v>760.38520000000005</v>
      </c>
      <c r="O29">
        <f ca="1">_xll.ciqfunctions.udf.CIQ($B29,"IQ_CDS_mid",O$2)</f>
        <v>759.62519999999995</v>
      </c>
      <c r="P29">
        <f ca="1">_xll.ciqfunctions.udf.CIQ($B29,"IQ_CDS_mid",P$2)</f>
        <v>758.84529999999995</v>
      </c>
      <c r="Q29">
        <f ca="1">_xll.ciqfunctions.udf.CIQ($B29,"IQ_CDS_mid",Q$2)</f>
        <v>759.30550000000005</v>
      </c>
      <c r="R29">
        <f ca="1">_xll.ciqfunctions.udf.CIQ($B29,"IQ_CDS_mid",R$2)</f>
        <v>675.43010000000004</v>
      </c>
      <c r="S29">
        <f ca="1">_xll.ciqfunctions.udf.CIQ($B29,"IQ_CDS_mid",S$2)</f>
        <v>14787.329299999999</v>
      </c>
      <c r="T29">
        <f t="shared" ca="1" si="5"/>
        <v>-0.29780000000005202</v>
      </c>
      <c r="U29">
        <f t="shared" ca="1" si="6"/>
        <v>0.95910000000003492</v>
      </c>
      <c r="V29">
        <f t="shared" ca="1" si="7"/>
        <v>1.5092999999999392</v>
      </c>
      <c r="W29">
        <f t="shared" ca="1" si="8"/>
        <v>85.384699999999953</v>
      </c>
      <c r="X29">
        <f t="shared" ca="1" si="0"/>
        <v>-14026.514499999999</v>
      </c>
    </row>
    <row r="30" spans="1:24">
      <c r="A30" s="16" t="s">
        <v>174</v>
      </c>
      <c r="X30">
        <f t="shared" si="0"/>
        <v>0</v>
      </c>
    </row>
    <row r="31" spans="1:24">
      <c r="A31" t="s">
        <v>173</v>
      </c>
      <c r="B31" s="25" t="s">
        <v>172</v>
      </c>
      <c r="C31">
        <f ca="1">_xll.ciqfunctions.udf.CIQ($B31,"IQ_CDS_mid",C$2)</f>
        <v>14.0458</v>
      </c>
      <c r="D31">
        <f ca="1">_xll.ciqfunctions.udf.CIQ($B31,"IQ_CDS_mid",D$2)</f>
        <v>14.0458</v>
      </c>
      <c r="E31">
        <f ca="1">_xll.ciqfunctions.udf.CIQ($B31,"IQ_CDS_mid",E$2)</f>
        <v>14.0458</v>
      </c>
      <c r="F31">
        <f ca="1">_xll.ciqfunctions.udf.CIQ($B31,"IQ_CDS_mid",F$2)</f>
        <v>14.0458</v>
      </c>
      <c r="G31">
        <f ca="1">_xll.ciqfunctions.udf.CIQ($B31,"IQ_CDS_mid",G$2)</f>
        <v>14</v>
      </c>
      <c r="H31">
        <f ca="1">_xll.ciqfunctions.udf.CIQ($B31,"IQ_CDS_mid",H$2)</f>
        <v>14.125</v>
      </c>
      <c r="I31">
        <f ca="1">_xll.ciqfunctions.udf.CIQ($B31,"IQ_CDS_mid",I$2)</f>
        <v>14</v>
      </c>
      <c r="J31">
        <f ca="1">_xll.ciqfunctions.udf.CIQ($B31,"IQ_CDS_mid",J$2)</f>
        <v>13.9072</v>
      </c>
      <c r="K31">
        <f ca="1">_xll.ciqfunctions.udf.CIQ($B31,"IQ_CDS_mid",K$2)</f>
        <v>13.9459</v>
      </c>
      <c r="L31">
        <f ca="1">_xll.ciqfunctions.udf.CIQ($B31,"IQ_CDS_mid",L$2)</f>
        <v>13.9459</v>
      </c>
      <c r="M31">
        <f ca="1">_xll.ciqfunctions.udf.CIQ($B31,"IQ_CDS_mid",M$2)</f>
        <v>13.9459</v>
      </c>
      <c r="N31">
        <f ca="1">_xll.ciqfunctions.udf.CIQ($B31,"IQ_CDS_mid",N$2)</f>
        <v>14.0006</v>
      </c>
      <c r="O31">
        <f ca="1">_xll.ciqfunctions.udf.CIQ($B31,"IQ_CDS_mid",O$2)</f>
        <v>14.125</v>
      </c>
      <c r="P31">
        <f ca="1">_xll.ciqfunctions.udf.CIQ($B31,"IQ_CDS_mid",P$2)</f>
        <v>13.625</v>
      </c>
      <c r="Q31">
        <f ca="1">_xll.ciqfunctions.udf.CIQ($B31,"IQ_CDS_mid",Q$2)</f>
        <v>13.486599999999999</v>
      </c>
      <c r="R31">
        <f ca="1">_xll.ciqfunctions.udf.CIQ($B31,"IQ_CDS_mid",R$2)</f>
        <v>13.962999999999999</v>
      </c>
      <c r="S31">
        <f ca="1">_xll.ciqfunctions.udf.CIQ($B31,"IQ_CDS_mid",S$2)</f>
        <v>10.548999999999999</v>
      </c>
      <c r="T31">
        <f t="shared" ref="T31:T40" ca="1" si="9">C31-H31</f>
        <v>-7.9200000000000159E-2</v>
      </c>
      <c r="U31">
        <f t="shared" ref="U31:U40" ca="1" si="10">C31-M31</f>
        <v>9.9899999999999878E-2</v>
      </c>
      <c r="V31">
        <f t="shared" ref="V31:V40" ca="1" si="11">C31-Q31</f>
        <v>0.55920000000000059</v>
      </c>
      <c r="W31">
        <f t="shared" ref="W31:W40" ca="1" si="12">C31-R31</f>
        <v>8.2800000000000651E-2</v>
      </c>
      <c r="X31">
        <f t="shared" ca="1" si="0"/>
        <v>3.4968000000000004</v>
      </c>
    </row>
    <row r="32" spans="1:24">
      <c r="A32" t="s">
        <v>171</v>
      </c>
      <c r="B32" s="25" t="s">
        <v>170</v>
      </c>
      <c r="C32">
        <f ca="1">_xll.ciqfunctions.udf.CIQ($B32,"IQ_CDS_mid",C$2)</f>
        <v>37.691499999999998</v>
      </c>
      <c r="D32">
        <f ca="1">_xll.ciqfunctions.udf.CIQ($B32,"IQ_CDS_mid",D$2)</f>
        <v>37.691499999999998</v>
      </c>
      <c r="E32">
        <f ca="1">_xll.ciqfunctions.udf.CIQ($B32,"IQ_CDS_mid",E$2)</f>
        <v>37.691499999999998</v>
      </c>
      <c r="F32">
        <f ca="1">_xll.ciqfunctions.udf.CIQ($B32,"IQ_CDS_mid",F$2)</f>
        <v>37.691499999999998</v>
      </c>
      <c r="G32">
        <f ca="1">_xll.ciqfunctions.udf.CIQ($B32,"IQ_CDS_mid",G$2)</f>
        <v>37.072899999999997</v>
      </c>
      <c r="H32">
        <f ca="1">_xll.ciqfunctions.udf.CIQ($B32,"IQ_CDS_mid",H$2)</f>
        <v>37.038600000000002</v>
      </c>
      <c r="I32">
        <f ca="1">_xll.ciqfunctions.udf.CIQ($B32,"IQ_CDS_mid",I$2)</f>
        <v>36.975900000000003</v>
      </c>
      <c r="J32">
        <f ca="1">_xll.ciqfunctions.udf.CIQ($B32,"IQ_CDS_mid",J$2)</f>
        <v>37.398899999999998</v>
      </c>
      <c r="K32">
        <f ca="1">_xll.ciqfunctions.udf.CIQ($B32,"IQ_CDS_mid",K$2)</f>
        <v>36.695399999999999</v>
      </c>
      <c r="L32">
        <f ca="1">_xll.ciqfunctions.udf.CIQ($B32,"IQ_CDS_mid",L$2)</f>
        <v>36.695399999999999</v>
      </c>
      <c r="M32">
        <f ca="1">_xll.ciqfunctions.udf.CIQ($B32,"IQ_CDS_mid",M$2)</f>
        <v>36.695399999999999</v>
      </c>
      <c r="N32">
        <f ca="1">_xll.ciqfunctions.udf.CIQ($B32,"IQ_CDS_mid",N$2)</f>
        <v>36.929299999999998</v>
      </c>
      <c r="O32">
        <f ca="1">_xll.ciqfunctions.udf.CIQ($B32,"IQ_CDS_mid",O$2)</f>
        <v>37.2605</v>
      </c>
      <c r="P32">
        <f ca="1">_xll.ciqfunctions.udf.CIQ($B32,"IQ_CDS_mid",P$2)</f>
        <v>36.8748</v>
      </c>
      <c r="Q32">
        <f ca="1">_xll.ciqfunctions.udf.CIQ($B32,"IQ_CDS_mid",Q$2)</f>
        <v>36.937399999999997</v>
      </c>
      <c r="R32">
        <f ca="1">_xll.ciqfunctions.udf.CIQ($B32,"IQ_CDS_mid",R$2)</f>
        <v>42.735599999999998</v>
      </c>
      <c r="S32">
        <f ca="1">_xll.ciqfunctions.udf.CIQ($B32,"IQ_CDS_mid",S$2)</f>
        <v>43.526600000000002</v>
      </c>
      <c r="T32">
        <f t="shared" ca="1" si="9"/>
        <v>0.65289999999999537</v>
      </c>
      <c r="U32">
        <f t="shared" ca="1" si="10"/>
        <v>0.99609999999999843</v>
      </c>
      <c r="V32">
        <f t="shared" ca="1" si="11"/>
        <v>0.7541000000000011</v>
      </c>
      <c r="W32">
        <f t="shared" ca="1" si="12"/>
        <v>-5.0441000000000003</v>
      </c>
      <c r="X32">
        <f t="shared" ca="1" si="0"/>
        <v>-5.8351000000000042</v>
      </c>
    </row>
    <row r="33" spans="1:24">
      <c r="A33" t="s">
        <v>169</v>
      </c>
      <c r="B33" s="25" t="s">
        <v>168</v>
      </c>
      <c r="C33">
        <f ca="1">_xll.ciqfunctions.udf.CIQ($B33,"IQ_CDS_mid",C$2)</f>
        <v>24.942799999999998</v>
      </c>
      <c r="D33">
        <f ca="1">_xll.ciqfunctions.udf.CIQ($B33,"IQ_CDS_mid",D$2)</f>
        <v>24.942799999999998</v>
      </c>
      <c r="E33">
        <f ca="1">_xll.ciqfunctions.udf.CIQ($B33,"IQ_CDS_mid",E$2)</f>
        <v>24.942799999999998</v>
      </c>
      <c r="F33">
        <f ca="1">_xll.ciqfunctions.udf.CIQ($B33,"IQ_CDS_mid",F$2)</f>
        <v>24.942799999999998</v>
      </c>
      <c r="G33">
        <f ca="1">_xll.ciqfunctions.udf.CIQ($B33,"IQ_CDS_mid",G$2)</f>
        <v>24.990600000000001</v>
      </c>
      <c r="H33">
        <f ca="1">_xll.ciqfunctions.udf.CIQ($B33,"IQ_CDS_mid",H$2)</f>
        <v>24.954799999999999</v>
      </c>
      <c r="I33">
        <f ca="1">_xll.ciqfunctions.udf.CIQ($B33,"IQ_CDS_mid",I$2)</f>
        <v>24.877199999999998</v>
      </c>
      <c r="J33">
        <f ca="1">_xll.ciqfunctions.udf.CIQ($B33,"IQ_CDS_mid",J$2)</f>
        <v>24.878</v>
      </c>
      <c r="K33">
        <f ca="1">_xll.ciqfunctions.udf.CIQ($B33,"IQ_CDS_mid",K$2)</f>
        <v>24.9191</v>
      </c>
      <c r="L33">
        <f ca="1">_xll.ciqfunctions.udf.CIQ($B33,"IQ_CDS_mid",L$2)</f>
        <v>24.9191</v>
      </c>
      <c r="M33">
        <f ca="1">_xll.ciqfunctions.udf.CIQ($B33,"IQ_CDS_mid",M$2)</f>
        <v>24.9191</v>
      </c>
      <c r="N33">
        <f ca="1">_xll.ciqfunctions.udf.CIQ($B33,"IQ_CDS_mid",N$2)</f>
        <v>24.851900000000001</v>
      </c>
      <c r="O33">
        <f ca="1">_xll.ciqfunctions.udf.CIQ($B33,"IQ_CDS_mid",O$2)</f>
        <v>24.862200000000001</v>
      </c>
      <c r="P33">
        <f ca="1">_xll.ciqfunctions.udf.CIQ($B33,"IQ_CDS_mid",P$2)</f>
        <v>24.908899999999999</v>
      </c>
      <c r="Q33">
        <f ca="1">_xll.ciqfunctions.udf.CIQ($B33,"IQ_CDS_mid",Q$2)</f>
        <v>24.852499999999999</v>
      </c>
      <c r="R33">
        <f ca="1">_xll.ciqfunctions.udf.CIQ($B33,"IQ_CDS_mid",R$2)</f>
        <v>26.033100000000001</v>
      </c>
      <c r="S33">
        <f ca="1">_xll.ciqfunctions.udf.CIQ($B33,"IQ_CDS_mid",S$2)</f>
        <v>34.507800000000003</v>
      </c>
      <c r="T33">
        <f t="shared" ca="1" si="9"/>
        <v>-1.2000000000000455E-2</v>
      </c>
      <c r="U33">
        <f t="shared" ca="1" si="10"/>
        <v>2.3699999999998056E-2</v>
      </c>
      <c r="V33">
        <f t="shared" ca="1" si="11"/>
        <v>9.0299999999999159E-2</v>
      </c>
      <c r="W33">
        <f t="shared" ca="1" si="12"/>
        <v>-1.0903000000000027</v>
      </c>
      <c r="X33">
        <f t="shared" ca="1" si="0"/>
        <v>-9.5650000000000048</v>
      </c>
    </row>
    <row r="34" spans="1:24">
      <c r="A34" t="s">
        <v>167</v>
      </c>
      <c r="B34" s="25" t="s">
        <v>166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46.486499999999999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-46.486499999999999</v>
      </c>
    </row>
    <row r="35" spans="1:24">
      <c r="A35" t="s">
        <v>33</v>
      </c>
      <c r="B35" s="25" t="s">
        <v>165</v>
      </c>
      <c r="C35">
        <f ca="1">_xll.ciqfunctions.udf.CIQ($B35,"IQ_CDS_mid",C$2)</f>
        <v>26.687899999999999</v>
      </c>
      <c r="D35">
        <f ca="1">_xll.ciqfunctions.udf.CIQ($B35,"IQ_CDS_mid",D$2)</f>
        <v>26.687899999999999</v>
      </c>
      <c r="E35">
        <f ca="1">_xll.ciqfunctions.udf.CIQ($B35,"IQ_CDS_mid",E$2)</f>
        <v>26.687899999999999</v>
      </c>
      <c r="F35">
        <f ca="1">_xll.ciqfunctions.udf.CIQ($B35,"IQ_CDS_mid",F$2)</f>
        <v>26.687899999999999</v>
      </c>
      <c r="G35">
        <f ca="1">_xll.ciqfunctions.udf.CIQ($B35,"IQ_CDS_mid",G$2)</f>
        <v>26.485600000000002</v>
      </c>
      <c r="H35">
        <f ca="1">_xll.ciqfunctions.udf.CIQ($B35,"IQ_CDS_mid",H$2)</f>
        <v>26.411000000000001</v>
      </c>
      <c r="I35">
        <f ca="1">_xll.ciqfunctions.udf.CIQ($B35,"IQ_CDS_mid",I$2)</f>
        <v>26.5886</v>
      </c>
      <c r="J35">
        <f ca="1">_xll.ciqfunctions.udf.CIQ($B35,"IQ_CDS_mid",J$2)</f>
        <v>26.679099999999998</v>
      </c>
      <c r="K35">
        <f ca="1">_xll.ciqfunctions.udf.CIQ($B35,"IQ_CDS_mid",K$2)</f>
        <v>26.516300000000001</v>
      </c>
      <c r="L35">
        <f ca="1">_xll.ciqfunctions.udf.CIQ($B35,"IQ_CDS_mid",L$2)</f>
        <v>26.516300000000001</v>
      </c>
      <c r="M35">
        <f ca="1">_xll.ciqfunctions.udf.CIQ($B35,"IQ_CDS_mid",M$2)</f>
        <v>26.516300000000001</v>
      </c>
      <c r="N35">
        <f ca="1">_xll.ciqfunctions.udf.CIQ($B35,"IQ_CDS_mid",N$2)</f>
        <v>26.583300000000001</v>
      </c>
      <c r="O35">
        <f ca="1">_xll.ciqfunctions.udf.CIQ($B35,"IQ_CDS_mid",O$2)</f>
        <v>26.758700000000001</v>
      </c>
      <c r="P35">
        <f ca="1">_xll.ciqfunctions.udf.CIQ($B35,"IQ_CDS_mid",P$2)</f>
        <v>26.545400000000001</v>
      </c>
      <c r="Q35">
        <f ca="1">_xll.ciqfunctions.udf.CIQ($B35,"IQ_CDS_mid",Q$2)</f>
        <v>26.733899999999998</v>
      </c>
      <c r="R35">
        <f ca="1">_xll.ciqfunctions.udf.CIQ($B35,"IQ_CDS_mid",R$2)</f>
        <v>27.518000000000001</v>
      </c>
      <c r="S35">
        <f ca="1">_xll.ciqfunctions.udf.CIQ($B35,"IQ_CDS_mid",S$2)</f>
        <v>21.100999999999999</v>
      </c>
      <c r="T35">
        <f t="shared" ca="1" si="9"/>
        <v>0.2768999999999977</v>
      </c>
      <c r="U35">
        <f t="shared" ca="1" si="10"/>
        <v>0.17159999999999798</v>
      </c>
      <c r="V35">
        <f t="shared" ca="1" si="11"/>
        <v>-4.5999999999999375E-2</v>
      </c>
      <c r="W35">
        <f t="shared" ca="1" si="12"/>
        <v>-0.83010000000000161</v>
      </c>
      <c r="X35">
        <f t="shared" ca="1" si="0"/>
        <v>5.5869</v>
      </c>
    </row>
    <row r="36" spans="1:24">
      <c r="A36" t="s">
        <v>164</v>
      </c>
      <c r="B36" s="25" t="s">
        <v>163</v>
      </c>
      <c r="C36">
        <f ca="1">_xll.ciqfunctions.udf.CIQ($B36,"IQ_CDS_mid",C$2)</f>
        <v>37.305100000000003</v>
      </c>
      <c r="D36">
        <f ca="1">_xll.ciqfunctions.udf.CIQ($B36,"IQ_CDS_mid",D$2)</f>
        <v>37.305100000000003</v>
      </c>
      <c r="E36">
        <f ca="1">_xll.ciqfunctions.udf.CIQ($B36,"IQ_CDS_mid",E$2)</f>
        <v>37.305100000000003</v>
      </c>
      <c r="F36">
        <f ca="1">_xll.ciqfunctions.udf.CIQ($B36,"IQ_CDS_mid",F$2)</f>
        <v>37.305100000000003</v>
      </c>
      <c r="G36">
        <f ca="1">_xll.ciqfunctions.udf.CIQ($B36,"IQ_CDS_mid",G$2)</f>
        <v>36.674999999999997</v>
      </c>
      <c r="H36">
        <f ca="1">_xll.ciqfunctions.udf.CIQ($B36,"IQ_CDS_mid",H$2)</f>
        <v>36.93</v>
      </c>
      <c r="I36">
        <f ca="1">_xll.ciqfunctions.udf.CIQ($B36,"IQ_CDS_mid",I$2)</f>
        <v>37.049999999999997</v>
      </c>
      <c r="J36">
        <f ca="1">_xll.ciqfunctions.udf.CIQ($B36,"IQ_CDS_mid",J$2)</f>
        <v>36.887300000000003</v>
      </c>
      <c r="K36">
        <f ca="1">_xll.ciqfunctions.udf.CIQ($B36,"IQ_CDS_mid",K$2)</f>
        <v>36.557200000000002</v>
      </c>
      <c r="L36">
        <f ca="1">_xll.ciqfunctions.udf.CIQ($B36,"IQ_CDS_mid",L$2)</f>
        <v>36.557200000000002</v>
      </c>
      <c r="M36">
        <f ca="1">_xll.ciqfunctions.udf.CIQ($B36,"IQ_CDS_mid",M$2)</f>
        <v>36.557200000000002</v>
      </c>
      <c r="N36">
        <f ca="1">_xll.ciqfunctions.udf.CIQ($B36,"IQ_CDS_mid",N$2)</f>
        <v>36.967799999999997</v>
      </c>
      <c r="O36">
        <f ca="1">_xll.ciqfunctions.udf.CIQ($B36,"IQ_CDS_mid",O$2)</f>
        <v>36.9542</v>
      </c>
      <c r="P36">
        <f ca="1">_xll.ciqfunctions.udf.CIQ($B36,"IQ_CDS_mid",P$2)</f>
        <v>36.415100000000002</v>
      </c>
      <c r="Q36">
        <f ca="1">_xll.ciqfunctions.udf.CIQ($B36,"IQ_CDS_mid",Q$2)</f>
        <v>37.087499999999999</v>
      </c>
      <c r="R36">
        <f ca="1">_xll.ciqfunctions.udf.CIQ($B36,"IQ_CDS_mid",R$2)</f>
        <v>37.090000000000003</v>
      </c>
      <c r="S36">
        <f ca="1">_xll.ciqfunctions.udf.CIQ($B36,"IQ_CDS_mid",S$2)</f>
        <v>41.287599999999998</v>
      </c>
      <c r="T36">
        <f t="shared" ca="1" si="9"/>
        <v>0.37510000000000332</v>
      </c>
      <c r="U36">
        <f t="shared" ca="1" si="10"/>
        <v>0.74790000000000134</v>
      </c>
      <c r="V36">
        <f t="shared" ca="1" si="11"/>
        <v>0.21760000000000446</v>
      </c>
      <c r="W36">
        <f t="shared" ca="1" si="12"/>
        <v>0.21509999999999962</v>
      </c>
      <c r="X36">
        <f t="shared" ca="1" si="0"/>
        <v>-3.9824999999999946</v>
      </c>
    </row>
    <row r="37" spans="1:24">
      <c r="A37" t="s">
        <v>162</v>
      </c>
      <c r="B37" s="25" t="s">
        <v>161</v>
      </c>
      <c r="C37">
        <f ca="1">_xll.ciqfunctions.udf.CIQ($B37,"IQ_CDS_mid",C$2)</f>
        <v>15</v>
      </c>
      <c r="D37">
        <f ca="1">_xll.ciqfunctions.udf.CIQ($B37,"IQ_CDS_mid",D$2)</f>
        <v>15</v>
      </c>
      <c r="E37">
        <f ca="1">_xll.ciqfunctions.udf.CIQ($B37,"IQ_CDS_mid",E$2)</f>
        <v>15</v>
      </c>
      <c r="F37">
        <f ca="1">_xll.ciqfunctions.udf.CIQ($B37,"IQ_CDS_mid",F$2)</f>
        <v>15</v>
      </c>
      <c r="G37">
        <f ca="1">_xll.ciqfunctions.udf.CIQ($B37,"IQ_CDS_mid",G$2)</f>
        <v>15.0625</v>
      </c>
      <c r="H37">
        <f ca="1">_xll.ciqfunctions.udf.CIQ($B37,"IQ_CDS_mid",H$2)</f>
        <v>15</v>
      </c>
      <c r="I37">
        <f ca="1">_xll.ciqfunctions.udf.CIQ($B37,"IQ_CDS_mid",I$2)</f>
        <v>14.9535</v>
      </c>
      <c r="J37">
        <f ca="1">_xll.ciqfunctions.udf.CIQ($B37,"IQ_CDS_mid",J$2)</f>
        <v>14.973000000000001</v>
      </c>
      <c r="K37">
        <f ca="1">_xll.ciqfunctions.udf.CIQ($B37,"IQ_CDS_mid",K$2)</f>
        <v>15.000500000000001</v>
      </c>
      <c r="L37">
        <f ca="1">_xll.ciqfunctions.udf.CIQ($B37,"IQ_CDS_mid",L$2)</f>
        <v>15.000500000000001</v>
      </c>
      <c r="M37">
        <f ca="1">_xll.ciqfunctions.udf.CIQ($B37,"IQ_CDS_mid",M$2)</f>
        <v>15.000500000000001</v>
      </c>
      <c r="N37">
        <f ca="1">_xll.ciqfunctions.udf.CIQ($B37,"IQ_CDS_mid",N$2)</f>
        <v>15.0625</v>
      </c>
      <c r="O37">
        <f ca="1">_xll.ciqfunctions.udf.CIQ($B37,"IQ_CDS_mid",O$2)</f>
        <v>14.8125</v>
      </c>
      <c r="P37">
        <f ca="1">_xll.ciqfunctions.udf.CIQ($B37,"IQ_CDS_mid",P$2)</f>
        <v>14.743499999999999</v>
      </c>
      <c r="Q37">
        <f ca="1">_xll.ciqfunctions.udf.CIQ($B37,"IQ_CDS_mid",Q$2)</f>
        <v>14.978999999999999</v>
      </c>
      <c r="R37">
        <f ca="1">_xll.ciqfunctions.udf.CIQ($B37,"IQ_CDS_mid",R$2)</f>
        <v>15.753</v>
      </c>
      <c r="S37">
        <f ca="1">_xll.ciqfunctions.udf.CIQ($B37,"IQ_CDS_mid",S$2)</f>
        <v>14.074</v>
      </c>
      <c r="T37">
        <f t="shared" ca="1" si="9"/>
        <v>0</v>
      </c>
      <c r="U37">
        <f t="shared" ca="1" si="10"/>
        <v>-5.0000000000061107E-4</v>
      </c>
      <c r="V37">
        <f t="shared" ca="1" si="11"/>
        <v>2.1000000000000796E-2</v>
      </c>
      <c r="W37">
        <f t="shared" ca="1" si="12"/>
        <v>-0.75300000000000011</v>
      </c>
      <c r="X37">
        <f t="shared" ca="1" si="0"/>
        <v>0.92600000000000016</v>
      </c>
    </row>
    <row r="38" spans="1:24">
      <c r="A38" t="s">
        <v>160</v>
      </c>
      <c r="B38" s="25" t="s">
        <v>159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158</v>
      </c>
      <c r="B39" s="25" t="s">
        <v>157</v>
      </c>
      <c r="C39">
        <f ca="1">_xll.ciqfunctions.udf.CIQ($B39,"IQ_CDS_mid",C$2)</f>
        <v>0</v>
      </c>
      <c r="D39">
        <f ca="1">_xll.ciqfunctions.udf.CIQ($B39,"IQ_CDS_mid",D$2)</f>
        <v>0</v>
      </c>
      <c r="E39">
        <f ca="1">_xll.ciqfunctions.udf.CIQ($B39,"IQ_CDS_mid",E$2)</f>
        <v>0</v>
      </c>
      <c r="F39">
        <f ca="1">_xll.ciqfunctions.udf.CIQ($B39,"IQ_CDS_mid",F$2)</f>
        <v>0</v>
      </c>
      <c r="G39">
        <f ca="1">_xll.ciqfunctions.udf.CIQ($B39,"IQ_CDS_mid",G$2)</f>
        <v>0</v>
      </c>
      <c r="H39">
        <f ca="1">_xll.ciqfunctions.udf.CIQ($B39,"IQ_CDS_mid",H$2)</f>
        <v>0</v>
      </c>
      <c r="I39">
        <f ca="1">_xll.ciqfunctions.udf.CIQ($B39,"IQ_CDS_mid",I$2)</f>
        <v>0</v>
      </c>
      <c r="J39">
        <f ca="1">_xll.ciqfunctions.udf.CIQ($B39,"IQ_CDS_mid",J$2)</f>
        <v>0</v>
      </c>
      <c r="K39">
        <f ca="1">_xll.ciqfunctions.udf.CIQ($B39,"IQ_CDS_mid",K$2)</f>
        <v>0</v>
      </c>
      <c r="L39">
        <f ca="1">_xll.ciqfunctions.udf.CIQ($B39,"IQ_CDS_mid",L$2)</f>
        <v>0</v>
      </c>
      <c r="M39">
        <f ca="1">_xll.ciqfunctions.udf.CIQ($B39,"IQ_CDS_mid",M$2)</f>
        <v>0</v>
      </c>
      <c r="N39">
        <f ca="1">_xll.ciqfunctions.udf.CIQ($B39,"IQ_CDS_mid",N$2)</f>
        <v>0</v>
      </c>
      <c r="O39">
        <f ca="1">_xll.ciqfunctions.udf.CIQ($B39,"IQ_CDS_mid",O$2)</f>
        <v>0</v>
      </c>
      <c r="P39">
        <f ca="1">_xll.ciqfunctions.udf.CIQ($B39,"IQ_CDS_mid",P$2)</f>
        <v>0</v>
      </c>
      <c r="Q39">
        <f ca="1">_xll.ciqfunctions.udf.CIQ($B39,"IQ_CDS_mid",Q$2)</f>
        <v>0</v>
      </c>
      <c r="R39">
        <f ca="1">_xll.ciqfunctions.udf.CIQ($B39,"IQ_CDS_mid",R$2)</f>
        <v>2.3334000000000001</v>
      </c>
      <c r="S39">
        <f ca="1">_xll.ciqfunctions.udf.CIQ($B39,"IQ_CDS_mid",S$2)</f>
        <v>2.7951999999999999</v>
      </c>
      <c r="T39">
        <f t="shared" ca="1" si="9"/>
        <v>0</v>
      </c>
      <c r="U39">
        <f t="shared" ca="1" si="10"/>
        <v>0</v>
      </c>
      <c r="V39">
        <f t="shared" ca="1" si="11"/>
        <v>0</v>
      </c>
      <c r="W39">
        <f t="shared" ca="1" si="12"/>
        <v>-2.3334000000000001</v>
      </c>
      <c r="X39">
        <f t="shared" ca="1" si="0"/>
        <v>-2.7951999999999999</v>
      </c>
    </row>
    <row r="40" spans="1:24">
      <c r="A40" t="s">
        <v>156</v>
      </c>
      <c r="B40" s="25" t="s">
        <v>155</v>
      </c>
      <c r="C40">
        <f ca="1">_xll.ciqfunctions.udf.CIQ($B40,"IQ_CDS_mid",C$2)</f>
        <v>22.824999999999999</v>
      </c>
      <c r="D40">
        <f ca="1">_xll.ciqfunctions.udf.CIQ($B40,"IQ_CDS_mid",D$2)</f>
        <v>22.824999999999999</v>
      </c>
      <c r="E40">
        <f ca="1">_xll.ciqfunctions.udf.CIQ($B40,"IQ_CDS_mid",E$2)</f>
        <v>22.824999999999999</v>
      </c>
      <c r="F40">
        <f ca="1">_xll.ciqfunctions.udf.CIQ($B40,"IQ_CDS_mid",F$2)</f>
        <v>22.824999999999999</v>
      </c>
      <c r="G40">
        <f ca="1">_xll.ciqfunctions.udf.CIQ($B40,"IQ_CDS_mid",G$2)</f>
        <v>22.418299999999999</v>
      </c>
      <c r="H40">
        <f ca="1">_xll.ciqfunctions.udf.CIQ($B40,"IQ_CDS_mid",H$2)</f>
        <v>22.656300000000002</v>
      </c>
      <c r="I40">
        <f ca="1">_xll.ciqfunctions.udf.CIQ($B40,"IQ_CDS_mid",I$2)</f>
        <v>22.5258</v>
      </c>
      <c r="J40">
        <f ca="1">_xll.ciqfunctions.udf.CIQ($B40,"IQ_CDS_mid",J$2)</f>
        <v>22.773399999999999</v>
      </c>
      <c r="K40">
        <f ca="1">_xll.ciqfunctions.udf.CIQ($B40,"IQ_CDS_mid",K$2)</f>
        <v>22.1066</v>
      </c>
      <c r="L40">
        <f ca="1">_xll.ciqfunctions.udf.CIQ($B40,"IQ_CDS_mid",L$2)</f>
        <v>22.1066</v>
      </c>
      <c r="M40">
        <f ca="1">_xll.ciqfunctions.udf.CIQ($B40,"IQ_CDS_mid",M$2)</f>
        <v>22.1066</v>
      </c>
      <c r="N40">
        <f ca="1">_xll.ciqfunctions.udf.CIQ($B40,"IQ_CDS_mid",N$2)</f>
        <v>22.523599999999998</v>
      </c>
      <c r="O40">
        <f ca="1">_xll.ciqfunctions.udf.CIQ($B40,"IQ_CDS_mid",O$2)</f>
        <v>22.468800000000002</v>
      </c>
      <c r="P40">
        <f ca="1">_xll.ciqfunctions.udf.CIQ($B40,"IQ_CDS_mid",P$2)</f>
        <v>22.1465</v>
      </c>
      <c r="Q40">
        <f ca="1">_xll.ciqfunctions.udf.CIQ($B40,"IQ_CDS_mid",Q$2)</f>
        <v>22.063099999999999</v>
      </c>
      <c r="R40">
        <f ca="1">_xll.ciqfunctions.udf.CIQ($B40,"IQ_CDS_mid",R$2)</f>
        <v>29.25</v>
      </c>
      <c r="S40">
        <f ca="1">_xll.ciqfunctions.udf.CIQ($B40,"IQ_CDS_mid",S$2)</f>
        <v>23.773800000000001</v>
      </c>
      <c r="T40">
        <f t="shared" ca="1" si="9"/>
        <v>0.16869999999999763</v>
      </c>
      <c r="U40">
        <f t="shared" ca="1" si="10"/>
        <v>0.71839999999999904</v>
      </c>
      <c r="V40">
        <f t="shared" ca="1" si="11"/>
        <v>0.76190000000000069</v>
      </c>
      <c r="W40">
        <f t="shared" ca="1" si="12"/>
        <v>-6.4250000000000007</v>
      </c>
      <c r="X40">
        <f t="shared" ca="1" si="0"/>
        <v>-0.94880000000000209</v>
      </c>
    </row>
    <row r="41" spans="1:24">
      <c r="A41" t="s">
        <v>154</v>
      </c>
      <c r="B41" s="25"/>
    </row>
    <row r="42" spans="1:24">
      <c r="A42" t="s">
        <v>153</v>
      </c>
      <c r="B42" s="25" t="s">
        <v>152</v>
      </c>
      <c r="C42">
        <f ca="1">_xll.ciqfunctions.udf.CIQ($B42,"IQ_CDS_mid",C$2)</f>
        <v>42.500500000000002</v>
      </c>
      <c r="D42">
        <f ca="1">_xll.ciqfunctions.udf.CIQ($B42,"IQ_CDS_mid",D$2)</f>
        <v>42.500500000000002</v>
      </c>
      <c r="E42">
        <f ca="1">_xll.ciqfunctions.udf.CIQ($B42,"IQ_CDS_mid",E$2)</f>
        <v>42.500500000000002</v>
      </c>
      <c r="F42">
        <f ca="1">_xll.ciqfunctions.udf.CIQ($B42,"IQ_CDS_mid",F$2)</f>
        <v>42.500500000000002</v>
      </c>
      <c r="G42">
        <f ca="1">_xll.ciqfunctions.udf.CIQ($B42,"IQ_CDS_mid",G$2)</f>
        <v>41.8125</v>
      </c>
      <c r="H42">
        <f ca="1">_xll.ciqfunctions.udf.CIQ($B42,"IQ_CDS_mid",H$2)</f>
        <v>41.8157</v>
      </c>
      <c r="I42">
        <f ca="1">_xll.ciqfunctions.udf.CIQ($B42,"IQ_CDS_mid",I$2)</f>
        <v>41.998699999999999</v>
      </c>
      <c r="J42">
        <f ca="1">_xll.ciqfunctions.udf.CIQ($B42,"IQ_CDS_mid",J$2)</f>
        <v>41.367800000000003</v>
      </c>
      <c r="K42">
        <f ca="1">_xll.ciqfunctions.udf.CIQ($B42,"IQ_CDS_mid",K$2)</f>
        <v>41.106400000000001</v>
      </c>
      <c r="L42">
        <f ca="1">_xll.ciqfunctions.udf.CIQ($B42,"IQ_CDS_mid",L$2)</f>
        <v>41.106400000000001</v>
      </c>
      <c r="M42">
        <f ca="1">_xll.ciqfunctions.udf.CIQ($B42,"IQ_CDS_mid",M$2)</f>
        <v>41.106400000000001</v>
      </c>
      <c r="N42">
        <f ca="1">_xll.ciqfunctions.udf.CIQ($B42,"IQ_CDS_mid",N$2)</f>
        <v>41.616799999999998</v>
      </c>
      <c r="O42">
        <f ca="1">_xll.ciqfunctions.udf.CIQ($B42,"IQ_CDS_mid",O$2)</f>
        <v>41.725700000000003</v>
      </c>
      <c r="P42">
        <f ca="1">_xll.ciqfunctions.udf.CIQ($B42,"IQ_CDS_mid",P$2)</f>
        <v>40.25</v>
      </c>
      <c r="Q42">
        <f ca="1">_xll.ciqfunctions.udf.CIQ($B42,"IQ_CDS_mid",Q$2)</f>
        <v>40.208300000000001</v>
      </c>
      <c r="R42">
        <f ca="1">_xll.ciqfunctions.udf.CIQ($B42,"IQ_CDS_mid",R$2)</f>
        <v>48.9375</v>
      </c>
      <c r="S42">
        <f ca="1">_xll.ciqfunctions.udf.CIQ($B42,"IQ_CDS_mid",S$2)</f>
        <v>42.389200000000002</v>
      </c>
      <c r="T42">
        <f ca="1">C42-H42</f>
        <v>0.68480000000000274</v>
      </c>
      <c r="U42">
        <f ca="1">C42-M42</f>
        <v>1.3941000000000017</v>
      </c>
      <c r="V42">
        <f ca="1">C42-Q42</f>
        <v>2.2922000000000011</v>
      </c>
      <c r="W42">
        <f ca="1">C42-R42</f>
        <v>-6.4369999999999976</v>
      </c>
      <c r="X42">
        <f t="shared" ref="X42:X84" ca="1" si="13">C42-S42</f>
        <v>0.11129999999999995</v>
      </c>
    </row>
    <row r="43" spans="1:24">
      <c r="A43" s="16" t="s">
        <v>151</v>
      </c>
      <c r="X43">
        <f t="shared" si="13"/>
        <v>0</v>
      </c>
    </row>
    <row r="44" spans="1:24">
      <c r="A44" t="s">
        <v>150</v>
      </c>
      <c r="B44" t="s">
        <v>149</v>
      </c>
      <c r="C44">
        <f ca="1">_xll.ciqfunctions.udf.CIQ($B44,"IQ_CDS_mid",C$2)</f>
        <v>129.27850000000001</v>
      </c>
      <c r="D44">
        <f ca="1">_xll.ciqfunctions.udf.CIQ($B44,"IQ_CDS_mid",D$2)</f>
        <v>129.27850000000001</v>
      </c>
      <c r="E44">
        <f ca="1">_xll.ciqfunctions.udf.CIQ($B44,"IQ_CDS_mid",E$2)</f>
        <v>129.27850000000001</v>
      </c>
      <c r="F44">
        <f ca="1">_xll.ciqfunctions.udf.CIQ($B44,"IQ_CDS_mid",F$2)</f>
        <v>129.27850000000001</v>
      </c>
      <c r="G44">
        <f ca="1">_xll.ciqfunctions.udf.CIQ($B44,"IQ_CDS_mid",G$2)</f>
        <v>125.64</v>
      </c>
      <c r="H44">
        <f ca="1">_xll.ciqfunctions.udf.CIQ($B44,"IQ_CDS_mid",H$2)</f>
        <v>124.84229999999999</v>
      </c>
      <c r="I44">
        <f ca="1">_xll.ciqfunctions.udf.CIQ($B44,"IQ_CDS_mid",I$2)</f>
        <v>124.8592</v>
      </c>
      <c r="J44">
        <f ca="1">_xll.ciqfunctions.udf.CIQ($B44,"IQ_CDS_mid",J$2)</f>
        <v>124.38160000000001</v>
      </c>
      <c r="K44">
        <f ca="1">_xll.ciqfunctions.udf.CIQ($B44,"IQ_CDS_mid",K$2)</f>
        <v>123.3378</v>
      </c>
      <c r="L44">
        <f ca="1">_xll.ciqfunctions.udf.CIQ($B44,"IQ_CDS_mid",L$2)</f>
        <v>123.3378</v>
      </c>
      <c r="M44">
        <f ca="1">_xll.ciqfunctions.udf.CIQ($B44,"IQ_CDS_mid",M$2)</f>
        <v>123.3378</v>
      </c>
      <c r="N44">
        <f ca="1">_xll.ciqfunctions.udf.CIQ($B44,"IQ_CDS_mid",N$2)</f>
        <v>124.2064</v>
      </c>
      <c r="O44">
        <f ca="1">_xll.ciqfunctions.udf.CIQ($B44,"IQ_CDS_mid",O$2)</f>
        <v>125.25369999999999</v>
      </c>
      <c r="P44">
        <f ca="1">_xll.ciqfunctions.udf.CIQ($B44,"IQ_CDS_mid",P$2)</f>
        <v>122.4101</v>
      </c>
      <c r="Q44">
        <f ca="1">_xll.ciqfunctions.udf.CIQ($B44,"IQ_CDS_mid",Q$2)</f>
        <v>123.10809999999999</v>
      </c>
      <c r="R44">
        <f ca="1">_xll.ciqfunctions.udf.CIQ($B44,"IQ_CDS_mid",R$2)</f>
        <v>146.82499999999999</v>
      </c>
      <c r="S44">
        <f ca="1">_xll.ciqfunctions.udf.CIQ($B44,"IQ_CDS_mid",S$2)</f>
        <v>191.97839999999999</v>
      </c>
      <c r="T44">
        <f ca="1">C44-H44</f>
        <v>4.4362000000000137</v>
      </c>
      <c r="U44">
        <f ca="1">C44-M44</f>
        <v>5.9407000000000068</v>
      </c>
      <c r="V44">
        <f ca="1">C44-Q44</f>
        <v>6.170400000000015</v>
      </c>
      <c r="W44">
        <f ca="1">C44-R44</f>
        <v>-17.54649999999998</v>
      </c>
      <c r="X44">
        <f t="shared" ca="1" si="13"/>
        <v>-62.699899999999985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8" t="s">
        <v>8</v>
      </c>
      <c r="X47">
        <f t="shared" si="13"/>
        <v>0</v>
      </c>
    </row>
    <row r="48" spans="1:24" ht="15.5">
      <c r="A48" s="27" t="s">
        <v>10</v>
      </c>
      <c r="B48" s="25" t="s">
        <v>148</v>
      </c>
      <c r="C48">
        <f ca="1">_xll.ciqfunctions.udf.CIQ($B48,"IQ_CDS_mid",C$2)</f>
        <v>53.669199999999996</v>
      </c>
      <c r="D48">
        <f ca="1">_xll.ciqfunctions.udf.CIQ($B48,"IQ_CDS_mid",D$2)</f>
        <v>53.669199999999996</v>
      </c>
      <c r="E48">
        <f ca="1">_xll.ciqfunctions.udf.CIQ($B48,"IQ_CDS_mid",E$2)</f>
        <v>53.669199999999996</v>
      </c>
      <c r="F48">
        <f ca="1">_xll.ciqfunctions.udf.CIQ($B48,"IQ_CDS_mid",F$2)</f>
        <v>53.669199999999996</v>
      </c>
      <c r="G48">
        <f ca="1">_xll.ciqfunctions.udf.CIQ($B48,"IQ_CDS_mid",G$2)</f>
        <v>53.1967</v>
      </c>
      <c r="H48">
        <f ca="1">_xll.ciqfunctions.udf.CIQ($B48,"IQ_CDS_mid",H$2)</f>
        <v>52.934600000000003</v>
      </c>
      <c r="I48">
        <f ca="1">_xll.ciqfunctions.udf.CIQ($B48,"IQ_CDS_mid",I$2)</f>
        <v>52.801600000000001</v>
      </c>
      <c r="J48">
        <f ca="1">_xll.ciqfunctions.udf.CIQ($B48,"IQ_CDS_mid",J$2)</f>
        <v>52.052100000000003</v>
      </c>
      <c r="K48">
        <f ca="1">_xll.ciqfunctions.udf.CIQ($B48,"IQ_CDS_mid",K$2)</f>
        <v>51.656300000000002</v>
      </c>
      <c r="L48">
        <f ca="1">_xll.ciqfunctions.udf.CIQ($B48,"IQ_CDS_mid",L$2)</f>
        <v>51.656300000000002</v>
      </c>
      <c r="M48">
        <f ca="1">_xll.ciqfunctions.udf.CIQ($B48,"IQ_CDS_mid",M$2)</f>
        <v>51.656300000000002</v>
      </c>
      <c r="N48">
        <f ca="1">_xll.ciqfunctions.udf.CIQ($B48,"IQ_CDS_mid",N$2)</f>
        <v>51.73</v>
      </c>
      <c r="O48">
        <f ca="1">_xll.ciqfunctions.udf.CIQ($B48,"IQ_CDS_mid",O$2)</f>
        <v>51.767899999999997</v>
      </c>
      <c r="P48">
        <f ca="1">_xll.ciqfunctions.udf.CIQ($B48,"IQ_CDS_mid",P$2)</f>
        <v>51.273200000000003</v>
      </c>
      <c r="Q48">
        <f ca="1">_xll.ciqfunctions.udf.CIQ($B48,"IQ_CDS_mid",Q$2)</f>
        <v>51.097000000000001</v>
      </c>
      <c r="R48">
        <f ca="1">_xll.ciqfunctions.udf.CIQ($B48,"IQ_CDS_mid",R$2)</f>
        <v>57.444299999999998</v>
      </c>
      <c r="S48">
        <f ca="1">_xll.ciqfunctions.udf.CIQ($B48,"IQ_CDS_mid",S$2)</f>
        <v>54.25</v>
      </c>
      <c r="T48">
        <f t="shared" ref="T48:T54" ca="1" si="14">C48-H48</f>
        <v>0.73459999999999326</v>
      </c>
      <c r="U48">
        <f t="shared" ref="U48:U54" ca="1" si="15">C48-M48</f>
        <v>2.0128999999999948</v>
      </c>
      <c r="V48">
        <f t="shared" ref="V48:V54" ca="1" si="16">C48-Q48</f>
        <v>2.5721999999999952</v>
      </c>
      <c r="W48">
        <f t="shared" ref="W48:W54" ca="1" si="17">C48-R48</f>
        <v>-3.7751000000000019</v>
      </c>
      <c r="X48">
        <f t="shared" ca="1" si="13"/>
        <v>-0.58080000000000354</v>
      </c>
    </row>
    <row r="49" spans="1:24" ht="15.5">
      <c r="A49" s="27" t="s">
        <v>11</v>
      </c>
      <c r="B49" s="25" t="s">
        <v>147</v>
      </c>
      <c r="C49">
        <f ca="1">_xll.ciqfunctions.udf.CIQ($B49,"IQ_CDS_mid",C$2)</f>
        <v>55.617600000000003</v>
      </c>
      <c r="D49">
        <f ca="1">_xll.ciqfunctions.udf.CIQ($B49,"IQ_CDS_mid",D$2)</f>
        <v>55.617600000000003</v>
      </c>
      <c r="E49">
        <f ca="1">_xll.ciqfunctions.udf.CIQ($B49,"IQ_CDS_mid",E$2)</f>
        <v>55.617600000000003</v>
      </c>
      <c r="F49">
        <f ca="1">_xll.ciqfunctions.udf.CIQ($B49,"IQ_CDS_mid",F$2)</f>
        <v>55.617600000000003</v>
      </c>
      <c r="G49">
        <f ca="1">_xll.ciqfunctions.udf.CIQ($B49,"IQ_CDS_mid",G$2)</f>
        <v>54.933399999999999</v>
      </c>
      <c r="H49">
        <f ca="1">_xll.ciqfunctions.udf.CIQ($B49,"IQ_CDS_mid",H$2)</f>
        <v>54.99</v>
      </c>
      <c r="I49">
        <f ca="1">_xll.ciqfunctions.udf.CIQ($B49,"IQ_CDS_mid",I$2)</f>
        <v>54.603999999999999</v>
      </c>
      <c r="J49">
        <f ca="1">_xll.ciqfunctions.udf.CIQ($B49,"IQ_CDS_mid",J$2)</f>
        <v>54.226500000000001</v>
      </c>
      <c r="K49">
        <f ca="1">_xll.ciqfunctions.udf.CIQ($B49,"IQ_CDS_mid",K$2)</f>
        <v>54.299599999999998</v>
      </c>
      <c r="L49">
        <f ca="1">_xll.ciqfunctions.udf.CIQ($B49,"IQ_CDS_mid",L$2)</f>
        <v>54.299599999999998</v>
      </c>
      <c r="M49">
        <f ca="1">_xll.ciqfunctions.udf.CIQ($B49,"IQ_CDS_mid",M$2)</f>
        <v>54.299599999999998</v>
      </c>
      <c r="N49">
        <f ca="1">_xll.ciqfunctions.udf.CIQ($B49,"IQ_CDS_mid",N$2)</f>
        <v>54.503300000000003</v>
      </c>
      <c r="O49">
        <f ca="1">_xll.ciqfunctions.udf.CIQ($B49,"IQ_CDS_mid",O$2)</f>
        <v>54.147199999999998</v>
      </c>
      <c r="P49">
        <f ca="1">_xll.ciqfunctions.udf.CIQ($B49,"IQ_CDS_mid",P$2)</f>
        <v>53.923299999999998</v>
      </c>
      <c r="Q49">
        <f ca="1">_xll.ciqfunctions.udf.CIQ($B49,"IQ_CDS_mid",Q$2)</f>
        <v>54.467300000000002</v>
      </c>
      <c r="R49">
        <f ca="1">_xll.ciqfunctions.udf.CIQ($B49,"IQ_CDS_mid",R$2)</f>
        <v>58.697699999999998</v>
      </c>
      <c r="S49">
        <f ca="1">_xll.ciqfunctions.udf.CIQ($B49,"IQ_CDS_mid",S$2)</f>
        <v>54.166499999999999</v>
      </c>
      <c r="T49">
        <f t="shared" ca="1" si="14"/>
        <v>0.62760000000000105</v>
      </c>
      <c r="U49">
        <f t="shared" ca="1" si="15"/>
        <v>1.3180000000000049</v>
      </c>
      <c r="V49">
        <f t="shared" ca="1" si="16"/>
        <v>1.1503000000000014</v>
      </c>
      <c r="W49">
        <f t="shared" ca="1" si="17"/>
        <v>-3.0800999999999945</v>
      </c>
      <c r="X49">
        <f t="shared" ca="1" si="13"/>
        <v>1.4511000000000038</v>
      </c>
    </row>
    <row r="50" spans="1:24" ht="15.5">
      <c r="A50" s="27" t="s">
        <v>146</v>
      </c>
      <c r="B50" s="25" t="s">
        <v>145</v>
      </c>
      <c r="C50">
        <f ca="1">_xll.ciqfunctions.udf.CIQ($B50,"IQ_CDS_mid",C$2)</f>
        <v>40.803199999999997</v>
      </c>
      <c r="D50">
        <f ca="1">_xll.ciqfunctions.udf.CIQ($B50,"IQ_CDS_mid",D$2)</f>
        <v>40.803199999999997</v>
      </c>
      <c r="E50">
        <f ca="1">_xll.ciqfunctions.udf.CIQ($B50,"IQ_CDS_mid",E$2)</f>
        <v>40.803199999999997</v>
      </c>
      <c r="F50">
        <f ca="1">_xll.ciqfunctions.udf.CIQ($B50,"IQ_CDS_mid",F$2)</f>
        <v>40.803199999999997</v>
      </c>
      <c r="G50">
        <f ca="1">_xll.ciqfunctions.udf.CIQ($B50,"IQ_CDS_mid",G$2)</f>
        <v>40.466700000000003</v>
      </c>
      <c r="H50">
        <f ca="1">_xll.ciqfunctions.udf.CIQ($B50,"IQ_CDS_mid",H$2)</f>
        <v>40.655299999999997</v>
      </c>
      <c r="I50">
        <f ca="1">_xll.ciqfunctions.udf.CIQ($B50,"IQ_CDS_mid",I$2)</f>
        <v>40.584200000000003</v>
      </c>
      <c r="J50">
        <f ca="1">_xll.ciqfunctions.udf.CIQ($B50,"IQ_CDS_mid",J$2)</f>
        <v>40.046799999999998</v>
      </c>
      <c r="K50">
        <f ca="1">_xll.ciqfunctions.udf.CIQ($B50,"IQ_CDS_mid",K$2)</f>
        <v>40.430300000000003</v>
      </c>
      <c r="L50">
        <f ca="1">_xll.ciqfunctions.udf.CIQ($B50,"IQ_CDS_mid",L$2)</f>
        <v>40.430300000000003</v>
      </c>
      <c r="M50">
        <f ca="1">_xll.ciqfunctions.udf.CIQ($B50,"IQ_CDS_mid",M$2)</f>
        <v>40.430300000000003</v>
      </c>
      <c r="N50">
        <f ca="1">_xll.ciqfunctions.udf.CIQ($B50,"IQ_CDS_mid",N$2)</f>
        <v>39.799199999999999</v>
      </c>
      <c r="O50">
        <f ca="1">_xll.ciqfunctions.udf.CIQ($B50,"IQ_CDS_mid",O$2)</f>
        <v>39.764099999999999</v>
      </c>
      <c r="P50">
        <f ca="1">_xll.ciqfunctions.udf.CIQ($B50,"IQ_CDS_mid",P$2)</f>
        <v>39.796399999999998</v>
      </c>
      <c r="Q50">
        <f ca="1">_xll.ciqfunctions.udf.CIQ($B50,"IQ_CDS_mid",Q$2)</f>
        <v>39.845999999999997</v>
      </c>
      <c r="R50">
        <f ca="1">_xll.ciqfunctions.udf.CIQ($B50,"IQ_CDS_mid",R$2)</f>
        <v>39.6111</v>
      </c>
      <c r="S50">
        <f ca="1">_xll.ciqfunctions.udf.CIQ($B50,"IQ_CDS_mid",S$2)</f>
        <v>41.088200000000001</v>
      </c>
      <c r="T50">
        <f t="shared" ca="1" si="14"/>
        <v>0.14789999999999992</v>
      </c>
      <c r="U50">
        <f t="shared" ca="1" si="15"/>
        <v>0.37289999999999424</v>
      </c>
      <c r="V50">
        <f t="shared" ca="1" si="16"/>
        <v>0.95720000000000027</v>
      </c>
      <c r="W50">
        <f t="shared" ca="1" si="17"/>
        <v>1.1920999999999964</v>
      </c>
      <c r="X50">
        <f t="shared" ca="1" si="13"/>
        <v>-0.28500000000000369</v>
      </c>
    </row>
    <row r="51" spans="1:24" ht="15.5">
      <c r="A51" s="27" t="s">
        <v>144</v>
      </c>
      <c r="B51" s="25" t="s">
        <v>143</v>
      </c>
      <c r="C51">
        <f ca="1">_xll.ciqfunctions.udf.CIQ($B51,"IQ_CDS_mid",C$2)</f>
        <v>55.264099999999999</v>
      </c>
      <c r="D51">
        <f ca="1">_xll.ciqfunctions.udf.CIQ($B51,"IQ_CDS_mid",D$2)</f>
        <v>55.264099999999999</v>
      </c>
      <c r="E51">
        <f ca="1">_xll.ciqfunctions.udf.CIQ($B51,"IQ_CDS_mid",E$2)</f>
        <v>55.264099999999999</v>
      </c>
      <c r="F51">
        <f ca="1">_xll.ciqfunctions.udf.CIQ($B51,"IQ_CDS_mid",F$2)</f>
        <v>55.264099999999999</v>
      </c>
      <c r="G51">
        <f ca="1">_xll.ciqfunctions.udf.CIQ($B51,"IQ_CDS_mid",G$2)</f>
        <v>55.012</v>
      </c>
      <c r="H51">
        <f ca="1">_xll.ciqfunctions.udf.CIQ($B51,"IQ_CDS_mid",H$2)</f>
        <v>54.687399999999997</v>
      </c>
      <c r="I51">
        <f ca="1">_xll.ciqfunctions.udf.CIQ($B51,"IQ_CDS_mid",I$2)</f>
        <v>54.431199999999997</v>
      </c>
      <c r="J51">
        <f ca="1">_xll.ciqfunctions.udf.CIQ($B51,"IQ_CDS_mid",J$2)</f>
        <v>54.126199999999997</v>
      </c>
      <c r="K51">
        <f ca="1">_xll.ciqfunctions.udf.CIQ($B51,"IQ_CDS_mid",K$2)</f>
        <v>53.862699999999997</v>
      </c>
      <c r="L51">
        <f ca="1">_xll.ciqfunctions.udf.CIQ($B51,"IQ_CDS_mid",L$2)</f>
        <v>53.862699999999997</v>
      </c>
      <c r="M51">
        <f ca="1">_xll.ciqfunctions.udf.CIQ($B51,"IQ_CDS_mid",M$2)</f>
        <v>53.862699999999997</v>
      </c>
      <c r="N51">
        <f ca="1">_xll.ciqfunctions.udf.CIQ($B51,"IQ_CDS_mid",N$2)</f>
        <v>53.3</v>
      </c>
      <c r="O51">
        <f ca="1">_xll.ciqfunctions.udf.CIQ($B51,"IQ_CDS_mid",O$2)</f>
        <v>53.323</v>
      </c>
      <c r="P51">
        <f ca="1">_xll.ciqfunctions.udf.CIQ($B51,"IQ_CDS_mid",P$2)</f>
        <v>53.010399999999997</v>
      </c>
      <c r="Q51">
        <f ca="1">_xll.ciqfunctions.udf.CIQ($B51,"IQ_CDS_mid",Q$2)</f>
        <v>52.9893</v>
      </c>
      <c r="R51">
        <f ca="1">_xll.ciqfunctions.udf.CIQ($B51,"IQ_CDS_mid",R$2)</f>
        <v>57.4375</v>
      </c>
      <c r="S51">
        <f ca="1">_xll.ciqfunctions.udf.CIQ($B51,"IQ_CDS_mid",S$2)</f>
        <v>58.166699999999999</v>
      </c>
      <c r="T51">
        <f t="shared" ca="1" si="14"/>
        <v>0.57670000000000243</v>
      </c>
      <c r="U51">
        <f t="shared" ca="1" si="15"/>
        <v>1.4014000000000024</v>
      </c>
      <c r="V51">
        <f t="shared" ca="1" si="16"/>
        <v>2.274799999999999</v>
      </c>
      <c r="W51">
        <f t="shared" ca="1" si="17"/>
        <v>-2.1734000000000009</v>
      </c>
      <c r="X51">
        <f t="shared" ca="1" si="13"/>
        <v>-2.9025999999999996</v>
      </c>
    </row>
    <row r="52" spans="1:24" ht="15.5">
      <c r="A52" s="27" t="s">
        <v>14</v>
      </c>
      <c r="B52" s="25" t="s">
        <v>142</v>
      </c>
      <c r="C52">
        <f ca="1">_xll.ciqfunctions.udf.CIQ($B52,"IQ_CDS_mid",C$2)</f>
        <v>58.314</v>
      </c>
      <c r="D52">
        <f ca="1">_xll.ciqfunctions.udf.CIQ($B52,"IQ_CDS_mid",D$2)</f>
        <v>58.314</v>
      </c>
      <c r="E52">
        <f ca="1">_xll.ciqfunctions.udf.CIQ($B52,"IQ_CDS_mid",E$2)</f>
        <v>58.314</v>
      </c>
      <c r="F52">
        <f ca="1">_xll.ciqfunctions.udf.CIQ($B52,"IQ_CDS_mid",F$2)</f>
        <v>58.314</v>
      </c>
      <c r="G52">
        <f ca="1">_xll.ciqfunctions.udf.CIQ($B52,"IQ_CDS_mid",G$2)</f>
        <v>57.456099999999999</v>
      </c>
      <c r="H52">
        <f ca="1">_xll.ciqfunctions.udf.CIQ($B52,"IQ_CDS_mid",H$2)</f>
        <v>57.236800000000002</v>
      </c>
      <c r="I52">
        <f ca="1">_xll.ciqfunctions.udf.CIQ($B52,"IQ_CDS_mid",I$2)</f>
        <v>56.741100000000003</v>
      </c>
      <c r="J52">
        <f ca="1">_xll.ciqfunctions.udf.CIQ($B52,"IQ_CDS_mid",J$2)</f>
        <v>55.769300000000001</v>
      </c>
      <c r="K52">
        <f ca="1">_xll.ciqfunctions.udf.CIQ($B52,"IQ_CDS_mid",K$2)</f>
        <v>55.974899999999998</v>
      </c>
      <c r="L52">
        <f ca="1">_xll.ciqfunctions.udf.CIQ($B52,"IQ_CDS_mid",L$2)</f>
        <v>55.974899999999998</v>
      </c>
      <c r="M52">
        <f ca="1">_xll.ciqfunctions.udf.CIQ($B52,"IQ_CDS_mid",M$2)</f>
        <v>55.974899999999998</v>
      </c>
      <c r="N52">
        <f ca="1">_xll.ciqfunctions.udf.CIQ($B52,"IQ_CDS_mid",N$2)</f>
        <v>55.024299999999997</v>
      </c>
      <c r="O52">
        <f ca="1">_xll.ciqfunctions.udf.CIQ($B52,"IQ_CDS_mid",O$2)</f>
        <v>55.054200000000002</v>
      </c>
      <c r="P52">
        <f ca="1">_xll.ciqfunctions.udf.CIQ($B52,"IQ_CDS_mid",P$2)</f>
        <v>54.235300000000002</v>
      </c>
      <c r="Q52">
        <f ca="1">_xll.ciqfunctions.udf.CIQ($B52,"IQ_CDS_mid",Q$2)</f>
        <v>54.180500000000002</v>
      </c>
      <c r="R52">
        <f ca="1">_xll.ciqfunctions.udf.CIQ($B52,"IQ_CDS_mid",R$2)</f>
        <v>58.598599999999998</v>
      </c>
      <c r="S52">
        <f ca="1">_xll.ciqfunctions.udf.CIQ($B52,"IQ_CDS_mid",S$2)</f>
        <v>56.938000000000002</v>
      </c>
      <c r="T52">
        <f t="shared" ca="1" si="14"/>
        <v>1.0771999999999977</v>
      </c>
      <c r="U52">
        <f t="shared" ca="1" si="15"/>
        <v>2.339100000000002</v>
      </c>
      <c r="V52">
        <f t="shared" ca="1" si="16"/>
        <v>4.133499999999998</v>
      </c>
      <c r="W52">
        <f t="shared" ca="1" si="17"/>
        <v>-0.28459999999999752</v>
      </c>
      <c r="X52">
        <f t="shared" ca="1" si="13"/>
        <v>1.3759999999999977</v>
      </c>
    </row>
    <row r="53" spans="1:24" ht="15.5">
      <c r="A53" s="27" t="s">
        <v>15</v>
      </c>
      <c r="B53" s="25" t="s">
        <v>141</v>
      </c>
      <c r="C53">
        <f ca="1">_xll.ciqfunctions.udf.CIQ($B53,"IQ_CDS_mid",C$2)</f>
        <v>49.766399999999997</v>
      </c>
      <c r="D53">
        <f ca="1">_xll.ciqfunctions.udf.CIQ($B53,"IQ_CDS_mid",D$2)</f>
        <v>49.766399999999997</v>
      </c>
      <c r="E53">
        <f ca="1">_xll.ciqfunctions.udf.CIQ($B53,"IQ_CDS_mid",E$2)</f>
        <v>49.766399999999997</v>
      </c>
      <c r="F53">
        <f ca="1">_xll.ciqfunctions.udf.CIQ($B53,"IQ_CDS_mid",F$2)</f>
        <v>49.766399999999997</v>
      </c>
      <c r="G53">
        <f ca="1">_xll.ciqfunctions.udf.CIQ($B53,"IQ_CDS_mid",G$2)</f>
        <v>49.697600000000001</v>
      </c>
      <c r="H53">
        <f ca="1">_xll.ciqfunctions.udf.CIQ($B53,"IQ_CDS_mid",H$2)</f>
        <v>49.7881</v>
      </c>
      <c r="I53">
        <f ca="1">_xll.ciqfunctions.udf.CIQ($B53,"IQ_CDS_mid",I$2)</f>
        <v>49.850200000000001</v>
      </c>
      <c r="J53">
        <f ca="1">_xll.ciqfunctions.udf.CIQ($B53,"IQ_CDS_mid",J$2)</f>
        <v>49.295900000000003</v>
      </c>
      <c r="K53">
        <f ca="1">_xll.ciqfunctions.udf.CIQ($B53,"IQ_CDS_mid",K$2)</f>
        <v>49.431100000000001</v>
      </c>
      <c r="L53">
        <f ca="1">_xll.ciqfunctions.udf.CIQ($B53,"IQ_CDS_mid",L$2)</f>
        <v>49.431100000000001</v>
      </c>
      <c r="M53">
        <f ca="1">_xll.ciqfunctions.udf.CIQ($B53,"IQ_CDS_mid",M$2)</f>
        <v>49.431100000000001</v>
      </c>
      <c r="N53">
        <f ca="1">_xll.ciqfunctions.udf.CIQ($B53,"IQ_CDS_mid",N$2)</f>
        <v>48.299199999999999</v>
      </c>
      <c r="O53">
        <f ca="1">_xll.ciqfunctions.udf.CIQ($B53,"IQ_CDS_mid",O$2)</f>
        <v>48.369399999999999</v>
      </c>
      <c r="P53">
        <f ca="1">_xll.ciqfunctions.udf.CIQ($B53,"IQ_CDS_mid",P$2)</f>
        <v>47.599600000000002</v>
      </c>
      <c r="Q53">
        <f ca="1">_xll.ciqfunctions.udf.CIQ($B53,"IQ_CDS_mid",Q$2)</f>
        <v>47.822400000000002</v>
      </c>
      <c r="R53">
        <f ca="1">_xll.ciqfunctions.udf.CIQ($B53,"IQ_CDS_mid",R$2)</f>
        <v>53.271999999999998</v>
      </c>
      <c r="S53">
        <f ca="1">_xll.ciqfunctions.udf.CIQ($B53,"IQ_CDS_mid",S$2)</f>
        <v>50.2149</v>
      </c>
      <c r="T53">
        <f t="shared" ca="1" si="14"/>
        <v>-2.1700000000002717E-2</v>
      </c>
      <c r="U53">
        <f t="shared" ca="1" si="15"/>
        <v>0.3352999999999966</v>
      </c>
      <c r="V53">
        <f t="shared" ca="1" si="16"/>
        <v>1.9439999999999955</v>
      </c>
      <c r="W53">
        <f t="shared" ca="1" si="17"/>
        <v>-3.5056000000000012</v>
      </c>
      <c r="X53">
        <f t="shared" ca="1" si="13"/>
        <v>-0.44850000000000279</v>
      </c>
    </row>
    <row r="54" spans="1:24" ht="15.5">
      <c r="A54" s="27" t="s">
        <v>140</v>
      </c>
      <c r="B54" s="25" t="s">
        <v>139</v>
      </c>
      <c r="C54">
        <f ca="1">_xll.ciqfunctions.udf.CIQ($B54,"IQ_CDS_mid",C$2)</f>
        <v>51.447800000000001</v>
      </c>
      <c r="D54">
        <f ca="1">_xll.ciqfunctions.udf.CIQ($B54,"IQ_CDS_mid",D$2)</f>
        <v>51.447800000000001</v>
      </c>
      <c r="E54">
        <f ca="1">_xll.ciqfunctions.udf.CIQ($B54,"IQ_CDS_mid",E$2)</f>
        <v>51.447800000000001</v>
      </c>
      <c r="F54">
        <f ca="1">_xll.ciqfunctions.udf.CIQ($B54,"IQ_CDS_mid",F$2)</f>
        <v>51.447800000000001</v>
      </c>
      <c r="G54">
        <f ca="1">_xll.ciqfunctions.udf.CIQ($B54,"IQ_CDS_mid",G$2)</f>
        <v>51.436399999999999</v>
      </c>
      <c r="H54">
        <f ca="1">_xll.ciqfunctions.udf.CIQ($B54,"IQ_CDS_mid",H$2)</f>
        <v>51.862000000000002</v>
      </c>
      <c r="I54">
        <f ca="1">_xll.ciqfunctions.udf.CIQ($B54,"IQ_CDS_mid",I$2)</f>
        <v>52.4953</v>
      </c>
      <c r="J54">
        <f ca="1">_xll.ciqfunctions.udf.CIQ($B54,"IQ_CDS_mid",J$2)</f>
        <v>52.8553</v>
      </c>
      <c r="K54">
        <f ca="1">_xll.ciqfunctions.udf.CIQ($B54,"IQ_CDS_mid",K$2)</f>
        <v>52.533499999999997</v>
      </c>
      <c r="L54">
        <f ca="1">_xll.ciqfunctions.udf.CIQ($B54,"IQ_CDS_mid",L$2)</f>
        <v>52.533499999999997</v>
      </c>
      <c r="M54">
        <f ca="1">_xll.ciqfunctions.udf.CIQ($B54,"IQ_CDS_mid",M$2)</f>
        <v>52.533499999999997</v>
      </c>
      <c r="N54">
        <f ca="1">_xll.ciqfunctions.udf.CIQ($B54,"IQ_CDS_mid",N$2)</f>
        <v>52.4148</v>
      </c>
      <c r="O54">
        <f ca="1">_xll.ciqfunctions.udf.CIQ($B54,"IQ_CDS_mid",O$2)</f>
        <v>52.562399999999997</v>
      </c>
      <c r="P54">
        <f ca="1">_xll.ciqfunctions.udf.CIQ($B54,"IQ_CDS_mid",P$2)</f>
        <v>53.1</v>
      </c>
      <c r="Q54">
        <f ca="1">_xll.ciqfunctions.udf.CIQ($B54,"IQ_CDS_mid",Q$2)</f>
        <v>52.686</v>
      </c>
      <c r="R54">
        <f ca="1">_xll.ciqfunctions.udf.CIQ($B54,"IQ_CDS_mid",R$2)</f>
        <v>54.619599999999998</v>
      </c>
      <c r="S54">
        <f ca="1">_xll.ciqfunctions.udf.CIQ($B54,"IQ_CDS_mid",S$2)</f>
        <v>49.8568</v>
      </c>
      <c r="T54">
        <f t="shared" ca="1" si="14"/>
        <v>-0.41420000000000101</v>
      </c>
      <c r="U54">
        <f t="shared" ca="1" si="15"/>
        <v>-1.0856999999999957</v>
      </c>
      <c r="V54">
        <f t="shared" ca="1" si="16"/>
        <v>-1.2381999999999991</v>
      </c>
      <c r="W54">
        <f t="shared" ca="1" si="17"/>
        <v>-3.1717999999999975</v>
      </c>
      <c r="X54">
        <f t="shared" ca="1" si="13"/>
        <v>1.5910000000000011</v>
      </c>
    </row>
    <row r="55" spans="1:24" ht="15.5">
      <c r="A55" s="28" t="s">
        <v>17</v>
      </c>
      <c r="X55">
        <f t="shared" si="13"/>
        <v>0</v>
      </c>
    </row>
    <row r="56" spans="1:24" ht="15.5">
      <c r="A56" s="27" t="s">
        <v>18</v>
      </c>
      <c r="B56" s="25" t="s">
        <v>138</v>
      </c>
      <c r="C56">
        <f ca="1">_xll.ciqfunctions.udf.CIQ($B56,"IQ_CDS_mid",C$2)</f>
        <v>43.5488</v>
      </c>
      <c r="D56">
        <f ca="1">_xll.ciqfunctions.udf.CIQ($B56,"IQ_CDS_mid",D$2)</f>
        <v>43.5488</v>
      </c>
      <c r="E56">
        <f ca="1">_xll.ciqfunctions.udf.CIQ($B56,"IQ_CDS_mid",E$2)</f>
        <v>43.5488</v>
      </c>
      <c r="F56">
        <f ca="1">_xll.ciqfunctions.udf.CIQ($B56,"IQ_CDS_mid",F$2)</f>
        <v>43.5488</v>
      </c>
      <c r="G56">
        <f ca="1">_xll.ciqfunctions.udf.CIQ($B56,"IQ_CDS_mid",G$2)</f>
        <v>42.543799999999997</v>
      </c>
      <c r="H56">
        <f ca="1">_xll.ciqfunctions.udf.CIQ($B56,"IQ_CDS_mid",H$2)</f>
        <v>42.1143</v>
      </c>
      <c r="I56">
        <f ca="1">_xll.ciqfunctions.udf.CIQ($B56,"IQ_CDS_mid",I$2)</f>
        <v>42.162100000000002</v>
      </c>
      <c r="J56">
        <f ca="1">_xll.ciqfunctions.udf.CIQ($B56,"IQ_CDS_mid",J$2)</f>
        <v>41.708199999999998</v>
      </c>
      <c r="K56">
        <f ca="1">_xll.ciqfunctions.udf.CIQ($B56,"IQ_CDS_mid",K$2)</f>
        <v>41.4191</v>
      </c>
      <c r="L56">
        <f ca="1">_xll.ciqfunctions.udf.CIQ($B56,"IQ_CDS_mid",L$2)</f>
        <v>41.4191</v>
      </c>
      <c r="M56">
        <f ca="1">_xll.ciqfunctions.udf.CIQ($B56,"IQ_CDS_mid",M$2)</f>
        <v>41.4191</v>
      </c>
      <c r="N56">
        <f ca="1">_xll.ciqfunctions.udf.CIQ($B56,"IQ_CDS_mid",N$2)</f>
        <v>41.276699999999998</v>
      </c>
      <c r="O56">
        <f ca="1">_xll.ciqfunctions.udf.CIQ($B56,"IQ_CDS_mid",O$2)</f>
        <v>41.570099999999996</v>
      </c>
      <c r="P56">
        <f ca="1">_xll.ciqfunctions.udf.CIQ($B56,"IQ_CDS_mid",P$2)</f>
        <v>40.917000000000002</v>
      </c>
      <c r="Q56">
        <f ca="1">_xll.ciqfunctions.udf.CIQ($B56,"IQ_CDS_mid",Q$2)</f>
        <v>40.799300000000002</v>
      </c>
      <c r="R56">
        <f ca="1">_xll.ciqfunctions.udf.CIQ($B56,"IQ_CDS_mid",R$2)</f>
        <v>39.71</v>
      </c>
      <c r="S56">
        <f ca="1">_xll.ciqfunctions.udf.CIQ($B56,"IQ_CDS_mid",S$2)</f>
        <v>42.301600000000001</v>
      </c>
      <c r="T56">
        <f ca="1">C56-H56</f>
        <v>1.4344999999999999</v>
      </c>
      <c r="U56">
        <f ca="1">C56-M56</f>
        <v>2.1296999999999997</v>
      </c>
      <c r="V56">
        <f ca="1">C56-Q56</f>
        <v>2.7494999999999976</v>
      </c>
      <c r="W56">
        <f ca="1">C56-R56</f>
        <v>3.8387999999999991</v>
      </c>
      <c r="X56">
        <f t="shared" ca="1" si="13"/>
        <v>1.2471999999999994</v>
      </c>
    </row>
    <row r="57" spans="1:24" ht="15.5">
      <c r="A57" s="27" t="s">
        <v>19</v>
      </c>
      <c r="B57" s="25" t="s">
        <v>137</v>
      </c>
      <c r="C57">
        <f ca="1">_xll.ciqfunctions.udf.CIQ($B57,"IQ_CDS_mid",C$2)</f>
        <v>35.233699999999999</v>
      </c>
      <c r="D57">
        <f ca="1">_xll.ciqfunctions.udf.CIQ($B57,"IQ_CDS_mid",D$2)</f>
        <v>35.233699999999999</v>
      </c>
      <c r="E57">
        <f ca="1">_xll.ciqfunctions.udf.CIQ($B57,"IQ_CDS_mid",E$2)</f>
        <v>35.233699999999999</v>
      </c>
      <c r="F57">
        <f ca="1">_xll.ciqfunctions.udf.CIQ($B57,"IQ_CDS_mid",F$2)</f>
        <v>35.233699999999999</v>
      </c>
      <c r="G57">
        <f ca="1">_xll.ciqfunctions.udf.CIQ($B57,"IQ_CDS_mid",G$2)</f>
        <v>35.06</v>
      </c>
      <c r="H57">
        <f ca="1">_xll.ciqfunctions.udf.CIQ($B57,"IQ_CDS_mid",H$2)</f>
        <v>34.434600000000003</v>
      </c>
      <c r="I57">
        <f ca="1">_xll.ciqfunctions.udf.CIQ($B57,"IQ_CDS_mid",I$2)</f>
        <v>34.1</v>
      </c>
      <c r="J57">
        <f ca="1">_xll.ciqfunctions.udf.CIQ($B57,"IQ_CDS_mid",J$2)</f>
        <v>33.725000000000001</v>
      </c>
      <c r="K57">
        <f ca="1">_xll.ciqfunctions.udf.CIQ($B57,"IQ_CDS_mid",K$2)</f>
        <v>33.6066</v>
      </c>
      <c r="L57">
        <f ca="1">_xll.ciqfunctions.udf.CIQ($B57,"IQ_CDS_mid",L$2)</f>
        <v>33.6066</v>
      </c>
      <c r="M57">
        <f ca="1">_xll.ciqfunctions.udf.CIQ($B57,"IQ_CDS_mid",M$2)</f>
        <v>33.6066</v>
      </c>
      <c r="N57">
        <f ca="1">_xll.ciqfunctions.udf.CIQ($B57,"IQ_CDS_mid",N$2)</f>
        <v>33.814999999999998</v>
      </c>
      <c r="O57">
        <f ca="1">_xll.ciqfunctions.udf.CIQ($B57,"IQ_CDS_mid",O$2)</f>
        <v>33.950000000000003</v>
      </c>
      <c r="P57">
        <f ca="1">_xll.ciqfunctions.udf.CIQ($B57,"IQ_CDS_mid",P$2)</f>
        <v>33.200000000000003</v>
      </c>
      <c r="Q57">
        <f ca="1">_xll.ciqfunctions.udf.CIQ($B57,"IQ_CDS_mid",Q$2)</f>
        <v>33.1</v>
      </c>
      <c r="R57">
        <f ca="1">_xll.ciqfunctions.udf.CIQ($B57,"IQ_CDS_mid",R$2)</f>
        <v>34.58</v>
      </c>
      <c r="S57">
        <f ca="1">_xll.ciqfunctions.udf.CIQ($B57,"IQ_CDS_mid",S$2)</f>
        <v>38.695799999999998</v>
      </c>
      <c r="T57">
        <f ca="1">C57-H57</f>
        <v>0.7990999999999957</v>
      </c>
      <c r="U57">
        <f ca="1">C57-M57</f>
        <v>1.6270999999999987</v>
      </c>
      <c r="V57">
        <f ca="1">C57-Q57</f>
        <v>2.1336999999999975</v>
      </c>
      <c r="W57">
        <f ca="1">C57-R57</f>
        <v>0.65370000000000061</v>
      </c>
      <c r="X57">
        <f t="shared" ca="1" si="13"/>
        <v>-3.4620999999999995</v>
      </c>
    </row>
    <row r="58" spans="1:24" ht="15.5">
      <c r="A58" s="27" t="s">
        <v>136</v>
      </c>
      <c r="B58" s="25" t="s">
        <v>135</v>
      </c>
      <c r="C58">
        <f ca="1">_xll.ciqfunctions.udf.CIQ($B58,"IQ_CDS_mid",C$2)</f>
        <v>43.881100000000004</v>
      </c>
      <c r="D58">
        <f ca="1">_xll.ciqfunctions.udf.CIQ($B58,"IQ_CDS_mid",D$2)</f>
        <v>43.881100000000004</v>
      </c>
      <c r="E58">
        <f ca="1">_xll.ciqfunctions.udf.CIQ($B58,"IQ_CDS_mid",E$2)</f>
        <v>43.881100000000004</v>
      </c>
      <c r="F58">
        <f ca="1">_xll.ciqfunctions.udf.CIQ($B58,"IQ_CDS_mid",F$2)</f>
        <v>43.881100000000004</v>
      </c>
      <c r="G58">
        <f ca="1">_xll.ciqfunctions.udf.CIQ($B58,"IQ_CDS_mid",G$2)</f>
        <v>43.142200000000003</v>
      </c>
      <c r="H58">
        <f ca="1">_xll.ciqfunctions.udf.CIQ($B58,"IQ_CDS_mid",H$2)</f>
        <v>42.128900000000002</v>
      </c>
      <c r="I58">
        <f ca="1">_xll.ciqfunctions.udf.CIQ($B58,"IQ_CDS_mid",I$2)</f>
        <v>42.4</v>
      </c>
      <c r="J58">
        <f ca="1">_xll.ciqfunctions.udf.CIQ($B58,"IQ_CDS_mid",J$2)</f>
        <v>41.86</v>
      </c>
      <c r="K58">
        <f ca="1">_xll.ciqfunctions.udf.CIQ($B58,"IQ_CDS_mid",K$2)</f>
        <v>41.677599999999998</v>
      </c>
      <c r="L58">
        <f ca="1">_xll.ciqfunctions.udf.CIQ($B58,"IQ_CDS_mid",L$2)</f>
        <v>41.677599999999998</v>
      </c>
      <c r="M58">
        <f ca="1">_xll.ciqfunctions.udf.CIQ($B58,"IQ_CDS_mid",M$2)</f>
        <v>41.677599999999998</v>
      </c>
      <c r="N58">
        <f ca="1">_xll.ciqfunctions.udf.CIQ($B58,"IQ_CDS_mid",N$2)</f>
        <v>41.637500000000003</v>
      </c>
      <c r="O58">
        <f ca="1">_xll.ciqfunctions.udf.CIQ($B58,"IQ_CDS_mid",O$2)</f>
        <v>42.0441</v>
      </c>
      <c r="P58">
        <f ca="1">_xll.ciqfunctions.udf.CIQ($B58,"IQ_CDS_mid",P$2)</f>
        <v>41.428600000000003</v>
      </c>
      <c r="Q58">
        <f ca="1">_xll.ciqfunctions.udf.CIQ($B58,"IQ_CDS_mid",Q$2)</f>
        <v>41.333300000000001</v>
      </c>
      <c r="R58">
        <f ca="1">_xll.ciqfunctions.udf.CIQ($B58,"IQ_CDS_mid",R$2)</f>
        <v>43.516300000000001</v>
      </c>
      <c r="S58">
        <f ca="1">_xll.ciqfunctions.udf.CIQ($B58,"IQ_CDS_mid",S$2)</f>
        <v>46.777900000000002</v>
      </c>
      <c r="T58">
        <f ca="1">C58-H58</f>
        <v>1.752200000000002</v>
      </c>
      <c r="U58">
        <f ca="1">C58-M58</f>
        <v>2.2035000000000053</v>
      </c>
      <c r="V58">
        <f ca="1">C58-Q58</f>
        <v>2.5478000000000023</v>
      </c>
      <c r="W58">
        <f ca="1">C58-R58</f>
        <v>0.36480000000000246</v>
      </c>
      <c r="X58">
        <f t="shared" ca="1" si="13"/>
        <v>-2.8967999999999989</v>
      </c>
    </row>
    <row r="59" spans="1:24" ht="15.5">
      <c r="A59" s="28" t="s">
        <v>21</v>
      </c>
      <c r="X59">
        <f t="shared" si="13"/>
        <v>0</v>
      </c>
    </row>
    <row r="60" spans="1:24" ht="15.5">
      <c r="A60" s="27" t="s">
        <v>134</v>
      </c>
      <c r="B60" s="25" t="s">
        <v>133</v>
      </c>
      <c r="C60">
        <f ca="1">_xll.ciqfunctions.udf.CIQ($B60,"IQ_CDS_mid",C$2)</f>
        <v>47.959400000000002</v>
      </c>
      <c r="D60">
        <f ca="1">_xll.ciqfunctions.udf.CIQ($B60,"IQ_CDS_mid",D$2)</f>
        <v>47.959400000000002</v>
      </c>
      <c r="E60">
        <f ca="1">_xll.ciqfunctions.udf.CIQ($B60,"IQ_CDS_mid",E$2)</f>
        <v>47.959400000000002</v>
      </c>
      <c r="F60">
        <f ca="1">_xll.ciqfunctions.udf.CIQ($B60,"IQ_CDS_mid",F$2)</f>
        <v>47.959400000000002</v>
      </c>
      <c r="G60">
        <f ca="1">_xll.ciqfunctions.udf.CIQ($B60,"IQ_CDS_mid",G$2)</f>
        <v>47.282699999999998</v>
      </c>
      <c r="H60">
        <f ca="1">_xll.ciqfunctions.udf.CIQ($B60,"IQ_CDS_mid",H$2)</f>
        <v>47.254100000000001</v>
      </c>
      <c r="I60">
        <f ca="1">_xll.ciqfunctions.udf.CIQ($B60,"IQ_CDS_mid",I$2)</f>
        <v>47.4893</v>
      </c>
      <c r="J60">
        <f ca="1">_xll.ciqfunctions.udf.CIQ($B60,"IQ_CDS_mid",J$2)</f>
        <v>46.8643</v>
      </c>
      <c r="K60">
        <f ca="1">_xll.ciqfunctions.udf.CIQ($B60,"IQ_CDS_mid",K$2)</f>
        <v>46.726999999999997</v>
      </c>
      <c r="L60">
        <f ca="1">_xll.ciqfunctions.udf.CIQ($B60,"IQ_CDS_mid",L$2)</f>
        <v>46.726999999999997</v>
      </c>
      <c r="M60">
        <f ca="1">_xll.ciqfunctions.udf.CIQ($B60,"IQ_CDS_mid",M$2)</f>
        <v>46.726999999999997</v>
      </c>
      <c r="N60">
        <f ca="1">_xll.ciqfunctions.udf.CIQ($B60,"IQ_CDS_mid",N$2)</f>
        <v>46.920900000000003</v>
      </c>
      <c r="O60">
        <f ca="1">_xll.ciqfunctions.udf.CIQ($B60,"IQ_CDS_mid",O$2)</f>
        <v>47.0319</v>
      </c>
      <c r="P60">
        <f ca="1">_xll.ciqfunctions.udf.CIQ($B60,"IQ_CDS_mid",P$2)</f>
        <v>46.125</v>
      </c>
      <c r="Q60">
        <f ca="1">_xll.ciqfunctions.udf.CIQ($B60,"IQ_CDS_mid",Q$2)</f>
        <v>46.177999999999997</v>
      </c>
      <c r="R60">
        <f ca="1">_xll.ciqfunctions.udf.CIQ($B60,"IQ_CDS_mid",R$2)</f>
        <v>55.372700000000002</v>
      </c>
      <c r="S60">
        <f ca="1">_xll.ciqfunctions.udf.CIQ($B60,"IQ_CDS_mid",S$2)</f>
        <v>47.206899999999997</v>
      </c>
      <c r="T60">
        <f ca="1">C60-H60</f>
        <v>0.70530000000000115</v>
      </c>
      <c r="U60">
        <f ca="1">C60-M60</f>
        <v>1.2324000000000055</v>
      </c>
      <c r="V60">
        <f ca="1">C60-Q60</f>
        <v>1.781400000000005</v>
      </c>
      <c r="W60">
        <f ca="1">C60-R60</f>
        <v>-7.4132999999999996</v>
      </c>
      <c r="X60">
        <f t="shared" ca="1" si="13"/>
        <v>0.75250000000000483</v>
      </c>
    </row>
    <row r="61" spans="1:24" ht="15.5">
      <c r="A61" s="27" t="s">
        <v>132</v>
      </c>
      <c r="B61" s="25" t="s">
        <v>131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8" t="s">
        <v>23</v>
      </c>
      <c r="X62">
        <f t="shared" si="13"/>
        <v>0</v>
      </c>
    </row>
    <row r="63" spans="1:24" ht="15.5">
      <c r="A63" s="27" t="s">
        <v>24</v>
      </c>
      <c r="B63" s="25" t="s">
        <v>130</v>
      </c>
      <c r="C63">
        <f ca="1">_xll.ciqfunctions.udf.CIQ($B63,"IQ_CDS_mid",C$2)</f>
        <v>60.666699999999999</v>
      </c>
      <c r="D63">
        <f ca="1">_xll.ciqfunctions.udf.CIQ($B63,"IQ_CDS_mid",D$2)</f>
        <v>60.666699999999999</v>
      </c>
      <c r="E63">
        <f ca="1">_xll.ciqfunctions.udf.CIQ($B63,"IQ_CDS_mid",E$2)</f>
        <v>60.666699999999999</v>
      </c>
      <c r="F63">
        <f ca="1">_xll.ciqfunctions.udf.CIQ($B63,"IQ_CDS_mid",F$2)</f>
        <v>60.666699999999999</v>
      </c>
      <c r="G63">
        <f ca="1">_xll.ciqfunctions.udf.CIQ($B63,"IQ_CDS_mid",G$2)</f>
        <v>59.799199999999999</v>
      </c>
      <c r="H63">
        <f ca="1">_xll.ciqfunctions.udf.CIQ($B63,"IQ_CDS_mid",H$2)</f>
        <v>60.664400000000001</v>
      </c>
      <c r="I63">
        <f ca="1">_xll.ciqfunctions.udf.CIQ($B63,"IQ_CDS_mid",I$2)</f>
        <v>60.900700000000001</v>
      </c>
      <c r="J63">
        <f ca="1">_xll.ciqfunctions.udf.CIQ($B63,"IQ_CDS_mid",J$2)</f>
        <v>60.703299999999999</v>
      </c>
      <c r="K63">
        <f ca="1">_xll.ciqfunctions.udf.CIQ($B63,"IQ_CDS_mid",K$2)</f>
        <v>60.189399999999999</v>
      </c>
      <c r="L63">
        <f ca="1">_xll.ciqfunctions.udf.CIQ($B63,"IQ_CDS_mid",L$2)</f>
        <v>60.189399999999999</v>
      </c>
      <c r="M63">
        <f ca="1">_xll.ciqfunctions.udf.CIQ($B63,"IQ_CDS_mid",M$2)</f>
        <v>60.189399999999999</v>
      </c>
      <c r="N63">
        <f ca="1">_xll.ciqfunctions.udf.CIQ($B63,"IQ_CDS_mid",N$2)</f>
        <v>60.837699999999998</v>
      </c>
      <c r="O63">
        <f ca="1">_xll.ciqfunctions.udf.CIQ($B63,"IQ_CDS_mid",O$2)</f>
        <v>61.0807</v>
      </c>
      <c r="P63">
        <f ca="1">_xll.ciqfunctions.udf.CIQ($B63,"IQ_CDS_mid",P$2)</f>
        <v>61.219799999999999</v>
      </c>
      <c r="Q63">
        <f ca="1">_xll.ciqfunctions.udf.CIQ($B63,"IQ_CDS_mid",Q$2)</f>
        <v>60.849600000000002</v>
      </c>
      <c r="R63">
        <f ca="1">_xll.ciqfunctions.udf.CIQ($B63,"IQ_CDS_mid",R$2)</f>
        <v>68.647300000000001</v>
      </c>
      <c r="S63">
        <f ca="1">_xll.ciqfunctions.udf.CIQ($B63,"IQ_CDS_mid",S$2)</f>
        <v>62.675199999999997</v>
      </c>
      <c r="T63">
        <f ca="1">C63-H63</f>
        <v>2.2999999999981924E-3</v>
      </c>
      <c r="U63">
        <f ca="1">C63-M63</f>
        <v>0.47729999999999961</v>
      </c>
      <c r="V63">
        <f ca="1">C63-Q63</f>
        <v>-0.18290000000000362</v>
      </c>
      <c r="W63">
        <f ca="1">C63-R63</f>
        <v>-7.9806000000000026</v>
      </c>
      <c r="X63">
        <f t="shared" ca="1" si="13"/>
        <v>-2.008499999999998</v>
      </c>
    </row>
    <row r="64" spans="1:24" ht="15.5">
      <c r="A64" s="27" t="s">
        <v>25</v>
      </c>
      <c r="B64" s="25" t="s">
        <v>129</v>
      </c>
      <c r="C64">
        <f ca="1">_xll.ciqfunctions.udf.CIQ($B64,"IQ_CDS_mid",C$2)</f>
        <v>39.036700000000003</v>
      </c>
      <c r="D64">
        <f ca="1">_xll.ciqfunctions.udf.CIQ($B64,"IQ_CDS_mid",D$2)</f>
        <v>39.036700000000003</v>
      </c>
      <c r="E64">
        <f ca="1">_xll.ciqfunctions.udf.CIQ($B64,"IQ_CDS_mid",E$2)</f>
        <v>39.036700000000003</v>
      </c>
      <c r="F64">
        <f ca="1">_xll.ciqfunctions.udf.CIQ($B64,"IQ_CDS_mid",F$2)</f>
        <v>39.036700000000003</v>
      </c>
      <c r="G64">
        <f ca="1">_xll.ciqfunctions.udf.CIQ($B64,"IQ_CDS_mid",G$2)</f>
        <v>38.414999999999999</v>
      </c>
      <c r="H64">
        <f ca="1">_xll.ciqfunctions.udf.CIQ($B64,"IQ_CDS_mid",H$2)</f>
        <v>38.5015</v>
      </c>
      <c r="I64">
        <f ca="1">_xll.ciqfunctions.udf.CIQ($B64,"IQ_CDS_mid",I$2)</f>
        <v>38.765599999999999</v>
      </c>
      <c r="J64">
        <f ca="1">_xll.ciqfunctions.udf.CIQ($B64,"IQ_CDS_mid",J$2)</f>
        <v>38.46</v>
      </c>
      <c r="K64">
        <f ca="1">_xll.ciqfunctions.udf.CIQ($B64,"IQ_CDS_mid",K$2)</f>
        <v>38.0349</v>
      </c>
      <c r="L64">
        <f ca="1">_xll.ciqfunctions.udf.CIQ($B64,"IQ_CDS_mid",L$2)</f>
        <v>38.0349</v>
      </c>
      <c r="M64">
        <f ca="1">_xll.ciqfunctions.udf.CIQ($B64,"IQ_CDS_mid",M$2)</f>
        <v>38.0349</v>
      </c>
      <c r="N64">
        <f ca="1">_xll.ciqfunctions.udf.CIQ($B64,"IQ_CDS_mid",N$2)</f>
        <v>38.285400000000003</v>
      </c>
      <c r="O64">
        <f ca="1">_xll.ciqfunctions.udf.CIQ($B64,"IQ_CDS_mid",O$2)</f>
        <v>38.423400000000001</v>
      </c>
      <c r="P64">
        <f ca="1">_xll.ciqfunctions.udf.CIQ($B64,"IQ_CDS_mid",P$2)</f>
        <v>38.002099999999999</v>
      </c>
      <c r="Q64">
        <f ca="1">_xll.ciqfunctions.udf.CIQ($B64,"IQ_CDS_mid",Q$2)</f>
        <v>37.812399999999997</v>
      </c>
      <c r="R64">
        <f ca="1">_xll.ciqfunctions.udf.CIQ($B64,"IQ_CDS_mid",R$2)</f>
        <v>47.363399999999999</v>
      </c>
      <c r="S64">
        <f ca="1">_xll.ciqfunctions.udf.CIQ($B64,"IQ_CDS_mid",S$2)</f>
        <v>49.041600000000003</v>
      </c>
      <c r="T64">
        <f ca="1">C64-H64</f>
        <v>0.53520000000000323</v>
      </c>
      <c r="U64">
        <f ca="1">C64-M64</f>
        <v>1.0018000000000029</v>
      </c>
      <c r="V64">
        <f ca="1">C64-Q64</f>
        <v>1.2243000000000066</v>
      </c>
      <c r="W64">
        <f ca="1">C64-R64</f>
        <v>-8.3266999999999953</v>
      </c>
      <c r="X64">
        <f t="shared" ca="1" si="13"/>
        <v>-10.004899999999999</v>
      </c>
    </row>
    <row r="65" spans="1:24" ht="15.5">
      <c r="A65" s="27" t="s">
        <v>26</v>
      </c>
      <c r="B65" s="25" t="s">
        <v>128</v>
      </c>
      <c r="C65">
        <f ca="1">_xll.ciqfunctions.udf.CIQ($B65,"IQ_CDS_mid",C$2)</f>
        <v>55.879399999999997</v>
      </c>
      <c r="D65">
        <f ca="1">_xll.ciqfunctions.udf.CIQ($B65,"IQ_CDS_mid",D$2)</f>
        <v>55.879399999999997</v>
      </c>
      <c r="E65">
        <f ca="1">_xll.ciqfunctions.udf.CIQ($B65,"IQ_CDS_mid",E$2)</f>
        <v>55.879399999999997</v>
      </c>
      <c r="F65">
        <f ca="1">_xll.ciqfunctions.udf.CIQ($B65,"IQ_CDS_mid",F$2)</f>
        <v>55.879399999999997</v>
      </c>
      <c r="G65">
        <f ca="1">_xll.ciqfunctions.udf.CIQ($B65,"IQ_CDS_mid",G$2)</f>
        <v>55.098700000000001</v>
      </c>
      <c r="H65">
        <f ca="1">_xll.ciqfunctions.udf.CIQ($B65,"IQ_CDS_mid",H$2)</f>
        <v>55.1267</v>
      </c>
      <c r="I65">
        <f ca="1">_xll.ciqfunctions.udf.CIQ($B65,"IQ_CDS_mid",I$2)</f>
        <v>55.5715</v>
      </c>
      <c r="J65">
        <f ca="1">_xll.ciqfunctions.udf.CIQ($B65,"IQ_CDS_mid",J$2)</f>
        <v>55.329700000000003</v>
      </c>
      <c r="K65">
        <f ca="1">_xll.ciqfunctions.udf.CIQ($B65,"IQ_CDS_mid",K$2)</f>
        <v>54.994399999999999</v>
      </c>
      <c r="L65">
        <f ca="1">_xll.ciqfunctions.udf.CIQ($B65,"IQ_CDS_mid",L$2)</f>
        <v>54.994399999999999</v>
      </c>
      <c r="M65">
        <f ca="1">_xll.ciqfunctions.udf.CIQ($B65,"IQ_CDS_mid",M$2)</f>
        <v>54.994399999999999</v>
      </c>
      <c r="N65">
        <f ca="1">_xll.ciqfunctions.udf.CIQ($B65,"IQ_CDS_mid",N$2)</f>
        <v>55.333300000000001</v>
      </c>
      <c r="O65">
        <f ca="1">_xll.ciqfunctions.udf.CIQ($B65,"IQ_CDS_mid",O$2)</f>
        <v>55.3384</v>
      </c>
      <c r="P65">
        <f ca="1">_xll.ciqfunctions.udf.CIQ($B65,"IQ_CDS_mid",P$2)</f>
        <v>54.752299999999998</v>
      </c>
      <c r="Q65">
        <f ca="1">_xll.ciqfunctions.udf.CIQ($B65,"IQ_CDS_mid",Q$2)</f>
        <v>54.7393</v>
      </c>
      <c r="R65">
        <f ca="1">_xll.ciqfunctions.udf.CIQ($B65,"IQ_CDS_mid",R$2)</f>
        <v>62.352499999999999</v>
      </c>
      <c r="S65">
        <f ca="1">_xll.ciqfunctions.udf.CIQ($B65,"IQ_CDS_mid",S$2)</f>
        <v>56.022799999999997</v>
      </c>
      <c r="T65">
        <f ca="1">C65-H65</f>
        <v>0.75269999999999726</v>
      </c>
      <c r="U65">
        <f ca="1">C65-M65</f>
        <v>0.88499999999999801</v>
      </c>
      <c r="V65">
        <f ca="1">C65-Q65</f>
        <v>1.1400999999999968</v>
      </c>
      <c r="W65">
        <f ca="1">C65-R65</f>
        <v>-6.4731000000000023</v>
      </c>
      <c r="X65">
        <f t="shared" ca="1" si="13"/>
        <v>-0.14339999999999975</v>
      </c>
    </row>
    <row r="66" spans="1:24" ht="15.5">
      <c r="A66" s="27" t="s">
        <v>127</v>
      </c>
      <c r="B66" s="25" t="s">
        <v>126</v>
      </c>
      <c r="C66">
        <f ca="1">_xll.ciqfunctions.udf.CIQ($B66,"IQ_CDS_mid",C$2)</f>
        <v>43.3386</v>
      </c>
      <c r="D66">
        <f ca="1">_xll.ciqfunctions.udf.CIQ($B66,"IQ_CDS_mid",D$2)</f>
        <v>43.3386</v>
      </c>
      <c r="E66">
        <f ca="1">_xll.ciqfunctions.udf.CIQ($B66,"IQ_CDS_mid",E$2)</f>
        <v>43.3386</v>
      </c>
      <c r="F66">
        <f ca="1">_xll.ciqfunctions.udf.CIQ($B66,"IQ_CDS_mid",F$2)</f>
        <v>43.3386</v>
      </c>
      <c r="G66">
        <f ca="1">_xll.ciqfunctions.udf.CIQ($B66,"IQ_CDS_mid",G$2)</f>
        <v>43</v>
      </c>
      <c r="H66">
        <f ca="1">_xll.ciqfunctions.udf.CIQ($B66,"IQ_CDS_mid",H$2)</f>
        <v>43.125</v>
      </c>
      <c r="I66">
        <f ca="1">_xll.ciqfunctions.udf.CIQ($B66,"IQ_CDS_mid",I$2)</f>
        <v>43.497</v>
      </c>
      <c r="J66">
        <f ca="1">_xll.ciqfunctions.udf.CIQ($B66,"IQ_CDS_mid",J$2)</f>
        <v>43.1</v>
      </c>
      <c r="K66">
        <f ca="1">_xll.ciqfunctions.udf.CIQ($B66,"IQ_CDS_mid",K$2)</f>
        <v>42.7014</v>
      </c>
      <c r="L66">
        <f ca="1">_xll.ciqfunctions.udf.CIQ($B66,"IQ_CDS_mid",L$2)</f>
        <v>42.7014</v>
      </c>
      <c r="M66">
        <f ca="1">_xll.ciqfunctions.udf.CIQ($B66,"IQ_CDS_mid",M$2)</f>
        <v>42.7014</v>
      </c>
      <c r="N66">
        <f ca="1">_xll.ciqfunctions.udf.CIQ($B66,"IQ_CDS_mid",N$2)</f>
        <v>42.925600000000003</v>
      </c>
      <c r="O66">
        <f ca="1">_xll.ciqfunctions.udf.CIQ($B66,"IQ_CDS_mid",O$2)</f>
        <v>43.365000000000002</v>
      </c>
      <c r="P66">
        <f ca="1">_xll.ciqfunctions.udf.CIQ($B66,"IQ_CDS_mid",P$2)</f>
        <v>42.5</v>
      </c>
      <c r="Q66">
        <f ca="1">_xll.ciqfunctions.udf.CIQ($B66,"IQ_CDS_mid",Q$2)</f>
        <v>42.4435</v>
      </c>
      <c r="R66">
        <f ca="1">_xll.ciqfunctions.udf.CIQ($B66,"IQ_CDS_mid",R$2)</f>
        <v>54.498100000000001</v>
      </c>
      <c r="S66">
        <f ca="1">_xll.ciqfunctions.udf.CIQ($B66,"IQ_CDS_mid",S$2)</f>
        <v>56.801000000000002</v>
      </c>
      <c r="T66">
        <f ca="1">C66-H66</f>
        <v>0.21359999999999957</v>
      </c>
      <c r="U66">
        <f ca="1">C66-M66</f>
        <v>0.63719999999999999</v>
      </c>
      <c r="V66">
        <f ca="1">C66-Q66</f>
        <v>0.89509999999999934</v>
      </c>
      <c r="W66">
        <f ca="1">C66-R66</f>
        <v>-11.159500000000001</v>
      </c>
      <c r="X66">
        <f t="shared" ca="1" si="13"/>
        <v>-13.462400000000002</v>
      </c>
    </row>
    <row r="67" spans="1:24" ht="15.5">
      <c r="A67" s="28" t="s">
        <v>28</v>
      </c>
      <c r="X67">
        <f t="shared" si="13"/>
        <v>0</v>
      </c>
    </row>
    <row r="68" spans="1:24" ht="15.5">
      <c r="A68" s="27" t="s">
        <v>125</v>
      </c>
      <c r="B68" s="25" t="s">
        <v>124</v>
      </c>
      <c r="C68">
        <f ca="1">_xll.ciqfunctions.udf.CIQ($B68,"IQ_CDS_mid",C$2)</f>
        <v>45.833300000000001</v>
      </c>
      <c r="D68">
        <f ca="1">_xll.ciqfunctions.udf.CIQ($B68,"IQ_CDS_mid",D$2)</f>
        <v>45.833300000000001</v>
      </c>
      <c r="E68">
        <f ca="1">_xll.ciqfunctions.udf.CIQ($B68,"IQ_CDS_mid",E$2)</f>
        <v>45.833300000000001</v>
      </c>
      <c r="F68">
        <f ca="1">_xll.ciqfunctions.udf.CIQ($B68,"IQ_CDS_mid",F$2)</f>
        <v>45.833300000000001</v>
      </c>
      <c r="G68">
        <f ca="1">_xll.ciqfunctions.udf.CIQ($B68,"IQ_CDS_mid",G$2)</f>
        <v>45.355499999999999</v>
      </c>
      <c r="H68">
        <f ca="1">_xll.ciqfunctions.udf.CIQ($B68,"IQ_CDS_mid",H$2)</f>
        <v>46.150799999999997</v>
      </c>
      <c r="I68">
        <f ca="1">_xll.ciqfunctions.udf.CIQ($B68,"IQ_CDS_mid",I$2)</f>
        <v>46.210500000000003</v>
      </c>
      <c r="J68">
        <f ca="1">_xll.ciqfunctions.udf.CIQ($B68,"IQ_CDS_mid",J$2)</f>
        <v>46.432499999999997</v>
      </c>
      <c r="K68">
        <f ca="1">_xll.ciqfunctions.udf.CIQ($B68,"IQ_CDS_mid",K$2)</f>
        <v>45.856099999999998</v>
      </c>
      <c r="L68">
        <f ca="1">_xll.ciqfunctions.udf.CIQ($B68,"IQ_CDS_mid",L$2)</f>
        <v>45.856099999999998</v>
      </c>
      <c r="M68">
        <f ca="1">_xll.ciqfunctions.udf.CIQ($B68,"IQ_CDS_mid",M$2)</f>
        <v>45.856099999999998</v>
      </c>
      <c r="N68">
        <f ca="1">_xll.ciqfunctions.udf.CIQ($B68,"IQ_CDS_mid",N$2)</f>
        <v>46.745800000000003</v>
      </c>
      <c r="O68">
        <f ca="1">_xll.ciqfunctions.udf.CIQ($B68,"IQ_CDS_mid",O$2)</f>
        <v>47.5486</v>
      </c>
      <c r="P68">
        <f ca="1">_xll.ciqfunctions.udf.CIQ($B68,"IQ_CDS_mid",P$2)</f>
        <v>47.686900000000001</v>
      </c>
      <c r="Q68">
        <f ca="1">_xll.ciqfunctions.udf.CIQ($B68,"IQ_CDS_mid",Q$2)</f>
        <v>47.375</v>
      </c>
      <c r="R68">
        <f ca="1">_xll.ciqfunctions.udf.CIQ($B68,"IQ_CDS_mid",R$2)</f>
        <v>56.183999999999997</v>
      </c>
      <c r="S68">
        <f ca="1">_xll.ciqfunctions.udf.CIQ($B68,"IQ_CDS_mid",S$2)</f>
        <v>53.616199999999999</v>
      </c>
      <c r="T68">
        <f ca="1">C68-H68</f>
        <v>-0.31749999999999545</v>
      </c>
      <c r="U68">
        <f ca="1">C68-M68</f>
        <v>-2.2799999999996601E-2</v>
      </c>
      <c r="V68">
        <f ca="1">C68-Q68</f>
        <v>-1.5416999999999987</v>
      </c>
      <c r="W68">
        <f ca="1">C68-R68</f>
        <v>-10.350699999999996</v>
      </c>
      <c r="X68">
        <f t="shared" ca="1" si="13"/>
        <v>-7.7828999999999979</v>
      </c>
    </row>
    <row r="69" spans="1:24" ht="15.5">
      <c r="A69" s="29" t="s">
        <v>30</v>
      </c>
      <c r="B69" s="25" t="s">
        <v>123</v>
      </c>
      <c r="C69">
        <f ca="1">_xll.ciqfunctions.udf.CIQ($B69,"IQ_CDS_mid",C$2)</f>
        <v>36.5</v>
      </c>
      <c r="D69">
        <f ca="1">_xll.ciqfunctions.udf.CIQ($B69,"IQ_CDS_mid",D$2)</f>
        <v>36.5</v>
      </c>
      <c r="E69">
        <f ca="1">_xll.ciqfunctions.udf.CIQ($B69,"IQ_CDS_mid",E$2)</f>
        <v>36.5</v>
      </c>
      <c r="F69">
        <f ca="1">_xll.ciqfunctions.udf.CIQ($B69,"IQ_CDS_mid",F$2)</f>
        <v>36.5</v>
      </c>
      <c r="G69">
        <f ca="1">_xll.ciqfunctions.udf.CIQ($B69,"IQ_CDS_mid",G$2)</f>
        <v>37.1</v>
      </c>
      <c r="H69">
        <f ca="1">_xll.ciqfunctions.udf.CIQ($B69,"IQ_CDS_mid",H$2)</f>
        <v>37.5</v>
      </c>
      <c r="I69">
        <f ca="1">_xll.ciqfunctions.udf.CIQ($B69,"IQ_CDS_mid",I$2)</f>
        <v>37.5</v>
      </c>
      <c r="J69">
        <f ca="1">_xll.ciqfunctions.udf.CIQ($B69,"IQ_CDS_mid",J$2)</f>
        <v>37.375999999999998</v>
      </c>
      <c r="K69">
        <f ca="1">_xll.ciqfunctions.udf.CIQ($B69,"IQ_CDS_mid",K$2)</f>
        <v>36.8705</v>
      </c>
      <c r="L69">
        <f ca="1">_xll.ciqfunctions.udf.CIQ($B69,"IQ_CDS_mid",L$2)</f>
        <v>36.8705</v>
      </c>
      <c r="M69">
        <f ca="1">_xll.ciqfunctions.udf.CIQ($B69,"IQ_CDS_mid",M$2)</f>
        <v>36.8705</v>
      </c>
      <c r="N69">
        <f ca="1">_xll.ciqfunctions.udf.CIQ($B69,"IQ_CDS_mid",N$2)</f>
        <v>37.043199999999999</v>
      </c>
      <c r="O69">
        <f ca="1">_xll.ciqfunctions.udf.CIQ($B69,"IQ_CDS_mid",O$2)</f>
        <v>37.200000000000003</v>
      </c>
      <c r="P69">
        <f ca="1">_xll.ciqfunctions.udf.CIQ($B69,"IQ_CDS_mid",P$2)</f>
        <v>36.9</v>
      </c>
      <c r="Q69">
        <f ca="1">_xll.ciqfunctions.udf.CIQ($B69,"IQ_CDS_mid",Q$2)</f>
        <v>36.953200000000002</v>
      </c>
      <c r="R69">
        <f ca="1">_xll.ciqfunctions.udf.CIQ($B69,"IQ_CDS_mid",R$2)</f>
        <v>44.25</v>
      </c>
      <c r="S69">
        <f ca="1">_xll.ciqfunctions.udf.CIQ($B69,"IQ_CDS_mid",S$2)</f>
        <v>43.417099999999998</v>
      </c>
      <c r="T69">
        <f ca="1">C69-H69</f>
        <v>-1</v>
      </c>
      <c r="U69">
        <f ca="1">C69-M69</f>
        <v>-0.37049999999999983</v>
      </c>
      <c r="V69">
        <f ca="1">C69-Q69</f>
        <v>-0.45320000000000249</v>
      </c>
      <c r="W69">
        <f ca="1">C69-R69</f>
        <v>-7.75</v>
      </c>
      <c r="X69">
        <f t="shared" ca="1" si="13"/>
        <v>-6.9170999999999978</v>
      </c>
    </row>
    <row r="70" spans="1:24" ht="15.5">
      <c r="A70" s="28" t="s">
        <v>31</v>
      </c>
      <c r="B70" s="25"/>
      <c r="X70">
        <f t="shared" si="13"/>
        <v>0</v>
      </c>
    </row>
    <row r="71" spans="1:24" ht="15.5">
      <c r="A71" s="29" t="s">
        <v>32</v>
      </c>
      <c r="B71" s="25" t="s">
        <v>122</v>
      </c>
      <c r="C71">
        <f ca="1">_xll.ciqfunctions.udf.CIQ($B71,"IQ_CDS_mid",C$2)</f>
        <v>25.16</v>
      </c>
      <c r="D71">
        <f ca="1">_xll.ciqfunctions.udf.CIQ($B71,"IQ_CDS_mid",D$2)</f>
        <v>25.16</v>
      </c>
      <c r="E71">
        <f ca="1">_xll.ciqfunctions.udf.CIQ($B71,"IQ_CDS_mid",E$2)</f>
        <v>25.16</v>
      </c>
      <c r="F71">
        <f ca="1">_xll.ciqfunctions.udf.CIQ($B71,"IQ_CDS_mid",F$2)</f>
        <v>25.16</v>
      </c>
      <c r="G71">
        <f ca="1">_xll.ciqfunctions.udf.CIQ($B71,"IQ_CDS_mid",G$2)</f>
        <v>25</v>
      </c>
      <c r="H71">
        <f ca="1">_xll.ciqfunctions.udf.CIQ($B71,"IQ_CDS_mid",H$2)</f>
        <v>24.86</v>
      </c>
      <c r="I71">
        <f ca="1">_xll.ciqfunctions.udf.CIQ($B71,"IQ_CDS_mid",I$2)</f>
        <v>25.02</v>
      </c>
      <c r="J71">
        <f ca="1">_xll.ciqfunctions.udf.CIQ($B71,"IQ_CDS_mid",J$2)</f>
        <v>24.98</v>
      </c>
      <c r="K71">
        <f ca="1">_xll.ciqfunctions.udf.CIQ($B71,"IQ_CDS_mid",K$2)</f>
        <v>24.86</v>
      </c>
      <c r="L71">
        <f ca="1">_xll.ciqfunctions.udf.CIQ($B71,"IQ_CDS_mid",L$2)</f>
        <v>24.86</v>
      </c>
      <c r="M71">
        <f ca="1">_xll.ciqfunctions.udf.CIQ($B71,"IQ_CDS_mid",M$2)</f>
        <v>24.86</v>
      </c>
      <c r="N71">
        <f ca="1">_xll.ciqfunctions.udf.CIQ($B71,"IQ_CDS_mid",N$2)</f>
        <v>24.66</v>
      </c>
      <c r="O71">
        <f ca="1">_xll.ciqfunctions.udf.CIQ($B71,"IQ_CDS_mid",O$2)</f>
        <v>25</v>
      </c>
      <c r="P71">
        <f ca="1">_xll.ciqfunctions.udf.CIQ($B71,"IQ_CDS_mid",P$2)</f>
        <v>24.8</v>
      </c>
      <c r="Q71">
        <f ca="1">_xll.ciqfunctions.udf.CIQ($B71,"IQ_CDS_mid",Q$2)</f>
        <v>24.716699999999999</v>
      </c>
      <c r="R71">
        <f ca="1">_xll.ciqfunctions.udf.CIQ($B71,"IQ_CDS_mid",R$2)</f>
        <v>28.625</v>
      </c>
      <c r="S71">
        <f ca="1">_xll.ciqfunctions.udf.CIQ($B71,"IQ_CDS_mid",S$2)</f>
        <v>38.4938</v>
      </c>
      <c r="T71">
        <f ca="1">C71-H71</f>
        <v>0.30000000000000071</v>
      </c>
      <c r="U71">
        <f ca="1">C71-M71</f>
        <v>0.30000000000000071</v>
      </c>
      <c r="V71">
        <f ca="1">C71-Q71</f>
        <v>0.44330000000000069</v>
      </c>
      <c r="W71">
        <f ca="1">C71-R71</f>
        <v>-3.4649999999999999</v>
      </c>
      <c r="X71">
        <f t="shared" ca="1" si="13"/>
        <v>-13.3338</v>
      </c>
    </row>
    <row r="72" spans="1:24" ht="15.5">
      <c r="A72" s="28" t="s">
        <v>33</v>
      </c>
      <c r="X72">
        <f t="shared" si="13"/>
        <v>0</v>
      </c>
    </row>
    <row r="73" spans="1:24" ht="15.5">
      <c r="A73" s="27" t="s">
        <v>35</v>
      </c>
      <c r="B73" s="25" t="s">
        <v>121</v>
      </c>
      <c r="C73">
        <f ca="1">_xll.ciqfunctions.udf.CIQ($B73,"IQ_CDS_mid",C$2)</f>
        <v>43.433900000000001</v>
      </c>
      <c r="D73">
        <f ca="1">_xll.ciqfunctions.udf.CIQ($B73,"IQ_CDS_mid",D$2)</f>
        <v>43.433900000000001</v>
      </c>
      <c r="E73">
        <f ca="1">_xll.ciqfunctions.udf.CIQ($B73,"IQ_CDS_mid",E$2)</f>
        <v>43.433900000000001</v>
      </c>
      <c r="F73">
        <f ca="1">_xll.ciqfunctions.udf.CIQ($B73,"IQ_CDS_mid",F$2)</f>
        <v>43.433900000000001</v>
      </c>
      <c r="G73">
        <f ca="1">_xll.ciqfunctions.udf.CIQ($B73,"IQ_CDS_mid",G$2)</f>
        <v>43.392099999999999</v>
      </c>
      <c r="H73">
        <f ca="1">_xll.ciqfunctions.udf.CIQ($B73,"IQ_CDS_mid",H$2)</f>
        <v>43.332000000000001</v>
      </c>
      <c r="I73">
        <f ca="1">_xll.ciqfunctions.udf.CIQ($B73,"IQ_CDS_mid",I$2)</f>
        <v>43.197099999999999</v>
      </c>
      <c r="J73">
        <f ca="1">_xll.ciqfunctions.udf.CIQ($B73,"IQ_CDS_mid",J$2)</f>
        <v>41.173699999999997</v>
      </c>
      <c r="K73">
        <f ca="1">_xll.ciqfunctions.udf.CIQ($B73,"IQ_CDS_mid",K$2)</f>
        <v>40.276600000000002</v>
      </c>
      <c r="L73">
        <f ca="1">_xll.ciqfunctions.udf.CIQ($B73,"IQ_CDS_mid",L$2)</f>
        <v>40.276600000000002</v>
      </c>
      <c r="M73">
        <f ca="1">_xll.ciqfunctions.udf.CIQ($B73,"IQ_CDS_mid",M$2)</f>
        <v>40.276600000000002</v>
      </c>
      <c r="N73">
        <f ca="1">_xll.ciqfunctions.udf.CIQ($B73,"IQ_CDS_mid",N$2)</f>
        <v>40.391100000000002</v>
      </c>
      <c r="O73">
        <f ca="1">_xll.ciqfunctions.udf.CIQ($B73,"IQ_CDS_mid",O$2)</f>
        <v>40.516100000000002</v>
      </c>
      <c r="P73">
        <f ca="1">_xll.ciqfunctions.udf.CIQ($B73,"IQ_CDS_mid",P$2)</f>
        <v>39.250100000000003</v>
      </c>
      <c r="Q73">
        <f ca="1">_xll.ciqfunctions.udf.CIQ($B73,"IQ_CDS_mid",Q$2)</f>
        <v>39.424399999999999</v>
      </c>
      <c r="R73">
        <f ca="1">_xll.ciqfunctions.udf.CIQ($B73,"IQ_CDS_mid",R$2)</f>
        <v>42.827199999999998</v>
      </c>
      <c r="S73">
        <f ca="1">_xll.ciqfunctions.udf.CIQ($B73,"IQ_CDS_mid",S$2)</f>
        <v>36.1</v>
      </c>
      <c r="T73">
        <f ca="1">C73-H73</f>
        <v>0.10190000000000055</v>
      </c>
      <c r="U73">
        <f ca="1">C73-M73</f>
        <v>3.1572999999999993</v>
      </c>
      <c r="V73">
        <f ca="1">C73-Q73</f>
        <v>4.0095000000000027</v>
      </c>
      <c r="W73">
        <f ca="1">C73-R73</f>
        <v>0.60670000000000357</v>
      </c>
      <c r="X73">
        <f t="shared" ca="1" si="13"/>
        <v>7.3338999999999999</v>
      </c>
    </row>
    <row r="74" spans="1:24" ht="15.5">
      <c r="A74" s="27" t="s">
        <v>36</v>
      </c>
      <c r="B74" s="25" t="s">
        <v>120</v>
      </c>
      <c r="C74">
        <f ca="1">_xll.ciqfunctions.udf.CIQ($B74,"IQ_CDS_mid",C$2)</f>
        <v>41.3125</v>
      </c>
      <c r="D74">
        <f ca="1">_xll.ciqfunctions.udf.CIQ($B74,"IQ_CDS_mid",D$2)</f>
        <v>41.3125</v>
      </c>
      <c r="E74">
        <f ca="1">_xll.ciqfunctions.udf.CIQ($B74,"IQ_CDS_mid",E$2)</f>
        <v>41.3125</v>
      </c>
      <c r="F74">
        <f ca="1">_xll.ciqfunctions.udf.CIQ($B74,"IQ_CDS_mid",F$2)</f>
        <v>41.3125</v>
      </c>
      <c r="G74">
        <f ca="1">_xll.ciqfunctions.udf.CIQ($B74,"IQ_CDS_mid",G$2)</f>
        <v>41.3309</v>
      </c>
      <c r="H74">
        <f ca="1">_xll.ciqfunctions.udf.CIQ($B74,"IQ_CDS_mid",H$2)</f>
        <v>41.817799999999998</v>
      </c>
      <c r="I74">
        <f ca="1">_xll.ciqfunctions.udf.CIQ($B74,"IQ_CDS_mid",I$2)</f>
        <v>43.6434</v>
      </c>
      <c r="J74">
        <f ca="1">_xll.ciqfunctions.udf.CIQ($B74,"IQ_CDS_mid",J$2)</f>
        <v>41.251800000000003</v>
      </c>
      <c r="K74">
        <f ca="1">_xll.ciqfunctions.udf.CIQ($B74,"IQ_CDS_mid",K$2)</f>
        <v>41.522599999999997</v>
      </c>
      <c r="L74">
        <f ca="1">_xll.ciqfunctions.udf.CIQ($B74,"IQ_CDS_mid",L$2)</f>
        <v>41.522599999999997</v>
      </c>
      <c r="M74">
        <f ca="1">_xll.ciqfunctions.udf.CIQ($B74,"IQ_CDS_mid",M$2)</f>
        <v>41.522599999999997</v>
      </c>
      <c r="N74">
        <f ca="1">_xll.ciqfunctions.udf.CIQ($B74,"IQ_CDS_mid",N$2)</f>
        <v>40.308799999999998</v>
      </c>
      <c r="O74">
        <f ca="1">_xll.ciqfunctions.udf.CIQ($B74,"IQ_CDS_mid",O$2)</f>
        <v>43.139099999999999</v>
      </c>
      <c r="P74">
        <f ca="1">_xll.ciqfunctions.udf.CIQ($B74,"IQ_CDS_mid",P$2)</f>
        <v>41.501100000000001</v>
      </c>
      <c r="Q74">
        <f ca="1">_xll.ciqfunctions.udf.CIQ($B74,"IQ_CDS_mid",Q$2)</f>
        <v>41.511600000000001</v>
      </c>
      <c r="R74">
        <f ca="1">_xll.ciqfunctions.udf.CIQ($B74,"IQ_CDS_mid",R$2)</f>
        <v>41.332700000000003</v>
      </c>
      <c r="S74">
        <f ca="1">_xll.ciqfunctions.udf.CIQ($B74,"IQ_CDS_mid",S$2)</f>
        <v>31.333300000000001</v>
      </c>
      <c r="T74">
        <f ca="1">C74-H74</f>
        <v>-0.50529999999999831</v>
      </c>
      <c r="U74">
        <f ca="1">C74-M74</f>
        <v>-0.21009999999999707</v>
      </c>
      <c r="V74">
        <f ca="1">C74-Q74</f>
        <v>-0.19910000000000139</v>
      </c>
      <c r="W74">
        <f ca="1">C74-R74</f>
        <v>-2.020000000000266E-2</v>
      </c>
      <c r="X74">
        <f t="shared" ca="1" si="13"/>
        <v>9.9791999999999987</v>
      </c>
    </row>
    <row r="75" spans="1:24" ht="15.5">
      <c r="A75" s="27" t="s">
        <v>37</v>
      </c>
      <c r="B75" s="25" t="s">
        <v>119</v>
      </c>
      <c r="C75">
        <f ca="1">_xll.ciqfunctions.udf.CIQ($B75,"IQ_CDS_mid",C$2)</f>
        <v>41.042499999999997</v>
      </c>
      <c r="D75">
        <f ca="1">_xll.ciqfunctions.udf.CIQ($B75,"IQ_CDS_mid",D$2)</f>
        <v>41.042499999999997</v>
      </c>
      <c r="E75">
        <f ca="1">_xll.ciqfunctions.udf.CIQ($B75,"IQ_CDS_mid",E$2)</f>
        <v>41.042499999999997</v>
      </c>
      <c r="F75">
        <f ca="1">_xll.ciqfunctions.udf.CIQ($B75,"IQ_CDS_mid",F$2)</f>
        <v>41.042499999999997</v>
      </c>
      <c r="G75">
        <f ca="1">_xll.ciqfunctions.udf.CIQ($B75,"IQ_CDS_mid",G$2)</f>
        <v>41.052500000000002</v>
      </c>
      <c r="H75">
        <f ca="1">_xll.ciqfunctions.udf.CIQ($B75,"IQ_CDS_mid",H$2)</f>
        <v>41.089199999999998</v>
      </c>
      <c r="I75">
        <f ca="1">_xll.ciqfunctions.udf.CIQ($B75,"IQ_CDS_mid",I$2)</f>
        <v>41.145000000000003</v>
      </c>
      <c r="J75">
        <f ca="1">_xll.ciqfunctions.udf.CIQ($B75,"IQ_CDS_mid",J$2)</f>
        <v>41.148099999999999</v>
      </c>
      <c r="K75">
        <f ca="1">_xll.ciqfunctions.udf.CIQ($B75,"IQ_CDS_mid",K$2)</f>
        <v>41.293100000000003</v>
      </c>
      <c r="L75">
        <f ca="1">_xll.ciqfunctions.udf.CIQ($B75,"IQ_CDS_mid",L$2)</f>
        <v>41.293100000000003</v>
      </c>
      <c r="M75">
        <f ca="1">_xll.ciqfunctions.udf.CIQ($B75,"IQ_CDS_mid",M$2)</f>
        <v>41.293100000000003</v>
      </c>
      <c r="N75">
        <f ca="1">_xll.ciqfunctions.udf.CIQ($B75,"IQ_CDS_mid",N$2)</f>
        <v>41.466500000000003</v>
      </c>
      <c r="O75">
        <f ca="1">_xll.ciqfunctions.udf.CIQ($B75,"IQ_CDS_mid",O$2)</f>
        <v>41.888199999999998</v>
      </c>
      <c r="P75">
        <f ca="1">_xll.ciqfunctions.udf.CIQ($B75,"IQ_CDS_mid",P$2)</f>
        <v>42.812399999999997</v>
      </c>
      <c r="Q75">
        <f ca="1">_xll.ciqfunctions.udf.CIQ($B75,"IQ_CDS_mid",Q$2)</f>
        <v>43.237499999999997</v>
      </c>
      <c r="R75">
        <f ca="1">_xll.ciqfunctions.udf.CIQ($B75,"IQ_CDS_mid",R$2)</f>
        <v>46.39</v>
      </c>
      <c r="S75">
        <f ca="1">_xll.ciqfunctions.udf.CIQ($B75,"IQ_CDS_mid",S$2)</f>
        <v>55.802500000000002</v>
      </c>
      <c r="T75">
        <f ca="1">C75-H75</f>
        <v>-4.6700000000001296E-2</v>
      </c>
      <c r="U75">
        <f ca="1">C75-M75</f>
        <v>-0.25060000000000571</v>
      </c>
      <c r="V75">
        <f ca="1">C75-Q75</f>
        <v>-2.1950000000000003</v>
      </c>
      <c r="W75">
        <f ca="1">C75-R75</f>
        <v>-5.3475000000000037</v>
      </c>
      <c r="X75">
        <f t="shared" ca="1" si="13"/>
        <v>-14.760000000000005</v>
      </c>
    </row>
    <row r="76" spans="1:24" ht="15.5">
      <c r="A76" s="29" t="s">
        <v>38</v>
      </c>
      <c r="B76" s="25" t="s">
        <v>118</v>
      </c>
      <c r="C76">
        <f ca="1">_xll.ciqfunctions.udf.CIQ($B76,"IQ_CDS_mid",C$2)</f>
        <v>63.653300000000002</v>
      </c>
      <c r="D76">
        <f ca="1">_xll.ciqfunctions.udf.CIQ($B76,"IQ_CDS_mid",D$2)</f>
        <v>63.653300000000002</v>
      </c>
      <c r="E76">
        <f ca="1">_xll.ciqfunctions.udf.CIQ($B76,"IQ_CDS_mid",E$2)</f>
        <v>63.653300000000002</v>
      </c>
      <c r="F76">
        <f ca="1">_xll.ciqfunctions.udf.CIQ($B76,"IQ_CDS_mid",F$2)</f>
        <v>63.653300000000002</v>
      </c>
      <c r="G76">
        <f ca="1">_xll.ciqfunctions.udf.CIQ($B76,"IQ_CDS_mid",G$2)</f>
        <v>63.594999999999999</v>
      </c>
      <c r="H76">
        <f ca="1">_xll.ciqfunctions.udf.CIQ($B76,"IQ_CDS_mid",H$2)</f>
        <v>64.0749</v>
      </c>
      <c r="I76">
        <f ca="1">_xll.ciqfunctions.udf.CIQ($B76,"IQ_CDS_mid",I$2)</f>
        <v>64.131299999999996</v>
      </c>
      <c r="J76">
        <f ca="1">_xll.ciqfunctions.udf.CIQ($B76,"IQ_CDS_mid",J$2)</f>
        <v>64.544399999999996</v>
      </c>
      <c r="K76">
        <f ca="1">_xll.ciqfunctions.udf.CIQ($B76,"IQ_CDS_mid",K$2)</f>
        <v>65.461699999999993</v>
      </c>
      <c r="L76">
        <f ca="1">_xll.ciqfunctions.udf.CIQ($B76,"IQ_CDS_mid",L$2)</f>
        <v>65.461699999999993</v>
      </c>
      <c r="M76">
        <f ca="1">_xll.ciqfunctions.udf.CIQ($B76,"IQ_CDS_mid",M$2)</f>
        <v>65.461699999999993</v>
      </c>
      <c r="N76">
        <f ca="1">_xll.ciqfunctions.udf.CIQ($B76,"IQ_CDS_mid",N$2)</f>
        <v>64.956400000000002</v>
      </c>
      <c r="O76">
        <f ca="1">_xll.ciqfunctions.udf.CIQ($B76,"IQ_CDS_mid",O$2)</f>
        <v>64.746799999999993</v>
      </c>
      <c r="P76">
        <f ca="1">_xll.ciqfunctions.udf.CIQ($B76,"IQ_CDS_mid",P$2)</f>
        <v>65.355599999999995</v>
      </c>
      <c r="Q76">
        <f ca="1">_xll.ciqfunctions.udf.CIQ($B76,"IQ_CDS_mid",Q$2)</f>
        <v>65.168999999999997</v>
      </c>
      <c r="R76">
        <f ca="1">_xll.ciqfunctions.udf.CIQ($B76,"IQ_CDS_mid",R$2)</f>
        <v>70.7136</v>
      </c>
      <c r="S76">
        <f ca="1">_xll.ciqfunctions.udf.CIQ($B76,"IQ_CDS_mid",S$2)</f>
        <v>69.516599999999997</v>
      </c>
      <c r="T76">
        <f ca="1">C76-H76</f>
        <v>-0.42159999999999798</v>
      </c>
      <c r="U76">
        <f ca="1">C76-M76</f>
        <v>-1.8083999999999918</v>
      </c>
      <c r="V76">
        <f ca="1">C76-Q76</f>
        <v>-1.5156999999999954</v>
      </c>
      <c r="W76">
        <f ca="1">C76-R76</f>
        <v>-7.060299999999998</v>
      </c>
      <c r="X76">
        <f t="shared" ca="1" si="13"/>
        <v>-5.8632999999999953</v>
      </c>
    </row>
    <row r="77" spans="1:24" ht="15.5">
      <c r="A77" s="29" t="s">
        <v>39</v>
      </c>
      <c r="B77" s="25" t="s">
        <v>117</v>
      </c>
      <c r="C77">
        <f ca="1">_xll.ciqfunctions.udf.CIQ($B77,"IQ_CDS_mid",C$2)</f>
        <v>75.218100000000007</v>
      </c>
      <c r="D77">
        <f ca="1">_xll.ciqfunctions.udf.CIQ($B77,"IQ_CDS_mid",D$2)</f>
        <v>75.218100000000007</v>
      </c>
      <c r="E77">
        <f ca="1">_xll.ciqfunctions.udf.CIQ($B77,"IQ_CDS_mid",E$2)</f>
        <v>75.218100000000007</v>
      </c>
      <c r="F77">
        <f ca="1">_xll.ciqfunctions.udf.CIQ($B77,"IQ_CDS_mid",F$2)</f>
        <v>75.218100000000007</v>
      </c>
      <c r="G77">
        <f ca="1">_xll.ciqfunctions.udf.CIQ($B77,"IQ_CDS_mid",G$2)</f>
        <v>75.213499999999996</v>
      </c>
      <c r="H77">
        <f ca="1">_xll.ciqfunctions.udf.CIQ($B77,"IQ_CDS_mid",H$2)</f>
        <v>75.210700000000003</v>
      </c>
      <c r="I77">
        <f ca="1">_xll.ciqfunctions.udf.CIQ($B77,"IQ_CDS_mid",I$2)</f>
        <v>74.631799999999998</v>
      </c>
      <c r="J77">
        <f ca="1">_xll.ciqfunctions.udf.CIQ($B77,"IQ_CDS_mid",J$2)</f>
        <v>75.213800000000006</v>
      </c>
      <c r="K77">
        <f ca="1">_xll.ciqfunctions.udf.CIQ($B77,"IQ_CDS_mid",K$2)</f>
        <v>74.887900000000002</v>
      </c>
      <c r="L77">
        <f ca="1">_xll.ciqfunctions.udf.CIQ($B77,"IQ_CDS_mid",L$2)</f>
        <v>74.887900000000002</v>
      </c>
      <c r="M77">
        <f ca="1">_xll.ciqfunctions.udf.CIQ($B77,"IQ_CDS_mid",M$2)</f>
        <v>74.887900000000002</v>
      </c>
      <c r="N77">
        <f ca="1">_xll.ciqfunctions.udf.CIQ($B77,"IQ_CDS_mid",N$2)</f>
        <v>75.887900000000002</v>
      </c>
      <c r="O77">
        <f ca="1">_xll.ciqfunctions.udf.CIQ($B77,"IQ_CDS_mid",O$2)</f>
        <v>75.878399999999999</v>
      </c>
      <c r="P77">
        <f ca="1">_xll.ciqfunctions.udf.CIQ($B77,"IQ_CDS_mid",P$2)</f>
        <v>75.882599999999996</v>
      </c>
      <c r="Q77">
        <f ca="1">_xll.ciqfunctions.udf.CIQ($B77,"IQ_CDS_mid",Q$2)</f>
        <v>75.878600000000006</v>
      </c>
      <c r="R77">
        <f ca="1">_xll.ciqfunctions.udf.CIQ($B77,"IQ_CDS_mid",R$2)</f>
        <v>74.140699999999995</v>
      </c>
      <c r="S77">
        <f ca="1">_xll.ciqfunctions.udf.CIQ($B77,"IQ_CDS_mid",S$2)</f>
        <v>78.673500000000004</v>
      </c>
      <c r="T77">
        <f ca="1">C77-H77</f>
        <v>7.40000000000407E-3</v>
      </c>
      <c r="U77">
        <f ca="1">C77-M77</f>
        <v>0.33020000000000493</v>
      </c>
      <c r="V77">
        <f ca="1">C77-Q77</f>
        <v>-0.66049999999999898</v>
      </c>
      <c r="W77">
        <f ca="1">C77-R77</f>
        <v>1.0774000000000115</v>
      </c>
      <c r="X77">
        <f t="shared" ca="1" si="13"/>
        <v>-3.4553999999999974</v>
      </c>
    </row>
    <row r="78" spans="1:24" ht="15.5">
      <c r="A78" s="28" t="s">
        <v>40</v>
      </c>
      <c r="X78">
        <f t="shared" si="13"/>
        <v>0</v>
      </c>
    </row>
    <row r="79" spans="1:24" ht="15.5">
      <c r="A79" s="27" t="s">
        <v>42</v>
      </c>
      <c r="B79" s="25" t="s">
        <v>116</v>
      </c>
      <c r="C79">
        <f ca="1">_xll.ciqfunctions.udf.CIQ($B79,"IQ_CDS_mid",C$2)</f>
        <v>61.166699999999999</v>
      </c>
      <c r="D79">
        <f ca="1">_xll.ciqfunctions.udf.CIQ($B79,"IQ_CDS_mid",D$2)</f>
        <v>61.166699999999999</v>
      </c>
      <c r="E79">
        <f ca="1">_xll.ciqfunctions.udf.CIQ($B79,"IQ_CDS_mid",E$2)</f>
        <v>61.166699999999999</v>
      </c>
      <c r="F79">
        <f ca="1">_xll.ciqfunctions.udf.CIQ($B79,"IQ_CDS_mid",F$2)</f>
        <v>61.166699999999999</v>
      </c>
      <c r="G79">
        <f ca="1">_xll.ciqfunctions.udf.CIQ($B79,"IQ_CDS_mid",G$2)</f>
        <v>61.166699999999999</v>
      </c>
      <c r="H79">
        <f ca="1">_xll.ciqfunctions.udf.CIQ($B79,"IQ_CDS_mid",H$2)</f>
        <v>61.5</v>
      </c>
      <c r="I79">
        <f ca="1">_xll.ciqfunctions.udf.CIQ($B79,"IQ_CDS_mid",I$2)</f>
        <v>61.5</v>
      </c>
      <c r="J79">
        <f ca="1">_xll.ciqfunctions.udf.CIQ($B79,"IQ_CDS_mid",J$2)</f>
        <v>61.5</v>
      </c>
      <c r="K79">
        <f ca="1">_xll.ciqfunctions.udf.CIQ($B79,"IQ_CDS_mid",K$2)</f>
        <v>61.5</v>
      </c>
      <c r="L79">
        <f ca="1">_xll.ciqfunctions.udf.CIQ($B79,"IQ_CDS_mid",L$2)</f>
        <v>61.5</v>
      </c>
      <c r="M79">
        <f ca="1">_xll.ciqfunctions.udf.CIQ($B79,"IQ_CDS_mid",M$2)</f>
        <v>61.5</v>
      </c>
      <c r="N79">
        <f ca="1">_xll.ciqfunctions.udf.CIQ($B79,"IQ_CDS_mid",N$2)</f>
        <v>61.5</v>
      </c>
      <c r="O79">
        <f ca="1">_xll.ciqfunctions.udf.CIQ($B79,"IQ_CDS_mid",O$2)</f>
        <v>61.666699999999999</v>
      </c>
      <c r="P79">
        <f ca="1">_xll.ciqfunctions.udf.CIQ($B79,"IQ_CDS_mid",P$2)</f>
        <v>61.333300000000001</v>
      </c>
      <c r="Q79">
        <f ca="1">_xll.ciqfunctions.udf.CIQ($B79,"IQ_CDS_mid",Q$2)</f>
        <v>61.333300000000001</v>
      </c>
      <c r="R79">
        <f ca="1">_xll.ciqfunctions.udf.CIQ($B79,"IQ_CDS_mid",R$2)</f>
        <v>52.422499999999999</v>
      </c>
      <c r="S79">
        <f ca="1">_xll.ciqfunctions.udf.CIQ($B79,"IQ_CDS_mid",S$2)</f>
        <v>40.514899999999997</v>
      </c>
      <c r="T79">
        <f t="shared" ref="T79:T84" ca="1" si="18">C79-H79</f>
        <v>-0.33330000000000126</v>
      </c>
      <c r="U79">
        <f t="shared" ref="U79:U84" ca="1" si="19">C79-M79</f>
        <v>-0.33330000000000126</v>
      </c>
      <c r="V79">
        <f t="shared" ref="V79:V84" ca="1" si="20">C79-Q79</f>
        <v>-0.16660000000000252</v>
      </c>
      <c r="W79">
        <f t="shared" ref="W79:W84" ca="1" si="21">C79-R79</f>
        <v>8.7441999999999993</v>
      </c>
      <c r="X79">
        <f t="shared" ca="1" si="13"/>
        <v>20.651800000000001</v>
      </c>
    </row>
    <row r="80" spans="1:24" ht="15.5">
      <c r="A80" s="27" t="s">
        <v>43</v>
      </c>
      <c r="B80" s="25" t="s">
        <v>115</v>
      </c>
      <c r="C80">
        <f ca="1">_xll.ciqfunctions.udf.CIQ($B80,"IQ_CDS_mid",C$2)</f>
        <v>57.836399999999998</v>
      </c>
      <c r="D80">
        <f ca="1">_xll.ciqfunctions.udf.CIQ($B80,"IQ_CDS_mid",D$2)</f>
        <v>57.836399999999998</v>
      </c>
      <c r="E80">
        <f ca="1">_xll.ciqfunctions.udf.CIQ($B80,"IQ_CDS_mid",E$2)</f>
        <v>57.836399999999998</v>
      </c>
      <c r="F80">
        <f ca="1">_xll.ciqfunctions.udf.CIQ($B80,"IQ_CDS_mid",F$2)</f>
        <v>57.836399999999998</v>
      </c>
      <c r="G80">
        <f ca="1">_xll.ciqfunctions.udf.CIQ($B80,"IQ_CDS_mid",G$2)</f>
        <v>57.837000000000003</v>
      </c>
      <c r="H80">
        <f ca="1">_xll.ciqfunctions.udf.CIQ($B80,"IQ_CDS_mid",H$2)</f>
        <v>56.5</v>
      </c>
      <c r="I80">
        <f ca="1">_xll.ciqfunctions.udf.CIQ($B80,"IQ_CDS_mid",I$2)</f>
        <v>56.5</v>
      </c>
      <c r="J80">
        <f ca="1">_xll.ciqfunctions.udf.CIQ($B80,"IQ_CDS_mid",J$2)</f>
        <v>56.5</v>
      </c>
      <c r="K80">
        <f ca="1">_xll.ciqfunctions.udf.CIQ($B80,"IQ_CDS_mid",K$2)</f>
        <v>56.5</v>
      </c>
      <c r="L80">
        <f ca="1">_xll.ciqfunctions.udf.CIQ($B80,"IQ_CDS_mid",L$2)</f>
        <v>56.5</v>
      </c>
      <c r="M80">
        <f ca="1">_xll.ciqfunctions.udf.CIQ($B80,"IQ_CDS_mid",M$2)</f>
        <v>56.5</v>
      </c>
      <c r="N80">
        <f ca="1">_xll.ciqfunctions.udf.CIQ($B80,"IQ_CDS_mid",N$2)</f>
        <v>56.5</v>
      </c>
      <c r="O80">
        <f ca="1">_xll.ciqfunctions.udf.CIQ($B80,"IQ_CDS_mid",O$2)</f>
        <v>56.5</v>
      </c>
      <c r="P80">
        <f ca="1">_xll.ciqfunctions.udf.CIQ($B80,"IQ_CDS_mid",P$2)</f>
        <v>56</v>
      </c>
      <c r="Q80">
        <f ca="1">_xll.ciqfunctions.udf.CIQ($B80,"IQ_CDS_mid",Q$2)</f>
        <v>56</v>
      </c>
      <c r="R80">
        <f ca="1">_xll.ciqfunctions.udf.CIQ($B80,"IQ_CDS_mid",R$2)</f>
        <v>57.706299999999999</v>
      </c>
      <c r="S80">
        <f ca="1">_xll.ciqfunctions.udf.CIQ($B80,"IQ_CDS_mid",S$2)</f>
        <v>42.766199999999998</v>
      </c>
      <c r="T80">
        <f t="shared" ca="1" si="18"/>
        <v>1.3363999999999976</v>
      </c>
      <c r="U80">
        <f t="shared" ca="1" si="19"/>
        <v>1.3363999999999976</v>
      </c>
      <c r="V80">
        <f t="shared" ca="1" si="20"/>
        <v>1.8363999999999976</v>
      </c>
      <c r="W80">
        <f t="shared" ca="1" si="21"/>
        <v>0.13009999999999877</v>
      </c>
      <c r="X80">
        <f t="shared" ca="1" si="13"/>
        <v>15.0702</v>
      </c>
    </row>
    <row r="81" spans="1:24" ht="15.5">
      <c r="A81" s="27" t="s">
        <v>44</v>
      </c>
      <c r="B81" t="s">
        <v>114</v>
      </c>
      <c r="C81">
        <f ca="1">_xll.ciqfunctions.udf.CIQ($B81,"IQ_CDS_mid",C$2)</f>
        <v>62.128599999999999</v>
      </c>
      <c r="D81">
        <f ca="1">_xll.ciqfunctions.udf.CIQ($B81,"IQ_CDS_mid",D$2)</f>
        <v>62.128599999999999</v>
      </c>
      <c r="E81">
        <f ca="1">_xll.ciqfunctions.udf.CIQ($B81,"IQ_CDS_mid",E$2)</f>
        <v>62.128599999999999</v>
      </c>
      <c r="F81">
        <f ca="1">_xll.ciqfunctions.udf.CIQ($B81,"IQ_CDS_mid",F$2)</f>
        <v>62.128599999999999</v>
      </c>
      <c r="G81">
        <f ca="1">_xll.ciqfunctions.udf.CIQ($B81,"IQ_CDS_mid",G$2)</f>
        <v>62.166600000000003</v>
      </c>
      <c r="H81">
        <f ca="1">_xll.ciqfunctions.udf.CIQ($B81,"IQ_CDS_mid",H$2)</f>
        <v>62.506599999999999</v>
      </c>
      <c r="I81">
        <f ca="1">_xll.ciqfunctions.udf.CIQ($B81,"IQ_CDS_mid",I$2)</f>
        <v>62.501300000000001</v>
      </c>
      <c r="J81">
        <f ca="1">_xll.ciqfunctions.udf.CIQ($B81,"IQ_CDS_mid",J$2)</f>
        <v>62.333300000000001</v>
      </c>
      <c r="K81">
        <f ca="1">_xll.ciqfunctions.udf.CIQ($B81,"IQ_CDS_mid",K$2)</f>
        <v>62.100900000000003</v>
      </c>
      <c r="L81">
        <f ca="1">_xll.ciqfunctions.udf.CIQ($B81,"IQ_CDS_mid",L$2)</f>
        <v>62.100900000000003</v>
      </c>
      <c r="M81">
        <f ca="1">_xll.ciqfunctions.udf.CIQ($B81,"IQ_CDS_mid",M$2)</f>
        <v>62.100900000000003</v>
      </c>
      <c r="N81">
        <f ca="1">_xll.ciqfunctions.udf.CIQ($B81,"IQ_CDS_mid",N$2)</f>
        <v>62.1021</v>
      </c>
      <c r="O81">
        <f ca="1">_xll.ciqfunctions.udf.CIQ($B81,"IQ_CDS_mid",O$2)</f>
        <v>62.6402</v>
      </c>
      <c r="P81">
        <f ca="1">_xll.ciqfunctions.udf.CIQ($B81,"IQ_CDS_mid",P$2)</f>
        <v>61.862900000000003</v>
      </c>
      <c r="Q81">
        <f ca="1">_xll.ciqfunctions.udf.CIQ($B81,"IQ_CDS_mid",Q$2)</f>
        <v>61.863</v>
      </c>
      <c r="R81">
        <f ca="1">_xll.ciqfunctions.udf.CIQ($B81,"IQ_CDS_mid",R$2)</f>
        <v>61.000500000000002</v>
      </c>
      <c r="S81">
        <f ca="1">_xll.ciqfunctions.udf.CIQ($B81,"IQ_CDS_mid",S$2)</f>
        <v>42.988500000000002</v>
      </c>
      <c r="T81">
        <f t="shared" ca="1" si="18"/>
        <v>-0.37800000000000011</v>
      </c>
      <c r="U81">
        <f t="shared" ca="1" si="19"/>
        <v>2.7699999999995839E-2</v>
      </c>
      <c r="V81">
        <f t="shared" ca="1" si="20"/>
        <v>0.26559999999999917</v>
      </c>
      <c r="W81">
        <f t="shared" ca="1" si="21"/>
        <v>1.1280999999999963</v>
      </c>
      <c r="X81">
        <f t="shared" ca="1" si="13"/>
        <v>19.140099999999997</v>
      </c>
    </row>
    <row r="82" spans="1:24" ht="15.5">
      <c r="A82" s="27" t="s">
        <v>45</v>
      </c>
      <c r="B82" s="25" t="s">
        <v>113</v>
      </c>
      <c r="C82">
        <f ca="1">_xll.ciqfunctions.udf.CIQ($B82,"IQ_CDS_mid",C$2)</f>
        <v>56</v>
      </c>
      <c r="D82">
        <f ca="1">_xll.ciqfunctions.udf.CIQ($B82,"IQ_CDS_mid",D$2)</f>
        <v>56</v>
      </c>
      <c r="E82">
        <f ca="1">_xll.ciqfunctions.udf.CIQ($B82,"IQ_CDS_mid",E$2)</f>
        <v>56</v>
      </c>
      <c r="F82">
        <f ca="1">_xll.ciqfunctions.udf.CIQ($B82,"IQ_CDS_mid",F$2)</f>
        <v>56</v>
      </c>
      <c r="G82">
        <f ca="1">_xll.ciqfunctions.udf.CIQ($B82,"IQ_CDS_mid",G$2)</f>
        <v>56</v>
      </c>
      <c r="H82">
        <f ca="1">_xll.ciqfunctions.udf.CIQ($B82,"IQ_CDS_mid",H$2)</f>
        <v>56.5</v>
      </c>
      <c r="I82">
        <f ca="1">_xll.ciqfunctions.udf.CIQ($B82,"IQ_CDS_mid",I$2)</f>
        <v>56.5</v>
      </c>
      <c r="J82">
        <f ca="1">_xll.ciqfunctions.udf.CIQ($B82,"IQ_CDS_mid",J$2)</f>
        <v>56.5</v>
      </c>
      <c r="K82">
        <f ca="1">_xll.ciqfunctions.udf.CIQ($B82,"IQ_CDS_mid",K$2)</f>
        <v>56.5</v>
      </c>
      <c r="L82">
        <f ca="1">_xll.ciqfunctions.udf.CIQ($B82,"IQ_CDS_mid",L$2)</f>
        <v>56.5</v>
      </c>
      <c r="M82">
        <f ca="1">_xll.ciqfunctions.udf.CIQ($B82,"IQ_CDS_mid",M$2)</f>
        <v>56.5</v>
      </c>
      <c r="N82">
        <f ca="1">_xll.ciqfunctions.udf.CIQ($B82,"IQ_CDS_mid",N$2)</f>
        <v>56.5</v>
      </c>
      <c r="O82">
        <f ca="1">_xll.ciqfunctions.udf.CIQ($B82,"IQ_CDS_mid",O$2)</f>
        <v>56.5</v>
      </c>
      <c r="P82">
        <f ca="1">_xll.ciqfunctions.udf.CIQ($B82,"IQ_CDS_mid",P$2)</f>
        <v>56</v>
      </c>
      <c r="Q82">
        <f ca="1">_xll.ciqfunctions.udf.CIQ($B82,"IQ_CDS_mid",Q$2)</f>
        <v>56</v>
      </c>
      <c r="R82">
        <f ca="1">_xll.ciqfunctions.udf.CIQ($B82,"IQ_CDS_mid",R$2)</f>
        <v>52.972299999999997</v>
      </c>
      <c r="S82">
        <f ca="1">_xll.ciqfunctions.udf.CIQ($B82,"IQ_CDS_mid",S$2)</f>
        <v>46.147799999999997</v>
      </c>
      <c r="T82">
        <f t="shared" ca="1" si="18"/>
        <v>-0.5</v>
      </c>
      <c r="U82">
        <f t="shared" ca="1" si="19"/>
        <v>-0.5</v>
      </c>
      <c r="V82">
        <f t="shared" ca="1" si="20"/>
        <v>0</v>
      </c>
      <c r="W82">
        <f t="shared" ca="1" si="21"/>
        <v>3.0277000000000029</v>
      </c>
      <c r="X82">
        <f t="shared" ca="1" si="13"/>
        <v>9.8522000000000034</v>
      </c>
    </row>
    <row r="83" spans="1:24" ht="15.5">
      <c r="A83" s="27" t="s">
        <v>46</v>
      </c>
      <c r="B83" s="25" t="s">
        <v>112</v>
      </c>
      <c r="C83">
        <f ca="1">_xll.ciqfunctions.udf.CIQ($B83,"IQ_CDS_mid",C$2)</f>
        <v>60.8123</v>
      </c>
      <c r="D83">
        <f ca="1">_xll.ciqfunctions.udf.CIQ($B83,"IQ_CDS_mid",D$2)</f>
        <v>60.8123</v>
      </c>
      <c r="E83">
        <f ca="1">_xll.ciqfunctions.udf.CIQ($B83,"IQ_CDS_mid",E$2)</f>
        <v>60.8123</v>
      </c>
      <c r="F83">
        <f ca="1">_xll.ciqfunctions.udf.CIQ($B83,"IQ_CDS_mid",F$2)</f>
        <v>60.8123</v>
      </c>
      <c r="G83">
        <f ca="1">_xll.ciqfunctions.udf.CIQ($B83,"IQ_CDS_mid",G$2)</f>
        <v>60.219499999999996</v>
      </c>
      <c r="H83">
        <f ca="1">_xll.ciqfunctions.udf.CIQ($B83,"IQ_CDS_mid",H$2)</f>
        <v>60.520600000000002</v>
      </c>
      <c r="I83">
        <f ca="1">_xll.ciqfunctions.udf.CIQ($B83,"IQ_CDS_mid",I$2)</f>
        <v>60.506</v>
      </c>
      <c r="J83">
        <f ca="1">_xll.ciqfunctions.udf.CIQ($B83,"IQ_CDS_mid",J$2)</f>
        <v>60.502299999999998</v>
      </c>
      <c r="K83">
        <f ca="1">_xll.ciqfunctions.udf.CIQ($B83,"IQ_CDS_mid",K$2)</f>
        <v>60.500300000000003</v>
      </c>
      <c r="L83">
        <f ca="1">_xll.ciqfunctions.udf.CIQ($B83,"IQ_CDS_mid",L$2)</f>
        <v>60.500300000000003</v>
      </c>
      <c r="M83">
        <f ca="1">_xll.ciqfunctions.udf.CIQ($B83,"IQ_CDS_mid",M$2)</f>
        <v>60.500300000000003</v>
      </c>
      <c r="N83">
        <f ca="1">_xll.ciqfunctions.udf.CIQ($B83,"IQ_CDS_mid",N$2)</f>
        <v>60.453499999999998</v>
      </c>
      <c r="O83">
        <f ca="1">_xll.ciqfunctions.udf.CIQ($B83,"IQ_CDS_mid",O$2)</f>
        <v>60.325299999999999</v>
      </c>
      <c r="P83">
        <f ca="1">_xll.ciqfunctions.udf.CIQ($B83,"IQ_CDS_mid",P$2)</f>
        <v>59.973199999999999</v>
      </c>
      <c r="Q83">
        <f ca="1">_xll.ciqfunctions.udf.CIQ($B83,"IQ_CDS_mid",Q$2)</f>
        <v>59.875599999999999</v>
      </c>
      <c r="R83">
        <f ca="1">_xll.ciqfunctions.udf.CIQ($B83,"IQ_CDS_mid",R$2)</f>
        <v>53.741300000000003</v>
      </c>
      <c r="S83">
        <f ca="1">_xll.ciqfunctions.udf.CIQ($B83,"IQ_CDS_mid",S$2)</f>
        <v>41.171799999999998</v>
      </c>
      <c r="T83">
        <f t="shared" ca="1" si="18"/>
        <v>0.29169999999999874</v>
      </c>
      <c r="U83">
        <f t="shared" ca="1" si="19"/>
        <v>0.31199999999999761</v>
      </c>
      <c r="V83">
        <f t="shared" ca="1" si="20"/>
        <v>0.93670000000000186</v>
      </c>
      <c r="W83">
        <f t="shared" ca="1" si="21"/>
        <v>7.070999999999998</v>
      </c>
      <c r="X83">
        <f t="shared" ca="1" si="13"/>
        <v>19.640500000000003</v>
      </c>
    </row>
    <row r="84" spans="1:24" ht="15.5">
      <c r="A84" s="27" t="s">
        <v>47</v>
      </c>
      <c r="B84" t="s">
        <v>111</v>
      </c>
      <c r="C84">
        <f ca="1">_xll.ciqfunctions.udf.CIQ($B84,"IQ_CDS_mid",C$2)</f>
        <v>60.006599999999999</v>
      </c>
      <c r="D84">
        <f ca="1">_xll.ciqfunctions.udf.CIQ($B84,"IQ_CDS_mid",D$2)</f>
        <v>60.006599999999999</v>
      </c>
      <c r="E84">
        <f ca="1">_xll.ciqfunctions.udf.CIQ($B84,"IQ_CDS_mid",E$2)</f>
        <v>60.006599999999999</v>
      </c>
      <c r="F84">
        <f ca="1">_xll.ciqfunctions.udf.CIQ($B84,"IQ_CDS_mid",F$2)</f>
        <v>60.006599999999999</v>
      </c>
      <c r="G84">
        <f ca="1">_xll.ciqfunctions.udf.CIQ($B84,"IQ_CDS_mid",G$2)</f>
        <v>60.068199999999997</v>
      </c>
      <c r="H84">
        <f ca="1">_xll.ciqfunctions.udf.CIQ($B84,"IQ_CDS_mid",H$2)</f>
        <v>60.554099999999998</v>
      </c>
      <c r="I84">
        <f ca="1">_xll.ciqfunctions.udf.CIQ($B84,"IQ_CDS_mid",I$2)</f>
        <v>60.538899999999998</v>
      </c>
      <c r="J84">
        <f ca="1">_xll.ciqfunctions.udf.CIQ($B84,"IQ_CDS_mid",J$2)</f>
        <v>60.4801</v>
      </c>
      <c r="K84">
        <f ca="1">_xll.ciqfunctions.udf.CIQ($B84,"IQ_CDS_mid",K$2)</f>
        <v>60.514899999999997</v>
      </c>
      <c r="L84">
        <f ca="1">_xll.ciqfunctions.udf.CIQ($B84,"IQ_CDS_mid",L$2)</f>
        <v>60.514899999999997</v>
      </c>
      <c r="M84">
        <f ca="1">_xll.ciqfunctions.udf.CIQ($B84,"IQ_CDS_mid",M$2)</f>
        <v>60.514899999999997</v>
      </c>
      <c r="N84">
        <f ca="1">_xll.ciqfunctions.udf.CIQ($B84,"IQ_CDS_mid",N$2)</f>
        <v>60.530200000000001</v>
      </c>
      <c r="O84">
        <f ca="1">_xll.ciqfunctions.udf.CIQ($B84,"IQ_CDS_mid",O$2)</f>
        <v>60.465000000000003</v>
      </c>
      <c r="P84">
        <f ca="1">_xll.ciqfunctions.udf.CIQ($B84,"IQ_CDS_mid",P$2)</f>
        <v>59.979199999999999</v>
      </c>
      <c r="Q84">
        <f ca="1">_xll.ciqfunctions.udf.CIQ($B84,"IQ_CDS_mid",Q$2)</f>
        <v>60.020600000000002</v>
      </c>
      <c r="R84">
        <f ca="1">_xll.ciqfunctions.udf.CIQ($B84,"IQ_CDS_mid",R$2)</f>
        <v>51.323099999999997</v>
      </c>
      <c r="S84">
        <f ca="1">_xll.ciqfunctions.udf.CIQ($B84,"IQ_CDS_mid",S$2)</f>
        <v>52.267099999999999</v>
      </c>
      <c r="T84">
        <f t="shared" ca="1" si="18"/>
        <v>-0.54749999999999943</v>
      </c>
      <c r="U84">
        <f t="shared" ca="1" si="19"/>
        <v>-0.50829999999999842</v>
      </c>
      <c r="V84">
        <f t="shared" ca="1" si="20"/>
        <v>-1.4000000000002899E-2</v>
      </c>
      <c r="W84">
        <f t="shared" ca="1" si="21"/>
        <v>8.6835000000000022</v>
      </c>
      <c r="X84">
        <f t="shared" ca="1" si="13"/>
        <v>7.7394999999999996</v>
      </c>
    </row>
    <row r="85" spans="1:24" ht="15.5">
      <c r="A85" s="26" t="s">
        <v>48</v>
      </c>
      <c r="B85" s="25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Risk Score Model</vt:lpstr>
      <vt:lpstr>CDS from CapitalIQ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2026-06-08T17:51:02Z</dcterms:created>
  <dcterms:modified xsi:type="dcterms:W3CDTF">2026-07-20T17:11:30Z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2026-07-20T17:11:27Z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01940038-6609-4fb7-8904-5c361468ad28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