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kofcanada-my.sharepoint.com/personal/evjo_bank-banque-canada_ca/Documents/Monitoring Database/"/>
    </mc:Choice>
  </mc:AlternateContent>
  <xr:revisionPtr revIDLastSave="11804" documentId="8_{CDDB89CF-5CE4-4A65-99F7-7EF0C0A12C4C}" xr6:coauthVersionLast="47" xr6:coauthVersionMax="47" xr10:uidLastSave="{44874A31-8D12-4C55-BA73-F3AB88AFB939}"/>
  <bookViews>
    <workbookView xWindow="-110" yWindow="-110" windowWidth="19420" windowHeight="11500" firstSheet="1" activeTab="1" xr2:uid="{A93B9CC2-92A3-4946-B0CF-93E1751ADFB7}"/>
  </bookViews>
  <sheets>
    <sheet name="_CIQHiddenCacheSheet" sheetId="579" state="veryHidden" r:id="rId1"/>
    <sheet name="Report" sheetId="1" r:id="rId2"/>
    <sheet name="Risk Score Model" sheetId="466" r:id="rId3"/>
    <sheet name="CDS from CapitalIQ" sheetId="3" r:id="rId4"/>
  </sheets>
  <externalReferences>
    <externalReference r:id="rId5"/>
  </externalReferences>
  <definedNames>
    <definedName name="bank_bloom">'[1]Bloomberg Codes'!$N$2:$U$23</definedName>
    <definedName name="CIQWBGuid" hidden="1">"7e68f69c-b488-40f6-9175-79c606649ead"</definedName>
    <definedName name="CIQWBInfo" hidden="1">"{ ""CIQVersion"":""9.51.3510.3078"" }"</definedName>
    <definedName name="date_cds">OFFSET(#REF!,0,0,1,COUNTA(#REF!))</definedName>
    <definedName name="date_fx">OFFSET(#REF!,0,0,1,COUNTA(#REF!))</definedName>
    <definedName name="date_lookup">'[1]Sovereign Indicators'!$C$1</definedName>
    <definedName name="date_stock">OFFSET(#REF!,0,0,1,COUNTA(#REF!))</definedName>
    <definedName name="graph_cds_change">OFFSET(#REF!,0,0,1,COUNTA(#REF!))</definedName>
    <definedName name="graph_cds_level">OFFSET(#REF!,0,0,1,COUNTA(#REF!))</definedName>
    <definedName name="graph_fx_change">OFFSET(#REF!,0,0,1,COUNTA(#REF!))</definedName>
    <definedName name="graph_stock_change">OFFSET(#REF!,0,0,1,COUNTA(#REF!))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"06/17/2026 20:53:41"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v_bloom">'[1]Bloomberg Codes'!$A$3:$J$43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X7" i="3"/>
  <c r="X21" i="3"/>
  <c r="X30" i="3"/>
  <c r="X43" i="3"/>
  <c r="X45" i="3"/>
  <c r="X46" i="3"/>
  <c r="X47" i="3"/>
  <c r="X55" i="3"/>
  <c r="X59" i="3"/>
  <c r="X62" i="3"/>
  <c r="X67" i="3"/>
  <c r="X70" i="3"/>
  <c r="X72" i="3"/>
  <c r="X78" i="3"/>
  <c r="C3" i="3"/>
  <c r="C4" i="3"/>
  <c r="C5" i="3"/>
  <c r="C6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2" i="3"/>
  <c r="C23" i="3"/>
  <c r="C24" i="3"/>
  <c r="C25" i="3"/>
  <c r="C26" i="3"/>
  <c r="C27" i="3"/>
  <c r="C28" i="3"/>
  <c r="C29" i="3"/>
  <c r="C31" i="3"/>
  <c r="C32" i="3"/>
  <c r="C33" i="3"/>
  <c r="C34" i="3"/>
  <c r="C35" i="3"/>
  <c r="C36" i="3"/>
  <c r="C37" i="3"/>
  <c r="C38" i="3"/>
  <c r="C39" i="3"/>
  <c r="C40" i="3"/>
  <c r="C42" i="3"/>
  <c r="C44" i="3"/>
  <c r="C48" i="3"/>
  <c r="C49" i="3"/>
  <c r="C50" i="3"/>
  <c r="C51" i="3"/>
  <c r="C52" i="3"/>
  <c r="C53" i="3"/>
  <c r="C54" i="3"/>
  <c r="C56" i="3"/>
  <c r="C57" i="3"/>
  <c r="C58" i="3"/>
  <c r="C60" i="3"/>
  <c r="C61" i="3"/>
  <c r="C63" i="3"/>
  <c r="C64" i="3"/>
  <c r="C65" i="3"/>
  <c r="C66" i="3"/>
  <c r="C68" i="3"/>
  <c r="C69" i="3"/>
  <c r="C71" i="3"/>
  <c r="C73" i="3"/>
  <c r="C74" i="3"/>
  <c r="C75" i="3"/>
  <c r="C76" i="3"/>
  <c r="C77" i="3"/>
  <c r="C79" i="3"/>
  <c r="C80" i="3"/>
  <c r="C81" i="3"/>
  <c r="C82" i="3"/>
  <c r="C83" i="3"/>
  <c r="C84" i="3"/>
  <c r="D3" i="3"/>
  <c r="D4" i="3"/>
  <c r="D5" i="3"/>
  <c r="D6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2" i="3"/>
  <c r="D23" i="3"/>
  <c r="D24" i="3"/>
  <c r="D25" i="3"/>
  <c r="D26" i="3"/>
  <c r="D27" i="3"/>
  <c r="D28" i="3"/>
  <c r="D29" i="3"/>
  <c r="D31" i="3"/>
  <c r="D32" i="3"/>
  <c r="D33" i="3"/>
  <c r="D34" i="3"/>
  <c r="D35" i="3"/>
  <c r="D36" i="3"/>
  <c r="D37" i="3"/>
  <c r="D38" i="3"/>
  <c r="D39" i="3"/>
  <c r="D40" i="3"/>
  <c r="D42" i="3"/>
  <c r="D44" i="3"/>
  <c r="D48" i="3"/>
  <c r="D49" i="3"/>
  <c r="D50" i="3"/>
  <c r="D51" i="3"/>
  <c r="D52" i="3"/>
  <c r="D53" i="3"/>
  <c r="D54" i="3"/>
  <c r="D56" i="3"/>
  <c r="D57" i="3"/>
  <c r="D58" i="3"/>
  <c r="D60" i="3"/>
  <c r="D61" i="3"/>
  <c r="D63" i="3"/>
  <c r="D64" i="3"/>
  <c r="D65" i="3"/>
  <c r="D66" i="3"/>
  <c r="D68" i="3"/>
  <c r="D69" i="3"/>
  <c r="D71" i="3"/>
  <c r="D73" i="3"/>
  <c r="D74" i="3"/>
  <c r="D75" i="3"/>
  <c r="D76" i="3"/>
  <c r="D77" i="3"/>
  <c r="D79" i="3"/>
  <c r="D80" i="3"/>
  <c r="D81" i="3"/>
  <c r="D82" i="3"/>
  <c r="D83" i="3"/>
  <c r="D84" i="3"/>
  <c r="E3" i="3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2" i="3"/>
  <c r="E23" i="3"/>
  <c r="E24" i="3"/>
  <c r="E25" i="3"/>
  <c r="E26" i="3"/>
  <c r="E27" i="3"/>
  <c r="E28" i="3"/>
  <c r="E29" i="3"/>
  <c r="E31" i="3"/>
  <c r="E32" i="3"/>
  <c r="E33" i="3"/>
  <c r="E34" i="3"/>
  <c r="E35" i="3"/>
  <c r="E36" i="3"/>
  <c r="E37" i="3"/>
  <c r="E38" i="3"/>
  <c r="E39" i="3"/>
  <c r="E40" i="3"/>
  <c r="E42" i="3"/>
  <c r="E44" i="3"/>
  <c r="E48" i="3"/>
  <c r="E49" i="3"/>
  <c r="E50" i="3"/>
  <c r="E51" i="3"/>
  <c r="E52" i="3"/>
  <c r="E53" i="3"/>
  <c r="E54" i="3"/>
  <c r="E56" i="3"/>
  <c r="E57" i="3"/>
  <c r="E58" i="3"/>
  <c r="E60" i="3"/>
  <c r="E61" i="3"/>
  <c r="E63" i="3"/>
  <c r="E64" i="3"/>
  <c r="E65" i="3"/>
  <c r="E66" i="3"/>
  <c r="E68" i="3"/>
  <c r="E69" i="3"/>
  <c r="E71" i="3"/>
  <c r="E73" i="3"/>
  <c r="E74" i="3"/>
  <c r="E75" i="3"/>
  <c r="E76" i="3"/>
  <c r="E77" i="3"/>
  <c r="E79" i="3"/>
  <c r="E80" i="3"/>
  <c r="E81" i="3"/>
  <c r="E82" i="3"/>
  <c r="E83" i="3"/>
  <c r="E84" i="3"/>
  <c r="F3" i="3"/>
  <c r="F4" i="3"/>
  <c r="F5" i="3"/>
  <c r="F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2" i="3"/>
  <c r="F23" i="3"/>
  <c r="F24" i="3"/>
  <c r="F25" i="3"/>
  <c r="F26" i="3"/>
  <c r="F27" i="3"/>
  <c r="F28" i="3"/>
  <c r="F29" i="3"/>
  <c r="F31" i="3"/>
  <c r="F32" i="3"/>
  <c r="F33" i="3"/>
  <c r="F34" i="3"/>
  <c r="F35" i="3"/>
  <c r="F36" i="3"/>
  <c r="F37" i="3"/>
  <c r="F38" i="3"/>
  <c r="F39" i="3"/>
  <c r="F40" i="3"/>
  <c r="F42" i="3"/>
  <c r="F44" i="3"/>
  <c r="F48" i="3"/>
  <c r="F49" i="3"/>
  <c r="F50" i="3"/>
  <c r="F51" i="3"/>
  <c r="F52" i="3"/>
  <c r="F53" i="3"/>
  <c r="F54" i="3"/>
  <c r="F56" i="3"/>
  <c r="F57" i="3"/>
  <c r="F58" i="3"/>
  <c r="F60" i="3"/>
  <c r="F61" i="3"/>
  <c r="F63" i="3"/>
  <c r="F64" i="3"/>
  <c r="F65" i="3"/>
  <c r="F66" i="3"/>
  <c r="F68" i="3"/>
  <c r="F69" i="3"/>
  <c r="F71" i="3"/>
  <c r="F73" i="3"/>
  <c r="F74" i="3"/>
  <c r="F75" i="3"/>
  <c r="F76" i="3"/>
  <c r="F77" i="3"/>
  <c r="F79" i="3"/>
  <c r="F80" i="3"/>
  <c r="F81" i="3"/>
  <c r="F82" i="3"/>
  <c r="F83" i="3"/>
  <c r="F84" i="3"/>
  <c r="G3" i="3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26" i="3"/>
  <c r="G27" i="3"/>
  <c r="G28" i="3"/>
  <c r="G29" i="3"/>
  <c r="G31" i="3"/>
  <c r="G32" i="3"/>
  <c r="G33" i="3"/>
  <c r="G34" i="3"/>
  <c r="G35" i="3"/>
  <c r="G36" i="3"/>
  <c r="G37" i="3"/>
  <c r="G38" i="3"/>
  <c r="G39" i="3"/>
  <c r="G40" i="3"/>
  <c r="G42" i="3"/>
  <c r="G44" i="3"/>
  <c r="G48" i="3"/>
  <c r="G49" i="3"/>
  <c r="G50" i="3"/>
  <c r="G51" i="3"/>
  <c r="G52" i="3"/>
  <c r="G53" i="3"/>
  <c r="G54" i="3"/>
  <c r="G56" i="3"/>
  <c r="G57" i="3"/>
  <c r="G58" i="3"/>
  <c r="G60" i="3"/>
  <c r="G61" i="3"/>
  <c r="G63" i="3"/>
  <c r="G64" i="3"/>
  <c r="G65" i="3"/>
  <c r="G66" i="3"/>
  <c r="G68" i="3"/>
  <c r="G69" i="3"/>
  <c r="G71" i="3"/>
  <c r="G73" i="3"/>
  <c r="G74" i="3"/>
  <c r="G75" i="3"/>
  <c r="G76" i="3"/>
  <c r="G77" i="3"/>
  <c r="G79" i="3"/>
  <c r="G80" i="3"/>
  <c r="G81" i="3"/>
  <c r="G82" i="3"/>
  <c r="G83" i="3"/>
  <c r="G84" i="3"/>
  <c r="H3" i="3"/>
  <c r="H4" i="3"/>
  <c r="H5" i="3"/>
  <c r="H6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6" i="3"/>
  <c r="H27" i="3"/>
  <c r="H28" i="3"/>
  <c r="H29" i="3"/>
  <c r="H31" i="3"/>
  <c r="H32" i="3"/>
  <c r="H33" i="3"/>
  <c r="H34" i="3"/>
  <c r="H35" i="3"/>
  <c r="H36" i="3"/>
  <c r="H37" i="3"/>
  <c r="H38" i="3"/>
  <c r="H39" i="3"/>
  <c r="H40" i="3"/>
  <c r="H42" i="3"/>
  <c r="H44" i="3"/>
  <c r="H48" i="3"/>
  <c r="H49" i="3"/>
  <c r="H50" i="3"/>
  <c r="H51" i="3"/>
  <c r="H52" i="3"/>
  <c r="H53" i="3"/>
  <c r="H54" i="3"/>
  <c r="H56" i="3"/>
  <c r="H57" i="3"/>
  <c r="H58" i="3"/>
  <c r="H60" i="3"/>
  <c r="H61" i="3"/>
  <c r="H63" i="3"/>
  <c r="H64" i="3"/>
  <c r="H65" i="3"/>
  <c r="H66" i="3"/>
  <c r="H68" i="3"/>
  <c r="H69" i="3"/>
  <c r="H71" i="3"/>
  <c r="H73" i="3"/>
  <c r="H74" i="3"/>
  <c r="H75" i="3"/>
  <c r="H76" i="3"/>
  <c r="H77" i="3"/>
  <c r="H79" i="3"/>
  <c r="H80" i="3"/>
  <c r="H81" i="3"/>
  <c r="H82" i="3"/>
  <c r="H83" i="3"/>
  <c r="H84" i="3"/>
  <c r="K3" i="3"/>
  <c r="K4" i="3"/>
  <c r="K5" i="3"/>
  <c r="K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2" i="3"/>
  <c r="K23" i="3"/>
  <c r="K24" i="3"/>
  <c r="K25" i="3"/>
  <c r="K26" i="3"/>
  <c r="K27" i="3"/>
  <c r="K28" i="3"/>
  <c r="K29" i="3"/>
  <c r="K31" i="3"/>
  <c r="K32" i="3"/>
  <c r="K33" i="3"/>
  <c r="K34" i="3"/>
  <c r="K35" i="3"/>
  <c r="K36" i="3"/>
  <c r="K37" i="3"/>
  <c r="K38" i="3"/>
  <c r="K39" i="3"/>
  <c r="K40" i="3"/>
  <c r="K42" i="3"/>
  <c r="K44" i="3"/>
  <c r="K48" i="3"/>
  <c r="K49" i="3"/>
  <c r="K50" i="3"/>
  <c r="K51" i="3"/>
  <c r="K52" i="3"/>
  <c r="K53" i="3"/>
  <c r="K54" i="3"/>
  <c r="K56" i="3"/>
  <c r="K57" i="3"/>
  <c r="K58" i="3"/>
  <c r="K60" i="3"/>
  <c r="K61" i="3"/>
  <c r="K63" i="3"/>
  <c r="K64" i="3"/>
  <c r="K65" i="3"/>
  <c r="K66" i="3"/>
  <c r="K68" i="3"/>
  <c r="K69" i="3"/>
  <c r="K71" i="3"/>
  <c r="K73" i="3"/>
  <c r="K74" i="3"/>
  <c r="K75" i="3"/>
  <c r="K76" i="3"/>
  <c r="K77" i="3"/>
  <c r="K79" i="3"/>
  <c r="K80" i="3"/>
  <c r="K81" i="3"/>
  <c r="K82" i="3"/>
  <c r="K83" i="3"/>
  <c r="K84" i="3"/>
  <c r="L3" i="3"/>
  <c r="L4" i="3"/>
  <c r="L5" i="3"/>
  <c r="L6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2" i="3"/>
  <c r="L23" i="3"/>
  <c r="L24" i="3"/>
  <c r="L25" i="3"/>
  <c r="L26" i="3"/>
  <c r="L27" i="3"/>
  <c r="L28" i="3"/>
  <c r="L29" i="3"/>
  <c r="L31" i="3"/>
  <c r="L32" i="3"/>
  <c r="L33" i="3"/>
  <c r="L34" i="3"/>
  <c r="L35" i="3"/>
  <c r="L36" i="3"/>
  <c r="L37" i="3"/>
  <c r="L38" i="3"/>
  <c r="L39" i="3"/>
  <c r="L40" i="3"/>
  <c r="L42" i="3"/>
  <c r="L44" i="3"/>
  <c r="L48" i="3"/>
  <c r="L49" i="3"/>
  <c r="L50" i="3"/>
  <c r="L51" i="3"/>
  <c r="L52" i="3"/>
  <c r="L53" i="3"/>
  <c r="L54" i="3"/>
  <c r="L56" i="3"/>
  <c r="L57" i="3"/>
  <c r="L58" i="3"/>
  <c r="L60" i="3"/>
  <c r="L61" i="3"/>
  <c r="L63" i="3"/>
  <c r="L64" i="3"/>
  <c r="L65" i="3"/>
  <c r="L66" i="3"/>
  <c r="L68" i="3"/>
  <c r="L69" i="3"/>
  <c r="L71" i="3"/>
  <c r="L73" i="3"/>
  <c r="L74" i="3"/>
  <c r="L75" i="3"/>
  <c r="L76" i="3"/>
  <c r="L77" i="3"/>
  <c r="L79" i="3"/>
  <c r="L80" i="3"/>
  <c r="L81" i="3"/>
  <c r="L82" i="3"/>
  <c r="L83" i="3"/>
  <c r="L84" i="3"/>
  <c r="M3" i="3"/>
  <c r="M4" i="3"/>
  <c r="M5" i="3"/>
  <c r="M6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2" i="3"/>
  <c r="M23" i="3"/>
  <c r="M24" i="3"/>
  <c r="M25" i="3"/>
  <c r="M26" i="3"/>
  <c r="M27" i="3"/>
  <c r="M28" i="3"/>
  <c r="M29" i="3"/>
  <c r="M31" i="3"/>
  <c r="M32" i="3"/>
  <c r="M33" i="3"/>
  <c r="M34" i="3"/>
  <c r="M35" i="3"/>
  <c r="M36" i="3"/>
  <c r="M37" i="3"/>
  <c r="M38" i="3"/>
  <c r="M39" i="3"/>
  <c r="M40" i="3"/>
  <c r="M42" i="3"/>
  <c r="M44" i="3"/>
  <c r="M48" i="3"/>
  <c r="M49" i="3"/>
  <c r="M50" i="3"/>
  <c r="M51" i="3"/>
  <c r="M52" i="3"/>
  <c r="M53" i="3"/>
  <c r="M54" i="3"/>
  <c r="M56" i="3"/>
  <c r="M57" i="3"/>
  <c r="M58" i="3"/>
  <c r="M60" i="3"/>
  <c r="M61" i="3"/>
  <c r="M63" i="3"/>
  <c r="M64" i="3"/>
  <c r="M65" i="3"/>
  <c r="M66" i="3"/>
  <c r="M68" i="3"/>
  <c r="M69" i="3"/>
  <c r="M71" i="3"/>
  <c r="M73" i="3"/>
  <c r="M74" i="3"/>
  <c r="M75" i="3"/>
  <c r="M76" i="3"/>
  <c r="M77" i="3"/>
  <c r="M79" i="3"/>
  <c r="M80" i="3"/>
  <c r="M81" i="3"/>
  <c r="M82" i="3"/>
  <c r="M83" i="3"/>
  <c r="M84" i="3"/>
  <c r="N3" i="3"/>
  <c r="N4" i="3"/>
  <c r="N5" i="3"/>
  <c r="N6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2" i="3"/>
  <c r="N23" i="3"/>
  <c r="N24" i="3"/>
  <c r="N25" i="3"/>
  <c r="N26" i="3"/>
  <c r="N27" i="3"/>
  <c r="N28" i="3"/>
  <c r="N29" i="3"/>
  <c r="N31" i="3"/>
  <c r="N32" i="3"/>
  <c r="N33" i="3"/>
  <c r="N34" i="3"/>
  <c r="N35" i="3"/>
  <c r="N36" i="3"/>
  <c r="N37" i="3"/>
  <c r="N38" i="3"/>
  <c r="N39" i="3"/>
  <c r="N40" i="3"/>
  <c r="N42" i="3"/>
  <c r="N44" i="3"/>
  <c r="N48" i="3"/>
  <c r="N49" i="3"/>
  <c r="N50" i="3"/>
  <c r="N51" i="3"/>
  <c r="N52" i="3"/>
  <c r="N53" i="3"/>
  <c r="N54" i="3"/>
  <c r="N56" i="3"/>
  <c r="N57" i="3"/>
  <c r="N58" i="3"/>
  <c r="N60" i="3"/>
  <c r="N61" i="3"/>
  <c r="N63" i="3"/>
  <c r="N64" i="3"/>
  <c r="N65" i="3"/>
  <c r="N66" i="3"/>
  <c r="N68" i="3"/>
  <c r="N69" i="3"/>
  <c r="N71" i="3"/>
  <c r="N73" i="3"/>
  <c r="N74" i="3"/>
  <c r="N75" i="3"/>
  <c r="N76" i="3"/>
  <c r="N77" i="3"/>
  <c r="N79" i="3"/>
  <c r="N80" i="3"/>
  <c r="N81" i="3"/>
  <c r="N82" i="3"/>
  <c r="N83" i="3"/>
  <c r="N84" i="3"/>
  <c r="J3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2" i="3"/>
  <c r="J23" i="3"/>
  <c r="J24" i="3"/>
  <c r="J25" i="3"/>
  <c r="J26" i="3"/>
  <c r="J27" i="3"/>
  <c r="J28" i="3"/>
  <c r="J29" i="3"/>
  <c r="J31" i="3"/>
  <c r="J32" i="3"/>
  <c r="J33" i="3"/>
  <c r="J34" i="3"/>
  <c r="J35" i="3"/>
  <c r="J36" i="3"/>
  <c r="J37" i="3"/>
  <c r="J38" i="3"/>
  <c r="J39" i="3"/>
  <c r="J40" i="3"/>
  <c r="J42" i="3"/>
  <c r="J44" i="3"/>
  <c r="J48" i="3"/>
  <c r="J49" i="3"/>
  <c r="J50" i="3"/>
  <c r="J51" i="3"/>
  <c r="J52" i="3"/>
  <c r="J53" i="3"/>
  <c r="J54" i="3"/>
  <c r="J56" i="3"/>
  <c r="J57" i="3"/>
  <c r="J58" i="3"/>
  <c r="J60" i="3"/>
  <c r="J61" i="3"/>
  <c r="J63" i="3"/>
  <c r="J64" i="3"/>
  <c r="J65" i="3"/>
  <c r="J66" i="3"/>
  <c r="J68" i="3"/>
  <c r="J69" i="3"/>
  <c r="J71" i="3"/>
  <c r="J73" i="3"/>
  <c r="J74" i="3"/>
  <c r="J75" i="3"/>
  <c r="J76" i="3"/>
  <c r="J77" i="3"/>
  <c r="J79" i="3"/>
  <c r="J80" i="3"/>
  <c r="J81" i="3"/>
  <c r="J82" i="3"/>
  <c r="J83" i="3"/>
  <c r="J84" i="3"/>
  <c r="Q3" i="3"/>
  <c r="Q4" i="3"/>
  <c r="Q5" i="3"/>
  <c r="Q6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2" i="3"/>
  <c r="Q23" i="3"/>
  <c r="Q24" i="3"/>
  <c r="Q25" i="3"/>
  <c r="Q26" i="3"/>
  <c r="Q27" i="3"/>
  <c r="Q28" i="3"/>
  <c r="Q29" i="3"/>
  <c r="Q31" i="3"/>
  <c r="Q32" i="3"/>
  <c r="Q33" i="3"/>
  <c r="Q34" i="3"/>
  <c r="Q35" i="3"/>
  <c r="Q36" i="3"/>
  <c r="Q37" i="3"/>
  <c r="Q38" i="3"/>
  <c r="Q39" i="3"/>
  <c r="Q40" i="3"/>
  <c r="Q42" i="3"/>
  <c r="Q44" i="3"/>
  <c r="Q48" i="3"/>
  <c r="Q49" i="3"/>
  <c r="Q50" i="3"/>
  <c r="Q51" i="3"/>
  <c r="Q52" i="3"/>
  <c r="Q53" i="3"/>
  <c r="Q54" i="3"/>
  <c r="Q56" i="3"/>
  <c r="Q57" i="3"/>
  <c r="Q58" i="3"/>
  <c r="Q60" i="3"/>
  <c r="Q61" i="3"/>
  <c r="Q63" i="3"/>
  <c r="Q64" i="3"/>
  <c r="Q65" i="3"/>
  <c r="Q66" i="3"/>
  <c r="Q68" i="3"/>
  <c r="Q69" i="3"/>
  <c r="Q71" i="3"/>
  <c r="Q73" i="3"/>
  <c r="Q74" i="3"/>
  <c r="Q75" i="3"/>
  <c r="Q76" i="3"/>
  <c r="Q77" i="3"/>
  <c r="Q79" i="3"/>
  <c r="Q80" i="3"/>
  <c r="Q81" i="3"/>
  <c r="Q82" i="3"/>
  <c r="Q83" i="3"/>
  <c r="Q84" i="3"/>
  <c r="R3" i="3"/>
  <c r="R4" i="3"/>
  <c r="R5" i="3"/>
  <c r="R6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2" i="3"/>
  <c r="R23" i="3"/>
  <c r="R24" i="3"/>
  <c r="R25" i="3"/>
  <c r="R26" i="3"/>
  <c r="R27" i="3"/>
  <c r="R28" i="3"/>
  <c r="R29" i="3"/>
  <c r="R31" i="3"/>
  <c r="R32" i="3"/>
  <c r="R33" i="3"/>
  <c r="R34" i="3"/>
  <c r="R35" i="3"/>
  <c r="R36" i="3"/>
  <c r="R37" i="3"/>
  <c r="R38" i="3"/>
  <c r="R39" i="3"/>
  <c r="R40" i="3"/>
  <c r="R42" i="3"/>
  <c r="R44" i="3"/>
  <c r="R48" i="3"/>
  <c r="R49" i="3"/>
  <c r="R50" i="3"/>
  <c r="R51" i="3"/>
  <c r="R52" i="3"/>
  <c r="R53" i="3"/>
  <c r="R54" i="3"/>
  <c r="R56" i="3"/>
  <c r="R57" i="3"/>
  <c r="R58" i="3"/>
  <c r="R60" i="3"/>
  <c r="R61" i="3"/>
  <c r="R63" i="3"/>
  <c r="R64" i="3"/>
  <c r="R65" i="3"/>
  <c r="R66" i="3"/>
  <c r="R68" i="3"/>
  <c r="R69" i="3"/>
  <c r="R71" i="3"/>
  <c r="R73" i="3"/>
  <c r="R74" i="3"/>
  <c r="R75" i="3"/>
  <c r="R76" i="3"/>
  <c r="R77" i="3"/>
  <c r="R79" i="3"/>
  <c r="R80" i="3"/>
  <c r="R81" i="3"/>
  <c r="R82" i="3"/>
  <c r="R83" i="3"/>
  <c r="R84" i="3"/>
  <c r="P3" i="3"/>
  <c r="P4" i="3"/>
  <c r="P5" i="3"/>
  <c r="P6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2" i="3"/>
  <c r="P23" i="3"/>
  <c r="P24" i="3"/>
  <c r="P25" i="3"/>
  <c r="P26" i="3"/>
  <c r="P27" i="3"/>
  <c r="P28" i="3"/>
  <c r="P29" i="3"/>
  <c r="P31" i="3"/>
  <c r="P32" i="3"/>
  <c r="P33" i="3"/>
  <c r="P34" i="3"/>
  <c r="P35" i="3"/>
  <c r="P36" i="3"/>
  <c r="P37" i="3"/>
  <c r="P38" i="3"/>
  <c r="P39" i="3"/>
  <c r="P40" i="3"/>
  <c r="P42" i="3"/>
  <c r="P44" i="3"/>
  <c r="P48" i="3"/>
  <c r="P49" i="3"/>
  <c r="P50" i="3"/>
  <c r="P51" i="3"/>
  <c r="P52" i="3"/>
  <c r="P53" i="3"/>
  <c r="P54" i="3"/>
  <c r="P56" i="3"/>
  <c r="P57" i="3"/>
  <c r="P58" i="3"/>
  <c r="P60" i="3"/>
  <c r="P61" i="3"/>
  <c r="P63" i="3"/>
  <c r="P64" i="3"/>
  <c r="P65" i="3"/>
  <c r="P66" i="3"/>
  <c r="P68" i="3"/>
  <c r="P69" i="3"/>
  <c r="P71" i="3"/>
  <c r="P73" i="3"/>
  <c r="P74" i="3"/>
  <c r="P75" i="3"/>
  <c r="P76" i="3"/>
  <c r="P77" i="3"/>
  <c r="P79" i="3"/>
  <c r="P80" i="3"/>
  <c r="P81" i="3"/>
  <c r="P82" i="3"/>
  <c r="P83" i="3"/>
  <c r="P84" i="3"/>
  <c r="I3" i="3"/>
  <c r="I4" i="3"/>
  <c r="I5" i="3"/>
  <c r="I6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2" i="3"/>
  <c r="I23" i="3"/>
  <c r="I24" i="3"/>
  <c r="I25" i="3"/>
  <c r="I26" i="3"/>
  <c r="I27" i="3"/>
  <c r="I28" i="3"/>
  <c r="I29" i="3"/>
  <c r="I31" i="3"/>
  <c r="I32" i="3"/>
  <c r="I33" i="3"/>
  <c r="I34" i="3"/>
  <c r="I35" i="3"/>
  <c r="I36" i="3"/>
  <c r="I37" i="3"/>
  <c r="I38" i="3"/>
  <c r="I39" i="3"/>
  <c r="I40" i="3"/>
  <c r="I42" i="3"/>
  <c r="I44" i="3"/>
  <c r="I48" i="3"/>
  <c r="I49" i="3"/>
  <c r="I50" i="3"/>
  <c r="I51" i="3"/>
  <c r="I52" i="3"/>
  <c r="I53" i="3"/>
  <c r="I54" i="3"/>
  <c r="I56" i="3"/>
  <c r="I57" i="3"/>
  <c r="I58" i="3"/>
  <c r="I60" i="3"/>
  <c r="I61" i="3"/>
  <c r="I63" i="3"/>
  <c r="I64" i="3"/>
  <c r="I65" i="3"/>
  <c r="I66" i="3"/>
  <c r="I68" i="3"/>
  <c r="I69" i="3"/>
  <c r="I71" i="3"/>
  <c r="I73" i="3"/>
  <c r="I74" i="3"/>
  <c r="I75" i="3"/>
  <c r="I76" i="3"/>
  <c r="I77" i="3"/>
  <c r="I79" i="3"/>
  <c r="I80" i="3"/>
  <c r="I81" i="3"/>
  <c r="I82" i="3"/>
  <c r="I83" i="3"/>
  <c r="I84" i="3"/>
  <c r="O3" i="3"/>
  <c r="O4" i="3"/>
  <c r="O5" i="3"/>
  <c r="O6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2" i="3"/>
  <c r="O23" i="3"/>
  <c r="O24" i="3"/>
  <c r="O25" i="3"/>
  <c r="O26" i="3"/>
  <c r="O27" i="3"/>
  <c r="O28" i="3"/>
  <c r="O29" i="3"/>
  <c r="O31" i="3"/>
  <c r="O32" i="3"/>
  <c r="O33" i="3"/>
  <c r="O34" i="3"/>
  <c r="O35" i="3"/>
  <c r="O36" i="3"/>
  <c r="O37" i="3"/>
  <c r="O38" i="3"/>
  <c r="O39" i="3"/>
  <c r="O40" i="3"/>
  <c r="O42" i="3"/>
  <c r="O44" i="3"/>
  <c r="O48" i="3"/>
  <c r="O49" i="3"/>
  <c r="O50" i="3"/>
  <c r="O51" i="3"/>
  <c r="O52" i="3"/>
  <c r="O53" i="3"/>
  <c r="O54" i="3"/>
  <c r="O56" i="3"/>
  <c r="O57" i="3"/>
  <c r="O58" i="3"/>
  <c r="O60" i="3"/>
  <c r="O61" i="3"/>
  <c r="O63" i="3"/>
  <c r="O64" i="3"/>
  <c r="O65" i="3"/>
  <c r="O66" i="3"/>
  <c r="O68" i="3"/>
  <c r="O69" i="3"/>
  <c r="O71" i="3"/>
  <c r="O73" i="3"/>
  <c r="O74" i="3"/>
  <c r="O75" i="3"/>
  <c r="O76" i="3"/>
  <c r="O77" i="3"/>
  <c r="O79" i="3"/>
  <c r="O80" i="3"/>
  <c r="O81" i="3"/>
  <c r="O82" i="3"/>
  <c r="O83" i="3"/>
  <c r="O84" i="3"/>
  <c r="S3" i="3"/>
  <c r="S4" i="3"/>
  <c r="S5" i="3"/>
  <c r="S6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2" i="3"/>
  <c r="S23" i="3"/>
  <c r="S24" i="3"/>
  <c r="S25" i="3"/>
  <c r="S26" i="3"/>
  <c r="S27" i="3"/>
  <c r="S28" i="3"/>
  <c r="S29" i="3"/>
  <c r="S31" i="3"/>
  <c r="S32" i="3"/>
  <c r="S33" i="3"/>
  <c r="S34" i="3"/>
  <c r="S35" i="3"/>
  <c r="S36" i="3"/>
  <c r="S37" i="3"/>
  <c r="S38" i="3"/>
  <c r="S39" i="3"/>
  <c r="S40" i="3"/>
  <c r="S42" i="3"/>
  <c r="S44" i="3"/>
  <c r="S48" i="3"/>
  <c r="S49" i="3"/>
  <c r="S50" i="3"/>
  <c r="S51" i="3"/>
  <c r="S52" i="3"/>
  <c r="S53" i="3"/>
  <c r="S54" i="3"/>
  <c r="S56" i="3"/>
  <c r="S57" i="3"/>
  <c r="S58" i="3"/>
  <c r="S60" i="3"/>
  <c r="S61" i="3"/>
  <c r="S63" i="3"/>
  <c r="S64" i="3"/>
  <c r="S65" i="3"/>
  <c r="S66" i="3"/>
  <c r="S68" i="3"/>
  <c r="S69" i="3"/>
  <c r="S71" i="3"/>
  <c r="S73" i="3"/>
  <c r="S74" i="3"/>
  <c r="S75" i="3"/>
  <c r="S76" i="3"/>
  <c r="S77" i="3"/>
  <c r="S79" i="3"/>
  <c r="S80" i="3"/>
  <c r="S81" i="3"/>
  <c r="S82" i="3"/>
  <c r="S83" i="3"/>
  <c r="S84" i="3"/>
  <c r="M2" i="1" a="1"/>
  <c r="T84" i="3" l="1"/>
  <c r="U84" i="3"/>
  <c r="W84" i="3"/>
  <c r="X84" i="3"/>
  <c r="V84" i="3"/>
  <c r="X83" i="3"/>
  <c r="U83" i="3"/>
  <c r="T83" i="3"/>
  <c r="V83" i="3"/>
  <c r="W83" i="3"/>
  <c r="X82" i="3"/>
  <c r="V82" i="3"/>
  <c r="T82" i="3"/>
  <c r="U82" i="3"/>
  <c r="W82" i="3"/>
  <c r="V81" i="3"/>
  <c r="W81" i="3"/>
  <c r="X81" i="3"/>
  <c r="T81" i="3"/>
  <c r="U81" i="3"/>
  <c r="T80" i="3"/>
  <c r="U80" i="3"/>
  <c r="V80" i="3"/>
  <c r="W80" i="3"/>
  <c r="X80" i="3"/>
  <c r="X79" i="3"/>
  <c r="U79" i="3"/>
  <c r="V79" i="3"/>
  <c r="T79" i="3"/>
  <c r="W79" i="3"/>
  <c r="T77" i="3"/>
  <c r="X77" i="3"/>
  <c r="U77" i="3"/>
  <c r="W77" i="3"/>
  <c r="V77" i="3"/>
  <c r="W76" i="3"/>
  <c r="X76" i="3"/>
  <c r="U76" i="3"/>
  <c r="V76" i="3"/>
  <c r="T76" i="3"/>
  <c r="T75" i="3"/>
  <c r="U75" i="3"/>
  <c r="V75" i="3"/>
  <c r="X75" i="3"/>
  <c r="W75" i="3"/>
  <c r="T74" i="3"/>
  <c r="V74" i="3"/>
  <c r="U74" i="3"/>
  <c r="W74" i="3"/>
  <c r="X74" i="3"/>
  <c r="T73" i="3"/>
  <c r="X73" i="3"/>
  <c r="V73" i="3"/>
  <c r="U73" i="3"/>
  <c r="W73" i="3"/>
  <c r="X71" i="3"/>
  <c r="U71" i="3"/>
  <c r="T71" i="3"/>
  <c r="V71" i="3"/>
  <c r="W71" i="3"/>
  <c r="V69" i="3"/>
  <c r="W69" i="3"/>
  <c r="X69" i="3"/>
  <c r="U69" i="3"/>
  <c r="T69" i="3"/>
  <c r="U68" i="3"/>
  <c r="V68" i="3"/>
  <c r="T68" i="3"/>
  <c r="W68" i="3"/>
  <c r="X68" i="3"/>
  <c r="U66" i="3"/>
  <c r="V66" i="3"/>
  <c r="W66" i="3"/>
  <c r="T66" i="3"/>
  <c r="X66" i="3"/>
  <c r="T65" i="3"/>
  <c r="X65" i="3"/>
  <c r="W65" i="3"/>
  <c r="U65" i="3"/>
  <c r="V65" i="3"/>
  <c r="W64" i="3"/>
  <c r="X64" i="3"/>
  <c r="T64" i="3"/>
  <c r="U64" i="3"/>
  <c r="V64" i="3"/>
  <c r="X63" i="3"/>
  <c r="V63" i="3"/>
  <c r="U63" i="3"/>
  <c r="W63" i="3"/>
  <c r="T63" i="3"/>
  <c r="V61" i="3"/>
  <c r="W61" i="3"/>
  <c r="X61" i="3"/>
  <c r="U61" i="3"/>
  <c r="T61" i="3"/>
  <c r="T60" i="3"/>
  <c r="U60" i="3"/>
  <c r="V60" i="3"/>
  <c r="W60" i="3"/>
  <c r="X60" i="3"/>
  <c r="W58" i="3"/>
  <c r="U58" i="3"/>
  <c r="X58" i="3"/>
  <c r="T58" i="3"/>
  <c r="V58" i="3"/>
  <c r="T57" i="3"/>
  <c r="X57" i="3"/>
  <c r="U57" i="3"/>
  <c r="W57" i="3"/>
  <c r="V57" i="3"/>
  <c r="W56" i="3"/>
  <c r="X56" i="3"/>
  <c r="U56" i="3"/>
  <c r="T56" i="3"/>
  <c r="V56" i="3"/>
  <c r="U54" i="3"/>
  <c r="V54" i="3"/>
  <c r="W54" i="3"/>
  <c r="T54" i="3"/>
  <c r="X54" i="3"/>
  <c r="V53" i="3"/>
  <c r="T53" i="3"/>
  <c r="W53" i="3"/>
  <c r="U53" i="3"/>
  <c r="X53" i="3"/>
  <c r="T52" i="3"/>
  <c r="U52" i="3"/>
  <c r="W52" i="3"/>
  <c r="X52" i="3"/>
  <c r="V52" i="3"/>
  <c r="X51" i="3"/>
  <c r="W51" i="3"/>
  <c r="U51" i="3"/>
  <c r="V51" i="3"/>
  <c r="T51" i="3"/>
  <c r="U50" i="3"/>
  <c r="V50" i="3"/>
  <c r="W50" i="3"/>
  <c r="T50" i="3"/>
  <c r="X50" i="3"/>
  <c r="X49" i="3"/>
  <c r="V49" i="3"/>
  <c r="W49" i="3"/>
  <c r="U49" i="3"/>
  <c r="T49" i="3"/>
  <c r="T48" i="3"/>
  <c r="U48" i="3"/>
  <c r="W48" i="3"/>
  <c r="V48" i="3"/>
  <c r="X48" i="3"/>
  <c r="T44" i="3"/>
  <c r="U44" i="3"/>
  <c r="W44" i="3"/>
  <c r="X44" i="3"/>
  <c r="V44" i="3"/>
  <c r="T42" i="3"/>
  <c r="U42" i="3"/>
  <c r="V42" i="3"/>
  <c r="W42" i="3"/>
  <c r="X42" i="3"/>
  <c r="T40" i="3"/>
  <c r="U40" i="3"/>
  <c r="W40" i="3"/>
  <c r="V40" i="3"/>
  <c r="X40" i="3"/>
  <c r="W39" i="3"/>
  <c r="X39" i="3"/>
  <c r="U39" i="3"/>
  <c r="T39" i="3"/>
  <c r="V39" i="3"/>
  <c r="T38" i="3"/>
  <c r="U38" i="3"/>
  <c r="V38" i="3"/>
  <c r="X38" i="3"/>
  <c r="W38" i="3"/>
  <c r="U37" i="3"/>
  <c r="V37" i="3"/>
  <c r="W37" i="3"/>
  <c r="X37" i="3"/>
  <c r="T37" i="3"/>
  <c r="T36" i="3"/>
  <c r="U36" i="3"/>
  <c r="V36" i="3"/>
  <c r="W36" i="3"/>
  <c r="X36" i="3"/>
  <c r="W35" i="3"/>
  <c r="X35" i="3"/>
  <c r="T35" i="3"/>
  <c r="U35" i="3"/>
  <c r="V35" i="3"/>
  <c r="T34" i="3"/>
  <c r="U34" i="3"/>
  <c r="V34" i="3"/>
  <c r="W34" i="3"/>
  <c r="X34" i="3"/>
  <c r="W33" i="3"/>
  <c r="U33" i="3"/>
  <c r="X33" i="3"/>
  <c r="T33" i="3"/>
  <c r="V33" i="3"/>
  <c r="T32" i="3"/>
  <c r="U32" i="3"/>
  <c r="V32" i="3"/>
  <c r="W32" i="3"/>
  <c r="X32" i="3"/>
  <c r="W31" i="3"/>
  <c r="X31" i="3"/>
  <c r="T31" i="3"/>
  <c r="U31" i="3"/>
  <c r="V31" i="3"/>
  <c r="U29" i="3"/>
  <c r="V29" i="3"/>
  <c r="W29" i="3"/>
  <c r="X29" i="3"/>
  <c r="T29" i="3"/>
  <c r="U28" i="3"/>
  <c r="T28" i="3"/>
  <c r="X28" i="3"/>
  <c r="W28" i="3"/>
  <c r="V28" i="3"/>
  <c r="T27" i="3"/>
  <c r="U27" i="3"/>
  <c r="V27" i="3"/>
  <c r="X27" i="3"/>
  <c r="W27" i="3"/>
  <c r="X26" i="3"/>
  <c r="T26" i="3"/>
  <c r="U26" i="3"/>
  <c r="W26" i="3"/>
  <c r="V26" i="3"/>
  <c r="U25" i="3"/>
  <c r="V25" i="3"/>
  <c r="W25" i="3"/>
  <c r="T25" i="3"/>
  <c r="X25" i="3"/>
  <c r="U24" i="3"/>
  <c r="V24" i="3"/>
  <c r="W24" i="3"/>
  <c r="X24" i="3"/>
  <c r="T24" i="3"/>
  <c r="T23" i="3"/>
  <c r="U23" i="3"/>
  <c r="V23" i="3"/>
  <c r="X23" i="3"/>
  <c r="W23" i="3"/>
  <c r="X22" i="3"/>
  <c r="U22" i="3"/>
  <c r="V22" i="3"/>
  <c r="T22" i="3"/>
  <c r="W22" i="3"/>
  <c r="V20" i="3"/>
  <c r="W20" i="3"/>
  <c r="X20" i="3"/>
  <c r="U20" i="3"/>
  <c r="T20" i="3"/>
  <c r="X19" i="3"/>
  <c r="V19" i="3"/>
  <c r="U19" i="3"/>
  <c r="T19" i="3"/>
  <c r="W19" i="3"/>
  <c r="T18" i="3"/>
  <c r="U18" i="3"/>
  <c r="V18" i="3"/>
  <c r="W18" i="3"/>
  <c r="X18" i="3"/>
  <c r="U17" i="3"/>
  <c r="V17" i="3"/>
  <c r="W17" i="3"/>
  <c r="X17" i="3"/>
  <c r="T17" i="3"/>
  <c r="V16" i="3"/>
  <c r="W16" i="3"/>
  <c r="X16" i="3"/>
  <c r="U16" i="3"/>
  <c r="T16" i="3"/>
  <c r="U15" i="3"/>
  <c r="V15" i="3"/>
  <c r="X15" i="3"/>
  <c r="T15" i="3"/>
  <c r="W15" i="3"/>
  <c r="T14" i="3"/>
  <c r="U14" i="3"/>
  <c r="V14" i="3"/>
  <c r="W14" i="3"/>
  <c r="X14" i="3"/>
  <c r="T13" i="3"/>
  <c r="W13" i="3"/>
  <c r="U13" i="3"/>
  <c r="V13" i="3"/>
  <c r="X13" i="3"/>
  <c r="V12" i="3"/>
  <c r="W12" i="3"/>
  <c r="X12" i="3"/>
  <c r="T12" i="3"/>
  <c r="U12" i="3"/>
  <c r="U11" i="3"/>
  <c r="V11" i="3"/>
  <c r="W11" i="3"/>
  <c r="X11" i="3"/>
  <c r="T11" i="3"/>
  <c r="T10" i="3"/>
  <c r="U10" i="3"/>
  <c r="V10" i="3"/>
  <c r="W10" i="3"/>
  <c r="X10" i="3"/>
  <c r="W9" i="3"/>
  <c r="T9" i="3"/>
  <c r="U9" i="3"/>
  <c r="V9" i="3"/>
  <c r="X9" i="3"/>
  <c r="V8" i="3"/>
  <c r="W8" i="3"/>
  <c r="X8" i="3"/>
  <c r="U8" i="3"/>
  <c r="T8" i="3"/>
  <c r="V6" i="3"/>
  <c r="T6" i="3"/>
  <c r="U6" i="3"/>
  <c r="X6" i="3"/>
  <c r="W6" i="3"/>
  <c r="U5" i="3"/>
  <c r="V5" i="3"/>
  <c r="W5" i="3"/>
  <c r="X5" i="3"/>
  <c r="T5" i="3"/>
  <c r="T4" i="3"/>
  <c r="U4" i="3"/>
  <c r="V4" i="3"/>
  <c r="W4" i="3"/>
  <c r="X4" i="3"/>
  <c r="W3" i="3"/>
  <c r="X3" i="3"/>
  <c r="U3" i="3"/>
  <c r="T3" i="3"/>
  <c r="V3" i="3"/>
  <c r="M2" i="1"/>
  <c r="M5" i="1" a="1"/>
  <c r="M5" i="1"/>
  <c r="C8" i="1"/>
  <c r="C8" i="466" s="1"/>
  <c r="D8" i="1"/>
  <c r="E8" i="1"/>
  <c r="F8" i="1"/>
  <c r="G8" i="1"/>
  <c r="H8" i="1" a="1"/>
  <c r="H8" i="1" l="1"/>
  <c r="I8" i="1" a="1"/>
  <c r="I8" i="1"/>
  <c r="D8" i="466" s="1"/>
  <c r="J8" i="1" a="1"/>
  <c r="J8" i="1" l="1"/>
  <c r="K8" i="1" a="1"/>
  <c r="K8" i="1"/>
  <c r="C9" i="1"/>
  <c r="C9" i="466" s="1"/>
  <c r="D9" i="1"/>
  <c r="E9" i="1"/>
  <c r="F9" i="1"/>
  <c r="G9" i="1"/>
  <c r="H9" i="1" a="1"/>
  <c r="H9" i="1" l="1"/>
  <c r="I9" i="1" a="1"/>
  <c r="I9" i="1"/>
  <c r="D9" i="466" s="1"/>
  <c r="J9" i="1" a="1"/>
  <c r="J9" i="1" l="1"/>
  <c r="K9" i="1" a="1"/>
  <c r="K9" i="1"/>
  <c r="C10" i="1"/>
  <c r="C10" i="466" s="1"/>
  <c r="D10" i="1"/>
  <c r="E10" i="1"/>
  <c r="F10" i="1"/>
  <c r="G10" i="1"/>
  <c r="H10" i="1" a="1"/>
  <c r="H10" i="1" l="1"/>
  <c r="I10" i="1" a="1"/>
  <c r="I10" i="1"/>
  <c r="D10" i="466" s="1"/>
  <c r="J10" i="1" a="1"/>
  <c r="J10" i="1" l="1"/>
  <c r="K10" i="1" a="1"/>
  <c r="K10" i="1"/>
  <c r="C11" i="1"/>
  <c r="C11" i="466" s="1"/>
  <c r="D11" i="1"/>
  <c r="E11" i="1"/>
  <c r="F11" i="1"/>
  <c r="G11" i="1"/>
  <c r="H11" i="1" a="1"/>
  <c r="H11" i="1" l="1"/>
  <c r="I11" i="1" a="1"/>
  <c r="I11" i="1"/>
  <c r="D11" i="466" s="1"/>
  <c r="J11" i="1" a="1"/>
  <c r="J11" i="1" l="1"/>
  <c r="K11" i="1" a="1"/>
  <c r="K11" i="1"/>
  <c r="C12" i="1"/>
  <c r="C12" i="466" s="1"/>
  <c r="D12" i="1"/>
  <c r="E12" i="1"/>
  <c r="F12" i="1"/>
  <c r="G12" i="1"/>
  <c r="H12" i="1" a="1"/>
  <c r="H12" i="1" l="1"/>
  <c r="I12" i="1" a="1"/>
  <c r="I12" i="1"/>
  <c r="D12" i="466" s="1"/>
  <c r="J12" i="1" a="1"/>
  <c r="J12" i="1" l="1"/>
  <c r="K12" i="1" a="1"/>
  <c r="K12" i="1"/>
  <c r="C13" i="1"/>
  <c r="C13" i="466" s="1"/>
  <c r="D13" i="1"/>
  <c r="E13" i="1"/>
  <c r="F13" i="1"/>
  <c r="G13" i="1"/>
  <c r="H13" i="1" a="1"/>
  <c r="H13" i="1" l="1"/>
  <c r="I13" i="1" a="1"/>
  <c r="I13" i="1"/>
  <c r="D13" i="466" s="1"/>
  <c r="J13" i="1" a="1"/>
  <c r="J13" i="1" l="1"/>
  <c r="K13" i="1" a="1"/>
  <c r="K13" i="1"/>
  <c r="C14" i="1"/>
  <c r="C14" i="466" s="1"/>
  <c r="D14" i="1"/>
  <c r="E14" i="1"/>
  <c r="F14" i="1"/>
  <c r="G14" i="1"/>
  <c r="H14" i="1" a="1"/>
  <c r="E14" i="466" l="1"/>
  <c r="E8" i="466"/>
  <c r="E13" i="466"/>
  <c r="E9" i="466"/>
  <c r="E12" i="466"/>
  <c r="E10" i="466"/>
  <c r="E11" i="466"/>
  <c r="H14" i="1"/>
  <c r="I14" i="1" a="1"/>
  <c r="I14" i="1" l="1"/>
  <c r="D14" i="466" s="1"/>
  <c r="J14" i="1" a="1"/>
  <c r="F14" i="466" l="1"/>
  <c r="G14" i="466" s="1"/>
  <c r="H14" i="466" s="1"/>
  <c r="F8" i="466"/>
  <c r="G8" i="466" s="1"/>
  <c r="H8" i="466" s="1"/>
  <c r="F13" i="466"/>
  <c r="G13" i="466" s="1"/>
  <c r="H13" i="466" s="1"/>
  <c r="F12" i="466"/>
  <c r="G12" i="466" s="1"/>
  <c r="H12" i="466" s="1"/>
  <c r="F10" i="466"/>
  <c r="G10" i="466" s="1"/>
  <c r="H10" i="466" s="1"/>
  <c r="F11" i="466"/>
  <c r="G11" i="466" s="1"/>
  <c r="H11" i="466" s="1"/>
  <c r="F9" i="466"/>
  <c r="G9" i="466" s="1"/>
  <c r="H9" i="466" s="1"/>
  <c r="J14" i="1"/>
  <c r="K14" i="1" a="1"/>
  <c r="K14" i="1"/>
  <c r="C16" i="1"/>
  <c r="C16" i="466" s="1"/>
  <c r="D16" i="1"/>
  <c r="E16" i="1"/>
  <c r="F16" i="1"/>
  <c r="G16" i="1"/>
  <c r="H16" i="1" a="1"/>
  <c r="H16" i="1" l="1"/>
  <c r="I16" i="1" a="1"/>
  <c r="I16" i="1"/>
  <c r="D16" i="466" s="1"/>
  <c r="J16" i="1" a="1"/>
  <c r="J16" i="1" l="1"/>
  <c r="K16" i="1" a="1"/>
  <c r="K16" i="1"/>
  <c r="C17" i="1"/>
  <c r="C17" i="466" s="1"/>
  <c r="D17" i="1"/>
  <c r="E17" i="1"/>
  <c r="F17" i="1"/>
  <c r="G17" i="1"/>
  <c r="H17" i="1" a="1"/>
  <c r="H17" i="1" l="1"/>
  <c r="I17" i="1" a="1"/>
  <c r="I17" i="1"/>
  <c r="D17" i="466" s="1"/>
  <c r="J17" i="1" a="1"/>
  <c r="J17" i="1" l="1"/>
  <c r="K17" i="1" a="1"/>
  <c r="K17" i="1"/>
  <c r="C18" i="1"/>
  <c r="C18" i="466" s="1"/>
  <c r="D18" i="1"/>
  <c r="E18" i="1"/>
  <c r="F18" i="1"/>
  <c r="G18" i="1"/>
  <c r="H18" i="1" a="1"/>
  <c r="E18" i="466" l="1"/>
  <c r="E17" i="466"/>
  <c r="E16" i="466"/>
  <c r="H18" i="1"/>
  <c r="I18" i="1" a="1"/>
  <c r="I18" i="1" l="1"/>
  <c r="D18" i="466" s="1"/>
  <c r="J18" i="1" a="1"/>
  <c r="F18" i="466" l="1"/>
  <c r="G18" i="466" s="1"/>
  <c r="H18" i="466" s="1"/>
  <c r="F17" i="466"/>
  <c r="G17" i="466" s="1"/>
  <c r="H17" i="466" s="1"/>
  <c r="F16" i="466"/>
  <c r="G16" i="466" s="1"/>
  <c r="H16" i="466" s="1"/>
  <c r="J18" i="1"/>
  <c r="K18" i="1" a="1"/>
  <c r="K18" i="1"/>
  <c r="C20" i="1"/>
  <c r="C20" i="466" s="1"/>
  <c r="E20" i="466" s="1"/>
  <c r="D20" i="1"/>
  <c r="E20" i="1"/>
  <c r="F20" i="1"/>
  <c r="G20" i="1"/>
  <c r="H20" i="1" a="1"/>
  <c r="H20" i="1" l="1"/>
  <c r="I20" i="1" a="1"/>
  <c r="I20" i="1"/>
  <c r="D20" i="466" s="1"/>
  <c r="F20" i="466" s="1"/>
  <c r="G20" i="466" s="1"/>
  <c r="H20" i="466" s="1"/>
  <c r="J20" i="1" a="1"/>
  <c r="J20" i="1"/>
  <c r="K20" i="1" a="1"/>
  <c r="K20" i="1"/>
  <c r="C22" i="1"/>
  <c r="C22" i="466" s="1"/>
  <c r="D22" i="1"/>
  <c r="E22" i="1"/>
  <c r="F22" i="1"/>
  <c r="G22" i="1"/>
  <c r="H22" i="1" a="1"/>
  <c r="H22" i="1" l="1"/>
  <c r="I22" i="1" a="1"/>
  <c r="I22" i="1"/>
  <c r="D22" i="466" s="1"/>
  <c r="J22" i="1" a="1"/>
  <c r="J22" i="1" l="1"/>
  <c r="K22" i="1" a="1"/>
  <c r="K22" i="1"/>
  <c r="C23" i="1"/>
  <c r="C23" i="466" s="1"/>
  <c r="D23" i="1"/>
  <c r="E23" i="1"/>
  <c r="F23" i="1"/>
  <c r="G23" i="1"/>
  <c r="H23" i="1" a="1"/>
  <c r="H23" i="1" l="1"/>
  <c r="I23" i="1" a="1"/>
  <c r="I23" i="1"/>
  <c r="D23" i="466" s="1"/>
  <c r="J23" i="1" a="1"/>
  <c r="J23" i="1" l="1"/>
  <c r="K23" i="1" a="1"/>
  <c r="K23" i="1"/>
  <c r="C24" i="1"/>
  <c r="C24" i="466" s="1"/>
  <c r="D24" i="1"/>
  <c r="E24" i="1"/>
  <c r="F24" i="1"/>
  <c r="G24" i="1"/>
  <c r="H24" i="1" a="1"/>
  <c r="H24" i="1" l="1"/>
  <c r="I24" i="1" a="1"/>
  <c r="I24" i="1"/>
  <c r="D24" i="466" s="1"/>
  <c r="J24" i="1" a="1"/>
  <c r="J24" i="1" l="1"/>
  <c r="K24" i="1" a="1"/>
  <c r="K24" i="1"/>
  <c r="C25" i="1"/>
  <c r="C25" i="466" s="1"/>
  <c r="D25" i="1"/>
  <c r="E25" i="1"/>
  <c r="F25" i="1"/>
  <c r="G25" i="1"/>
  <c r="H25" i="1" a="1"/>
  <c r="E25" i="466" l="1"/>
  <c r="E24" i="466"/>
  <c r="E23" i="466"/>
  <c r="E22" i="466"/>
  <c r="H25" i="1"/>
  <c r="I25" i="1" a="1"/>
  <c r="I25" i="1" l="1"/>
  <c r="D25" i="466" s="1"/>
  <c r="J25" i="1" a="1"/>
  <c r="F25" i="466" l="1"/>
  <c r="G25" i="466" s="1"/>
  <c r="H25" i="466" s="1"/>
  <c r="F24" i="466"/>
  <c r="G24" i="466" s="1"/>
  <c r="H24" i="466" s="1"/>
  <c r="F22" i="466"/>
  <c r="G22" i="466" s="1"/>
  <c r="H22" i="466" s="1"/>
  <c r="F23" i="466"/>
  <c r="G23" i="466" s="1"/>
  <c r="H23" i="466" s="1"/>
  <c r="J25" i="1"/>
  <c r="K25" i="1" a="1"/>
  <c r="K25" i="1"/>
  <c r="C27" i="1"/>
  <c r="C27" i="466" s="1"/>
  <c r="D27" i="1"/>
  <c r="E27" i="1"/>
  <c r="F27" i="1"/>
  <c r="G27" i="1"/>
  <c r="H27" i="1" a="1"/>
  <c r="H27" i="1" l="1"/>
  <c r="I27" i="1" a="1"/>
  <c r="I27" i="1"/>
  <c r="D27" i="466" s="1"/>
  <c r="J27" i="1" a="1"/>
  <c r="J27" i="1" l="1"/>
  <c r="K27" i="1" a="1"/>
  <c r="K27" i="1"/>
  <c r="C28" i="1"/>
  <c r="C28" i="466" s="1"/>
  <c r="D28" i="1"/>
  <c r="E28" i="1"/>
  <c r="F28" i="1"/>
  <c r="G28" i="1"/>
  <c r="H28" i="1" a="1"/>
  <c r="E28" i="466" l="1"/>
  <c r="E27" i="466"/>
  <c r="H28" i="1"/>
  <c r="I28" i="1" a="1"/>
  <c r="I28" i="1" l="1"/>
  <c r="D28" i="466" s="1"/>
  <c r="J28" i="1" a="1"/>
  <c r="F28" i="466" l="1"/>
  <c r="G28" i="466" s="1"/>
  <c r="H28" i="466" s="1"/>
  <c r="F27" i="466"/>
  <c r="G27" i="466" s="1"/>
  <c r="H27" i="466" s="1"/>
  <c r="J28" i="1"/>
  <c r="K28" i="1" a="1"/>
  <c r="K28" i="1"/>
  <c r="C30" i="1"/>
  <c r="C30" i="466" s="1"/>
  <c r="E30" i="466" s="1"/>
  <c r="D30" i="1"/>
  <c r="E30" i="1"/>
  <c r="F30" i="1"/>
  <c r="G30" i="1"/>
  <c r="H30" i="1" a="1"/>
  <c r="H30" i="1" l="1"/>
  <c r="I30" i="1" a="1"/>
  <c r="I30" i="1"/>
  <c r="D30" i="466" s="1"/>
  <c r="F30" i="466" s="1"/>
  <c r="G30" i="466" s="1"/>
  <c r="H30" i="466" s="1"/>
  <c r="J30" i="1" a="1"/>
  <c r="J30" i="1"/>
  <c r="K30" i="1" a="1"/>
  <c r="K30" i="1"/>
  <c r="C32" i="1"/>
  <c r="C32" i="466" s="1"/>
  <c r="D32" i="1"/>
  <c r="E32" i="1"/>
  <c r="F32" i="1"/>
  <c r="G32" i="1"/>
  <c r="H32" i="1" a="1"/>
  <c r="H32" i="1" l="1"/>
  <c r="I32" i="1" a="1"/>
  <c r="I32" i="1"/>
  <c r="D32" i="466" s="1"/>
  <c r="J32" i="1" a="1"/>
  <c r="J32" i="1" l="1"/>
  <c r="K32" i="1" a="1"/>
  <c r="K32" i="1"/>
  <c r="C33" i="1"/>
  <c r="C33" i="466" s="1"/>
  <c r="D33" i="1"/>
  <c r="E33" i="1"/>
  <c r="F33" i="1"/>
  <c r="G33" i="1"/>
  <c r="H33" i="1" a="1"/>
  <c r="H33" i="1" l="1"/>
  <c r="I33" i="1" a="1"/>
  <c r="I33" i="1"/>
  <c r="D33" i="466" s="1"/>
  <c r="J33" i="1" a="1"/>
  <c r="J33" i="1" l="1"/>
  <c r="K33" i="1" a="1"/>
  <c r="K33" i="1"/>
  <c r="C34" i="1"/>
  <c r="C34" i="466" s="1"/>
  <c r="D34" i="1"/>
  <c r="E34" i="1"/>
  <c r="F34" i="1"/>
  <c r="G34" i="1"/>
  <c r="H34" i="1" a="1"/>
  <c r="H34" i="1" l="1"/>
  <c r="I34" i="1" a="1"/>
  <c r="I34" i="1"/>
  <c r="D34" i="466" s="1"/>
  <c r="J34" i="1" a="1"/>
  <c r="J34" i="1" l="1"/>
  <c r="K34" i="1" a="1"/>
  <c r="K34" i="1"/>
  <c r="C35" i="1"/>
  <c r="C35" i="466" s="1"/>
  <c r="D35" i="1"/>
  <c r="E35" i="1"/>
  <c r="F35" i="1"/>
  <c r="G35" i="1"/>
  <c r="H35" i="1" a="1"/>
  <c r="H35" i="1" l="1"/>
  <c r="I35" i="1" a="1"/>
  <c r="I35" i="1"/>
  <c r="D35" i="466" s="1"/>
  <c r="J35" i="1" a="1"/>
  <c r="J35" i="1" l="1"/>
  <c r="K35" i="1" a="1"/>
  <c r="K35" i="1"/>
  <c r="C36" i="1"/>
  <c r="C36" i="466" s="1"/>
  <c r="D36" i="1"/>
  <c r="E36" i="1"/>
  <c r="F36" i="1"/>
  <c r="G36" i="1"/>
  <c r="H36" i="1" a="1"/>
  <c r="E36" i="466" l="1"/>
  <c r="E35" i="466"/>
  <c r="E33" i="466"/>
  <c r="E32" i="466"/>
  <c r="E34" i="466"/>
  <c r="H36" i="1"/>
  <c r="I36" i="1" a="1"/>
  <c r="I36" i="1" l="1"/>
  <c r="D36" i="466" s="1"/>
  <c r="J36" i="1" a="1"/>
  <c r="F36" i="466" l="1"/>
  <c r="G36" i="466" s="1"/>
  <c r="H36" i="466" s="1"/>
  <c r="F35" i="466"/>
  <c r="G35" i="466" s="1"/>
  <c r="H35" i="466" s="1"/>
  <c r="F34" i="466"/>
  <c r="G34" i="466" s="1"/>
  <c r="H34" i="466" s="1"/>
  <c r="F33" i="466"/>
  <c r="G33" i="466" s="1"/>
  <c r="H33" i="466" s="1"/>
  <c r="F32" i="466"/>
  <c r="G32" i="466" s="1"/>
  <c r="H32" i="466" s="1"/>
  <c r="J36" i="1"/>
  <c r="K36" i="1" a="1"/>
  <c r="K36" i="1"/>
  <c r="C38" i="1"/>
  <c r="C38" i="466" s="1"/>
  <c r="D38" i="1"/>
  <c r="E38" i="1"/>
  <c r="F38" i="1"/>
  <c r="G38" i="1"/>
  <c r="H38" i="1" a="1"/>
  <c r="H38" i="1" l="1"/>
  <c r="I38" i="1" a="1"/>
  <c r="I38" i="1"/>
  <c r="D38" i="466" s="1"/>
  <c r="J38" i="1" a="1"/>
  <c r="J38" i="1" l="1"/>
  <c r="K38" i="1" a="1"/>
  <c r="K38" i="1"/>
  <c r="C39" i="1"/>
  <c r="C39" i="466" s="1"/>
  <c r="D39" i="1"/>
  <c r="E39" i="1"/>
  <c r="F39" i="1"/>
  <c r="G39" i="1"/>
  <c r="H39" i="1" a="1"/>
  <c r="H39" i="1" l="1"/>
  <c r="I39" i="1" a="1"/>
  <c r="I39" i="1"/>
  <c r="D39" i="466" s="1"/>
  <c r="J39" i="1" a="1"/>
  <c r="J39" i="1" l="1"/>
  <c r="K39" i="1" a="1"/>
  <c r="K39" i="1"/>
  <c r="C40" i="1"/>
  <c r="C40" i="466" s="1"/>
  <c r="D40" i="1"/>
  <c r="E40" i="1"/>
  <c r="F40" i="1"/>
  <c r="G40" i="1"/>
  <c r="H40" i="1" a="1"/>
  <c r="H40" i="1" l="1"/>
  <c r="I40" i="1" a="1"/>
  <c r="I40" i="1"/>
  <c r="D40" i="466" s="1"/>
  <c r="J40" i="1" a="1"/>
  <c r="J40" i="1" l="1"/>
  <c r="K40" i="1" a="1"/>
  <c r="K40" i="1"/>
  <c r="C41" i="1"/>
  <c r="C41" i="466" s="1"/>
  <c r="D41" i="1"/>
  <c r="E41" i="1"/>
  <c r="F41" i="1"/>
  <c r="G41" i="1"/>
  <c r="H41" i="1" a="1"/>
  <c r="H41" i="1" l="1"/>
  <c r="I41" i="1" a="1"/>
  <c r="I41" i="1"/>
  <c r="D41" i="466" s="1"/>
  <c r="J41" i="1" a="1"/>
  <c r="J41" i="1" l="1"/>
  <c r="K41" i="1" a="1"/>
  <c r="K41" i="1"/>
  <c r="C42" i="1"/>
  <c r="C42" i="466" s="1"/>
  <c r="D42" i="1" a="1"/>
  <c r="D42" i="1" l="1"/>
  <c r="E42" i="1"/>
  <c r="F42" i="1"/>
  <c r="G42" i="1"/>
  <c r="H42" i="1" a="1"/>
  <c r="H42" i="1"/>
  <c r="I42" i="1" a="1"/>
  <c r="I42" i="1"/>
  <c r="D42" i="466" s="1"/>
  <c r="J42" i="1" a="1"/>
  <c r="J42" i="1" l="1"/>
  <c r="K42" i="1" a="1"/>
  <c r="K42" i="1"/>
  <c r="C43" i="1"/>
  <c r="C43" i="466" s="1"/>
  <c r="D43" i="1"/>
  <c r="E43" i="1"/>
  <c r="F43" i="1"/>
  <c r="G43" i="1"/>
  <c r="H43" i="1" a="1"/>
  <c r="E43" i="466" l="1"/>
  <c r="E42" i="466"/>
  <c r="E41" i="466"/>
  <c r="E44" i="466"/>
  <c r="G44" i="466" s="1"/>
  <c r="H44" i="466" s="1"/>
  <c r="E40" i="466"/>
  <c r="E39" i="466"/>
  <c r="E38" i="466"/>
  <c r="H43" i="1"/>
  <c r="I43" i="1" a="1"/>
  <c r="I43" i="1" l="1"/>
  <c r="D43" i="466" s="1"/>
  <c r="J43" i="1" a="1"/>
  <c r="F43" i="466" l="1"/>
  <c r="G43" i="466" s="1"/>
  <c r="H43" i="466" s="1"/>
  <c r="F42" i="466"/>
  <c r="G42" i="466" s="1"/>
  <c r="H42" i="466" s="1"/>
  <c r="F40" i="466"/>
  <c r="G40" i="466" s="1"/>
  <c r="H40" i="466" s="1"/>
  <c r="F41" i="466"/>
  <c r="G41" i="466" s="1"/>
  <c r="H41" i="466" s="1"/>
  <c r="F39" i="466"/>
  <c r="G39" i="466" s="1"/>
  <c r="H39" i="466" s="1"/>
  <c r="F38" i="466"/>
  <c r="G38" i="466" s="1"/>
  <c r="H38" i="466" s="1"/>
  <c r="J43" i="1"/>
  <c r="K43" i="1" a="1"/>
  <c r="K43" i="1"/>
  <c r="C44" i="1" a="1"/>
  <c r="C44" i="1"/>
  <c r="D44" i="1" a="1"/>
  <c r="D44" i="1"/>
  <c r="E44" i="1"/>
  <c r="F44" i="1"/>
  <c r="G44" i="1"/>
  <c r="H44" i="1" a="1"/>
  <c r="H44" i="1"/>
  <c r="I44" i="1" a="1"/>
  <c r="I44" i="1"/>
  <c r="J44" i="1" a="1"/>
  <c r="J44" i="1"/>
  <c r="K44" i="1" a="1"/>
  <c r="K44" i="1"/>
  <c r="H46" i="1"/>
  <c r="I46" i="1"/>
  <c r="J46" i="1"/>
  <c r="K46" i="1"/>
  <c r="H47" i="1"/>
  <c r="I47" i="1"/>
  <c r="J47" i="1"/>
  <c r="K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<sst xmlns="http://schemas.openxmlformats.org/spreadsheetml/2006/main" count="541" uniqueCount="373">
  <si>
    <t>CDS (bps)</t>
  </si>
  <si>
    <t>Equity Price (%)</t>
  </si>
  <si>
    <t>Bank</t>
  </si>
  <si>
    <t>Now</t>
  </si>
  <si>
    <t>5d Δ</t>
  </si>
  <si>
    <t>2wk Δ</t>
  </si>
  <si>
    <t>3m Δ</t>
  </si>
  <si>
    <t>1yr Δ</t>
  </si>
  <si>
    <t>America</t>
  </si>
  <si>
    <t>Dow Jones US Banks Index</t>
  </si>
  <si>
    <t>Citigroup</t>
  </si>
  <si>
    <t>Bank of America</t>
  </si>
  <si>
    <t>JPMorgan Chase</t>
  </si>
  <si>
    <t>Goldman Sachs</t>
  </si>
  <si>
    <t>Morgan Stanley</t>
  </si>
  <si>
    <t>Wells Fargo</t>
  </si>
  <si>
    <t>State Street Bank</t>
  </si>
  <si>
    <t>France</t>
  </si>
  <si>
    <t>BNP Paribas SA</t>
  </si>
  <si>
    <t>Credit Agricole SA</t>
  </si>
  <si>
    <t>Societe Generale</t>
  </si>
  <si>
    <t>Switzerland</t>
  </si>
  <si>
    <t>UBS Group AG</t>
  </si>
  <si>
    <t>U.K.</t>
  </si>
  <si>
    <t>Barclays Bank PLC</t>
  </si>
  <si>
    <t>HSBC Holdings PLC</t>
  </si>
  <si>
    <t>RBS Group PLC</t>
  </si>
  <si>
    <t>Standard Chartered</t>
  </si>
  <si>
    <t>Germany</t>
  </si>
  <si>
    <t>Deutsche Bank AG</t>
  </si>
  <si>
    <t>Commerzbank</t>
  </si>
  <si>
    <t>Denmark</t>
  </si>
  <si>
    <t>Danske</t>
  </si>
  <si>
    <t>Japan</t>
  </si>
  <si>
    <t>TOPIX Banks Index</t>
  </si>
  <si>
    <t>Mitsubishi</t>
  </si>
  <si>
    <t>Sumitomo</t>
  </si>
  <si>
    <t>Mizuho</t>
  </si>
  <si>
    <t>Daiwa</t>
  </si>
  <si>
    <t>Nomura</t>
  </si>
  <si>
    <t>Canada</t>
  </si>
  <si>
    <t>S&amp;P/TSX Composite Banks Index</t>
  </si>
  <si>
    <t>Bank of Nova Scotia</t>
  </si>
  <si>
    <t>BMO</t>
  </si>
  <si>
    <t>CIBC</t>
  </si>
  <si>
    <t>TD</t>
  </si>
  <si>
    <t>RBC</t>
  </si>
  <si>
    <t>Nationale</t>
  </si>
  <si>
    <t>Laurentian</t>
  </si>
  <si>
    <t>Equity RIC</t>
  </si>
  <si>
    <t>C.N</t>
  </si>
  <si>
    <t>BAC.N</t>
  </si>
  <si>
    <t>JPM.N</t>
  </si>
  <si>
    <t>GS.N</t>
  </si>
  <si>
    <t>MS.N</t>
  </si>
  <si>
    <t>WFC.N</t>
  </si>
  <si>
    <t>STT.N</t>
  </si>
  <si>
    <t>BNPP.PA</t>
  </si>
  <si>
    <t>CAGR.PA</t>
  </si>
  <si>
    <t>SOGN.PA</t>
  </si>
  <si>
    <t>UBSG.S</t>
  </si>
  <si>
    <t>BARC.L</t>
  </si>
  <si>
    <t>HSBA.L</t>
  </si>
  <si>
    <t>NWG.L</t>
  </si>
  <si>
    <t>STAN.L</t>
  </si>
  <si>
    <t>DBKGn.DE</t>
  </si>
  <si>
    <t>CBKG.DE</t>
  </si>
  <si>
    <t>DANSKE.CO</t>
  </si>
  <si>
    <t>Mitsubishi UFJ</t>
  </si>
  <si>
    <t>8306.T</t>
  </si>
  <si>
    <t>8316.T</t>
  </si>
  <si>
    <t>8411.T</t>
  </si>
  <si>
    <t>8601.T</t>
  </si>
  <si>
    <t>8604.T</t>
  </si>
  <si>
    <t>BNS.TO</t>
  </si>
  <si>
    <t>BMO.TO</t>
  </si>
  <si>
    <t>CM.TO</t>
  </si>
  <si>
    <t>TD.TO</t>
  </si>
  <si>
    <t>RY.TO</t>
  </si>
  <si>
    <t>NA.TO</t>
  </si>
  <si>
    <t>LB.TO</t>
  </si>
  <si>
    <t>C5YUSAX=R</t>
  </si>
  <si>
    <t>BAC5YUSAX=R</t>
  </si>
  <si>
    <t>JPM5YUSAX=R</t>
  </si>
  <si>
    <t>GS5YUSAX=R</t>
  </si>
  <si>
    <t>MS5YUSAX=R</t>
  </si>
  <si>
    <t>WFC5YUSAX=R</t>
  </si>
  <si>
    <t>STT5YUSAX=R</t>
  </si>
  <si>
    <t>FORB5YEUAM=R</t>
  </si>
  <si>
    <t>CAGR5YEUAM=R</t>
  </si>
  <si>
    <t>SG5YEUAM=R</t>
  </si>
  <si>
    <t>UBSJ5YEUAM=R</t>
  </si>
  <si>
    <t>BARC5YEUAM=R</t>
  </si>
  <si>
    <t>STAN5YEUAM=R</t>
  </si>
  <si>
    <t>HSBA5YEUAM=R</t>
  </si>
  <si>
    <t>RBS5YEUAM=R</t>
  </si>
  <si>
    <t>DB5YEUAM=R</t>
  </si>
  <si>
    <t>CBKG5YEUAM=R</t>
  </si>
  <si>
    <t>DDBA5YEUAM=R</t>
  </si>
  <si>
    <t>MTFB5YJPAC=R</t>
  </si>
  <si>
    <t>SANG5YJPAC=R</t>
  </si>
  <si>
    <t>MZFC5YUSAC=R</t>
  </si>
  <si>
    <t>DWAS5YJPAC=R</t>
  </si>
  <si>
    <t>NMH5YJPAC=R</t>
  </si>
  <si>
    <t>BNS5YUSAX=R</t>
  </si>
  <si>
    <t>CM5YUSAX=R</t>
  </si>
  <si>
    <t>RY5YUSAX=R</t>
  </si>
  <si>
    <t>NA5YUSAX=R</t>
  </si>
  <si>
    <t>BMO5YUSAX=FN</t>
  </si>
  <si>
    <t>TD5YUSAX=FN</t>
  </si>
  <si>
    <t>LB5YUSAX=FN</t>
  </si>
  <si>
    <t>IQT313313524</t>
  </si>
  <si>
    <t>IQT313317344</t>
  </si>
  <si>
    <t>IQT46220329</t>
  </si>
  <si>
    <t>IQT313315429</t>
  </si>
  <si>
    <t>IQT313314976</t>
  </si>
  <si>
    <t>IQT313310854</t>
  </si>
  <si>
    <t>IQT62270106</t>
  </si>
  <si>
    <t>IQT46200317</t>
  </si>
  <si>
    <t>IQT79634901</t>
  </si>
  <si>
    <t>IQT62270107</t>
  </si>
  <si>
    <t xml:space="preserve">IQT46225715 </t>
  </si>
  <si>
    <t>IQT46200364</t>
  </si>
  <si>
    <t>IQT46225083</t>
  </si>
  <si>
    <t>IQT46200412</t>
  </si>
  <si>
    <t>Deutche Bank AG</t>
  </si>
  <si>
    <t>IQT254955233</t>
  </si>
  <si>
    <t>Standard Chartered Bank</t>
  </si>
  <si>
    <t>IQT263213132</t>
  </si>
  <si>
    <t>IQT46225374</t>
  </si>
  <si>
    <t>IQT286096131</t>
  </si>
  <si>
    <t>IQT46199841</t>
  </si>
  <si>
    <t>Credit Suisse Group AG</t>
  </si>
  <si>
    <t>IQT528936812</t>
  </si>
  <si>
    <t>UBS Group AG**</t>
  </si>
  <si>
    <t>IQT46226132</t>
  </si>
  <si>
    <t>Societe Generale SA</t>
  </si>
  <si>
    <t>IQT46224740</t>
  </si>
  <si>
    <t>IQT46225006</t>
  </si>
  <si>
    <t>IQT323680130</t>
  </si>
  <si>
    <t>State Street Bank &amp; Trust</t>
  </si>
  <si>
    <t>IQT46223646</t>
  </si>
  <si>
    <t>IQT46470877</t>
  </si>
  <si>
    <t>IQT46204957</t>
  </si>
  <si>
    <t>Goldman Sachs Group</t>
  </si>
  <si>
    <t>IQT46207872</t>
  </si>
  <si>
    <t>JPMorgan Chase &amp; Co</t>
  </si>
  <si>
    <t>IQT46195491</t>
  </si>
  <si>
    <t>IQT46197694</t>
  </si>
  <si>
    <t>IQT46218674</t>
  </si>
  <si>
    <t>South Africa</t>
  </si>
  <si>
    <t>Africa</t>
  </si>
  <si>
    <t>IQT46220803</t>
  </si>
  <si>
    <t>Thailand</t>
  </si>
  <si>
    <t>Taiwan</t>
  </si>
  <si>
    <t>IQT46208634</t>
  </si>
  <si>
    <t>South Korea</t>
  </si>
  <si>
    <t>IQT313305879</t>
  </si>
  <si>
    <t>Singapore</t>
  </si>
  <si>
    <t>IQT46216986</t>
  </si>
  <si>
    <t>Russia</t>
  </si>
  <si>
    <t>IQT46213472</t>
  </si>
  <si>
    <t>New Zealand</t>
  </si>
  <si>
    <t>IQT46210032</t>
  </si>
  <si>
    <t>Malaysia</t>
  </si>
  <si>
    <t>IQT46207789</t>
  </si>
  <si>
    <t>IQT60388057</t>
  </si>
  <si>
    <t>India</t>
  </si>
  <si>
    <t>IQT79639953</t>
  </si>
  <si>
    <t>Hong Kong</t>
  </si>
  <si>
    <t>IQT46215111</t>
  </si>
  <si>
    <t>China</t>
  </si>
  <si>
    <t>IQT51023260</t>
  </si>
  <si>
    <t>Australia</t>
  </si>
  <si>
    <t>Asia/Pacific</t>
  </si>
  <si>
    <t>IQT46222292</t>
  </si>
  <si>
    <t>Ukraine</t>
  </si>
  <si>
    <t>IQT60389516</t>
  </si>
  <si>
    <t>IQT46219922</t>
  </si>
  <si>
    <t>Sweden</t>
  </si>
  <si>
    <t>IQT46214879</t>
  </si>
  <si>
    <t>Poland</t>
  </si>
  <si>
    <t>IQT51023480</t>
  </si>
  <si>
    <t>Norway</t>
  </si>
  <si>
    <t>IQT79639913</t>
  </si>
  <si>
    <t>IQT46200276</t>
  </si>
  <si>
    <t>Czech Republic</t>
  </si>
  <si>
    <t>IQT46262378</t>
  </si>
  <si>
    <t>United Kingdom</t>
  </si>
  <si>
    <t>Rest of Europe</t>
  </si>
  <si>
    <t>IQT46206779</t>
  </si>
  <si>
    <t>Spain</t>
  </si>
  <si>
    <t>IQT46218516</t>
  </si>
  <si>
    <t>Slovenia</t>
  </si>
  <si>
    <t>IQT46214954</t>
  </si>
  <si>
    <t>Portugal</t>
  </si>
  <si>
    <t>IQT79640024</t>
  </si>
  <si>
    <t>Netherlands</t>
  </si>
  <si>
    <t>IQT644701797</t>
  </si>
  <si>
    <t>Luxembourg</t>
  </si>
  <si>
    <t>IQT46207571</t>
  </si>
  <si>
    <t>Italy</t>
  </si>
  <si>
    <t>IQT46207308</t>
  </si>
  <si>
    <t>Ireland</t>
  </si>
  <si>
    <t>IQT46204884</t>
  </si>
  <si>
    <t>Greece</t>
  </si>
  <si>
    <t>IQT46204300</t>
  </si>
  <si>
    <t>IQT46203714</t>
  </si>
  <si>
    <t>IQT46203332</t>
  </si>
  <si>
    <t>Finland</t>
  </si>
  <si>
    <t>IQT46196225</t>
  </si>
  <si>
    <t>Belgium</t>
  </si>
  <si>
    <t>IQT46194995</t>
  </si>
  <si>
    <t>Austria</t>
  </si>
  <si>
    <t>Euro Area</t>
  </si>
  <si>
    <t>IQT49751196</t>
  </si>
  <si>
    <t>United States</t>
  </si>
  <si>
    <t>IQT46210560</t>
  </si>
  <si>
    <t>Mexico</t>
  </si>
  <si>
    <t>IQT313310184</t>
  </si>
  <si>
    <t>CDS Change</t>
  </si>
  <si>
    <t>CDS</t>
  </si>
  <si>
    <t>IQT46197138</t>
  </si>
  <si>
    <t>Brazil</t>
  </si>
  <si>
    <t>Thresholds</t>
  </si>
  <si>
    <t>1 year change</t>
  </si>
  <si>
    <t>3 month change</t>
  </si>
  <si>
    <t>14 day change</t>
  </si>
  <si>
    <t>10 day change</t>
  </si>
  <si>
    <t xml:space="preserve"> 5 Day Change</t>
  </si>
  <si>
    <t>Americas</t>
  </si>
  <si>
    <t>CIQ Code</t>
  </si>
  <si>
    <t>Country</t>
  </si>
  <si>
    <t>CDS RIC</t>
  </si>
  <si>
    <t>CDS Change (%)</t>
  </si>
  <si>
    <t>Threshold Green</t>
  </si>
  <si>
    <t>Threshold Red</t>
  </si>
  <si>
    <t>Distribution</t>
  </si>
  <si>
    <t>US</t>
  </si>
  <si>
    <t>High</t>
  </si>
  <si>
    <t>&gt;75–100</t>
  </si>
  <si>
    <t>Elevated</t>
  </si>
  <si>
    <t>&gt;50–75</t>
  </si>
  <si>
    <t>Moderate</t>
  </si>
  <si>
    <t>&gt;25–50</t>
  </si>
  <si>
    <t>Low</t>
  </si>
  <si>
    <t>0–25</t>
  </si>
  <si>
    <t>Risk Category</t>
  </si>
  <si>
    <t>Score</t>
  </si>
  <si>
    <t>Composite Risk Score</t>
  </si>
  <si>
    <t>Equity Risk Percentile</t>
  </si>
  <si>
    <t>CDS Risk Percentile</t>
  </si>
  <si>
    <t>2-Week Equity Return (%)</t>
  </si>
  <si>
    <t>5Y CDS (bps)</t>
  </si>
  <si>
    <t>Region</t>
  </si>
  <si>
    <t>Within-region percentile</t>
  </si>
  <si>
    <t>Scoring Basis</t>
  </si>
  <si>
    <t>2-week return</t>
  </si>
  <si>
    <t>Equity Horizon</t>
  </si>
  <si>
    <t>Equity Weight</t>
  </si>
  <si>
    <t>CDS Weight</t>
  </si>
  <si>
    <t>Model Assumptions</t>
  </si>
  <si>
    <t>Bank Market Risk Monitor — CDS &amp; Equity Composite Score</t>
  </si>
  <si>
    <t xml:space="preserve">America </t>
  </si>
  <si>
    <t>Europe Stoxx 600 Banks Index</t>
  </si>
  <si>
    <t>Asia</t>
  </si>
  <si>
    <t xml:space="preserve">Other Euro </t>
  </si>
  <si>
    <t>BAABTAVMT0NBTAFI/////wFQ2wMAACNDSVEuSVFUNDYyMjUwMDYuSVFfQ0RTX01JRC4wOS8xMC8yNgEAAAD4VQ0AAgAAAAc2Mi43MDA0AOBrhikXKd8I6F8oaBcp3wgjQ0lRLklRVDQ2MjIwMzI5LklRX0NEU19NSUQuMDkvMTAvMjYBAAAA21sAAAIAAAAHNjAuMzMzMwDC8C0pFynfCCEhKWgXKd8II0NJUS5JUVQ0NjI2MjM3OC5JUV9DRFNfTUlELjAzLzEwLzI2AQAAAEDSiQECAAAABzI2Ljc5ODMAyB2GKRcp3wiwuStoFynfCCNDSVEuSVFUNDYxOTc2OTQuSVFfQ0RTX01JRC4wMy8xMC8yNgEAAAAH+gUAAgAAAAc2MS44NTcxAMpEhikXKd8IsLkraBcp3wgjQ0lRLklRVDYyMjcwMTA3LklRX0NEU19NSUQuMDMvMTAvMjYBAAAAFVkAAAIAAAAHNDUuMjgwNQDga4YpFynfCFPzLGgXKd8II0NJUS5JUVQ0NjIwNzMwOC5JUV9DRFNfTUlELjAyLzEwLzI2AQAAADmJegECAAAABjE5LjYyNQDIHYYpFynfCFPzLGgXKd8II0NJUS5JUVQ0NjIxMDAzMi5JUV9DRFNfTUlELjAyLzEwLzI2AQAAAI9VowECAAAABzM1LjQ1ODcAykSGKRcp3whT8yxoFynfCCNDSVEuSVFUNDYyMjUzNzQuSVFfQ0RTX01JRC4wMi8xMC8yNgEAAAC11gUAAgAAAAc0OS42NjA3AOBrhikXKd8IU/MsaBcp3wgjQ0lRLklRVDQ5NzUxMTk2LklRX0NEU19NSUQuMDEvMTAvMjYBAAAAzZm9AAIAAAAHNDIuMzgyMQDIHYYpFynfCIsKM2gXKd8II0NJ</t>
  </si>
  <si>
    <t>US5JUVQ2MDM4OTUxNi5JUV9DRFNfTUlELjAxLzEwLzI2AQAAAKXwwwECAAAABjcuMzkwNgDKRIYpFynfCIsKM2gXKd8IJENJUS5JUVQzMjM2ODAxMzAuSVFfQ0RTX01JRC4wMS8xMC8yNgEAAABx4QIAAgAAAAc1OC44OTc1AMpEhikXKd8IiwozaBcp3wgkQ0lRLklRVDMxMzMxNTQyOS5JUV9DRFNfTUlELjAxLzEwLzI2AQAAADnnBQACAAAABzYzLjc1NjkAwvAtKRcp3wiLCjNoFynfCCNDSVEuSVFUNDYyMDY3NzkuSVFfQ0RTX01JRC4zMC8wOS8yNgEAAAD87zYAAgAAAAQyMi44AMgdhikXKd8InMwwaBcp3wgjQ0lRLklRVDQ2MjE4Njc0LklRX0NEU19NSUQuMzAvMDkvMjYBAAAAV8o2AAIAAAAIMTM0LjA0NTEAykSGKRcp3wjJiDFoFynfCCNDSVEuSVFUNDYyMjU3MTUuSVFfQ0RTX01JRC4zMC8wOS8yNgEAAAC35QQAAgAAAAc0My4xODcxAOBrhikXKd8IyYgxaBcp3wgjQ0lRLklRVDQ2MjA3ODcyLklRX0NEU19NSUQuMTEvMTAvMjYBAAAAWA0KAAIAAAAHNDQuMDk5NQDKRIYpFynfCAd8JmgXKd8II0NJUS5JUVQ0NjIwMDMxNy5JUV9DRFNfTUlELjExLzEwLzI2AQAAAP5UDQACAAAABzY5Ljk0OTEAwsktKRcp3wjX3SZoFynfCCRDSVEuSVFUNjQ0NzAxNzk3LklRX0NEU19NSUQuMTAvMTAvMjYBAAAAUz99AQIAAAAHMTEuNDU1MwDIHYYpFynfCIkvJ2gXKd8II0NJUS5JUVQ0NjIxNjk4Ni5JUV9DRFNfTUlE</t>
  </si>
  <si>
    <t>LjEwLzEwLzI2AQAAAM5EOAEDAAAAAADKRIYpFynfCIkvJ2gXKd8IJENJUS5JUVQyNTQ5NTUyMzMuSVFfQ0RTX01JRC4xMC8xMC8yNgEAAAA5VgoAAgAAAAc1Mi44MjYyAOBrhikXKd8IiS8naBcp3wgjQ0lRLklRVDQ2MTk2MjI1LklRX0NEU19NSUQuMDkvMTAvMjYBAAAAvlWjAQIAAAAFMzEuNDQAyB2GKRcp3wiJLydoFynfCCNDSVEuSVFUNTEwMjMyNjAuSVFfQ0RTX01JRC4wOS8xMC8yNgEAAACxEX8BAgAAAAcxNS45MDQ0AMpEhikXKd8I6F8oaBcp3wgjQ0lRLklRVDQ2MjI0NzQwLklRX0NEU19NSUQuMDkvMTAvMjYBAAAA03IIAAIAAAAHNTguNTU4MgDga4YpFynfCOhfKGgXKd8IJENJUS5JUVQzMTMzMTczNDQuSVFfQ0RTX01JRC4wOS8xMC8yNgEAAADxrAEAAgAAAAc2MS45Njg5AMLwLSkXKd8IISEpaBcp3wgjQ0lRLklRVDQ2MjAwMjc2LklRX0NEU19NSUQuMDMvMTAvMjYBAAAAlnd8AQIAAAAFMzMuNDgAyB2GKRcp3wiwuStoFynfCCNDSVEuSVFUNDYxOTU0OTEuSVFfQ0RTX01JRC4wMy8xMC8yNgEAAABpSgAAAgAAAAc2My44NjIxAMpEhikXKd8IsLkraBcp3wgjQ0lRLklRVDc5NjM0OTAxLklRX0NEU19NSUQuMDMvMTAvMjYBAAAAnAYQAAIAAAAHNTYuNDk4MwDga4YpFynfCFPzLGgXKd8II0NJUS5JUVQ0NjIwNzU3MS5JUV9DRFNfTUlELjAyLzEwLzI2AQAAAG3vNQACAAAABzcyLjQ1ODEAyB2G</t>
  </si>
  <si>
    <t>KRcp3whT8yxoFynfCCNDSVEuSVFUNDYyMTM0NzIuSVFfQ0RTX01JRC4wMi8xMC8yNgEAAAC5WjgAAgAAAAYxNi4wNjQAykSGKRcp3whT8yxoFynfCCRDSVEuSVFUMjYzMjEzMTMyLklRX0NEU19NSUQuMDIvMTAvMjYBAAAA4ZoIAAIAAAAHNjguMTEwMQDga4YpFynfCGUuLmgXKd8II0NJUS5JUVQ0NjE5NDk5NS5JUV9DRFNfTUlELjAxLzEwLzI2AQAAAG4QMQACAAAABzE1LjMwOTUAyB2GKRcp3wiLCjNoFynfCCNDSVEuSVFUNDYyMjIyOTIuSVFfQ0RTX01JRC4wMS8xMC8yNgEAAADRkZsBAgAAAAg1ODcuMzQxMgDKRIYpFynfCIsKM2gXKd8II0NJUS5JUVQ0NjIyNTAwNi5JUV9DRFNfTUlELjAxLzEwLzI2AQAAAPhVDQACAAAABzY0LjY0MDIA4GuGKRcp3wiLCjNoFynfCCNDSVEuSVFUNDYyMjAzMjkuSVFfQ0RTX01JRC4wMS8xMC8yNgEAAADbWwAAAgAAAAQ2MC41AMLwLSkXKd8IiwozaBcp3wgjQ0lRLklRVDQ2MjYyMzc4LklRX0NEU19NSUQuMzAvMDkvMjYBAAAAQNKJAQIAAAAGMjIuMTM1AMgdhikXKd8InMwwaBcp3wgjQ0lRLklRVDQ2MTk3Njk0LklRX0NEU19NSUQuMzAvMDkvMjYBAAAAB/oFAAIAAAAHNjEuMzY3OADKRIYpFynfCMmIMWgXKd8II0NJUS5JUVQ2MjI3MDEwNy5JUV9DRFNfTUlELjMwLzA5LzI2AQAAABVZAAACAAAABzQzLjc1NDcA4GuGKRcp3wjJiDFoFynfCCNDSVEuSVFUNDk3NTEx</t>
  </si>
  <si>
    <t>OTYuSVFfQ0RTX01JRC4wOC8xMC8yNgEAAADNmb0AAgAAAAY0Mi43NjYAyB2GKRcp3wghISloFynfCCNDSVEuSVFUNjAzODk1MTYuSVFfQ0RTX01JRC4wOC8xMC8yNgEAAACl8MMBAgAAAAY3LjMwNzEAykSGKRcp3whhSCloFynfCCRDSVEuSVFUMzIzNjgwMTMwLklRX0NEU19NSUQuMDgvMTAvMjYBAAAAceECAAIAAAAHNTUuMzIyNADKRIYpFynfCDziKWgXKd8IJENJUS5JUVQzMTMzMTU0MjkuSVFfQ0RTX01JRC4wOC8xMC8yNgEAAAA55wUAAgAAAAQ2My41AMLwLSkXKd8IPOIpaBcp3wgjQ0lRLklRVDQ2MjA2Nzc5LklRX0NEU19NSUQuMDcvMTAvMjYBAAAA/O82AAIAAAAHMzAuMTk2MwDIHYYpFynfCMmIMWgXKd8II0NJUS5JUVQ0NjIxODY3NC5JUV9DRFNfTUlELjA3LzEwLzI2AQAAAFfKNgACAAAACDEzNy40NDg3AMpEhikXKd8IyYgxaBcp3wgjQ0lRLklRVDQ2MjI1NzE1LklRX0NEU19NSUQuMDcvMTAvMjYBAAAAt+UEAAIAAAAHNDMuMTU1MQDga4YpFynfCMmIMWgXKd8II0NJUS5JUVQ0NjIwNDg4NC5JUV9DRFNfTUlELjA2LzEwLzI2AQAAAIFRwAECAAAABzQ4LjA4MzMAyB2GKRcp3wimfC5oFynfCCNDSVEuSVFUNDYyMDc3ODkuSVFfQ0RTX01JRC4wNi8xMC8yNgEAAAAqWKMBAgAAAAcyOS4yNDgzAMpEhikXKd8IpnwuaBcp3wgkQ0lRLklRVDI4NjA5NjEzMS5JUV9DRFNfTUlELjA2LzEwLzI2AQAA</t>
  </si>
  <si>
    <t>ADvxBAACAAAABzcwLjYxOTQA4GuGKRcp3wimfC5oFynfCCNDSVEuSVFUNDYyMTA1NjAuSVFfQ0RTX01JRC4wNC8xMC8yNgEAAAD2GjcAAgAAAAgxMDAuOTk4MgDIHYYpFynfCDziKWgXKd8II0NJUS5JUVQ0NjIxOTkyMi5JUV9DRFNfTUlELjA0LzEwLzI2AQAAANZHOQECAAAABTguOTc1AMgdhikXKd8IUnQraBcp3wgjQ0lRLklRVDQ2MjIzNjQ2LklRX0NEU19NSUQuMDQvMTAvMjYBAAAAG3gEAAIAAAAHNTYuNjU4NADKRIYpFynfCLC5K2gXKd8IJENJUS5JUVQzMTMzMTQ5NzYuSVFfQ0RTX01JRC4wNC8xMC8yNgEAAABtSgAAAgAAAAc1My44OTU3AMLwLSkXKd8IsLkraBcp3wgjQ0lRLklRVDQ2MjE4NTE2LklRX0NEU19NSUQuMTMvMDcvMjYBAAAAplWjAQIAAAAHMzYuMTQ5MwDIHYYpFynfCCn+L2gXKd8II0NJUS5JUVQ0NjIyMDgwMy5JUV9DRFNfTUlELjEzLzA3LzI2AQAAANbJNgACAAAABzQxLjM2NzgAykSGKRcp3wiczDBoFynfCCNDSVEuSVFUNDYyMDAzNjQuSVFfQ0RTX01JRC4xMy8wNy8yNgEAAABXhggAAgAAAAUyNC45OADga4YpFynfCJzMMGgXKd8II0NJUS5JUVQ0NjIwNDMwMC5JUV9DRFNfTUlELjA1LzEwLzI2AQAAAPYlfQACAAAABTEyLjM1AMgdhikXKd8IPOIpaBcp3wgjQ0lRLklRVDYwMzg4MDU3LklRX0NEU19NSUQuMDUvMTAvMjYBAAAA38l9AQMAAAAAAMpEhikXKd8IPOIpaBcp3wgj</t>
  </si>
  <si>
    <t>Q0lRLklRVDQ2MTk5ODQxLklRX0NEU19NSUQuMDUvMTAvMjYBAAAA6zAGAAMAAAAAAOBrhikXKd8IPOIpaBcp3wgkQ0lRLklRVDMxMzMxMDE4NC5JUV9DRFNfTUlELjI5LzA5LzI2AQAAAGBEPgACAAAABzExLjU1MTEAyB2GKRcp3wimfC5oFynfCCNDSVEuSVFUNDYyMTQ4NzkuSVFfQ0RTX01JRC4yOS8wOS8yNgEAAAD1GjcAAgAAAAc1NS4zNDY1AMgdhikXKd8IpnwuaBcp3wgjQ0lRLklRVDQ2NDcwODc3LklRX0NEU19NSUQuMjkvMDkvMjYBAAAAQjcHAAIAAAAHNjMuODQ4NwDKRIYpFynfCKZ8LmgXKd8IJENJUS5JUVQzMTMzMTA4NTQuSVFfQ0RTX01JRC4yOS8wOS8yNgEAAACvVA0AAgAAAAc2NC42NDk3AMLwLSkXKd8IKf4vaBcp3wgjQ0lRLklRVDQ2MjE0OTU0LklRX0NEU19NSUQuMTMvMTAvMjUBAAAAOj05AQIAAAAFMjEuMjUAyB2GKRcp3wiLCjNoFynfCCNDSVEuSVFUNDYyMDg2MzQuSVFfQ0RTX01JRC4xMy8xMC8yNQEAAAADH8IAAgAAAAcyNC42ODEyAMpEhikXKd8Ic480aBcp3wgjQ0lRLklRVDQ2MjI1MDgzLklRX0NEU19NSUQuMTMvMTAvMjUBAAAAVkQGAAIAAAAHNDQuNzE0MwDga4YpFynfCEzeNGgXKd8II0NJUS5JUVQ0NjE5NzY5NC5JUV9DRFNfTUlELjA3LzEwLzI2AQAAAAf6BQACAAAABzYxLjY3OTYAykSGKRcp3wjJiDFoFynfCCNDSVEuSVFUNjIyNzAxMDcuSVFfQ0RTX01JRC4wNy8x</t>
  </si>
  <si>
    <t>MC8yNgEAAAAVWQAAAgAAAAc0NS4xMTg0AOBrhikXKd8IyYgxaBcp3wgjQ0lRLklRVDQ2MjA3MzA4LklRX0NEU19NSUQuMDYvMTAvMjYBAAAAOYl6AQIAAAAHMTcuNDQxNwDIHYYpFynfCKZ8LmgXKd8II0NJUS5JUVQ0NjIxMDAzMi5JUV9DRFNfTUlELjA2LzEwLzI2AQAAAI9VowECAAAABzM0LjI4MTkAykSGKRcp3wimfC5oFynfCCNDSVEuSVFUNDYyMjUzNzQuSVFfQ0RTX01JRC4wNi8xMC8yNgEAAAC11gUAAgAAAAc0Ny41MjU4AOBrhikXKd8IpnwuaBcp3wgjQ0lRLklRVDQ5NzUxMTk2LklRX0NEU19NSUQuMDQvMTAvMjYBAAAAzZm9AAIAAAAHNDIuNzA0NgDIHYYpFynfCDziKWgXKd8II0NJUS5JUVQ2MDM4OTUxNi5JUV9DRFNfTUlELjA0LzEwLzI2AQAAAKXwwwECAAAABjcuMjkyNADKRIYpFynfCFJ0K2gXKd8IJENJUS5JUVQzMjM2ODAxMzAuSVFfQ0RTX01JRC4wNC8xMC8yNgEAAABx4QIAAgAAAAc1OC41MjE0AMpEhikXKd8IsLkraBcp3wgkQ0lRLklRVDMxMzMxNTQyOS5JUV9DRFNfTUlELjA0LzEwLzI2AQAAADnnBQACAAAABjYzLjg3OQDC8C0pFynfCLC5K2gXKd8II0NJUS5JUVQ0NjIwNjc3OS5JUV9DRFNfTUlELjEzLzA3LzI2AQAAAPzvNgACAAAABzE2LjAyMDYAyB2GKRcp3wgp/i9oFynfCCNDSVEuSVFUNDYyMTg2NzQuSVFfQ0RTX01JRC4xMy8wNy8yNgEAAABXyjYAAgAAAAgxMjQuMzgx</t>
  </si>
  <si>
    <t>NgDKRIYpFynfCJzMMGgXKd8II0NJUS5JUVQ0NjIyNTcxNS5JUV9DRFNfTUlELjEzLzA3LzI2AQAAALflBAACAAAABzQxLjE3MzcA4GuGKRcp3wiczDBoFynfCCNDSVEuSVFUNDYyMDQ4ODQuSVFfQ0RTX01JRC4wNS8xMC8yNgEAAACBUcABAgAAAAc1MC4zMzI1AMgdhikXKd8IPOIpaBcp3wgjQ0lRLklRVDQ2MjA3Nzg5LklRX0NEU19NSUQuMDUvMTAvMjYBAAAAKlijAQIAAAAGMjkuMzY3AMpEhikXKd8IPOIpaBcp3wgkQ0lRLklRVDI4NjA5NjEzMS5JUV9DRFNfTUlELjA1LzEwLzI2AQAAADvxBAACAAAABzc0LjMwNDMA4GuGKRcp3wg84iloFynfCCNDSVEuSVFUNDYyMTA1NjAuSVFfQ0RTX01JRC4yOS8wOS8yNgEAAAD2GjcAAgAAAAc5Mi4yMzA0AMgdhikXKd8IpnwuaBcp3wgjQ0lRLklRVDQ2MjE5OTIyLklRX0NEU19NSUQuMjkvMDkvMjYBAAAA1kc5AQIAAAAFOC4wMjYAyB2GKRcp3wimfC5oFynfCCNDSVEuSVFUNDYyMjM2NDYuSVFfQ0RTX01JRC4yOS8wOS8yNgEAAAAbeAQAAgAAAAc1NS44NDc3AMpEhikXKd8IpnwuaBcp3wgkQ0lRLklRVDMxMzMxNDk3Ni5JUV9DRFNfTUlELjI5LzA5LzI2AQAAAG1KAAACAAAABzU1LjU0MzIAwvAtKRcp3wgp/i9oFynfCCNDSVEuSVFUNDYyMTg1MTYuSVFfQ0RTX01JRC4xMy8xMC8yNQEAAACmVaMBAgAAAAczNC41Nzc5AMgdhikXKd8IiwozaBcp3wgjQ0lRLklR</t>
  </si>
  <si>
    <t>VDQ2MjIwODAzLklRX0NEU19NSUQuMTMvMTAvMjUBAAAA1sk2AAIAAAAHNDEuOTgxMQDKRIYpFynfCHOPNGgXKd8II0NJUS5JUVQ0NjIwMDM2NC5JUV9DRFNfTUlELjEzLzEwLzI1AQAAAFeGCAACAAAABzM2LjU1MDQA4GuGKRcp3whM3jRoFynfCCRDSVEuSVFUMzEzMzE3MzQ0LklRX0NEU19NSUQuMDgvMTAvMjYBAAAA8awBAAIAAAAHNjIuMzg1NQDC8C0pFynfCDziKWgXKd8II0NJUS5JUVQ0NjIwMDI3Ni5JUV9DRFNfTUlELjA3LzEwLzI2AQAAAJZ3fAECAAAABzM0LjcwMzEAyB2GKRcp3wjJiDFoFynfCCNDSVEuSVFUNDYxOTU0OTEuSVFfQ0RTX01JRC4wNy8xMC8yNgEAAABpSgAAAgAAAAc2Mi43MzgxAMpEhikXKd8IyYgxaBcp3wgjQ0lRLklRVDc5NjM0OTAxLklRX0NEU19NSUQuMDcvMTAvMjYBAAAAnAYQAAIAAAAHNTYuNTA1OADga4YpFynfCMmIMWgXKd8II0NJUS5JUVQ0NjIwNzU3MS5JUV9DRFNfTUlELjA2LzEwLzI2AQAAAG3vNQACAAAABzYxLjAwMzkAyB2GKRcp3wimfC5oFynfCCNDSVEuSVFUNDYyMTM0NzIuSVFfQ0RTX01JRC4wNi8xMC8yNgEAAAC5WjgAAgAAAAcxNi4xMzM1AMpEhikXKd8IpnwuaBcp3wgjQ0lRLklRVDQ2MjIyMjkyLklRX0NEU19NSUQuMDQvMTAvMjYBAAAA0ZGbAQIAAAAINzU0LjI5MTcAykSGKRcp3whSdCtoFynfCCNDSVEuSVFUNDYyMjUwMDYuSVFfQ0RTX01JRC4w</t>
  </si>
  <si>
    <t>NC8xMC8yNgEAAAD4VQ0AAgAAAAc2Ny4yMDk4AOBrhikXKd8IsLkraBcp3wgjQ0lRLklRVDQ2MjIwMzI5LklRX0NEU19NSUQuMDQvMTAvMjYBAAAA21sAAAIAAAAENjAuNQDC8C0pFynfCLC5K2gXKd8II0NJUS5JUVQ0NjI2MjM3OC5JUV9DRFNfTUlELjEzLzA3LzI2AQAAAEDSiQECAAAABzE3LjgzMzMAyB2GKRcp3wgp/i9oFynfCCNDSVEuSVFUNDYxOTc2OTQuSVFfQ0RTX01JRC4xMy8wNy8yNgEAAAAH+gUAAgAAAAc1Mi4wNTIxAMpEhikXKd8InMwwaBcp3wgjQ0lRLklRVDYyMjcwMTA3LklRX0NEU19NSUQuMTMvMDcvMjYBAAAAFVkAAAIAAAAHNDEuMjUxOADga4YpFynfCJzMMGgXKd8II0NJUS5JUVQ0NjIwNzMwOC5JUV9DRFNfTUlELjA1LzEwLzI2AQAAADmJegECAAAABzE3LjgzMzMAyB2GKRcp3wg84iloFynfCCRDSVEuSVFUMzIzNjgwMTMwLklRX0NEU19NSUQuMjkvMDkvMjYBAAAAceECAAIAAAAHNTcuNDcwNgDKRIYpFynfCKZ8LmgXKd8II0NJUS5JUVQ0NjIxODY3NC5JUV9DRFNfTUlELjEzLzEwLzI1AQAAAFfKNgACAAAACDE3Mi43NTYxAMpEhikXKd8Ic480aBcp3wgjQ0lRLklRVDQ2MjI1NzE1LklRX0NEU19NSUQuMTMvMTAvMjUBAAAAt+UEAAIAAAAHMzQuMTYzOADga4YpFynfCEzeNGgXKd8II0NJUS5JUVQ0NjIxNDg3OS5JUV9DRFNfTUlELjAzLzEwLzI2AQAAAPUaNwACAAAABzU2Ljgz</t>
  </si>
  <si>
    <t>MzgAyB2GKRcp3wiwuStoFynfCCNDSVEuSVFUNDY0NzA4NzcuSVFfQ0RTX01JRC4wMy8xMC8yNgEAAABCNwcAAgAAAAc2NC4yNjc1AMpEhikXKd8IU/MsaBcp3wgkQ0lRLklRVDMxMzMxMDg1NC5JUV9DRFNfTUlELjAzLzEwLzI2AQAAAK9UDQACAAAABzY0LjM4NjcAwvAtKRcp3whT8yxoFynfCCNDSVEuSVFUNDYyMTQ5NTQuSVFfQ0RTX01JRC4wMi8xMC8yNgEAAAA6PTkBAgAAAAcyMi42MzI2AMgdhikXKd8IU/MsaBcp3wgjQ0lRLklRVDQ2MjA4NjM0LklRX0NEU19NSUQuMDIvMTAvMjYBAAAAAx/CAAIAAAAHMjQuMjUxNgDKRIYpFynfCFPzLGgXKd8II0NJUS5JUVQ2MjI3MDEwNi5JUV9DRFNfTUlELjMwLzA5LzI2AQAAAK13gwACAAAABzc0Ljc0OTUAwsktKRcp3wjJiDFoFynfCCNDSVEuSVFUNDYyMDMzMzIuSVFfQ0RTX01JRC4wOC8xMC8yNgEAAABfHjcAAgAAAAcxMy42NjY3AMgdhikXKd8IYUgpaBcp3wgkQ0lRLklRVDMxMzMxMzUyNC5JUV9DRFNfTUlELjA4LzEwLzI2AQAAAO9VDQACAAAABzU2LjAyNzIAwvAtKRcp3wg84iloFynfCCNDSVEuSVFUNzk2Mzk5MTMuSVFfQ0RTX01JRC4wNy8xMC8yNgEAAAAgYxwCAgAAAAU5LjY1NgDIHYYpFynfCMmIMWgXKd8II0NJUS5JUVQ0NjIwNzg3Mi5JUV9DRFNfTUlELjA3LzEwLzI2AQAAAFgNCgACAAAABzQ0LjM4NjYAykSGKRcp3wjJiDFoFynfCCNDSVEu</t>
  </si>
  <si>
    <t>SVFUNDYyMDAzMTcuSVFfQ0RTX01JRC4wNy8xMC8yNgEAAAD+VA0AAgAAAAc3MC4wMjA5AMLJLSkXKd8IyYgxaBcp3wgkQ0lRLklRVDY0NDcwMTc5Ny5JUV9DRFNfTUlELjA2LzEwLzI2AQAAAFM/fQECAAAABzEwLjU5NzcAyB2GKRcp3wimfC5oFynfCCNDSVEuSVFUNDYyMTY5ODYuSVFfQ0RTX01JRC4wNi8xMC8yNgEAAADORDgBAwAAAAAAykSGKRcp3wimfC5oFynfCCNDSVEuSVFUNDYxOTYyMjUuSVFfQ0RTX01JRC4wNC8xMC8yNgEAAAC+VaMBAgAAAAUyNy45NgDIHYYpFynfCDziKWgXKd8II0NJUS5JUVQ1MTAyMzI2MC5JUV9DRFNfTUlELjA0LzEwLzI2AQAAALERfwECAAAABzE1Ljg0MjMAykSGKRcp3whSdCtoFynfCCNDSVEuSVFUNDYyMjQ3NDAuSVFfQ0RTX01JRC4wNC8xMC8yNgEAAADTcggAAgAAAAc2Mi4zNTkxAOBrhikXKd8IsLkraBcp3wgkQ0lRLklRVDMxMzMxNzM0NC5JUV9DRFNfTUlELjA0LzEwLzI2AQAAAPGsAQACAAAABzYxLjQ4NDIAwvAtKRcp3wiwuStoFynfCCNDSVEuSVFUNDYyMDAyNzYuSVFfQ0RTX01JRC4xMy8wNy8yNgEAAACWd3wBAgAAAAcyOC45NjkzAMgdhikXKd8IKf4vaBcp3wgjQ0lRLklRVDQ2MTk1NDkxLklRX0NEU19NSUQuMTMvMDcvMjYBAAAAaUoAAAIAAAAHNTQuMjI2NQDKRIYpFynfCJzMMGgXKd8II0NJUS5JUVQ0NjIwNzU3MS5JUV9DRFNfTUlELjA1LzEwLzI2</t>
  </si>
  <si>
    <t>AQAAAG3vNQACAAAABTY4LjM1AMgdhikXKd8IPOIpaBcp3wgjQ0lRLklRVDQ2MjEzNDcyLklRX0NEU19NSUQuMDUvMTAvMjYBAAAAuVo4AAIAAAAGMTYuMTcxAMpEhikXKd8IPOIpaBcp3wgkQ0lRLklRVDI2MzIxMzEzMi5JUV9DRFNfTUlELjA1LzEwLzI2AQAAAOGaCAACAAAABzY4LjY5OTEA4GuGKRcp3wg84iloFynfCCNDSVEuSVFUNDYyNjIzNzguSVFfQ0RTX01JRC4xMy8xMC8yNQEAAABA0okBAgAAAAcyMi4zOTQ1AMgdhikXKd8IiwozaBcp3wgjQ0lRLklRVDQ2MjA4NjM0LklRX0NEU19NSUQuMDYvMTAvMjYBAAAAAx/CAAIAAAAHMjQuMDMxMgDKRIYpFynfCKZ8LmgXKd8IJENJUS5JUVQ1Mjg5MzY4MTIuSVFfQ0RTX01JRC4wNC8xMC8yNgEAAABsWwYAAgAAAAc1Ny41MjM5AOBrhikXKd8IsLkraBcp3wgjQ0lRLklRVDQ2MjA0OTU3LklRX0NEU19NSUQuMTEvMTAvMjYBAAAAIRUGAAIAAAAHNjIuNTU5OADKRIYpFynfCAd8JmgXKd8II0NJUS5JUVQ2MjI3MDEwNi5JUV9DRFNfTUlELjExLzEwLzI2AQAAAK13gwACAAAABzc0Ljc1NjkAwsktKRcp3wiJLydoFynfCCNDSVEuSVFUNzk2NDAwMjQuSVFfQ0RTX01JRC4xMC8xMC8yNgEAAAA1j5sBAgAAAAcxMy4zMzMzAMgdhikXKd8IiS8naBcp3wgkQ0lRLklRVDMxMzMwNTg3OS5JUV9DRFNfTUlELjEwLzEwLzI2AQAAAITW3AECAAAABjIuMjkzOQDKRIYp</t>
  </si>
  <si>
    <t>FynfCIkvJ2gXKd8II0NJUS5JUVQ0NjIwMDQxMi5JUV9DRFNfTUlELjEwLzEwLzI2AQAAAGNDBgACAAAABzU2LjUzMzMA4GuGKRcp3wiJLydoFynfCCNDSVEuSVFUNDYyMDMzMzIuSVFfQ0RTX01JRC4wOS8xMC8yNgEAAABfHjcAAgAAAAIxNADIHYYpFynfCIkvJ2gXKd8II0NJUS5JUVQ0NjIxNTExMS5JUV9DRFNfTUlELjA5LzEwLzI2AQAAAKBLsgECAAAABzM2LjQzMjYAykSGKRcp3wjoXyhoFynfCCNDSVEuSVFUNDYyMjYxMzIuSVFfQ0RTX01JRC4wOS8xMC8yNgEAAADdWQAAAgAAAAc2Ny4yNzYxAOBrhikXKd8I6F8oaBcp3wgkQ0lRLklRVDMxMzMxMzUyNC5JUV9DRFNfTUlELjA5LzEwLzI2AQAAAO9VDQACAAAABzU0LjQ5MDQAwvAtKRcp3wghISloFynfCCNDSVEuSVFUNzk2Mzk5MTMuSVFfQ0RTX01JRC4wMy8xMC8yNgEAAAAgYxwCAgAAAAY5LjY5MDkAyB2GKRcp3wiwuStoFynfCCNDSVEuSVFUNDYyMDc4NzIuSVFfQ0RTX01JRC4wMy8xMC8yNgEAAABYDQoAAgAAAAc0NC4xMzIxAMpEhikXKd8IU/MsaBcp3wgjQ0lRLklRVDQ2MjAwMzE3LklRX0NEU19NSUQuMDMvMTAvMjYBAAAA/lQNAAIAAAAHNzAuMjA0NgDCyS0pFynfCFPzLGgXKd8IJENJUS5JUVQ2NDQ3MDE3OTcuSVFfQ0RTX01JRC4wMi8xMC8yNgEAAABTP30BAgAAAAcxMC45NTcyAMgdhikXKd8IU/MsaBcp3wgjQ0lRLklRVDQ2MjE2OTg2</t>
  </si>
  <si>
    <t>LklRX0NEU19NSUQuMDIvMTAvMjYBAAAAzkQ4AQMAAAAAAMpEhikXKd8IU/MsaBcp3wgkQ0lRLklRVDI1NDk1NTIzMy5JUV9DRFNfTUlELjAyLzEwLzI2AQAAADlWCgACAAAABzU0LjAwMDcA4GuGKRcp3whlLi5oFynfCCNDSVEuSVFUNDYxOTYyMjUuSVFfQ0RTX01JRC4wMS8xMC8yNgEAAAC+VaMBAgAAAAcyNi41NjY1AMgdhikXKd8IiwozaBcp3wgjQ0lRLklRVDUxMDIzMjYwLklRX0NEU19NSUQuMDEvMTAvMjYBAAAAsRF/AQIAAAAHMTUuNjI4MwDKRIYpFynfCIsKM2gXKd8II0NJUS5JUVQ0NjIyNDc0MC5JUV9DRFNfTUlELjAxLzEwLzI2AQAAANNyCAACAAAABzYwLjIwOTgA4GuGKRcp3wiLCjNoFynfCCRDSVEuSVFUMzEzMzE3MzQ0LklRX0NEU19NSUQuMDEvMTAvMjYBAAAA8awBAAIAAAAHNjAuNjk2MQDC8C0pFynfCIsKM2gXKd8II0NJUS5JUVQ0NjIwMDI3Ni5JUV9DRFNfTUlELjMwLzA5LzI2AQAAAJZ3fAECAAAABzMzLjQ5MDEAyB2GKRcp3wiczDBoFynfCCNDSVEuSVFUNDYxOTU0OTEuSVFfQ0RTX01JRC4zMC8wOS8yNgEAAABpSgAAAgAAAAc2Mi4zMTYzAMpEhikXKd8IyYgxaBcp3wgjQ0lRLklRVDc5NjM0OTAxLklRX0NEU19NSUQuMzAvMDkvMjYBAAAAnAYQAAIAAAAHNTYuMTM5NgDga4YpFynfCMmIMWgXKd8II0NJUS5JUVQ0NjE5NDk5NS5JUV9DRFNfTUlELjA4LzEwLzI2AQAAAG4QMQAC</t>
  </si>
  <si>
    <t>AAAABzE3LjExNzgAyB2GKRcp3wghISloFynfCCNDSVEuSVFUNDYyMjIyOTIuSVFfQ0RTX01JRC4wOC8xMC8yNgEAAADRkZsBAgAAAAc3NTUuNDc3AMpEhikXKd8IYUgpaBcp3wgjQ0lRLklRVDQ2MjI1MDA2LklRX0NEU19NSUQuMDgvMTAvMjYBAAAA+FUNAAIAAAAHNjMuOTk2OQDga4YpFynfCDziKWgXKd8II0NJUS5JUVQ0NjIyMDMyOS5JUV9DRFNfTUlELjA4LzEwLzI2AQAAANtbAAACAAAAAjYxAMLwLSkXKd8IPOIpaBcp3wgjQ0lRLklRVDQ2MjYyMzc4LklRX0NEU19NSUQuMDcvMTAvMjYBAAAAQNKJAQIAAAACMjcAyB2GKRcp3wjJiDFoFynfCCNDSVEuSVFUNDYxOTYyMjUuSVFfQ0RTX01JRC4wOC8xMC8yNgEAAAC+VaMBAgAAAAQzMi43AMgdhikXKd8IISEpaBcp3wgjQ0lRLklRVDUxMDIzMjYwLklRX0NEU19NSUQuMDgvMTAvMjYBAAAAsRF/AQIAAAAHMTUuODY3MgDKRIYpFynfCGFIKWgXKd8II0NJUS5JUVQ0NjIyNDc0MC5JUV9DRFNfTUlELjA4LzEwLzI2AQAAANNyCAACAAAABjU5LjA4NADga4YpFynfCDziKWgXKd8IJENJUS5JUVQyNjMyMTMxMzIuSVFfQ0RTX01JRC4wNi8xMC8yNgEAAADhmggAAgAAAAc2NS42MTIyAOBrhikXKd8IpnwuaBcp3wgjQ0lRLklRVDQ2MTk0OTk1LklRX0NEU19NSUQuMDQvMTAvMjYBAAAAbhAxAAIAAAAHMTYuODUzNQDIHYYpFynfCDziKWgXKd8II0NJUS5JUVQ0</t>
  </si>
  <si>
    <t>NjIxMDAzMi5JUV9DRFNfTUlELjA1LzEwLzI2AQAAAI9VowECAAAABzM0Ljg0MjkAykSGKRcp3wg84iloFynfCCNDSVEuSVFUNDYyMjUzNzQuSVFfQ0RTX01JRC4wNS8xMC8yNgEAAAC11gUAAgAAAAc1MC4wNzgyAOBrhikXKd8IPOIpaBcp3wgjQ0lRLklRVDQ5NzUxMTk2LklRX0NEU19NSUQuMjkvMDkvMjYBAAAAzZm9AAIAAAAHMzkuODcwNwDIHYYpFynfCKZ8LmgXKd8II0NJUS5JUVQ2MDM4OTUxNi5JUV9DRFNfTUlELjI5LzA5LzI2AQAAAKXwwwECAAAABTcuMzc0AMpEhikXKd8IpnwuaBcp3wgkQ0lRLklRVDMxMzMxNTQyOS5JUV9DRFNfTUlELjI5LzA5LzI2AQAAADnnBQACAAAABzYzLjg3NzMAwvAtKRcp3wgp/i9oFynfCCNDSVEuSVFUNDYyMDY3NzkuSVFfQ0RTX01JRC4xMy8xMC8yNQEAAAD87zYAAgAAAAcyNC44NjA1AMgdhikXKd8IiwozaBcp3wgkQ0lRLklRVDI1NDk1NTIzMy5JUV9DRFNfTUlELjA2LzEwLzI2AQAAADlWCgACAAAABjUxLjI4MQDga4YpFynfCKZ8LmgXKd8II0NJUS5JUVQ3OTYzNDkwMS5JUV9DRFNfTUlELjEzLzA3LzI2AQAAAJwGEAACAAAABzQxLjE0ODEAwsktKRcp3wiczDBoFynfCCNDSVEuSVFUNDYyMjIyOTIuSVFfQ0RTX01JRC4yOS8wOS8yNgEAAADRkZsBAgAAAAg1ODYuOTc2MwDKRIYpFynfCKZ8LmgXKd8II0NJUS5JUVQ0NjQ3MDg3Ny5JUV9DRFNfTUlELjExLzEw</t>
  </si>
  <si>
    <t>LzI2AQAAAEI3BwACAAAABzY0LjA2MjMAykSGKRcp3wgHfCZoFynfCCRDSVEuSVFUMzEzMzEwODU0LklRX0NEU19NSUQuMTEvMTAvMjYBAAAAr1QNAAIAAAAFNjIuNzYAwsktKRcp3wiJLydoFynfCCNDSVEuSVFUNDYyMTQ5NTQuSVFfQ0RTX01JRC4xMC8xMC8yNgEAAAA6PTkBAgAAAAQyMy42AMgdhikXKd8IiS8naBcp3wgjQ0lRLklRVDQ2MjA4NjM0LklRX0NEU19NSUQuMTAvMTAvMjYBAAAAAx/CAAIAAAAHMjMuNTMxMwDKRIYpFynfCIkvJ2gXKd8II0NJUS5JUVQ0NjIyNTA4My5JUV9DRFNfTUlELjEwLzEwLzI2AQAAAFZEBgACAAAABzQ0LjE0MDEA4GuGKRcp3wiJLydoFynfCCNDSVEuSVFUNDYyMDM3MTQuSVFfQ0RTX01JRC4wOS8xMC8yNgEAAABfBTUAAgAAAAc3OS41NzIyAMgdhikXKd8I6F8oaBcp3wgjQ0lRLklRVDc5NjM5OTUzLklRX0NEU19NSUQuMDkvMTAvMjYBAAAANJtWAQIAAAAHMjIuMTY0MQDKRIYpFynfCOhfKGgXKd8IJENJUS5JUVQ1Mjg5MzY4MTIuSVFfQ0RTX01JRC4wOS8xMC8yNgEAAABsWwYAAgAAAAc1Ny4yNDc4AOBrhikXKd8I6F8oaBcp3wgjQ0lRLklRVDQ2MTk3MTM4LklRX0NEU19NSUQuMDMvMTAvMjYBAAAA7pQ4AQIAAAAIMTMyLjc4NjMA+faFKRcp3wiwuStoFynfCCNDSVEuSVFUNTEwMjM0ODAuSVFfQ0RTX01JRC4wMy8xMC8yNgEAAADCRfEBAgAAAAY3LjE5NzUAyB2G</t>
  </si>
  <si>
    <t>KRcp3wiwuStoFynfCCNDSVEuSVFUNDYyMDQ5NTcuSVFfQ0RTX01JRC4wMy8xMC8yNgEAAAAhFQYAAgAAAAc2Mi4wODcxAMpEhikXKd8IU/MsaBcp3wgjQ0lRLklRVDYyMjcwMTA2LklRX0NEU19NSUQuMDMvMTAvMjYBAAAArXeDAAIAAAAHNzQuNzU2MwDCyS0pFynfCFPzLGgXKd8II0NJUS5JUVQ3OTY0MDAyNC5JUV9DRFNfTUlELjAyLzEwLzI2AQAAADWPmwECAAAABzEzLjEyMDcAyB2GKRcp3whT8yxoFynfCCRDSVEuSVFUMzEzMzA1ODc5LklRX0NEU19NSUQuMDIvMTAvMjYBAAAAhNbcAQIAAAAGMi4yOTM5AMpEhikXKd8IU/MsaBcp3wgjQ0lRLklRVDQ2MjAwNDEyLklRX0NEU19NSUQuMDIvMTAvMjYBAAAAY0MGAAIAAAAFNTYuODkA4GuGKRcp3whlLi5oFynfCCNDSVEuSVFUNDYyMDMzMzIuSVFfQ0RTX01JRC4wMS8xMC8yNgEAAABfHjcAAgAAAAQxMi41AMgdhikXKd8IiwozaBcp3wgjQ0lRLklRVDQ2MjE1MTExLklRX0NEU19NSUQuMDEvMTAvMjYBAAAAoEuyAQIAAAAHMzUuMjU4MwDKRIYpFynfCIsKM2gXKd8II0NJUS5JUVQ0NjIyNjEzMi5JUV9DRFNfTUlELjAxLzEwLzI2AQAAAN1ZAAACAAAABzY2Ljg3NjgA4GuGKRcp3wiLCjNoFynfCCRDSVEuSVFUMzEzMzEzNTI0LklRX0NEU19NSUQuMDEvMTAvMjYBAAAA71UNAAIAAAAHNTUuNzk4NADC8C0pFynfCIsKM2gXKd8II0NJUS5JUVQ3OTYzOTkx</t>
  </si>
  <si>
    <t>My5JUV9DRFNfTUlELjMwLzA5LzI2AQAAACBjHAICAAAABjguOTgyMQDIHYYpFynfCJzMMGgXKd8II0NJUS5JUVQ0NjIwNzg3Mi5JUV9DRFNfTUlELjMwLzA5LzI2AQAAAFgNCgACAAAABzQyLjkwOTMAykSGKRcp3wjJiDFoFynfCCNDSVEuSVFUNDYyMDAzMTcuSVFfQ0RTX01JRC4zMC8wOS8yNgEAAAD+VA0AAgAAAAc2OS44MTk0AMLJLSkXKd8IyYgxaBcp3wgjQ0lRLklRVDQ2MTk0OTk1LklRX0NEU19NSUQuMjkvMDkvMjYBAAAAbhAxAAIAAAAGMTQuMDc3AMgdhikXKd8IpnwuaBcp3wgjQ0lRLklRVDQ2MjI1MDA2LklRX0NEU19NSUQuMjkvMDkvMjYBAAAA+FUNAAIAAAAHNTguODE3MgDga4YpFynfCKZ8LmgXKd8II0NJUS5JUVQ0NjIyMDMyOS5JUV9DRFNfTUlELjI5LzA5LzI2AQAAANtbAAACAAAABDYwLjUAwvAtKRcp3wgp/i9oFynfCCNDSVEuSVFUNDYxOTc2OTQuSVFfQ0RTX01JRC4xMy8xMC8yNQEAAAAH+gUAAgAAAAY1OS4yOTYAykSGKRcp3whzjzRoFynfCCNDSVEuSVFUNjIyNzAxMDcuSVFfQ0RTX01JRC4xMy8xMC8yNQEAAAAVWQAAAgAAAAcyOS43MDc4AOBrhikXKd8ITN40aBcp3wgjQ0lRLklRVDQ2MjE0OTU0LklRX0NEU19NSUQuMDYvMTAvMjYBAAAAOj05AQIAAAAHMjIuODgxNwDIHYYpFynfCKZ8LmgXKd8II0NJUS5JUVQ0NjIyNTA4My5JUV9DRFNfTUlELjA2LzEwLzI2AQAAAFZEBgAC</t>
  </si>
  <si>
    <t>AAAABzQyLjMyNDkA4GuGKRcp3wimfC5oFynfCCNDSVEuSVFUNDYyMDM3MTQuSVFfQ0RTX01JRC4wNC8xMC8yNgEAAABfBTUAAgAAAAc4NC4xODYxAMgdhikXKd8IPOIpaBcp3wgjQ0lRLklRVDQ2MTk3MTM4LklRX0NEU19NSUQuMTMvMDcvMjYBAAAA7pQ4AQIAAAAHMTI0LjczMgD59oUpFynfCCn+L2gXKd8II0NJUS5JUVQ0NjIxNjk4Ni5JUV9DRFNfTUlELjAzLzEwLzI2AQAAAM5EOAEDAAAAAADKRIYpFynfCLC5K2gXKd8II0NJUS5JUVQ1MTAyMzQ4MC5JUV9DRFNfTUlELjEzLzA3LzI2AQAAAMJF8QECAAAABjQuNDk1OADIHYYpFynfCCn+L2gXKd8II0NJUS5JUVQ0NjIyNjEzMi5JUV9DRFNfTUlELjI5LzA5LzI2AQAAAN1ZAAACAAAABzYwLjIxMTUA4GuGKRcp3wimfC5oFynfCCNDSVEuSVFUNDYyMDg2MzQuSVFfQ0RTX01JRC4xMy8wNy8yNgEAAAADH8IAAgAAAAcyMi43NzM0AMpEhikXKd8Ik6QwaBcp3wgjQ0lRLklRVDQ2MjAwMzE3LklRX0NEU19NSUQuMjkvMDkvMjYBAAAA/lQNAAIAAAAHNjkuMzYxNQDCyS0pFynfCCn+L2gXKd8II0NJUS5JUVQ0NjIwNDk1Ny5JUV9DRFNfTUlELjEzLzA3LzI2AQAAACEVBgACAAAABzU0LjEyNjIAykSGKRcp3wiczDBoFynfCCNDSVEuSVFUNjIyNzAxMDYuSVFfQ0RTX01JRC4yOS8wOS8yNgEAAACtd4MAAgAAAAc3NC43NTcxAMLJLSkXKd8IKf4vaBcp3wgjQ0lR</t>
  </si>
  <si>
    <t>LklRVDQ2MjI1MDgzLklRX0NEU19NSUQuMTMvMDcvMjYBAAAAVkQGAAIAAAAGMzcuMzc2AOBrhikXKd8InMwwaBcp3wgkQ0lRLklRVDMxMzMxMzUyNC5JUV9DRFNfTUlELjI5LzA5LzI2AQAAAO9VDQACAAAABzU1LjkyODQAwvAtKRcp3wgp/i9oFynfCCNDSVEuSVFUNDYyMTA1NjAuSVFfQ0RTX01JRC4wOC8xMC8yNgEAAAD2GjcAAgAAAAc5NC40Mjg1AMgdhikXKd8IISEpaBcp3wgjQ0lRLklRVDYyMjcwMTA2LklRX0NEU19NSUQuMTMvMDcvMjYBAAAArXeDAAIAAAAHNzUuMjEzOADCyS0pFynfCJzMMGgXKd8IJENJUS5JUVQ2NDQ3MDE3OTcuSVFfQ0RTX01JRC4xMy8xMC8yNQEAAABTP30BAgAAAAYxNC4xMTUAyB2GKRcp3wiLCjNoFynfCCNDSVEuSVFUNDYyMTk5MjIuSVFfQ0RTX01JRC4wOC8xMC8yNgEAAADWRzkBAgAAAAQ5LjUxAMgdhikXKd8IYUgpaBcp3wgjQ0lRLklRVDQ2MjAzNzE0LklRX0NEU19NSUQuMDUvMTAvMjYBAAAAXwU1AAIAAAAHODAuMTIzMgDIHYYpFynfCDziKWgXKd8II0NJUS5JUVQ3OTY0MDAyNC5JUV9DRFNfTUlELjEzLzEwLzI1AQAAADWPmwECAAAAATkAyB2GKRcp3wiLCjNoFynfCCNDSVEuSVFUNDYyMjM2NDYuSVFfQ0RTX01JRC4wOC8xMC8yNgEAAAAbeAQAAgAAAAc1Ny4xMjU3AMpEhikXKd8IYUgpaBcp3wgjQ0lRLklRVDc5NjQwMDI0LklRX0NEU19NSUQuMDUvMTAvMjYB</t>
  </si>
  <si>
    <t>AAAANY+bAQIAAAAHMTIuNzc1NwDIHYYpFynfCDziKWgXKd8II0NJUS5JUVQ3OTYzOTkxMy5JUV9DRFNfTUlELjEzLzEwLzI1AQAAACBjHAICAAAABjkuNDQzMgDIHYYpFynfCIsKM2gXKd8IJENJUS5JUVQzMTMzMTQ5NzYuSVFfQ0RTX01JRC4wOC8xMC8yNgEAAABtSgAAAgAAAAc1Ni4yMjU3AMLwLSkXKd8IPOIpaBcp3wgjQ0lRLklRVDc5NjM5OTUzLklRX0NEU19NSUQuMDUvMTAvMjYBAAAANJtWAQIAAAAHMjEuOTUyNADKRIYpFynfCDziKWgXKd8IJENJUS5JUVQzMTMzMDU4NzkuSVFfQ0RTX01JRC4xMy8xMC8yNQEAAACE1twBAgAAAAYzLjI3MjYAykSGKRcp3whzjzRoFynfCCNDSVEuSVFUNDYyMjA4MDMuSVFfQ0RTX01JRC4wNy8xMC8yNgEAAADWyTYAAgAAAAczOS41MDU1AMpEhikXKd8IyYgxaBcp3wgjQ0lRLklRVDQ2MjAwNDEyLklRX0NEU19NSUQuMTMvMTAvMjUBAAAAY0MGAAIAAAAHNTcuNzA3NwDga4YpFynfCEzeNGgXKd8II0NJUS5JUVQ0NjE5NzEzOC5JUV9DRFNfTUlELjI5LzA5LzI2AQAAAO6UOAECAAAACDEzMC40ODI5APn2hSkXKd8IpnwuaBcp3wgjQ0lRLklRVDQ2MjAzMzMyLklRX0NEU19NSUQuMjkvMDkvMjYBAAAAXx43AAIAAAAHMTIuMDYyNQDIHYYpFynfCKZ8LmgXKd8II0NJUS5JUVQ0NjIxNTExMS5JUV9DRFNfTUlELjI5LzA5LzI2AQAAAKBLsgECAAAABzM1LjA2ODEAykSG</t>
  </si>
  <si>
    <t>KRcp3wimfC5oFynfCCRDSVEuSVFUMzEzMzA1ODc5LklRX0NEU19NSUQuMDUvMTAvMjYBAAAAhNbcAQIAAAAGMi4yOTM5AMpEhikXKd8IPOIpaBcp3wgjQ0lRLklRVDQ2MjI2MTMyLklRX0NEU19NSUQuMDUvMTAvMjYBAAAA3VkAAAIAAAAHNjkuOTI1NgDga4YpFynfCDziKWgXKd8II0NJUS5JUVQ0NjIwMDM2NC5JUV9DRFNfTUlELjA3LzEwLzI2AQAAAFeGCAACAAAABzMwLjY5OTMA4GuGKRcp3wjJiDFoFynfCCNDSVEuSVFUNDYyMDQzMDAuSVFfQ0RTX01JRC4wNi8xMC8yNgEAAAD2JX0AAgAAAAcxMi41ODc1AMgdhikXKd8IpnwuaBcp3wgjQ0lRLklRVDQ2MjAwNDEyLklRX0NEU19NSUQuMDUvMTAvMjYBAAAAY0MGAAIAAAAFNTguMTYA4GuGKRcp3wg84iloFynfCCNDSVEuSVFUNzk2Mzk5NTMuSVFfQ0RTX01JRC4wNi8xMC8yNgEAAAA0m1YBAgAAAAYyMi4wMDEAykSGKRcp3wimfC5oFynfCCRDSVEuSVFUMzEzMzEzNTI0LklRX0NEU19NSUQuMDUvMTAvMjYBAAAA71UNAAIAAAAHNTUuNTg5NQDC8C0pFynfCDziKWgXKd8II0NJUS5JUVQ2MDM4ODA1Ny5JUV9DRFNfTUlELjA2LzEwLzI2AQAAAN/JfQEDAAAAAADKRIYpFynfCKZ8LmgXKd8II0NJUS5JUVQ3OTYzOTkxMy5JUV9DRFNfTUlELjI5LzA5LzI2AQAAACBjHAICAAAABjguOTY2NADIHYYpFynfCKZ8LmgXKd8II0NJUS5JUVQ0NjQ3MDg3Ny5JUV9D</t>
  </si>
  <si>
    <t>RFNfTUlELjA0LzEwLzI2AQAAAEI3BwACAAAABzY0LjI2NzUAykSGKRcp3wiwuStoFynfCCNDSVEuSVFUNDYyMDc4NzIuSVFfQ0RTX01JRC4yOS8wOS8yNgEAAABYDQoAAgAAAAc0My4wNjk3AMpEhikXKd8IpnwuaBcp3wgjQ0lRLklRVDQ2MjE4NTE2LklRX0NEU19NSUQuMDcvMTAvMjYBAAAAplWjAQIAAAAHNDQuNDIxNADIHYYpFynfCMmIMWgXKd8IJENJUS5JUVQ1Mjg5MzY4MTIuSVFfQ0RTX01JRC4wNS8xMC8yNgEAAABsWwYAAgAAAAc1OC4wNjMyAOBrhikXKd8IPOIpaBcp3wgjQ0lRLklRVDQ2MjAwMzE3LklRX0NEU19NSUQuMTMvMTAvMjUBAAAA/lQNAAIAAAAHNzEuMzg2MQDCyS0pFynfCEzeNGgXKd8IJENJUS5JUVQzMTMzMTAxODQuSVFfQ0RTX01JRC4wNC8xMC8yNgEAAABgRD4AAgAAAAcxMi40MDk5APn2hSkXKd8IPOIpaBcp3wgjQ0lRLklRVDUxMDIzNDgwLklRX0NEU19NSUQuMjkvMDkvMjYBAAAAwkXxAQIAAAAGNS42ODc2AMgdhikXKd8IpnwuaBcp3wgkQ0lRLklRVDMxMzMxMDg1NC5JUV9DRFNfTUlELjA0LzEwLzI2AQAAAK9UDQACAAAABzY0LjM4NjcAwvAtKRcp3wiwuStoFynfCCNDSVEuSVFUNDYyMDQ5NTcuSVFfQ0RTX01JRC4yOS8wOS8yNgEAAAAhFQYAAgAAAAc2MS4wNjg4AMpEhikXKd8IpnwuaBcp3wgjQ0lRLklRVDQ2MjA3ODcyLklRX0NEU19NSUQuMTMvMTAvMjUBAAAAWA0K</t>
  </si>
  <si>
    <t>AAIAAAAHNDYuNDYzNQDKRIYpFynfCHOPNGgXKd8IJENJUS5JUVQyNTQ5NTUyMzMuSVFfQ0RTX01JRC4xMy8xMC8yNQEAAAA5VgoAAgAAAAc1OC43NDY5AOBrhikXKd8ITN40aBcp3wgjQ0lRLklRVDQ2MTk5ODQxLklRX0NEU19NSUQuMDYvMTAvMjYBAAAA6zAGAAMAAAAAAOBrhikXKd8IpnwuaBcp3wgjQ0lRLklRVDQ2MjE0OTU0LklRX0NEU19NSUQuMTMvMDcvMjYBAAAAOj05AQIAAAAFMTQuMjUAyB2GKRcp3wgp/i9oFynfCCNDSVEuSVFUNDYyMTY5ODYuSVFfQ0RTX01JRC4xMy8xMC8yNQEAAADORDgBAwAAAAAAykSGKRcp3whzjzRoFynfCCNDSVEuSVFUNDYyMTQ4NzkuSVFfQ0RTX01JRC4wNC8xMC8yNgEAAAD1GjcAAgAAAAc1Ni44MzM4AMgdhikXKd8IUnQraBcp3wgjQ0lRLklRVDQ2MjIyMjkyLklRX0NEU19NSUQuMDkvMTAvMjYBAAAA0ZGbAQIAAAAINzU1LjA4NjEAykSGKRcp3wjoXyhoFynfCCNDSVEuSVFUNDYyMjM2NDYuSVFfQ0RTX01JRC4xMS8xMC8yNgEAAAAbeAQAAgAAAAc1Ni41MzQyAMpEhikXKd8IB3wmaBcp3wgkQ0lRLklRVDMxMzMxNDk3Ni5JUV9DRFNfTUlELjExLzEwLzI2AQAAAG1KAAACAAAABzU0LjQxOTEAwvAtKRcp3wiJLydoFynfCCNDSVEuSVFUNDYyMTg1MTYuSVFfQ0RTX01JRC4xMC8xMC8yNgEAAACmVaMBAgAAAAc0NC41MTY1AMgdhikXKd8IiS8naBcp3wgjQ0lRLklR</t>
  </si>
  <si>
    <t>VDQ2MjIwODAzLklRX0NEU19NSUQuMTAvMTAvMjYBAAAA1sk2AAIAAAAHMzkuNjIzNADKRIYpFynfCIkvJ2gXKd8II0NJUS5JUVQ0NjIwMDM2NC5JUV9DRFNfTUlELjEwLzEwLzI2AQAAAFeGCAACAAAABzMwLjQ1ODMA4GuGKRcp3wiJLydoFynfCCNDSVEuSVFUNDYyMDQzMDAuSVFfQ0RTX01JRC4wOS8xMC8yNgEAAAD2JX0AAgAAAAcxMi4zMzM2AMgdhikXKd8I6F8oaBcp3wgjQ0lRLklRVDYwMzg4MDU3LklRX0NEU19NSUQuMDkvMTAvMjYBAAAA38l9AQMAAAAAAMpEhikXKd8I6F8oaBcp3wgjQ0lRLklRVDQ2MTk5ODQxLklRX0NEU19NSUQuMDkvMTAvMjYBAAAA6zAGAAMAAAAAAOBrhikXKd8I6F8oaBcp3wgkQ0lRLklRVDMxMzMxMDE4NC5JUV9DRFNfTUlELjAzLzEwLzI2AQAAAGBEPgACAAAABzEyLjQwOTkAyB2GKRcp3wiwuStoFynfCCNDSVEuSVFUNDYyMjUwODMuSVFfQ0RTX01JRC4wMi8xMC8yNgEAAABWRAYAAgAAAAc0My44ODczAOBrhikXKd8IZS4uaBcp3wgjQ0lRLklRVDQ2MjAzNzE0LklRX0NEU19NSUQuMDEvMTAvMjYBAAAAXwU1AAIAAAAHNzYuNTA3NADIHYYpFynfCIsKM2gXKd8II0NJUS5JUVQ3OTYzOTk1My5JUV9DRFNfTUlELjAxLzEwLzI2AQAAADSbVgECAAAABzIxLjk0MzgAykSGKRcp3wiLCjNoFynfCCRDSVEuSVFUNTI4OTM2ODEyLklRX0NEU19NSUQuMDEvMTAvMjYBAAAAbFsG</t>
  </si>
  <si>
    <t>AAIAAAAHNTYuNjYyNADga4YpFynfCIsKM2gXKd8II0NJUS5JUVQ0NjE5NzEzOC5JUV9DRFNfTUlELjMwLzA5LzI2AQAAAO6UOAECAAAACDEzMC42NjYxAPn2hSkXKd8InMwwaBcp3wgjQ0lRLklRVDUxMDIzNDgwLklRX0NEU19NSUQuMzAvMDkvMjYBAAAAwkXxAQIAAAAGNi4xMTA3AMgdhikXKd8IyYgxaBcp3wgjQ0lRLklRVDQ2MjA0OTU3LklRX0NEU19NSUQuMzAvMDkvMjYBAAAAIRUGAAIAAAAHNjEuNDI3MgDKRIYpFynfCMmIMWgXKd8II0NJUS5JUVQ0NjIxNTExMS5JUV9DRFNfTUlELjA4LzEwLzI2AQAAAKBLsgECAAAABzM2LjYxMzkAykSGKRcp3whhSCloFynfCCNDSVEuSVFUNDYyMjYxMzIuSVFfQ0RTX01JRC4wOC8xMC8yNgEAAADdWQAAAgAAAAU2OC40OQDga4YpFynfCDziKWgXKd8II0NJUS5JUVQ3OTYzOTk1My5JUV9DRFNfTUlELjA0LzEwLzI2AQAAADSbVgECAAAABzIxLjkzOTEAykSGKRcp3whSdCtoFynfCCRDSVEuSVFUMzIzNjgwMTMwLklRX0NEU19NSUQuMTEvMTAvMjYBAAAAceECAAIAAAAHNTUuMzg5OQDKRIYpFynfCAd8JmgXKd8IJENJUS5JUVQzMTMzMTU0MjkuSVFfQ0RTX01JRC4xMS8xMC8yNgEAAAA55wUAAgAAAAc2My4xNzA5AMLwLSkXKd8IiS8naBcp3wgjQ0lRLklRVDQ2MjA2Nzc5LklRX0NEU19NSUQuMTAvMTAvMjYBAAAA/O82AAIAAAAHMjkuNjQ2NgDIHYYpFynfCIkv</t>
  </si>
  <si>
    <t>J2gXKd8II0NJUS5JUVQ0NjIxODY3NC5JUV9DRFNfTUlELjEwLzEwLzI2AQAAAFfKNgACAAAACDEzNS4xNzczAMpEhikXKd8IiS8naBcp3wgjQ0lRLklRVDQ2MjI1NzE1LklRX0NEU19NSUQuMTAvMTAvMjYBAAAAt+UEAAIAAAAHNDMuNTc2NADga4YpFynfCIkvJ2gXKd8II0NJUS5JUVQ0NjIwNDg4NC5JUV9DRFNfTUlELjA5LzEwLzI2AQAAAIFRwAECAAAAAjQ4AMgdhikXKd8I6F8oaBcp3wgjQ0lRLklRVDQ2MjA3Nzg5LklRX0NEU19NSUQuMDkvMTAvMjYBAAAAKlijAQIAAAAHMjkuNjIyMgDKRIYpFynfCOhfKGgXKd8IJENJUS5JUVQyODYwOTYxMzEuSVFfQ0RTX01JRC4wOS8xMC8yNgEAAAA78QQAAgAAAAc3Mi40NzI1AOBrhikXKd8I6F8oaBcp3wgjQ0lRLklRVDQ2MjEwNTYwLklRX0NEU19NSUQuMDMvMTAvMjYBAAAA9ho3AAIAAAAIMTAwLjk5ODIAyB2GKRcp3wiwuStoFynfCCNDSVEuSVFUNDYyMTk5MjIuSVFfQ0RTX01JRC4wMy8xMC8yNgEAAADWRzkBAgAAAAU4Ljk3NQDIHYYpFynfCLC5K2gXKd8II0NJUS5JUVQ0NjIyMzY0Ni5JUV9DRFNfTUlELjAzLzEwLzI2AQAAABt4BAACAAAABzU2LjY1ODQAykSGKRcp3whT8yxoFynfCCRDSVEuSVFUMzEzMzE0OTc2LklRX0NEU19NSUQuMDMvMTAvMjYBAAAAbUoAAAIAAAAHNTMuODk1NwDC8C0pFynfCFPzLGgXKd8II0NJUS5JUVQ0NjIxODUxNi5JUV9D</t>
  </si>
  <si>
    <t>RFNfTUlELjAyLzEwLzI2AQAAAKZVowECAAAABzQ0LjEzOTMAyB2GKRcp3whT8yxoFynfCCNDSVEuSVFUNDYyMjA4MDMuSVFfQ0RTX01JRC4wMi8xMC8yNgEAAADWyTYAAgAAAAY0MS40OTIAykSGKRcp3whT8yxoFynfCCNDSVEuSVFUNDYyMDAzNjQuSVFfQ0RTX01JRC4wMi8xMC8yNgEAAABXhggAAgAAAAczMC4zODQyAOBrhikXKd8IZS4uaBcp3wgjQ0lRLklRVDQ2MjA0MzAwLklRX0NEU19NSUQuMDEvMTAvMjYBAAAA9iV9AAIAAAAFMTAuNzMAyB2GKRcp3wiLCjNoFynfCCNDSVEuSVFUNjAzODgwNTcuSVFfQ0RTX01JRC4wMS8xMC8yNgEAAADfyX0BAwAAAAAAykSGKRcp3wiLCjNoFynfCCNDSVEuSVFUNDYxOTk4NDEuSVFfQ0RTX01JRC4wMS8xMC8yNgEAAADrMAYAAwAAAAAA4GuGKRcp3wiLCjNoFynfCCRDSVEuSVFUMzEzMzEwMTg0LklRX0NEU19NSUQuMzAvMDkvMjYBAAAAYEQ+AAIAAAAHMTEuNzA4OADIHYYpFynfCJzMMGgXKd8II0NJUS5JUVQ0NjIxNDg3OS5JUV9DRFNfTUlELjMwLzA5LzI2AQAAAPUaNwACAAAABzU1LjE0NDUAyB2GKRcp3wjJiDFoFynfCCNDSVEuSVFUNDY0NzA4NzcuSVFfQ0RTX01JRC4zMC8wOS8yNgEAAABCNwcAAgAAAAc2My44MDA1AMpEhikXKd8IyYgxaBcp3wgkQ0lRLklRVDMxMzMxMDg1NC5JUV9DRFNfTUlELjMwLzA5LzI2AQAAAK9UDQACAAAABzY0LjMzMjMAwvAt</t>
  </si>
  <si>
    <t>KRcp3wjJiDFoFynfCCNDSVEuSVFUNDYyMDM3MTQuSVFfQ0RTX01JRC4wOC8xMC8yNgEAAABfBTUAAgAAAAc4MC4yMzcxAMgdhikXKd8IYUgpaBcp3wgjQ0lRLklRVDc5NjM5OTUzLklRX0NEU19NSUQuMDgvMTAvMjYBAAAANJtWAQIAAAAHMjIuMTA1OADKRIYpFynfCGFIKWgXKd8IJENJUS5JUVQ1Mjg5MzY4MTIuSVFfQ0RTX01JRC4wOC8xMC8yNgEAAABsWwYAAgAAAAc1Ny42NjA4AOBrhikXKd8IPOIpaBcp3wgjQ0lRLklRVDQ2MTk3MTM4LklRX0NEU19NSUQuMDcvMTAvMjYBAAAA7pQ4AQIAAAAIMTEwLjAxMjMA+faFKRcp3wjJiDFoFynfCCNDSVEuSVFUNTEwMjM0ODAuSVFfQ0RTX01JRC4wNy8xMC8yNgEAAADCRfEBAgAAAAY3LjQ1NDkAyB2GKRcp3wjJiDFoFynfCCNDSVEuSVFUNDYyMDQ5NTcuSVFfQ0RTX01JRC4wNy8xMC8yNgEAAAAhFQYAAgAAAAc2Mi4zNTkzAMpEhikXKd8IyYgxaBcp3wgjQ0lRLklRVDYyMjcwMTA2LklRX0NEU19NSUQuMDcvMTAvMjYBAAAArXeDAAIAAAAGNzQuNzUzAMLJLSkXKd8IiwozaBcp3wgjQ0lRLklRVDc5NjQwMDI0LklRX0NEU19NSUQuMDYvMTAvMjYBAAAANY+bAQIAAAAFMTMuMjUAyB2GKRcp3wimfC5oFynfCCRDSVEuSVFUMzEzMzA1ODc5LklRX0NEU19NSUQuMDYvMTAvMjYBAAAAhNbcAQIAAAAGMi4yOTM5AMpEhikXKd8IpnwuaBcp3wgjQ0lRLklRVDQ2MjAw</t>
  </si>
  <si>
    <t>NDEyLklRX0NEU19NSUQuMDYvMTAvMjYBAAAAY0MGAAIAAAAHNTQuNzEyNgDga4YpFynfCKZ8LmgXKd8II0NJUS5JUVQ0NjIwMzMzMi5JUV9DRFNfTUlELjA0LzEwLzI2AQAAAF8eNwACAAAABzEzLjE4OTgAyB2GKRcp3wg84iloFynfCCNDSVEuSVFUNDYyMTUxMTEuSVFfQ0RTX01JRC4wNC8xMC8yNgEAAACgS7IBAgAAAAczNi44NzI2AMpEhikXKd8IUnQraBcp3wgjQ0lRLklRVDQ2MjI2MTMyLklRX0NEU19NSUQuMDQvMTAvMjYBAAAA3VkAAAIAAAAHNjkuNjgwOQDga4YpFynfCLC5K2gXKd8IJENJUS5JUVQzMTMzMTM1MjQuSVFfQ0RTX01JRC4wNC8xMC8yNgEAAADvVQ0AAgAAAAc1NC44MDg1AMLwLSkXKd8IsLkraBcp3wgjQ0lRLklRVDc5NjM5OTEzLklRX0NEU19NSUQuMTMvMDcvMjYBAAAAIGMcAgIAAAAGNy45MTI3AMgdhikXKd8IKf4vaBcp3wgjQ0lRLklRVDQ2MjA3ODcyLklRX0NEU19NSUQuMTMvMDcvMjYBAAAAWA0KAAIAAAAHNDAuMDQ2OADKRIYpFynfCJzMMGgXKd8II0NJUS5JUVQ0NjIwMDMxNy5JUV9DRFNfTUlELjEzLzA3LzI2AQAAAP5UDQACAAAABzY0LjU0NDQAwsktKRcp3wiczDBoFynfCCRDSVEuSVFUNjQ0NzAxNzk3LklRX0NEU19NSUQuMDUvMTAvMjYBAAAAUz99AQIAAAAHMTAuNzc0MQDIHYYpFynfCDziKWgXKd8II0NJUS5JUVQ0NjIxNjk4Ni5JUV9DRFNfTUlELjA1LzEwLzI2</t>
  </si>
  <si>
    <t>AQAAAM5EOAEDAAAAAADKRIYpFynfCDziKWgXKd8IJENJUS5JUVQyNTQ5NTUyMzMuSVFfQ0RTX01JRC4wNS8xMC8yNgEAAAA5VgoAAgAAAAc1NC4yMDk2AOBrhikXKd8IPOIpaBcp3wgjQ0lRLklRVDQ2MTk2MjI1LklRX0NEU19NSUQuMjkvMDkvMjYBAAAAvlWjAQIAAAAFMjMuMzkAyB2GKRcp3wimfC5oFynfCCNDSVEuSVFUNTEwMjMyNjAuSVFfQ0RTX01JRC4yOS8wOS8yNgEAAACxEX8BAgAAAAcxNS42Mjk2AMpEhikXKd8IpnwuaBcp3wgjQ0lRLklRVDQ2MjI0NzQwLklRX0NEU19NSUQuMjkvMDkvMjYBAAAA03IIAAIAAAAHNTMuMjQyNADga4YpFynfCKZ8LmgXKd8IJENJUS5JUVQzMTMzMTczNDQuSVFfQ0RTX01JRC4yOS8wOS8yNgEAAADxrAEAAgAAAAc2Mi43MzY1AMLwLSkXKd8IKf4vaBcp3wgjQ0lRLklRVDQ2MjAwMjc2LklRX0NEU19NSUQuMTMvMTAvMjUBAAAAlnd8AQIAAAAHMjUuNTAzMwDIHYYpFynfCIsKM2gXKd8II0NJUS5JUVQ0NjE5NTQ5MS5JUV9DRFNfTUlELjEzLzEwLzI1AQAAAGlKAAACAAAABzU5LjM0MjEAykSGKRcp3whzjzRoFynfCCNDSVEuSVFUNzk2MzQ5MDEuSVFfQ0RTX01JRC4xMy8xMC8yNQEAAACcBhAAAgAAAAc1NS43ODE1AMLJLSkXKd8ITN40aBcp3wgjQ0lRLklRVDQ2MjE5OTIyLklRX0NEU19NSUQuMzAvMDkvMjYBAAAA1kc5AQIAAAAEOC4yNQDIHYYpFynfCMmIMWgX</t>
  </si>
  <si>
    <t>Kd8II0NJUS5JUVQ0NjIyMzY0Ni5JUV9DRFNfTUlELjMwLzA5LzI2AQAAABt4BAACAAAABzU2LjA5NTkAykSGKRcp3wjJiDFoFynfCCRDSVEuSVFUMzEzMzE0OTc2LklRX0NEU19NSUQuMzAvMDkvMjYBAAAAbUoAAAIAAAAHNTUuODcxNwDC8C0pFynfCMmIMWgXKd8II0NJUS5JUVQ0NjIwNDMwMC5JUV9DRFNfTUlELjA4LzEwLzI2AQAAAPYlfQACAAAABzEyLjUzNDkAyB2GKRcp3whhSCloFynfCCNDSVEuSVFUNjAzODgwNTcuSVFfQ0RTX01JRC4wOC8xMC8yNgEAAADfyX0BAwAAAAAAykSGKRcp3whhSCloFynfCCNDSVEuSVFUNDYxOTk4NDEuSVFfQ0RTX01JRC4wOC8xMC8yNgEAAADrMAYAAwAAAAAA4GuGKRcp3wg84iloFynfCCRDSVEuSVFUMzEzMzEwMTg0LklRX0NEU19NSUQuMDcvMTAvMjYBAAAAYEQ+AAIAAAAHMTMuNDYzNQD59oUpFynfCMmIMWgXKd8II0NJUS5JUVQ0NjIxNDg3OS5JUV9DRFNfTUlELjA3LzEwLzI2AQAAAPUaNwACAAAABzU2LjY2OTUAyB2GKRcp3wjJiDFoFynfCCNDSVEuSVFUNDY0NzA4NzcuSVFfQ0RTX01JRC4wNy8xMC8yNgEAAABCNwcAAgAAAAc2NC4xMTY3AMpEhikXKd8IyYgxaBcp3wgkQ0lRLklRVDMxMzMxMDg1NC5JUV9DRFNfTUlELjA3LzEwLzI2AQAAAK9UDQACAAAABjYzLjAxNQDC8C0pFynfCIsKM2gXKd8II0NJUS5JUVQ0NjIyNTAwNi5JUV9DRFNfTUlELjExLzEw</t>
  </si>
  <si>
    <t>LzI2AQAAAPhVDQACAAAABzYyLjcwMDQA4GuGKRcp3wgHfCZoFynfCCNDSVEuSVFUNDYyMjAzMjkuSVFfQ0RTX01JRC4xMS8xMC8yNgEAAADbWwAAAgAAAAc2MC4zMzMzAMLwLSkXKd8IiS8naBcp3wgjQ0lRLklRVDQ2MjYyMzc4LklRX0NEU19NSUQuMTAvMTAvMjYBAAAAQNKJAQIAAAAHMjYuNTkxNgDIHYYpFynfCIkvJ2gXKd8II0NJUS5JUVQ0NjE5NzY5NC5JUV9DRFNfTUlELjEwLzEwLzI2AQAAAAf6BQACAAAABzYxLjQ1NzEAykSGKRcp3wiJLydoFynfCCNDSVEuSVFUNjIyNzAxMDcuSVFfQ0RTX01JRC4xMC8xMC8yNgEAAAAVWQAAAgAAAAc0NS4wMzkzAOBrhikXKd8IiS8naBcp3wgjQ0lRLklRVDQ2MjA3MzA4LklRX0NEU19NSUQuMDkvMTAvMjYBAAAAOYl6AQIAAAAHMTYuODMyNQDIHYYpFynfCOhfKGgXKd8II0NJUS5JUVQ0NjIxMDAzMi5JUV9DRFNfTUlELjA5LzEwLzI2AQAAAI9VowECAAAABzM1LjIyMjUAykSGKRcp3wjoXyhoFynfCCNDSVEuSVFUNDYyMjUzNzQuSVFfQ0RTX01JRC4wOS8xMC8yNgEAAAC11gUAAgAAAAc0OC40MzU2AOBrhikXKd8I6F8oaBcp3wgjQ0lRLklRVDQ5NzUxMTk2LklRX0NEU19NSUQuMDMvMTAvMjYBAAAAzZm9AAIAAAAHNDIuNzA0NgDIHYYpFynfCLC5K2gXKd8II0NJUS5JUVQ2MDM4OTUxNi5JUV9DRFNfTUlELjAzLzEwLzI2AQAAAKXwwwECAAAABjcuMjkyNADK</t>
  </si>
  <si>
    <t>RIYpFynfCLC5K2gXKd8IJENJUS5JUVQzMjM2ODAxMzAuSVFfQ0RTX01JRC4wMy8xMC8yNgEAAABx4QIAAgAAAAc1OC41MjE0AMpEhikXKd8IU/MsaBcp3wgkQ0lRLklRVDMxMzMxNTQyOS5JUV9DRFNfTUlELjAzLzEwLzI2AQAAADnnBQACAAAABjYzLjg3OQDC8C0pFynfCFPzLGgXKd8II0NJUS5JUVQ0NjIwNjc3OS5JUV9DRFNfTUlELjAyLzEwLzI2AQAAAPzvNgACAAAABzI5LjI5NzUAyB2GKRcp3whT8yxoFynfCCNDSVEuSVFUNDYyMTg2NzQuSVFfQ0RTX01JRC4wMi8xMC8yNgEAAABXyjYAAgAAAAgxNDMuNjc3MwDKRIYpFynfCFPzLGgXKd8II0NJUS5JUVQ0NjIyNTcxNS5JUV9DRFNfTUlELjAyLzEwLzI2AQAAALflBAACAAAABzQzLjAxMzUA4GuGKRcp3whlLi5oFynfCCNDSVEuSVFUNDYyMDQ4ODQuSVFfQ0RTX01JRC4wMS8xMC8yNgEAAACBUcABAgAAAAc0Mi42ODQ5AMgdhikXKd8IiwozaBcp3wgjQ0lRLklRVDQ2MjA3Nzg5LklRX0NEU19NSUQuMDEvMTAvMjYBAAAAKlijAQIAAAAHMjcuNjEyNADKRIYpFynfCIsKM2gXKd8IJENJUS5JUVQyODYwOTYxMzEuSVFfQ0RTX01JRC4wMS8xMC8yNgEAAAA78QQAAgAAAAc3Mi41NDk3AOBrhikXKd8IiwozaBcp3wgjQ0lRLklRVDQ2MjEwNTYwLklRX0NEU19NSUQuMzAvMDkvMjYBAAAA9ho3AAIAAAAFOTUuOTQAyB2GKRcp3wiczDBoFynfCCNDSVEuSVFU</t>
  </si>
  <si>
    <t>NDYyMjQ3NDAuSVFfQ0RTX01JRC4xMS8xMC8yNgEAAADTcggAAgAAAAc1OC41NTgyAOBrhikXKd8IB3wmaBcp3wgkQ0lRLklRVDMxMzMxNzM0NC5JUV9DRFNfTUlELjExLzEwLzI2AQAAAPGsAQACAAAABzYxLjk2ODkAwvAtKRcp3wiJLydoFynfCCNDSVEuSVFUNDYyMDAyNzYuSVFfQ0RTX01JRC4xMC8xMC8yNgEAAACWd3wBAgAAAAczNC44OTY1AMgdhikXKd8IiS8naBcp3wgjQ0lRLklRVDQ2MTk1NDkxLklRX0NEU19NSUQuMTAvMTAvMjYBAAAAaUoAAAIAAAAHNjIuNTM2MQDKRIYpFynfCIkvJ2gXKd8II0NJUS5JUVQ3OTYzNDkwMS5JUV9DRFNfTUlELjEwLzEwLzI2AQAAAJwGEAACAAAABjU2LjU0MwDga4YpFynfCIkvJ2gXKd8II0NJUS5JUVQ0NjIwNzU3MS5JUV9DRFNfTUlELjA5LzEwLzI2AQAAAG3vNQACAAAABzY1LjU1MTIAyB2GKRcp3wjoXyhoFynfCCNDSVEuSVFUNDYyMTM0NzIuSVFfQ0RTX01JRC4wOS8xMC8yNgEAAAC5WjgAAgAAAAcxNi4xODM1AMpEhikXKd8I6F8oaBcp3wgkQ0lRLklRVDI2MzIxMzEzMi5JUV9DRFNfTUlELjA5LzEwLzI2AQAAAOGaCAACAAAABzY3LjQxMjgA4GuGKRcp3wjoXyhoFynfCCNDSVEuSVFUNDYxOTQ5OTUuSVFfQ0RTX01JRC4wMy8xMC8yNgEAAABuEDEAAgAAAAcxNi44NTM1AMgdhikXKd8IsLkraBcp3wgjQ0lRLklRVDQ2MjIyMjkyLklRX0NEU19NSUQuMDMv</t>
  </si>
  <si>
    <t>MTAvMjYBAAAA0ZGbAQIAAAAINzU0LjI5MTcAykSGKRcp3wiwuStoFynfCCNDSVEuSVFUNDYyMjUwMDYuSVFfQ0RTX01JRC4wMy8xMC8yNgEAAAD4VQ0AAgAAAAc2Ny4yMDk4AOBrhikXKd8IU/MsaBcp3wgjQ0lRLklRVDQ2MjIwMzI5LklRX0NEU19NSUQuMDMvMTAvMjYBAAAA21sAAAIAAAAENjAuNQDC8C0pFynfCFPzLGgXKd8II0NJUS5JUVQ0NjI2MjM3OC5JUV9DRFNfTUlELjAyLzEwLzI2AQAAAEDSiQECAAAABzI2Ljc5ODMAyB2GKRcp3whT8yxoFynfCCNDSVEuSVFUNDYxOTc2OTQuSVFfQ0RTX01JRC4wMi8xMC8yNgEAAAAH+gUAAgAAAAc2MS44NTcxAMpEhikXKd8IU/MsaBcp3wgjQ0lRLklRVDYyMjcwMTA3LklRX0NEU19NSUQuMDIvMTAvMjYBAAAAFVkAAAIAAAAHNDUuMjgwNQDga4YpFynfCGUuLmgXKd8II0NJUS5JUVQ0NjIwNzMwOC5JUV9DRFNfTUlELjAxLzEwLzI2AQAAADmJegECAAAABzE3LjI2NjcAyB2GKRcp3wiLCjNoFynfCCNDSVEuSVFUNDYyMTAwMzIuSVFfQ0RTX01JRC4wMS8xMC8yNgEAAACPVaMBAgAAAAczNi40Mjc2AMpEhikXKd8IiwozaBcp3wgjQ0lRLklRVDQ2MjI1Mzc0LklRX0NEU19NSUQuMDEvMTAvMjYBAAAAtdYFAAIAAAAHNDguNjgxMwDga4YpFynfCIsKM2gXKd8II0NJUS5JUVQ0OTc1MTE5Ni5JUV9DRFNfTUlELjMwLzA5LzI2AQAAAM2ZvQACAAAABzQwLjU4MDgA</t>
  </si>
  <si>
    <t>yB2GKRcp3wiczDBoFynfCCNDSVEuSVFUNjAzODk1MTYuSVFfQ0RTX01JRC4zMC8wOS8yNgEAAACl8MMBAgAAAAY3LjI5NDcAykSGKRcp3wjJiDFoFynfCCRDSVEuSVFUMzIzNjgwMTMwLklRX0NEU19NSUQuMzAvMDkvMjYBAAAAceECAAIAAAAHNTcuMzU4NwDKRIYpFynfCMmIMWgXKd8IJENJUS5JUVQzMTMzMTU0MjkuSVFfQ0RTX01JRC4zMC8wOS8yNgEAAAA55wUAAgAAAAc2My42Mjk1AMLwLSkXKd8IyYgxaBcp3wgjQ0lRLklRVDQ2MjA0ODg0LklRX0NEU19NSUQuMDgvMTAvMjYBAAAAgVHAAQIAAAAHNDkuNTcxNwDIHYYpFynfCGFIKWgXKd8II0NJUS5JUVQ0NjIwNzc4OS5JUV9DRFNfTUlELjA4LzEwLzI2AQAAACpYowECAAAABzI5LjM3ODUAykSGKRcp3whhSCloFynfCCRDSVEuSVFUMjg2MDk2MTMxLklRX0NEU19NSUQuMDgvMTAvMjYBAAAAO/EEAAIAAAAHNzMuMjAxMgDga4YpFynfCDziKWgXKd8II0NJUS5JUVQ0NjIxMDU2MC5JUV9DRFNfTUlELjA3LzEwLzI2AQAAAPYaNwACAAAABzkzLjk5MzYAyB2GKRcp3wjJiDFoFynfCCNDSVEuSVFUNDYyMTk5MjIuSVFfQ0RTX01JRC4wNy8xMC8yNgEAAADWRzkBAgAAAAY5LjUwMzMAyB2GKRcp3wjJiDFoFynfCCNDSVEuSVFUNDYyMjM2NDYuSVFfQ0RTX01JRC4wNy8xMC8yNgEAAAAbeAQAAgAAAAc1Ny4wNDQ5AMpEhikXKd8IyYgxaBcp3wgkQ0lRLklR</t>
  </si>
  <si>
    <t>VDMxMzMxNDk3Ni5JUV9DRFNfTUlELjA3LzEwLzI2AQAAAG1KAAACAAAABzU1LjgzOTIAwvAtKRcp3wiLCjNoFynfCCNDSVEuSVFUNDYyMTg1MTYuSVFfQ0RTX01JRC4wNi8xMC8yNgEAAACmVaMBAgAAAAc0NC4yNDM3AMgdhikXKd8IpnwuaBcp3wgjQ0lRLklRVDQ2MjIwODAzLklRX0NEU19NSUQuMDYvMTAvMjYBAAAA1sk2AAIAAAAHNDAuMjc0OADKRIYpFynfCKZ8LmgXKd8II0NJUS5JUVQ0NjIwMDM2NC5JUV9DRFNfTUlELjA2LzEwLzI2AQAAAFeGCAACAAAABzI5LjYzMTIA4GuGKRcp3wimfC5oFynfCCNDSVEuSVFUNDYyMDQzMDAuSVFfQ0RTX01JRC4wNC8xMC8yNgEAAAD2JX0AAgAAAAQxMi41AMgdhikXKd8IPOIpaBcp3wgjQ0lRLklRVDYwMzg4MDU3LklRX0NEU19NSUQuMDQvMTAvMjYBAAAA38l9AQMAAAAAAMpEhikXKd8IUnQraBcp3wgjQ0lRLklRVDQ2MTk5ODQxLklRX0NEU19NSUQuMDQvMTAvMjYBAAAA6zAGAAMAAAAAAOBrhikXKd8IsLkraBcp3wgkQ0lRLklRVDMxMzMxMDE4NC5JUV9DRFNfTUlELjEzLzA3LzI2AQAAAGBEPgACAAAABzExLjIwMDgAyB2GKRcp3wgp/i9oFynfCCNDSVEuSVFUNDYyMTQ4NzkuSVFfQ0RTX01JRC4xMy8wNy8yNgEAAAD1GjcAAgAAAAY1MC41NTgAyB2GKRcp3wgp/i9oFynfCCNDSVEuSVFUNDY0NzA4NzcuSVFfQ0RTX01JRC4xMy8wNy8yNgEAAABCNwcAAgAA</t>
  </si>
  <si>
    <t>AAc1NS43NjkzAMpEhikXKd8InMwwaBcp3wgkQ0lRLklRVDMxMzMxMDg1NC5JUV9DRFNfTUlELjEzLzA3LzI2AQAAAK9UDQACAAAABDYxLjUAwvAtKRcp3wiczDBoFynfCCNDSVEuSVFUNDYyMTQ5NTQuSVFfQ0RTX01JRC4wNS8xMC8yNgEAAAA6PTkBAgAAAAYyMy4yMTQAyB2GKRcp3wg84iloFynfCCNDSVEuSVFUNDYyMDg2MzQuSVFfQ0RTX01JRC4wNS8xMC8yNgEAAAADH8IAAgAAAAcyNC4xNTQ5AMpEhikXKd8IPOIpaBcp3wgjQ0lRLklRVDQ2MjI1MDgzLklRX0NEU19NSUQuMDUvMTAvMjYBAAAAVkQGAAIAAAAENDQuNQDga4YpFynfCDziKWgXKd8II0NJUS5JUVQ0NjIwMzcxNC5JUV9DRFNfTUlELjI5LzA5LzI2AQAAAF8FNQACAAAABzY1LjEzNzMAyB2GKRcp3wimfC5oFynfCCNDSVEuSVFUNzk2Mzk5NTMuSVFfQ0RTX01JRC4yOS8wOS8yNgEAAAA0m1YBAgAAAAcyMS4zMTczAMpEhikXKd8IpnwuaBcp3wgkQ0lRLklRVDUyODkzNjgxMi5JUV9DRFNfTUlELjI5LzA5LzI2AQAAAGxbBgACAAAABzU0LjAxNDQA4GuGKRcp3wgp/i9oFynfCCNDSVEuSVFUNDYxOTcxMzguSVFfQ0RTX01JRC4xMy8xMC8yNQEAAADulDgBAgAAAAgxNTkuNjgyMQD59oUpFynfCIsKM2gXKd8II0NJUS5JUVQ1MTAyMzQ4MC5JUV9DRFNfTUlELjEzLzEwLzI1AQAAAMJF8QECAAAABjYuNjYwMQDIHYYpFynfCIsKM2gXKd8II0NJ</t>
  </si>
  <si>
    <t>US5JUVQ0NjIwNDk1Ny5JUV9DRFNfTUlELjEzLzEwLzI1AQAAACEVBgACAAAABzYyLjcxMjkAykSGKRcp3whzjzRoFynfCCNDSVEuSVFUNjIyNzAxMDYuSVFfQ0RTX01JRC4xMy8xMC8yNQEAAACtd4MAAgAAAAY3MS4xOTEAwsktKRcp3whM3jRoFynfCCNDSVEuSVFUNDYyMDY3NzkuSVFfQ0RTX01JRC4wMy8xMC8yNgEAAAD87zYAAgAAAAcyOS4yOTc1AMgdhikXKd8IsLkraBcp3wgjQ0lRLklRVDQ2MjIzNjQ2LklRX0NEU19NSUQuMDEvMTAvMjYBAAAAG3gEAAIAAAAHNTcuMTQ5NgDKRIYpFynfCIsKM2gXKd8II0NJUS5JUVQ0NjIxODUxNi5JUV9DRFNfTUlELjMwLzA5LzI2AQAAAKZVowECAAAABzQzLjM3MTgAyB2GKRcp3wiczDBoFynfCCNDSVEuSVFUNDYyMDAzNjQuSVFfQ0RTX01JRC4zMC8wOS8yNgEAAABXhggAAgAAAAYyOC4xMjUA4GuGKRcp3wjJiDFoFynfCCNDSVEuSVFUNDYyMTQ4NzkuSVFfQ0RTX01JRC4wOC8xMC8yNgEAAAD1GjcAAgAAAAc1Ny4xOTg4AMgdhikXKd8IYUgpaBcp3wgjQ0lRLklRVDQ2MjE0OTU0LklRX0NEU19NSUQuMDcvMTAvMjYBAAAAOj05AQIAAAAHMjMuODMzMwDIHYYpFynfCMmIMWgXKd8II0NJUS5JUVQ3OTY0MDAyNC5JUV9DRFNfTUlELjEzLzA3LzI2AQAAADWPmwECAAAAAzcuOADIHYYpFynfCCn+L2gXKd8II0NJUS5JUVQ0NjIyNjEzMi5JUV9DRFNfTUlELjExLzEw</t>
  </si>
  <si>
    <t>LzI2AQAAAN1ZAAACAAAABzY3LjI3NjEA4GuGKRcp3wgHfCZoFynfCCRDSVEuSVFUMzEzMzEzNTI0LklRX0NEU19NSUQuMTEvMTAvMjYBAAAA71UNAAIAAAAHNTQuNDkwNADC8C0pFynfCIkvJ2gXKd8II0NJUS5JUVQ3OTYzOTkxMy5JUV9DRFNfTUlELjEwLzEwLzI2AQAAACBjHAICAAAABjkuNjY3NQDIHYYpFynfCIkvJ2gXKd8II0NJUS5JUVQ0NjIwNzg3Mi5JUV9DRFNfTUlELjEwLzEwLzI2AQAAAFgNCgACAAAABzQ0LjA5OTUAykSGKRcp3wiJLydoFynfCCNDSVEuSVFUNDYyMDAzMTcuSVFfQ0RTX01JRC4xMC8xMC8yNgEAAAD+VA0AAgAAAAc2OS45NDkxAMLJLSkXKd8IiS8naBcp3wgkQ0lRLklRVDY0NDcwMTc5Ny5JUV9DRFNfTUlELjA5LzEwLzI2AQAAAFM/fQECAAAABzExLjQ1NTMAyB2GKRcp3wjoXyhoFynfCCNDSVEuSVFUNDYyMTY5ODYuSVFfQ0RTX01JRC4wOS8xMC8yNgEAAADORDgBAwAAAAAAykSGKRcp3wjoXyhoFynfCCRDSVEuSVFUMjU0OTU1MjMzLklRX0NEU19NSUQuMDkvMTAvMjYBAAAAOVYKAAIAAAAHNTIuODI2MgDga4YpFynfCOhfKGgXKd8II0NJUS5JUVQ0NjE5NjIyNS5JUV9DRFNfTUlELjAzLzEwLzI2AQAAAL5VowECAAAABTI3Ljk2AMgdhikXKd8IsLkraBcp3wgjQ0lRLklRVDUxMDIzMjYwLklRX0NEU19NSUQuMDMvMTAvMjYBAAAAsRF/AQIAAAAHMTUuODQyMwDKRIYpFynf</t>
  </si>
  <si>
    <t>CLC5K2gXKd8II0NJUS5JUVQ0NjIyNDc0MC5JUV9DRFNfTUlELjAzLzEwLzI2AQAAANNyCAACAAAABzYyLjM1OTEA4GuGKRcp3whT8yxoFynfCCRDSVEuSVFUMzEzMzE3MzQ0LklRX0NEU19NSUQuMDMvMTAvMjYBAAAA8awBAAIAAAAHNjEuNDg0MgDC8C0pFynfCFPzLGgXKd8II0NJUS5JUVQ0NjIwMDI3Ni5JUV9DRFNfTUlELjAyLzEwLzI2AQAAAJZ3fAECAAAABTMzLjQ4AMgdhikXKd8IU/MsaBcp3wgjQ0lRLklRVDQ2MTk1NDkxLklRX0NEU19NSUQuMDIvMTAvMjYBAAAAaUoAAAIAAAAHNjMuODYyMQDKRIYpFynfCFPzLGgXKd8II0NJUS5JUVQ3OTYzNDkwMS5JUV9DRFNfTUlELjAyLzEwLzI2AQAAAJwGEAACAAAABzU2LjQ5ODMA4GuGKRcp3whlLi5oFynfCCNDSVEuSVFUNDYyMDc1NzEuSVFfQ0RTX01JRC4wMS8xMC8yNgEAAABt7zUAAgAAAAc2Mi41MzYzAMgdhikXKd8IiwozaBcp3wgjQ0lRLklRVDQ2MjEzNDcyLklRX0NEU19NSUQuMDEvMTAvMjYBAAAAuVo4AAIAAAAHMTYuMDA4NQDKRIYpFynfCIsKM2gXKd8IJENJUS5JUVQyNjMyMTMxMzIuSVFfQ0RTX01JRC4wMS8xMC8yNgEAAADhmggAAgAAAAc2Ny43NDYzAOBrhikXKd8IiwozaBcp3wgjQ0lRLklRVDQ2MTk0OTk1LklRX0NEU19NSUQuMzAvMDkvMjYBAAAAbhAxAAIAAAAHMTQuMjYyOADIHYYpFynfCJzMMGgXKd8II0NJUS5JUVQ0NjIyMjI5</t>
  </si>
  <si>
    <t>Mi5JUV9DRFNfTUlELjMwLzA5LzI2AQAAANGRmwECAAAACDc1NS4wODU3AMpEhikXKd8IyYgxaBcp3wgjQ0lRLklRVDQ2MjI1MDA2LklRX0NEU19NSUQuMzAvMDkvMjYBAAAA+FUNAAIAAAAHNjEuODM1MwDga4YpFynfCMmIMWgXKd8II0NJUS5JUVQ0NjIyMDMyOS5JUV9DRFNfTUlELjMwLzA5LzI2AQAAANtbAAACAAAABDYwLjUAwvAtKRcp3wjJiDFoFynfCCNDSVEuSVFUNDYyMDczMDguSVFfQ0RTX01JRC4wOC8xMC8yNgEAAAA5iXoBAgAAAAcxNy40MjY3AMgdhikXKd8IYUgpaBcp3wgjQ0lRLklRVDQ2MjEwMDMyLklRX0NEU19NSUQuMDgvMTAvMjYBAAAAj1WjAQIAAAAHMzUuMjk3NADKRIYpFynfCGFIKWgXKd8II0NJUS5JUVQ0NjIyNTM3NC5JUV9DRFNfTUlELjA4LzEwLzI2AQAAALXWBQACAAAABzQ5LjI3NDQA4GuGKRcp3wg84iloFynfCCNDSVEuSVFUNDk3NTExOTYuSVFfQ0RTX01JRC4wNy8xMC8yNgEAAADNmb0AAgAAAAc0Mi43NjczAMgdhikXKd8IyYgxaBcp3wgjQ0lRLklRVDYwMzg5NTE2LklRX0NEU19NSUQuMDcvMTAvMjYBAAAApfDDAQIAAAAGNy4zOTYxAMpEhikXKd8IyYgxaBcp3wgkQ0lRLklRVDMyMzY4MDEzMC5JUV9DRFNfTUlELjA3LzEwLzI2AQAAAHHhAgACAAAABzU1LjIwMTEAykSGKRcp3wjJiDFoFynfCCRDSVEuSVFUMzEzMzE1NDI5LklRX0NEU19NSUQuMDcvMTAvMjYBAAAA</t>
  </si>
  <si>
    <t>OecFAAIAAAAHNjQuMTY5MQDC8C0pFynfCIsKM2gXKd8II0NJUS5JUVQ0NjIwNjc3OS5JUV9DRFNfTUlELjA2LzEwLzI2AQAAAPzvNgACAAAABjI4LjMzNwDIHYYpFynfCKZ8LmgXKd8II0NJUS5JUVQ0NjIxODY3NC5JUV9DRFNfTUlELjA2LzEwLzI2AQAAAFfKNgACAAAABzEzNS41NTYAykSGKRcp3wimfC5oFynfCCNDSVEuSVFUNDYyMjU3MTUuSVFfQ0RTX01JRC4wNi8xMC8yNgEAAAC35QQAAgAAAAc0Mi45ODA1AOBrhikXKd8IpnwuaBcp3wgjQ0lRLklRVDQ2MjA0ODg0LklRX0NEU19NSUQuMDQvMTAvMjYBAAAAgVHAAQIAAAAHNDYuMjI3MgDIHYYpFynfCDziKWgXKd8II0NJUS5JUVQ0NjIwNzc4OS5JUV9DRFNfTUlELjA0LzEwLzI2AQAAACpYowECAAAABzI4LjkzODYAykSGKRcp3whSdCtoFynfCCRDSVEuSVFUMjg2MDk2MTMxLklRX0NEU19NSUQuMDQvMTAvMjYBAAAAO/EEAAIAAAAHNzMuMzI1NwDga4YpFynfCLC5K2gXKd8II0NJUS5JUVQ0NjIxMDU2MC5JUV9DRFNfTUlELjEzLzA3LzI2AQAAAPYaNwACAAAABzg1Ljg0ODUAyB2GKRcp3wgp/i9oFynfCCNDSVEuSVFUNDYyMTk5MjIuSVFfQ0RTX01JRC4xMy8wNy8yNgEAAADWRzkBAgAAAAY2LjgyOTMAyB2GKRcp3wgp/i9oFynfCCNDSVEuSVFUNDYyMjM2NDYuSVFfQ0RTX01JRC4xMy8wNy8yNgEAAAAbeAQAAgAAAAc0OS4yOTU5AMpEhikXKd8I</t>
  </si>
  <si>
    <t>nMwwaBcp3wgkQ0lRLklRVDMxMzMxNDk3Ni5JUV9DRFNfTUlELjEzLzA3LzI2AQAAAG1KAAACAAAABDU2LjUAwvAtKRcp3wiczDBoFynfCCNDSVEuSVFUNDYyMTg1MTYuSVFfQ0RTX01JRC4wNS8xMC8yNgEAAACmVaMBAgAAAAc0NC4yNDQ4AMgdhikXKd8IPOIpaBcp3wgjQ0lRLklRVDQ2MjIwODAzLklRX0NEU19NSUQuMDUvMTAvMjYBAAAA1sk2AAIAAAAGNDAuOTk3AMpEhikXKd8IPOIpaBcp3wgjQ0lRLklRVDQ2MjAwMzY0LklRX0NEU19NSUQuMDUvMTAvMjYBAAAAV4YIAAIAAAAHMzAuOTEyNQDga4YpFynfCDziKWgXKd8II0NJUS5JUVQ0NjIwNDMwMC5JUV9DRFNfTUlELjI5LzA5LzI2AQAAAPYlfQACAAAABzEwLjAwMzQAyB2GKRcp3wimfC5oFynfCCNDSVEuSVFUNjAzODgwNTcuSVFfQ0RTX01JRC4yOS8wOS8yNgEAAADfyX0BAwAAAAAAykSGKRcp3wimfC5oFynfCCNDSVEuSVFUNDYxOTk4NDEuSVFfQ0RTX01JRC4yOS8wOS8yNgEAAADrMAYAAwAAAAAA4GuGKRcp3wgp/i9oFynfCCRDSVEuSVFUMzEzMzEwMTg0LklRX0NEU19NSUQuMTMvMTAvMjUBAAAAYEQ+AAIAAAAHMTcuNjgwNwDIHYYpFynfCIsKM2gXKd8II0NJUS5JUVQ0NjIxNDg3OS5JUV9DRFNfTUlELjEzLzEwLzI1AQAAAPUaNwACAAAABzYzLjIyNDEAyB2GKRcp3wiLCjNoFynfCCNDSVEuSVFUNDY0NzA4NzcuSVFfQ0RTX01JRC4xMy8x</t>
  </si>
  <si>
    <t>MC8yNQEAAABCNwcAAgAAAAc1OC4zMjY5AMpEhikXKd8Ic480aBcp3wgkQ0lRLklRVDMxMzMxMDg1NC5JUV9DRFNfTUlELjEzLzEwLzI1AQAAAK9UDQACAAAABzQ4LjA4NjcAwvAtKRcp3whM3jRoFynfCCNDSVEuSVFUNDYxOTc2OTQuSVFfQ0RTX01JRC4wNi8xMC8yNgEAAAAH+gUAAgAAAAY2MC43NjEAykSGKRcp3wimfC5oFynfCCNDSVEuSVFUNjIyNzAxMDcuSVFfQ0RTX01JRC4wNi8xMC8yNgEAAAAVWQAAAgAAAAc0NS40MjA5AOBrhikXKd8IpnwuaBcp3wgjQ0lRLklRVDQ2MjA3MzA4LklRX0NEU19NSUQuMDQvMTAvMjYBAAAAOYl6AQIAAAAGMTkuNjI1AMgdhikXKd8IPOIpaBcp3wgjQ0lRLklRVDQ2MjEwMDMyLklRX0NEU19NSUQuMDQvMTAvMjYBAAAAj1WjAQIAAAAHMzUuNDU4NwDKRIYpFynfCFJ0K2gXKd8II0NJUS5JUVQ0NjIyNTM3NC5JUV9DRFNfTUlELjA0LzEwLzI2AQAAALXWBQACAAAABzQ5LjY2MDcA4GuGKRcp3wiwuStoFynfCCNDSVEuSVFUNDk3NTExOTYuSVFfQ0RTX01JRC4xMy8wNy8yNgEAAADNmb0AAgAAAAU0MS43NQDIHYYpFynfCCn+L2gXKd8II0NJUS5JUVQ2MDM4OTUxNi5JUV9DRFNfTUlELjEzLzA3LzI2AQAAAKXwwwECAAAABjcuMjQwOADKRIYpFynfCCn+L2gXKd8IJENJUS5JUVQzMjM2ODAxMzAuSVFfQ0RTX01JRC4xMy8wNy8yNgEAAABx4QIAAgAAAAc1Mi44NTUzAMpE</t>
  </si>
  <si>
    <t>hikXKd8InMwwaBcp3wgkQ0lRLklRVDMxMzMxNTQyOS5JUV9DRFNfTUlELjEzLzA3LzI2AQAAADnnBQACAAAABzYyLjMzMzMAwvAtKRcp3wiczDBoFynfCCNDSVEuSVFUNDYyMDY3NzkuSVFfQ0RTX01JRC4wNS8xMC8yNgEAAAD87zYAAgAAAAcyOS44MjE5AMgdhikXKd8IPOIpaBcp3wgjQ0lRLklRVDQ2MjE4Njc0LklRX0NEU19NSUQuMDUvMTAvMjYBAAAAV8o2AAIAAAAIMTQyLjg5ODIAykSGKRcp3wg84iloFynfCCNDSVEuSVFUNDYyMjU3MTUuSVFfQ0RTX01JRC4wNS8xMC8yNgEAAAC35QQAAgAAAAU0Mi45NQDga4YpFynfCDziKWgXKd8II0NJUS5JUVQ0NjIwNDg4NC5JUV9DRFNfTUlELjI5LzA5LzI2AQAAAIFRwAECAAAABzM3LjQxMDEAyB2GKRcp3wimfC5oFynfCCNDSVEuSVFUNDYyMDc3ODkuSVFfQ0RTX01JRC4yOS8wOS8yNgEAAAAqWKMBAgAAAAcyNi4yNTI3AMpEhikXKd8IpnwuaBcp3wgkQ0lRLklRVDI4NjA5NjEzMS5JUV9DRFNfTUlELjI5LzA5LzI2AQAAADvxBAACAAAABzY3LjQ0MjkA4GuGKRcp3wgp/i9oFynfCCNDSVEuSVFUNDYyMTA1NjAuSVFfQ0RTX01JRC4xMy8xMC8yNQEAAAD2GjcAAgAAAAc5Ni45Mjg3AMgdhikXKd8IiwozaBcp3wgjQ0lRLklRVDQ2MjE5OTIyLklRX0NEU19NSUQuMTMvMTAvMjUBAAAA1kc5AQIAAAAGOS42Nzg3AMgdhikXKd8IiwozaBcp3wgjQ0lRLklRVDQ2</t>
  </si>
  <si>
    <t>MjIzNjQ2LklRX0NEU19NSUQuMTMvMTAvMjUBAAAAG3gEAAIAAAAHNTMuMjk3OADKRIYpFynfCHOPNGgXKd8IJENJUS5JUVQzMTMzMTQ5NzYuSVFfQ0RTX01JRC4xMy8xMC8yNQEAAABtSgAAAgAAAAc1Mi4wMDg0AMLwLSkXKd8ITN40aBcp3wgkQ0lRLklRVDY0NDcwMTc5Ny5JUV9DRFNfTUlELjA4LzEwLzI2AQAAAFM/fQECAAAABzExLjY2MjgAyB2GKRcp3whhSCloFynfCCNDSVEuSVFUNDYyMTY5ODYuSVFfQ0RTX01JRC4wOC8xMC8yNgEAAADORDgBAwAAAAAAykSGKRcp3whhSCloFynfCCRDSVEuSVFUMjU0OTU1MjMzLklRX0NEU19NSUQuMDgvMTAvMjYBAAAAOVYKAAIAAAAHNTMuNTk1MwDga4YpFynfCDziKWgXKd8II0NJUS5JUVQ0NjE5NjIyNS5JUV9DRFNfTUlELjA3LzEwLzI2AQAAAL5VowECAAAABzMyLjM5NjYAyB2GKRcp3wjJiDFoFynfCCNDSVEuSVFUNTEwMjMyNjAuSVFfQ0RTX01JRC4wNy8xMC8yNgEAAACxEX8BAgAAAAcxNS42OTQ1AMpEhikXKd8IyYgxaBcp3wgkQ0lRLklRVDMxMzMxNzM0NC5JUV9DRFNfTUlELjA3LzEwLzI2AQAAAPGsAQACAAAABzYyLjE0MDcAwvAtKRcp3wiLCjNoFynfCCNDSVEuSVFUNDYyMDAyNzYuSVFfQ0RTX01JRC4wNi8xMC8yNgEAAACWd3wBAgAAAAczNC40ODY1AMgdhikXKd8IpnwuaBcp3wgjQ0lRLklRVDc5NjM0OTAxLklRX0NEU19NSUQuMDYvMTAvMjYB</t>
  </si>
  <si>
    <t>AAAAnAYQAAIAAAAHNTYuNTE3NADga4YpFynfCKZ8LmgXKd8II0NJUS5JUVQ0NjIxMzQ3Mi5JUV9DRFNfTUlELjA0LzEwLzI2AQAAALlaOAACAAAABjE2LjA2NADKRIYpFynfCFJ0K2gXKd8IJENJUS5JUVQyNjMyMTMxMzIuSVFfQ0RTX01JRC4wNC8xMC8yNgEAAADhmggAAgAAAAc2OC4xMTAxAOBrhikXKd8IsLkraBcp3wgjQ0lRLklRVDQ2MTk0OTk1LklRX0NEU19NSUQuMTMvMDcvMjYBAAAAbhAxAAIAAAAHMTAuOTk5OADIHYYpFynfCCn+L2gXKd8II0NJUS5JUVQ0NjIyNTAwNi5JUV9DRFNfTUlELjEzLzA3LzI2AQAAAPhVDQACAAAABzQxLjcwODIA4GuGKRcp3wiczDBoFynfCCNDSVEuSVFUNDYxOTc2OTQuSVFfQ0RTX01JRC4wNS8xMC8yNgEAAAAH+gUAAgAAAAc2MS44NjY4AMpEhikXKd8IPOIpaBcp3wgjQ0lRLklRVDQ2MjA3MzA4LklRX0NEU19NSUQuMjkvMDkvMjYBAAAAOYl6AQIAAAAEMTYuMwDIHYYpFynfCKZ8LmgXKd8II0NJUS5JUVQ0NjIyNTM3NC5JUV9DRFNfTUlELjI5LzA5LzI2AQAAALXWBQACAAAABzQ1Ljc5NTcA4GuGKRcp3wgp/i9oFynfCCRDSVEuSVFUMzEzMzE1NDI5LklRX0NEU19NSUQuMTMvMTAvMjUBAAAAOecFAAIAAAAHNDguODAyNADC8C0pFynfCEzeNGgXKd8II0NJUS5JUVQ0NjIxNjk4Ni5JUV9DRFNfTUlELjA0LzEwLzI2AQAAAM5EOAEDAAAAAADKRIYpFynfCFJ0K2gX</t>
  </si>
  <si>
    <t>Kd8IJENJUS5JUVQyNTQ5NTUyMzMuSVFfQ0RTX01JRC4wNC8xMC8yNgEAAAA5VgoAAgAAAAc1NC4wMDA3AOBrhikXKd8IsLkraBcp3wgjQ0lRLklRVDUxMDIzMjYwLklRX0NEU19NSUQuMTMvMDcvMjYBAAAAsRF/AQIAAAAHMTMuOTA3MgDKRIYpFynfCCn+L2gXKd8II0NJUS5JUVQ0NjIwMDI3Ni5JUV9DRFNfTUlELjA1LzEwLzI2AQAAAJZ3fAECAAAABzM0LjI3OTQAyB2GKRcp3wg84iloFynfCCNDSVEuSVFUNzk2MzQ5MDEuSVFfQ0RTX01JRC4wNS8xMC8yNgEAAACcBhAAAgAAAAc1Ni40OTE0AOBrhikXKd8IPOIpaBcp3wgjQ0lRLklRVDQ2MjEzNDcyLklRX0NEU19NSUQuMjkvMDkvMjYBAAAAuVo4AAIAAAAHMTUuNzgxNQDKRIYpFynfCKZ8LmgXKd8IJENJUS5JUVQyNjMyMTMxMzIuSVFfQ0RTX01JRC4yOS8wOS8yNgEAAADhmggAAgAAAAc2NC42NjE1AOBrhikXKd8IKf4vaBcp3wgjQ0lRLklRVDQ2MjIyMjkyLklRX0NEU19NSUQuMTMvMTAvMjUBAAAA0ZGbAQIAAAAKMTQ3ODcuMzI5MwDKRIYpFynfCIsKM2gXKd8II0NJUS5JUVQ0NjIyMDMyOS5JUV9DRFNfTUlELjEzLzEwLzI1AQAAANtbAAACAAAABzQyLjkyMzIAwvAtKRcp3whM3jRoFynfCCRDSVEuSVFUMzEzMzE3MzQ0LklRX0NEU19NSUQuMTMvMTAvMjUBAAAA8awBAAIAAAAHNTAuOTUwOADC8C0pFynfCEzeNGgXKd8II0NJUS5JUVQ1MTAyMzI2</t>
  </si>
  <si>
    <t>MC5JUV9DRFNfTUlELjAyLzEwLzI2AQAAALERfwECAAAABzE1Ljg0MjMAykSGKRcp3whT8yxoFynfCCNDSVEuSVFUNDYxOTU0OTEuSVFfQ0RTX01JRC4wMS8xMC8yNgEAAABpSgAAAgAAAAc2My41ODc2AMpEhikXKd8IiwozaBcp3wgjQ0lRLklRVDQ2MjA3NTcxLklRX0NEU19NSUQuMzAvMDkvMjYBAAAAbe81AAIAAAAGNTEuMTE3AMgdhikXKd8InMwwaBcp3wgjQ0lRLklRVDQ2MTk3Njk0LklRX0NEU19NSUQuMDgvMTAvMjYBAAAAB/oFAAIAAAAHNjIuMjE0OQDKRIYpFynfCGFIKWgXKd8II0NJUS5JUVQ0NjIyNjEzMi5JUV9DRFNfTUlELjAyLzEwLzI2AQAAAN1ZAAACAAAABzY5LjY4MDkA4GuGKRcp3whT8yxoFynfCCNDSVEuSVFUNzk2Mzk5MTMuSVFfQ0RTX01JRC4wMS8xMC8yNgEAAAAgYxwCAgAAAAY5LjExMzIAyB2GKRcp3wiLCjNoFynfCCNDSVEuSVFUNDYyMDAyNzYuSVFfQ0RTX01JRC4wOC8xMC8yNgEAAACWd3wBAgAAAAczNC44NDg0AMgdhikXKd8IYUgpaBcp3wgjQ0lRLklRVDQ2MjA3NTcxLklRX0NEU19NSUQuMDcvMTAvMjYBAAAAbe81AAIAAAAHNjcuNjkyOQDIHYYpFynfCMmIMWgXKd8II0NJUS5JUVQ0NjIyMDMyOS5JUV9DRFNfTUlELjA2LzEwLzI2AQAAANtbAAACAAAABDYwLjUAwvAtKRcp3wimfC5oFynfCCNDSVEuSVFUNDYxOTQ5OTUuSVFfQ0RTX01JRC4wNS8xMC8yNgEAAABuEDEA</t>
  </si>
  <si>
    <t>AgAAAAcxNy4xNDc4AMgdhikXKd8IPOIpaBcp3wgjQ0lRLklRVDQ2MTk3Njk0LklRX0NEU19NSUQuMjkvMDkvMjYBAAAAB/oFAAIAAAAGNjEuMzgyAMpEhikXKd8IpnwuaBcp3wgjQ0lRLklRVDQ2MjEwMDMyLklRX0NEU19NSUQuMTMvMTAvMjUBAAAAj1WjAQIAAAAHNDIuNzEyMQDKRIYpFynfCHOPNGgXKd8II0NJUS5JUVQ3OTY0MDAyNC5JUV9DRFNfTUlELjA3LzEwLzI2AQAAADWPmwECAAAABTEyLjc1AMgdhikXKd8IyYgxaBcp3wgjQ0lRLklRVDQ2MjE2OTg2LklRX0NEU19NSUQuMTMvMDcvMjYBAAAAzkQ4AQMAAAAAAMpEhikXKd8Ik6QwaBcp3wgkQ0lRLklRVDMxMzMxNzM0NC5JUV9DRFNfTUlELjA1LzEwLzI2AQAAAPGsAQACAAAABzYxLjgwMTIAwvAtKRcp3wg84iloFynfCCRDSVEuSVFUMzEzMzE1NDI5LklRX0NEU19NSUQuMDkvMTAvMjYBAAAAOecFAAIAAAAHNjMuMTcwOQDC8C0pFynfCCEhKWgXKd8II0NJUS5JUVQ0NjIwNzc4OS5JUV9DRFNfTUlELjAyLzEwLzI2AQAAACpYowECAAAABzI4LjkzODYAykSGKRcp3whT8yxoFynfCCRDSVEuSVFUMjg2MDk2MTMxLklRX0NEU19NSUQuMDIvMTAvMjYBAAAAO/EEAAIAAAAHNzMuMzI1NwDga4YpFynfCFPzLGgXKd8II0NJUS5JUVQ0NjIxOTkyMi5JUV9DRFNfTUlELjAxLzEwLzI2AQAAANZHOQECAAAABTguNjI1AMgdhikXKd8IiwozaBcp3wgkQ0lR</t>
  </si>
  <si>
    <t>LklRVDMxMzMxNDk3Ni5JUV9DRFNfTUlELjAxLzEwLzI2AQAAAG1KAAACAAAABzU1Ljg0MzIAwvAtKRcp3wiLCjNoFynfCCNDSVEuSVFUNDYyMjA4MDMuSVFfQ0RTX01JRC4zMC8wOS8yNgEAAADWyTYAAgAAAAc0MC4wMzEzAMpEhikXKd8IyYgxaBcp3wgjQ0lRLklRVDQ2NDcwODc3LklRX0NEU19NSUQuMDgvMTAvMjYBAAAAQjcHAAIAAAAHNjQuNTExMwDKRIYpFynfCGFIKWgXKd8II0NJUS5JUVQ0NjIwODYzNC5JUV9DRFNfTUlELjA3LzEwLzI2AQAAAAMfwgACAAAABzIzLjY1MTQAykSGKRcp3wjJiDFoFynfCCRDSVEuSVFUNTI4OTM2ODEyLklRX0NEU19NSUQuMTEvMTAvMjYBAAAAbFsGAAIAAAAHNTcuMjQ3OADga4YpFynfCAd8JmgXKd8II0NJUS5JUVQ0NjE5NzEzOC5JUV9DRFNfTUlELjEwLzEwLzI2AQAAAO6UOAECAAAACDEwOS41MDAyAPn2hSkXKd8IiS8naBcp3wgjQ0lRLklRVDUxMDIzNDgwLklRX0NEU19NSUQuMTAvMTAvMjYBAAAAwkXxAQIAAAAGNy4zODU4AMgdhikXKd8IiS8naBcp3wgjQ0lRLklRVDQ2MjA0OTU3LklRX0NEU19NSUQuMTAvMTAvMjYBAAAAIRUGAAIAAAAHNjIuNTU5OADKRIYpFynfCIkvJ2gXKd8II0NJUS5JUVQ2MjI3MDEwNi5JUV9DRFNfTUlELjEwLzEwLzI2AQAAAK13gwACAAAABzc0Ljc1NjkAwsktKRcp3wiJLydoFynfCCNDSVEuSVFUNzk2NDAwMjQuSVFfQ0RTX01J</t>
  </si>
  <si>
    <t>RC4wOS8xMC8yNgEAAAA1j5sBAgAAAAcxMy4zMzMzAMgdhikXKd8I6F8oaBcp3wgkQ0lRLklRVDMxMzMwNTg3OS5JUV9DRFNfTUlELjA5LzEwLzI2AQAAAITW3AECAAAABjIuMjkzOQDKRIYpFynfCOhfKGgXKd8II0NJUS5JUVQ0NjIwMDQxMi5JUV9DRFNfTUlELjA5LzEwLzI2AQAAAGNDBgACAAAABzU2LjUzMzMA4GuGKRcp3wjoXyhoFynfCCNDSVEuSVFUNDYyMDMzMzIuSVFfQ0RTX01JRC4wMy8xMC8yNgEAAABfHjcAAgAAAAcxMy4xODk4AMgdhikXKd8IsLkraBcp3wgjQ0lRLklRVDQ2MjE1MTExLklRX0NEU19NSUQuMDMvMTAvMjYBAAAAoEuyAQIAAAAHMzYuODcyNgDKRIYpFynfCLC5K2gXKd8II0NJUS5JUVQ0NjIyNjEzMi5JUV9DRFNfTUlELjAzLzEwLzI2AQAAAN1ZAAACAAAABzY5LjY4MDkA4GuGKRcp3whT8yxoFynfCCRDSVEuSVFUMzEzMzEzNTI0LklRX0NEU19NSUQuMDMvMTAvMjYBAAAA71UNAAIAAAAHNTQuODA4NQDC8C0pFynfCFPzLGgXKd8II0NJUS5JUVQ3OTYzOTkxMy5JUV9DRFNfTUlELjAyLzEwLzI2AQAAACBjHAICAAAABjkuNjkwOQDIHYYpFynfCFPzLGgXKd8II0NJUS5JUVQ0NjIwNzg3Mi5JUV9DRFNfTUlELjAyLzEwLzI2AQAAAFgNCgACAAAABzQ0LjEzMjEAykSGKRcp3whT8yxoFynfCCNDSVEuSVFUNDYyMDAzMTcuSVFfQ0RTX01JRC4wMi8xMC8yNgEAAAD+VA0AAgAAAAc3</t>
  </si>
  <si>
    <t>MC4yMDQ2AMLJLSkXKd8IZS4uaBcp3wgkQ0lRLklRVDY0NDcwMTc5Ny5JUV9DRFNfTUlELjAxLzEwLzI2AQAAAFM/fQECAAAABzEyLjA2MjIAyB2GKRcp3wiLCjNoFynfCCNDSVEuSVFUNDYyMTY5ODYuSVFfQ0RTX01JRC4wMS8xMC8yNgEAAADORDgBAwAAAAAAykSGKRcp3wiLCjNoFynfCCRDSVEuSVFUMjU0OTU1MjMzLklRX0NEU19NSUQuMDEvMTAvMjYBAAAAOVYKAAIAAAAHNTMuMjQ4MgDga4YpFynfCIsKM2gXKd8II0NJUS5JUVQ0NjE5NjIyNS5JUV9DRFNfTUlELjMwLzA5LzI2AQAAAL5VowECAAAABjI0LjQyNADIHYYpFynfCJzMMGgXKd8II0NJUS5JUVQ1MTAyMzI2MC5JUV9DRFNfTUlELjMwLzA5LzI2AQAAALERfwECAAAABzE1LjUxNzEAykSGKRcp3wjJiDFoFynfCCNDSVEuSVFUNDYyMjQ3NDAuSVFfQ0RTX01JRC4zMC8wOS8yNgEAAADTcggAAgAAAAc1Ni42MDk0AOBrhikXKd8IyYgxaBcp3wgkQ0lRLklRVDMxMzMxNzM0NC5JUV9DRFNfTUlELjMwLzA5LzI2AQAAAPGsAQACAAAABzYyLjcwOTcAwvAtKRcp3wjJiDFoFynfCCNDSVEuSVFUNDYyMDc1NzEuSVFfQ0RTX01JRC4wOC8xMC8yNgEAAABt7zUAAgAAAAc2NS42MzQ3AMgdhikXKd8IYUgpaBcp3wgjQ0lRLklRVDQ2MjEzNDcyLklRX0NEU19NSUQuMDgvMTAvMjYBAAAAuVo4AAIAAAAHMTYuMDk3NQDKRIYpFynfCGFIKWgXKd8IJENJUS5J</t>
  </si>
  <si>
    <t>UVQyNjMyMTMxMzIuSVFfQ0RTX01JRC4wOC8xMC8yNgEAAADhmggAAgAAAAY2OC4yODQA4GuGKRcp3wg84iloFynfCCNDSVEuSVFUNDYxOTQ5OTUuSVFfQ0RTX01JRC4wNy8xMC8yNgEAAABuEDEAAgAAAAcxNy4yMDY1AMgdhikXKd8IyYgxaBcp3wgjQ0lRLklRVDQ2MjIyMjkyLklRX0NEU19NSUQuMDcvMTAvMjYBAAAA0ZGbAQIAAAAINzU1LjU2NDQAykSGKRcp3wjJiDFoFynfCCNDSVEuSVFUNDYyMjUwMDYuSVFfQ0RTX01JRC4wNy8xMC8yNgEAAAD4VQ0AAgAAAAc2NC40MDcxAOBrhikXKd8IyYgxaBcp3wgjQ0lRLklRVDQ2MjIwMzI5LklRX0NEU19NSUQuMDcvMTAvMjYBAAAA21sAAAIAAAAENjAuNQDC8C0pFynfCIsKM2gXKd8II0NJUS5JUVQ0NjI2MjM3OC5JUV9DRFNfTUlELjA2LzEwLzI2AQAAAEDSiQECAAAABzI2LjA5MjcAyB2GKRcp3wimfC5oFynfCCNDSVEuSVFUNDYyMTM0NzIuSVFfQ0RTX01JRC4zMC8wOS8yNgEAAAC5WjgAAgAAAAYxNi4wNjUAykSGKRcp3wjJiDFoFynfCCNDSVEuSVFUNDYyMTAwMzIuSVFfQ0RTX01JRC4wNy8xMC8yNgEAAACPVaMBAgAAAAczNC4zMTI0AMpEhikXKd8IyYgxaBcp3wgjQ0lRLklRVDQ2MjE4Njc0LklRX0NEU19NSUQuMDQvMTAvMjYBAAAAV8o2AAIAAAAIMTQzLjY3NzMAykSGKRcp3whSdCtoFynfCCNDSVEuSVFUNDYyMjU3MTUuSVFfQ0RTX01JRC4wNC8x</t>
  </si>
  <si>
    <t>MC8yNgEAAAC35QQAAgAAAAc0My4wMTM1AOBrhikXKd8IsLkraBcp3wgjQ0lRLklRVDQ2MjA0ODg0LklRX0NEU19NSUQuMTMvMDcvMjYBAAAAgVHAAQIAAAAHMjkuMTgyNwDIHYYpFynfCCn+L2gXKd8IJENJUS5JUVQyODYwOTYxMzEuSVFfQ0RTX01JRC4xMy8wNy8yNgEAAAA78QQAAgAAAAc2MC43MDMzAOBrhikXKd8InMwwaBcp3wgjQ0lRLklRVDQ2MjIzNjQ2LklRX0NEU19NSUQuMDUvMTAvMjYBAAAAG3gEAAIAAAAHNTYuOTczOADKRIYpFynfCDziKWgXKd8II0NJUS5JUVQ0NjIwNDMwMC5JUV9DRFNfTUlELjEzLzEwLzI1AQAAAPYlfQACAAAABjguOTQ3MwDIHYYpFynfCIsKM2gXKd8II0NJUS5JUVQ2MDM4ODA1Ny5JUV9DRFNfTUlELjEzLzEwLzI1AQAAAN/JfQECAAAABzQzLjE5NTUAykSGKRcp3whzjzRoFynfCCNDSVEuSVFUNzk2Mzk5NTMuSVFfQ0RTX01JRC4xMC8xMC8yNgEAAAA0m1YBAgAAAAcyMi4xNjQxAMpEhikXKd8IiS8naBcp3wgjQ0lRLklRVDUxMDIzNDgwLklRX0NEU19NSUQuMDkvMTAvMjYBAAAAwkXxAQIAAAAGNy4zODU4AMgdhikXKd8I6F8oaBcp3wgjQ0lRLklRVDYyMjcwMTA2LklRX0NEU19NSUQuMDkvMTAvMjYBAAAArXeDAAIAAAAHNzQuNzU2OQDCyS0pFynfCOhfKGgXKd8IJENJUS5JUVQzMTMzMDU4NzkuSVFfQ0RTX01JRC4wMy8xMC8yNgEAAACE1twBAgAAAAYyLjI5MzkA</t>
  </si>
  <si>
    <t>ykSGKRcp3wiwuStoFynfCCNDSVEuSVFUNDYyMjIyOTIuSVFfQ0RTX01JRC4wNi8xMC8yNgEAAADRkZsBAgAAAAg3NTUuNjgwNwDKRIYpFynfCKZ8LmgXKd8II0NJUS5JUVQ0NjIyNTM3NC5JUV9DRFNfTUlELjEzLzA3LzI2AQAAALXWBQACAAAABTM4LjQ2AOBrhikXKd8InMwwaBcp3wgkQ0lRLklRVDMyMzY4MDEzMC5JUV9DRFNfTUlELjA1LzEwLzI2AQAAAHHhAgACAAAABzU3LjM0ODMAykSGKRcp3wg84iloFynfCCNDSVEuSVFUNDYyMDY3NzkuSVFfQ0RTX01JRC4yOS8wOS8yNgEAAAD87zYAAgAAAAcyMS40NzM0AMgdhikXKd8IpnwuaBcp3wgjQ0lRLklRVDQ2MjI1NzE1LklRX0NEU19NSUQuMjkvMDkvMjYBAAAAt+UEAAIAAAAHNDMuMzQzNwDga4YpFynfCCn+L2gXKd8II0NJUS5JUVQ0NjIwNzU3MS5JUV9DRFNfTUlELjEzLzA3LzI2AQAAAG3vNQACAAAABzI5LjE1MjcAyB2GKRcp3wgp/i9oFynfCCRDSVEuSVFUMjYzMjEzMTMyLklRX0NEU19NSUQuMTMvMDcvMjYBAAAA4ZoIAAIAAAAHNTUuMzI5NwDga4YpFynfCJzMMGgXKd8II0NJUS5JUVQ0NjIyMDMyOS5JUV9DRFNfTUlELjA1LzEwLzI2AQAAANtbAAACAAAABDYwLjUAwvAtKRcp3wg84iloFynfCCNDSVEuSVFUNjIyNzAxMDcuSVFfQ0RTX01JRC4yOS8wOS8yNgEAAAAVWQAAAgAAAAc0NC4xMjU4AOBrhikXKd8IKf4vaBcp3wgjQ0lRLklRVDQ2</t>
  </si>
  <si>
    <t>MjI1Mzc0LklRX0NEU19NSUQuMTMvMTAvMjUBAAAAtdYFAAIAAAAHNTMuMzg1OADga4YpFynfCEzeNGgXKd8II0NJUS5JUVQ0NjIwMzMzMi5JUV9DRFNfTUlELjA2LzEwLzI2AQAAAF8eNwACAAAABzEzLjY4OTgAyB2GKRcp3wimfC5oFynfCCRDSVEuSVFUMzEzMzEzNTI0LklRX0NEU19NSUQuMDYvMTAvMjYBAAAA71UNAAIAAAAHNTUuMjU0NgDC8C0pFynfCKZ8LmgXKd8IJENJUS5JUVQ2NDQ3MDE3OTcuSVFfQ0RTX01JRC4xMy8wNy8yNgEAAABTP30BAgAAAAY5Ljk5NjgAyB2GKRcp3wgp/i9oFynfCCNDSVEuSVFUNDYxOTYyMjUuSVFfQ0RTX01JRC4wNS8xMC8yNgEAAAC+VaMBAgAAAAczMS4zMzMzAMgdhikXKd8IPOIpaBcp3wgjQ0lRLklRVDQ2MjAwMjc2LklRX0NEU19NSUQuMjkvMDkvMjYBAAAAlnd8AQIAAAAHMzMuMzA3NgDIHYYpFynfCKZ8LmgXKd8II0NJUS5JUVQ0NjIwNzU3MS5JUV9DRFNfTUlELjEzLzEwLzI1AQAAAG3vNQACAAAABjM4LjEzOADIHYYpFynfCIsKM2gXKd8IJENJUS5JUVQyNjMyMTMxMzIuSVFfQ0RTX01JRC4xMy8xMC8yNQEAAADhmggAAgAAAAc2My4zMDk3AOBrhikXKd8ITN40aBcp3wgjQ0lRLklRVDYwMzg5NTE2LklRX0NEU19NSUQuMDkvMTAvMjYBAAAApfDDAQIAAAAGNy4zNDYyAMgdhikXKd8I6F8oaBcp3wgjQ0lRLklRVDQ2MjA0ODg0LklRX0NEU19NSUQuMDIvMTAv</t>
  </si>
  <si>
    <t>MjYBAAAAgVHAAQIAAAAHNDYuMjI3MgDIHYYpFynfCFPzLGgXKd8II0NJUS5JUVQ0NjIxMDU2MC5JUV9DRFNfTUlELjAxLzEwLzI2AQAAAPYaNwACAAAABzEwMC45NzEAyB2GKRcp3wiLCjNoFynfCCRDSVEuSVFUMzEzMzEwMTg0LklRX0NEU19NSUQuMDgvMTAvMjYBAAAAYEQ+AAIAAAAHMTMuODU2NwD59oUpFynfCCEhKWgXKd8IJENJUS5JUVQzMTMzMTA4NTQuSVFfQ0RTX01JRC4wOC8xMC8yNgEAAACvVA0AAgAAAAY2My4yMDIAwsktKRcp3wg84iloFynfCCNDSVEuSVFUNDYyMjUwODMuSVFfQ0RTX01JRC4wNy8xMC8yNgEAAABWRAYAAgAAAAY0NC4yNzIA4GuGKRcp3wjJiDFoFynfCCNDSVEuSVFUNDYyMDM3MTQuSVFfQ0RTX01JRC4wNi8xMC8yNgEAAABfBTUAAgAAAAc3My4wMjY0AMgdhikXKd8IpnwuaBcp3wgkQ0lRLklRVDUyODkzNjgxMi5JUV9DRFNfTUlELjA2LzEwLzI2AQAAAGxbBgACAAAABzU1LjM4ODIA4GuGKRcp3wimfC5oFynfCCNDSVEuSVFUNDYxOTcxMzguSVFfQ0RTX01JRC4wNC8xMC8yNgEAAADulDgBAgAAAAgxMzIuNzg2MwD59oUpFynfCDziKWgXKd8II0NJUS5JUVQ0NjIwNDk1Ny5JUV9DRFNfTUlELjA0LzEwLzI2AQAAACEVBgACAAAABzYyLjA4NzEAykSGKRcp3wiwuStoFynfCCNDSVEuSVFUNjIyNzAxMDYuSVFfQ0RTX01JRC4wNC8xMC8yNgEAAACtd4MAAgAAAAc3NC43NTYz</t>
  </si>
  <si>
    <t>AMLJLSkXKd8IsLkraBcp3wgjQ0lRLklRVDQ2MjAzMzMyLklRX0NEU19NSUQuMDUvMTAvMjYBAAAAXx43AAIAAAAEMTMuNQDIHYYpFynfCDziKWgXKd8II0NJUS5JUVQ0NjIxNTExMS5JUV9DRFNfTUlELjA1LzEwLzI2AQAAAKBLsgECAAAABzM2LjkzMTgAykSGKRcp3wg84iloFynfCCNDSVEuSVFUNDYxOTk4NDEuSVFfQ0RTX01JRC4xMS8xMC8yNgEAAADrMAYAAwAAAAAA4GuGKRcp3wgHfCZoFynfCCRDSVEuSVFUMzEzMzEwMTg0LklRX0NEU19NSUQuMTAvMTAvMjYBAAAAYEQ+AAIAAAAHMTMuOTY0NQD59oUpFynfCIkvJ2gXKd8II0NJUS5JUVQ0NjIxNDg3OS5JUV9DRFNfTUlELjEwLzEwLzI2AQAAAPUaNwACAAAABzU2LjI1NjIAyB2GKRcp3wiJLydoFynfCCNDSVEuSVFUNDY0NzA4NzcuSVFfQ0RTX01JRC4xMC8xMC8yNgEAAABCNwcAAgAAAAc2NC4wNjIzAMpEhikXKd8IiS8naBcp3wgkQ0lRLklRVDMxMzMxMDg1NC5JUV9DRFNfTUlELjEwLzEwLzI2AQAAAK9UDQACAAAABTYyLjc2AMLJLSkXKd8IiS8naBcp3wgjQ0lRLklRVDQ2MjE0OTU0LklRX0NEU19NSUQuMDkvMTAvMjYBAAAAOj05AQIAAAAEMjMuNgDIHYYpFynfCOhfKGgXKd8II0NJUS5JUVQ0NjIwODYzNC5JUV9DRFNfTUlELjA5LzEwLzI2AQAAAAMfwgACAAAABzIzLjUzMTMAykSGKRcp3wjoXyhoFynfCCNDSVEuSVFUNDYyMjUwODMuSVFf</t>
  </si>
  <si>
    <t>Q0RTX01JRC4wOS8xMC8yNgEAAABWRAYAAgAAAAc0NC4xNDAxAOBrhikXKd8I6F8oaBcp3wgjQ0lRLklRVDQ2MjAzNzE0LklRX0NEU19NSUQuMDMvMTAvMjYBAAAAXwU1AAIAAAAHODQuMTg2MQDIHYYpFynfCLC5K2gXKd8II0NJUS5JUVQ3OTYzOTk1My5JUV9DRFNfTUlELjAzLzEwLzI2AQAAADSbVgECAAAABzIxLjkzOTEAykSGKRcp3wiwuStoFynfCCRDSVEuSVFUNTI4OTM2ODEyLklRX0NEU19NSUQuMDMvMTAvMjYBAAAAbFsGAAIAAAAHNTcuNTIzOQDga4YpFynfCFPzLGgXKd8II0NJUS5JUVQ0NjE5NzEzOC5JUV9DRFNfTUlELjAyLzEwLzI2AQAAAO6UOAECAAAACDEzMi43ODYzAPn2hSkXKd8IU/MsaBcp3wgjQ0lRLklRVDUxMDIzNDgwLklRX0NEU19NSUQuMDIvMTAvMjYBAAAAwkXxAQIAAAAGNy4xOTc1AMgdhikXKd8IU/MsaBcp3wgjQ0lRLklRVDQ2MjA0OTU3LklRX0NEU19NSUQuMDIvMTAvMjYBAAAAIRUGAAIAAAAHNjIuMDg3MQDKRIYpFynfCFPzLGgXKd8II0NJUS5JUVQ2MjI3MDEwNi5JUV9DRFNfTUlELjAyLzEwLzI2AQAAAK13gwACAAAABzc0Ljc1NjMAwsktKRcp3whlLi5oFynfCCNDSVEuSVFUNzk2NDAwMjQuSVFfQ0RTX01JRC4wMS8xMC8yNgEAAAA1j5sBAgAAAAcxMi4yMDA2AMgdhikXKd8IiwozaBcp3wgkQ0lRLklRVDMxMzMwNTg3OS5JUV9DRFNfTUlELjAxLzEwLzI2AQAAAITW</t>
  </si>
  <si>
    <t>3AECAAAABjIuMjkzOQDKRIYpFynfCIsKM2gXKd8II0NJUS5JUVQ0NjIwMDQxMi5JUV9DRFNfTUlELjAxLzEwLzI2AQAAAGNDBgACAAAABzU2LjUxODMA4GuGKRcp3wiLCjNoFynfCCNDSVEuSVFUNDYyMDMzMzIuSVFfQ0RTX01JRC4zMC8wOS8yNgEAAABfHjcAAgAAAAcxMi4zMzMzAMgdhikXKd8InMwwaBcp3wgjQ0lRLklRVDQ2MjE1MTExLklRX0NEU19NSUQuMzAvMDkvMjYBAAAAoEuyAQIAAAAHMzUuMTgyMwDKRIYpFynfCMmIMWgXKd8II0NJUS5JUVQ0NjIyNjEzMi5JUV9DRFNfTUlELjMwLzA5LzI2AQAAAN1ZAAACAAAABzYzLjYzOTIA4GuGKRcp3wjJiDFoFynfCCRDSVEuSVFUMzEzMzEzNTI0LklRX0NEU19NSUQuMzAvMDkvMjYBAAAA71UNAAIAAAAHNTUuOTIyNwDC8C0pFynfCMmIMWgXKd8II0NJUS5JUVQ0NjIyNDc0MC5JUV9DRFNfTUlELjA3LzEwLzI2AQAAANNyCAACAAAABTU5Ljg4AOBrhikXKd8IyYgxaBcp3wgjQ0lRLklRVDQ2MTk1NDkxLklRX0NEU19NSUQuMDYvMTAvMjYBAAAAaUoAAAIAAAAHNjIuMjAxNQDKRIYpFynfCKZ8LmgXKd8II0NJUS5JUVQ0NjIwNzU3MS5JUV9DRFNfTUlELjA0LzEwLzI2AQAAAG3vNQACAAAABzcyLjQ1ODEAyB2GKRcp3wg84iloFynfCCNDSVEuSVFUNDYyMjIyOTIuSVFfQ0RTX01JRC4xMy8wNy8yNgEAAADRkZsBAgAAAAg3NjAuNDQ3MwDKRIYpFynfCCn+</t>
  </si>
  <si>
    <t>L2gXKd8II0NJUS5JUVQ0NjIyMDMyOS5JUV9DRFNfTUlELjEzLzA3LzI2AQAAANtbAAACAAAABDU2LjUAwvAtKRcp3wiczDBoFynfCCNDSVEuSVFUNDYyNjIzNzguSVFfQ0RTX01JRC4wNS8xMC8yNgEAAABA0okBAgAAAAcyNi45NjYyAMgdhikXKd8IPOIpaBcp3wgjQ0lRLklRVDYyMjcwMTA3LklRX0NEU19NSUQuMDUvMTAvMjYBAAAAFVkAAAIAAAAHNDMuNTUxMwDga4YpFynfCDziKWgXKd8II0NJUS5JUVQ0NjIxMDAzMi5JUV9DRFNfTUlELjI5LzA5LzI2AQAAAI9VowECAAAABzM1LjM4NzQAykSGKRcp3wimfC5oFynfCCNDSVEuSVFUNDk3NTExOTYuSVFfQ0RTX01JRC4xMy8xMC8yNQEAAADNmb0AAgAAAAQ0MS41AMgdhikXKd8IiwozaBcp3wgjQ0lRLklRVDYwMzg5NTE2LklRX0NEU19NSUQuMTMvMTAvMjUBAAAApfDDAQIAAAAFOC41MDIAykSGKRcp3wiLCjNoFynfCCRDSVEuSVFUMzIzNjgwMTMwLklRX0NEU19NSUQuMTMvMTAvMjUBAAAAceECAAIAAAAHNTMuODkyOADga4YpFynfCHOPNGgXKd8IJENJUS5JUVQ2NDQ3MDE3OTcuSVFfQ0RTX01JRC4wNC8xMC8yNgEAAABTP30BAgAAAAcxMC45NTcyAMgdhikXKd8IPOIpaBcp3wgjQ0lRLklRVDQ2MTk2MjI1LklRX0NEU19NSUQuMTMvMDcvMjYBAAAAvlWjAQIAAAAHMTcuMzMzMwDIHYYpFynfCCn+L2gXKd8II0NJUS5JUVQ0NjIyNDc0MC5JUV9DRFNf</t>
  </si>
  <si>
    <t>TUlELjEzLzA3LzI2AQAAANNyCAACAAAABjMzLjcyNQDga4YpFynfCJzMMGgXKd8IJENJUS5JUVQzMTMzMTczNDQuSVFfQ0RTX01JRC4xMy8wNy8yNgEAAADxrAEAAgAAAAc2MC41MDIzAMLwLSkXKd8InMwwaBcp3wgjQ0lRLklRVDQ2MTk1NDkxLklRX0NEU19NSUQuMDUvMTAvMjYBAAAAaUoAAAIAAAAGNjMuMjI2AMpEhikXKd8IPOIpaBcp3wgjQ0lRLklRVDQ2MjA3NTcxLklRX0NEU19NSUQuMjkvMDkvMjYBAAAAbe81AAIAAAAHNDguODY0MwDIHYYpFynfCKZ8LmgXKd8II0NJUS5JUVQ0NjE5NDk5NS5JUV9DRFNfTUlELjEzLzEwLzI1AQAAAG4QMQACAAAABzE0Ljc0MzgAyB2GKRcp3wiLCjNoFynfCCNDSVEuSVFUNDYyMjUwMDYuSVFfQ0RTX01JRC4xMy8xMC8yNQEAAAD4VQ0AAgAAAAc0OC4zMjY2AOBrhikXKd8Ic480aBcp3wgjQ0lRLklRVDQ2MjI0NzQwLklRX0NEU19NSUQuMTMvMTAvMjUBAAAA03IIAAIAAAAHNDYuMTk4NwDga4YpFynfCHOPNGgXKd8II0NJUS5JUVQ0NjE5NjIyNS5JUV9DRFNfTUlELjAyLzEwLzI2AQAAAL5VowECAAAABTI3Ljk2AMgdhikXKd8IU/MsaBcp3wgjQ0lRLklRVDQ2MjAwMjc2LklRX0NEU19NSUQuMDEvMTAvMjYBAAAAlnd8AQIAAAAHMzIuOTk3MQDIHYYpFynfCIsKM2gXKd8II0NJUS5JUVQ0NjI2MjM3OC5JUV9DRFNfTUlELjA4LzEwLzI2AQAAAEDSiQECAAAABzI2</t>
  </si>
  <si>
    <t>LjkwMjMAyB2GKRcp3whhSCloFynfCCNDSVEuSVFUNDYyMDczMDguSVFfQ0RTX01JRC4wNy8xMC8yNgEAAAA5iXoBAgAAAAcxNy4zMzMzAMgdhikXKd8IyYgxaBcp3wgjQ0lRLklRVDYwMzg5NTE2LklRX0NEU19NSUQuMDYvMTAvMjYBAAAApfDDAQIAAAAGNy4zMDc0AMpEhikXKd8IpnwuaBcp3wgkQ0lRLklRVDMxMzMxNTQyOS5JUV9DRFNfTUlELjA2LzEwLzI2AQAAADnnBQACAAAABzYyLjYyODgAwvAtKRcp3wimfC5oFynfCCNDSVEuSVFUNDYyMDc3ODkuSVFfQ0RTX01JRC4xMy8wNy8yNgEAAAAqWKMBAgAAAAcyNi42NzkxAMpEhikXKd8Ik6QwaBcp3wgjQ0lRLklRVDQ2MjEwNTYwLklRX0NEU19NSUQuMDUvMTAvMjYBAAAA9ho3AAIAAAAHOTguOTU5OQDIHYYpFynfCDziKWgXKd8II0NJUS5JUVQ0NjIxODUxNi5JUV9DRFNfTUlELjI5LzA5LzI2AQAAAKZVowECAAAABzQxLjYyMDcAyB2GKRcp3wimfC5oFynfCCNDSVEuSVFUNDYyMjA4MDMuSVFfQ0RTX01JRC4yOS8wOS8yNgEAAADWyTYAAgAAAAQ0MC41AMpEhikXKd8IpnwuaBcp3wgkQ0lRLklRVDUyODkzNjgxMi5JUV9DRFNfTUlELjEwLzEwLzI2AQAAAGxbBgACAAAABzU3LjI0NzgA4GuGKRcp3wiJLydoFynfCCNDSVEuSVFUNDYyMDMzMzIuSVFfQ0RTX01JRC4wMi8xMC8yNgEAAABfHjcAAgAAAAcxMy4xODk4AMgdhikXKd8IU/MsaBcp3wgjQ0lR</t>
  </si>
  <si>
    <t>LklRVDQ2MjE1MTExLklRX0NEU19NSUQuMDIvMTAvMjYBAAAAoEuyAQIAAAAHMzYuODcyNgDKRIYpFynfCFPzLGgXKd8II0NJUS5JUVQ0NjIyNTAwNi5JUV9DRFNfTUlELjA2LzEwLzI2AQAAAPhVDQACAAAABzYyLjI4NDIA4GuGKRcp3wimfC5oFynfCCNDSVEuSVFUNDk3NTExOTYuSVFfQ0RTX01JRC4wNS8xMC8yNgEAAADNmb0AAgAAAAc0Mi45NTgzAMgdhikXKd8IPOIpaBcp3wgjQ0lRLklRVDQ2MjE4Njc0LklRX0NEU19NSUQuMjkvMDkvMjYBAAAAV8o2AAIAAAAIMTMyLjI2NzQAykSGKRcp3wimfC5oFynfCCNDSVEuSVFUNDYyMDQ4ODQuSVFfQ0RTX01JRC4xMy8xMC8yNQEAAACBUcABAgAAAAY0MC41MTQAyB2GKRcp3wiLCjNoFynfCCRDSVEuSVFUMjg2MDk2MTMxLklRX0NEU19NSUQuMTMvMTAvMjUBAAAAO/EEAAIAAAAHNzIuMDAwOQDga4YpFynfCEzeNGgXKd8II0NJUS5JUVQ3OTYzNDkwMS5JUV9DRFNfTUlELjA0LzEwLzI2AQAAAJwGEAACAAAABzU2LjQ5ODMA4GuGKRcp3wiwuStoFynfCCNDSVEuSVFUNDYyNjIzNzguSVFfQ0RTX01JRC4yOS8wOS8yNgEAAABA0okBAgAAAAcyMS4yNzM1AMgdhikXKd8IpnwuaBcp3wgjQ0lRLklRVDQ2MjE1MTExLklRX0NEU19NSUQuMDYvMTAvMjYBAAAAoEuyAQIAAAAGMzYuNDM0AMpEhikXKd8IpnwuaBcp3wgjQ0lRLklRVDQ2MjAwMzE3LklRX0NEU19NSUQu</t>
  </si>
  <si>
    <t>MDQvMTAvMjYBAAAA/lQNAAIAAAAHNzAuMjA0NgDCyS0pFynfCLC5K2gXKd8IJENJUS5JUVQyNTQ5NTUyMzMuSVFfQ0RTX01JRC4xMy8wNy8yNgEAAAA5VgoAAgAAAAQ0My4xAOBrhikXKd8InMwwaBcp3wgjQ0lRLklRVDQ2MjI0NzQwLklRX0NEU19NSUQuMDUvMTAvMjYBAAAA03IIAAIAAAAHNjIuMzk3MgDga4YpFynfCDziKWgXKd8II0NJUS5JUVQ0NjE5NTQ5MS5JUV9DRFNfTUlELjI5LzA5LzI2AQAAAGlKAAACAAAABjYxLjk4NADKRIYpFynfCKZ8LmgXKd8II0NJUS5JUVQ0NjIxMzQ3Mi5JUV9DRFNfTUlELjEzLzEwLzI1AQAAALlaOAACAAAABzEzLjc1NDUAykSGKRcp3whzjzRoFynfCCRDSVEuSVFUMzIzNjgwMTMwLklRX0NEU19NSUQuMDkvMTAvMjYBAAAAceECAAIAAAAHNTUuMzg5OQDKRIYpFynfCOhfKGgXKd8II0NJUS5JUVQ0NjIxODY3NC5JUV9DRFNfTUlELjAzLzEwLzI2AQAAAFfKNgACAAAACDE0My42NzczAMpEhikXKd8IsLkraBcp3wgjQ0lRLklRVDQ2MjI1NzE1LklRX0NEU19NSUQuMDMvMTAvMjYBAAAAt+UEAAIAAAAHNDMuMDEzNQDga4YpFynfCFPzLGgXKd8IJENJUS5JUVQyODYwOTYxMzEuSVFfQ0RTX01JRC4xMS8xMC8yNgEAAAA78QQAAgAAAAc3Mi40NzI1AOBrhikXKd8IB3wmaBcp3wgjQ0lRLklRVDQ2MjEwNTYwLklRX0NEU19NSUQuMTAvMTAvMjYBAAAA9ho3AAIAAAAHOTIu</t>
  </si>
  <si>
    <t>NzM4NwDIHYYpFynfCIkvJ2gXKd8II0NJUS5JUVQ0NjIxOTkyMi5JUV9DRFNfTUlELjEwLzEwLzI2AQAAANZHOQECAAAABjkuNTEzMwDIHYYpFynfCIkvJ2gXKd8II0NJUS5JUVQ0NjIyMzY0Ni5JUV9DRFNfTUlELjEwLzEwLzI2AQAAABt4BAACAAAABzU2LjUzNDIAykSGKRcp3wiJLydoFynfCCRDSVEuSVFUMzEzMzE0OTc2LklRX0NEU19NSUQuMTAvMTAvMjYBAAAAbUoAAAIAAAAHNTQuNDE5MQDC8C0pFynfCIkvJ2gXKd8II0NJUS5JUVQ0NjIxODUxNi5JUV9DRFNfTUlELjA5LzEwLzI2AQAAAKZVowECAAAABzQ0LjUxNjUAyB2GKRcp3wjoXyhoFynfCCNDSVEuSVFUNDYyMjA4MDMuSVFfQ0RTX01JRC4wOS8xMC8yNgEAAADWyTYAAgAAAAczOS42MjM0AMpEhikXKd8I6F8oaBcp3wgjQ0lRLklRVDQ2MjAwMzY0LklRX0NEU19NSUQuMDkvMTAvMjYBAAAAV4YIAAIAAAAHMzAuNDU4MwDga4YpFynfCOhfKGgXKd8II0NJUS5JUVQ0NjIwNDMwMC5JUV9DRFNfTUlELjAzLzEwLzI2AQAAAPYlfQACAAAABDEyLjUAyB2GKRcp3wiwuStoFynfCCNDSVEuSVFUNjAzODgwNTcuSVFfQ0RTX01JRC4wMy8xMC8yNgEAAADfyX0BAwAAAAAAykSGKRcp3wiwuStoFynfCCNDSVEuSVFUNDYxOTk4NDEuSVFfQ0RTX01JRC4wMy8xMC8yNgEAAADrMAYAAwAAAAAA4GuGKRcp3whT8yxoFynfCCRDSVEuSVFUMzEzMzEwMTg0LklR</t>
  </si>
  <si>
    <t>X0NEU19NSUQuMDIvMTAvMjYBAAAAYEQ+AAIAAAAHMTIuNDA5OQDIHYYpFynfCFPzLGgXKd8II0NJUS5JUVQ0NjIxNDg3OS5JUV9DRFNfTUlELjAyLzEwLzI2AQAAAPUaNwACAAAABzU2LjgzMzgAyB2GKRcp3whT8yxoFynfCCNDSVEuSVFUNDY0NzA4NzcuSVFfQ0RTX01JRC4wMi8xMC8yNgEAAABCNwcAAgAAAAc2NC4yNjc1AMpEhikXKd8IU/MsaBcp3wgkQ0lRLklRVDMxMzMxMDg1NC5JUV9DRFNfTUlELjAyLzEwLzI2AQAAAK9UDQACAAAABzY0LjM4NjcAwvAtKRcp3whlLi5oFynfCCNDSVEuSVFUNDYyMTQ5NTQuSVFfQ0RTX01JRC4wMS8xMC8yNgEAAAA6PTkBAgAAAAcxOS42NjQ2AMgdhikXKd8IiwozaBcp3wgjQ0lRLklRVDQ2MjA4NjM0LklRX0NEU19NSUQuMDEvMTAvMjYBAAAAAx/CAAIAAAAHMjMuNTkxMgDKRIYpFynfCIsKM2gXKd8II0NJUS5JUVQ0NjIyNTA4My5JUV9DRFNfTUlELjAxLzEwLzI2AQAAAFZEBgACAAAABzQzLjU5MDIA4GuGKRcp3wiLCjNoFynfCCNDSVEuSVFUNDYyMDM3MTQuSVFfQ0RTX01JRC4zMC8wOS8yNgEAAABfBTUAAgAAAAc3MC4yMjU4AMgdhikXKd8InMwwaBcp3wgjQ0lRLklRVDc5NjM5OTUzLklRX0NEU19NSUQuMzAvMDkvMjYBAAAANJtWAQIAAAAHMjEuMzk4NQDKRIYpFynfCMmIMWgXKd8IJENJUS5JUVQ1Mjg5MzY4MTIuSVFfQ0RTX01JRC4zMC8wOS8yNgEAAABs</t>
  </si>
  <si>
    <t>WwYAAgAAAAc1NC44NTk0AOBrhikXKd8IyYgxaBcp3wgjQ0lRLklRVDc5NjQwMDI0LklRX0NEU19NSUQuMDgvMTAvMjYBAAAANY+bAQIAAAAGMTMuODc1AMgdhikXKd8IYUgpaBcp3wgkQ0lRLklRVDMxMzMwNTg3OS5JUV9DRFNfTUlELjA4LzEwLzI2AQAAAITW3AECAAAABjIuMjkzOQDKRIYpFynfCGFIKWgXKd8II0NJUS5JUVQ0NjIwMDQxMi5JUV9DRFNfTUlELjA4LzEwLzI2AQAAAGNDBgACAAAABzU3LjQ5MzUA4GuGKRcp3wg84iloFynfCCNDSVEuSVFUNDYyMDMzMzIuSVFfQ0RTX01JRC4wNy8xMC8yNgEAAABfHjcAAgAAAAcxMy42MzY3AMgdhikXKd8IyYgxaBcp3wgjQ0lRLklRVDQ2MjE1MTExLklRX0NEU19NSUQuMDcvMTAvMjYBAAAAoEuyAQIAAAAHMzYuMDU2NADKRIYpFynfCMmIMWgXKd8II0NJUS5JUVQ0NjIyNjEzMi5JUV9DRFNfTUlELjA3LzEwLzI2AQAAAN1ZAAACAAAABzY4Ljg1NDgA4GuGKRcp3wjJiDFoFynfCCRDSVEuSVFUMzEzMzEzNTI0LklRX0NEU19NSUQuMDcvMTAvMjYBAAAA71UNAAIAAAAHNTUuNzE5MQDC8C0pFynfCIsKM2gXKd8II0NJUS5JUVQ3OTYzOTkxMy5JUV9DRFNfTUlELjA2LzEwLzI2AQAAACBjHAICAAAABDkuNzEAyB2GKRcp3wimfC5oFynfCCNDSVEuSVFUNDYyMDc4NzIuSVFfQ0RTX01JRC4wNi8xMC8yNgEAAABYDQoAAgAAAAc0My40ODU5AMpEhikXKd8Ipnwu</t>
  </si>
  <si>
    <t>aBcp3wgjQ0lRLklRVDQ2MjAwMzE3LklRX0NEU19NSUQuMDYvMTAvMjYBAAAA/lQNAAIAAAAHNzAuMjQ5NwDCyS0pFynfCKZ8LmgXKd8II0NJUS5JUVQ3OTY0MDAyNC5JUV9DRFNfTUlELjAzLzEwLzI2AQAAADWPmwECAAAABzEzLjEyMDcAyB2GKRcp3wiwuStoFynfCCRDSVEuSVFUMzEzMzEzNTI0LklRX0NEU19NSUQuMDIvMTAvMjYBAAAA71UNAAIAAAAHNTQuODA4NQDC8C0pFynfCGUuLmgXKd8II0NJUS5JUVQ0NjIwNzg3Mi5JUV9DRFNfTUlELjAxLzEwLzI2AQAAAFgNCgACAAAABjQzLjgyMgDKRIYpFynfCIsKM2gXKd8II0NJUS5JUVQ0NjIwMDMxNy5JUV9DRFNfTUlELjAxLzEwLzI2AQAAAP5UDQACAAAABzY5Ljk4MzEAwsktKRcp3wiLCjNoFynfCCRDSVEuSVFUMjU0OTU1MjMzLklRX0NEU19NSUQuMzAvMDkvMjYBAAAAOVYKAAIAAAAHNTAuMzExNgDga4YpFynfCMmIMWgXKd8II0NJUS5JUVQ3OTYzNDkwMS5JUV9DRFNfTUlELjA4LzEwLzI2AQAAAJwGEAACAAAABzU2LjUyMDMA4GuGKRcp3wg84iloFynfCCNDSVEuSVFUNDYyNjIzNzguSVFfQ0RTX01JRC4wNC8xMC8yNgEAAABA0okBAgAAAAcyNi43OTgzAMgdhikXKd8IPOIpaBcp3wgjQ0lRLklRVDQ2MjEwMDMyLklRX0NEU19NSUQuMTMvMDcvMjYBAAAAj1WjAQIAAAAHMzYuODg3MwDKRIYpFynfCJOkMGgXKd8II0NJUS5JUVQ0OTc1MTE5Ni5J</t>
  </si>
  <si>
    <t>UV9DRFNfTUlELjA5LzEwLzI2AQAAAM2ZvQACAAAABzQyLjE0NDQAyB2GKRcp3wiJLydoFynfCCNDSVEuSVFUNDYyMjUzNzQuSVFfQ0RTX01JRC4xMS8xMC8yNgEAAAC11gUAAgAAAAc0OC40MzU2AOBrhikXKd8IB3wmaBcp3wgjQ0lRLklRVDQ5NzUxMTk2LklRX0NEU19NSUQuMTAvMTAvMjYBAAAAzZm9AAIAAAAHNDIuMTQ0NADIHYYpFynfCIkvJ2gXKd8II0NJUS5JUVQ2MDM4OTUxNi5JUV9DRFNfTUlELjEwLzEwLzI2AQAAAKXwwwECAAAABjcuMzQ2MgDIHYYpFynfCIkvJ2gXKd8IJENJUS5JUVQzMjM2ODAxMzAuSVFfQ0RTX01JRC4xMC8xMC8yNgEAAABx4QIAAgAAAAc1NS4zODk5AMpEhikXKd8IiS8naBcp3wgkQ0lRLklRVDMxMzMxNTQyOS5JUV9DRFNfTUlELjEwLzEwLzI2AQAAADnnBQACAAAABzYzLjE3MDkAwvAtKRcp3wiJLydoFynfCCNDSVEuSVFUNDYyMDY3NzkuSVFfQ0RTX01JRC4wOS8xMC8yNgEAAAD87zYAAgAAAAcyOS42NDY2AMgdhikXKd8I6F8oaBcp3wgjQ0lRLklRVDQ2MjE4Njc0LklRX0NEU19NSUQuMDkvMTAvMjYBAAAAV8o2AAIAAAAIMTM1LjE3NzMAykSGKRcp3wjoXyhoFynfCCNDSVEuSVFUNDYyMjU3MTUuSVFfQ0RTX01JRC4wOS8xMC8yNgEAAAC35QQAAgAAAAc0My41NzY0AOBrhikXKd8I6F8oaBcp3wgjQ0lRLklRVDQ2MjA0ODg0LklRX0NEU19NSUQuMDMvMTAvMjYBAAAA</t>
  </si>
  <si>
    <t>gVHAAQIAAAAHNDYuMjI3MgDIHYYpFynfCLC5K2gXKd8II0NJUS5JUVQ0NjIwNzc4OS5JUV9DRFNfTUlELjAzLzEwLzI2AQAAACpYowECAAAABzI4LjkzODYAykSGKRcp3wiwuStoFynfCCRDSVEuSVFUMjg2MDk2MTMxLklRX0NEU19NSUQuMDMvMTAvMjYBAAAAO/EEAAIAAAAHNzMuMzI1NwDga4YpFynfCFPzLGgXKd8II0NJUS5JUVQ0NjIxMDU2MC5JUV9DRFNfTUlELjAyLzEwLzI2AQAAAPYaNwACAAAACDEwMC45OTgyAMgdhikXKd8IU/MsaBcp3wgjQ0lRLklRVDQ2MjE5OTIyLklRX0NEU19NSUQuMDIvMTAvMjYBAAAA1kc5AQIAAAAFOC45NzUAyB2GKRcp3whT8yxoFynfCCNDSVEuSVFUNDYyMjM2NDYuSVFfQ0RTX01JRC4wMi8xMC8yNgEAAAAbeAQAAgAAAAc1Ni42NTg0AMpEhikXKd8IU/MsaBcp3wgkQ0lRLklRVDMxMzMxNDk3Ni5JUV9DRFNfTUlELjAyLzEwLzI2AQAAAG1KAAACAAAABzUzLjg5NTcAwvAtKRcp3whlLi5oFynfCCNDSVEuSVFUNDYyMTg1MTYuSVFfQ0RTX01JRC4wMS8xMC8yNgEAAACmVaMBAgAAAAc0My42ODQ5AMgdhikXKd8IiwozaBcp3wgjQ0lRLklRVDQ2MjIwODAzLklRX0NEU19NSUQuMDEvMTAvMjYBAAAA1sk2AAIAAAAHNDAuNTA1MwDKRIYpFynfCIsKM2gXKd8II0NJUS5JUVQ0NjIwMDM2NC5JUV9DRFNfTUlELjAxLzEwLzI2AQAAAFeGCAACAAAABzI5Ljc4MTgA4GuGKRcp</t>
  </si>
  <si>
    <t>3wiLCjNoFynfCCNDSVEuSVFUNDYyMDQzMDAuSVFfQ0RTX01JRC4zMC8wOS8yNgEAAAD2JX0AAgAAAAUxMC4xMwDIHYYpFynfCJzMMGgXKd8II0NJUS5JUVQ2MDM4ODA1Ny5JUV9DRFNfTUlELjMwLzA5LzI2AQAAAN/JfQEDAAAAAADKRIYpFynfCMmIMWgXKd8II0NJUS5JUVQ0NjE5OTg0MS5JUV9DRFNfTUlELjMwLzA5LzI2AQAAAOswBgADAAAAAADga4YpFynfCMmIMWgXKd8II0NJUS5JUVQ0NjIxNDk1NC5JUV9DRFNfTUlELjA4LzEwLzI2AQAAADo9OQECAAAABzIzLjg2NDIAyB2GKRcp3whhSCloFynfCCNDSVEuSVFUNDYyMDg2MzQuSVFfQ0RTX01JRC4wOC8xMC8yNgEAAAADH8IAAgAAAAYyMy43MDEAykSGKRcp3whhSCloFynfCCNDSVEuSVFUNDYyMjUwODMuSVFfQ0RTX01JRC4wOC8xMC8yNgEAAABWRAYAAgAAAAY0NC42MjUA4GuGKRcp3wg84iloFynfCCNDSVEuSVFUNDYyMDM3MTQuSVFfQ0RTX01JRC4wNy8xMC8yNgEAAABfBTUAAgAAAAc3OS42NTM4AMgdhikXKd8IyYgxaBcp3wgjQ0lRLklRVDc5NjM5OTUzLklRX0NEU19NSUQuMDcvMTAvMjYBAAAANJtWAQIAAAAHMjIuMDU2OQDKRIYpFynfCMmIMWgXKd8IJENJUS5JUVQ1Mjg5MzY4MTIuSVFfQ0RTX01JRC4wNy8xMC8yNgEAAABsWwYAAgAAAAc1Ni45ODQzAOBrhikXKd8IyYgxaBcp3wgjQ0lRLklRVDQ2MTk3MTM4LklRX0NEU19NSUQuMDYv</t>
  </si>
  <si>
    <t>MTAvMjYBAAAA7pQ4AQIAAAAIMTA3LjgwMTYA+faFKRcp3whlLi5oFynfCCNDSVEuSVFUNTEwMjM0ODAuSVFfQ0RTX01JRC4wNi8xMC8yNgEAAADCRfEBAgAAAAY3LjQ0ODMAyB2GKRcp3wimfC5oFynfCCNDSVEuSVFUNDYyMDQ5NTcuSVFfQ0RTX01JRC4wNi8xMC8yNgEAAAAhFQYAAgAAAAc2MS4yMTM4AMpEhikXKd8IpnwuaBcp3wgjQ0lRLklRVDYyMjcwMTA2LklRX0NEU19NSUQuMDYvMTAvMjYBAAAArXeDAAIAAAAHNzQuNzU2OADCyS0pFynfCKZ8LmgXKd8II0NJUS5JUVQ3OTY0MDAyNC5JUV9DRFNfTUlELjA0LzEwLzI2AQAAADWPmwECAAAABzEzLjEyMDcAyB2GKRcp3wg84iloFynfCCRDSVEuSVFUMzEzMzA1ODc5LklRX0NEU19NSUQuMDQvMTAvMjYBAAAAhNbcAQIAAAAGMi4yOTM5AMpEhikXKd8IUnQraBcp3wgjQ0lRLklRVDQ2MjAwNDEyLklRX0NEU19NSUQuMDQvMTAvMjYBAAAAY0MGAAIAAAAFNTYuODkA4GuGKRcp3wiwuStoFynfCCNDSVEuSVFUNDYyMDMzMzIuSVFfQ0RTX01JRC4xMy8wNy8yNgEAAABfHjcAAgAAAAcxMS4zNzU0AMgdhikXKd8IKf4vaBcp3wgjQ0lRLklRVDQ2MjE1MTExLklRX0NEU19NSUQuMTMvMDcvMjYBAAAAoEuyAQIAAAAHMzcuMzk4OQDKRIYpFynfCJOkMGgXKd8II0NJUS5JUVQ0NjIyNjEzMi5JUV9DRFNfTUlELjEzLzA3LzI2AQAAAN1ZAAACAAAABTQxLjg2AOBr</t>
  </si>
  <si>
    <t>hikXKd8InMwwaBcp3wgkQ0lRLklRVDMxMzMxMzUyNC5JUV9DRFNfTUlELjEzLzA3LzI2AQAAAO9VDQACAAAABzYwLjQ4MDEAwvAtKRcp3wiczDBoFynfCCNDSVEuSVFUNzk2Mzk5MTMuSVFfQ0RTX01JRC4wNS8xMC8yNgEAAAAgYxwCAgAAAAY5Ljg3MjUAyB2GKRcp3wg84iloFynfCCNDSVEuSVFUNDYyMDc4NzIuSVFfQ0RTX01JRC4wNS8xMC8yNgEAAABYDQoAAgAAAAc0NC4yMDY5AMpEhikXKd8IPOIpaBcp3wgjQ0lRLklRVDQ2MjAwMzE3LklRX0NEU19NSUQuMDUvMTAvMjYBAAAA/lQNAAIAAAAHNjkuNjY5NADCyS0pFynfCDziKWgXKd8IJENJUS5JUVQ2NDQ3MDE3OTcuSVFfQ0RTX01JRC4yOS8wOS8yNgEAAABTP30BAgAAAAcxMC40ODA0AMgdhikXKd8IpnwuaBcp3wgjQ0lRLklRVDQ2MjE2OTg2LklRX0NEU19NSUQuMjkvMDkvMjYBAAAAzkQ4AQMAAAAAAMpEhikXKd8IpnwuaBcp3wgkQ0lRLklRVDI1NDk1NTIzMy5JUV9DRFNfTUlELjI5LzA5LzI2AQAAADlWCgACAAAABzQ5LjQ4MzIA4GuGKRcp3wgp/i9oFynfCCNDSVEuSVFUNDYxOTYyMjUuSVFfQ0RTX01JRC4xMy8xMC8yNQEAAAC+VaMBAgAAAAcyMS44MjU4AMgdhikXKd8IiwozaBcp3wgjQ0lRLklRVDUxMDIzMjYwLklRX0NEU19NSUQuMTMvMTAvMjUBAAAAsRF/AQIAAAAHMTEuMzc3NgDKRIYpFynfCIsKM2gXKd8IJENJUS5JUVQyNjMyMTMx</t>
  </si>
  <si>
    <t>MzIuSVFfQ0RTX01JRC4xMS8xMC8yNgEAAADhmggAAgAAAAc2Ny40MTI4AOBrhikXKd8I190maBcp3wgjQ0lRLklRVDQ2MTk0OTk1LklRX0NEU19NSUQuMTAvMTAvMjYBAAAAbhAxAAIAAAAHMTcuMDE5NgDIHYYpFynfCIkvJ2gXKd8II0NJUS5JUVQ0NjIyMjI5Mi5JUV9DRFNfTUlELjEwLzEwLzI2AQAAANGRmwECAAAACDc1NS4wODYxAMpEhikXKd8IiS8naBcp3wgjQ0lRLklRVDQ2MjI1MDA2LklRX0NEU19NSUQuMTAvMTAvMjYBAAAA+FUNAAIAAAAHNjIuNzAwNADga4YpFynfCIkvJ2gXKd8II0NJUS5JUVQ0NjIyMDMyOS5JUV9DRFNfTUlELjEwLzEwLzI2AQAAANtbAAACAAAABzYwLjMzMzMAwvAtKRcp3wiJLydoFynfCCNDSVEuSVFUNDYyNjIzNzguSVFfQ0RTX01JRC4wOS8xMC8yNgEAAABA0okBAgAAAAcyNi41OTE2AMgdhikXKd8I6F8oaBcp3wgjQ0lRLklRVDQ2MTk3Njk0LklRX0NEU19NSUQuMDkvMTAvMjYBAAAAB/oFAAIAAAAHNjEuNDU3MQDKRIYpFynfCOhfKGgXKd8II0NJUS5JUVQ2MjI3MDEwNy5JUV9DRFNfTUlELjA5LzEwLzI2AQAAABVZAAACAAAABzQ1LjAzOTMA4GuGKRcp3wjoXyhoFynfCCNDSVEuSVFUNDYyMDczMDguSVFfQ0RTX01JRC4wMy8xMC8yNgEAAAA5iXoBAgAAAAYxOS42MjUAyB2GKRcp3wiwuStoFynfCCNDSVEuSVFUNDYyMTAwMzIuSVFfQ0RTX01JRC4wMy8xMC8yNgEA</t>
  </si>
  <si>
    <t>AACPVaMBAgAAAAczNS40NTg3AMpEhikXKd8IsLkraBcp3wgjQ0lRLklRVDQ2MjI1Mzc0LklRX0NEU19NSUQuMDMvMTAvMjYBAAAAtdYFAAIAAAAHNDkuNjYwNwDga4YpFynfCFPzLGgXKd8II0NJUS5JUVQ0OTc1MTE5Ni5JUV9DRFNfTUlELjAyLzEwLzI2AQAAAM2ZvQACAAAABzQyLjcwNDYAyB2GKRcp3whT8yxoFynfCCNDSVEuSVFUNjAzODk1MTYuSVFfQ0RTX01JRC4wMi8xMC8yNgEAAACl8MMBAgAAAAY3LjI5MjQAykSGKRcp3whT8yxoFynfCCRDSVEuSVFUMzIzNjgwMTMwLklRX0NEU19NSUQuMDIvMTAvMjYBAAAAceECAAIAAAAHNTguNTIxNADKRIYpFynfCFPzLGgXKd8IJENJUS5JUVQzMTMzMTU0MjkuSVFfQ0RTX01JRC4wMi8xMC8yNgEAAAA55wUAAgAAAAY2My44NzkAwvAtKRcp3whlLi5oFynfCCNDSVEuSVFUNDYyMDY3NzkuSVFfQ0RTX01JRC4wMS8xMC8yNgEAAAD87zYAAgAAAAcyNC42NjM0AMgdhikXKd8IiwozaBcp3wgjQ0lRLklRVDQ2MjE4Njc0LklRX0NEU19NSUQuMDEvMTAvMjYBAAAAV8o2AAIAAAAIMTQxLjk4OTQAykSGKRcp3wiLCjNoFynfCCNDSVEuSVFUNDYyMjU3MTUuSVFfQ0RTX01JRC4wMS8xMC8yNgEAAAC35QQAAgAAAAc0My4wODgzAOBrhikXKd8IiwozaBcp3wgjQ0lRLklRVDQ2MjA0ODg0LklRX0NEU19NSUQuMzAvMDkvMjYBAAAAgVHAAQIAAAAGNDAuMDc2AMgdhikX</t>
  </si>
  <si>
    <t>Kd8InMwwaBcp3wgjQ0lRLklRVDQ2MjA3Nzg5LklRX0NEU19NSUQuMzAvMDkvMjYBAAAAKlijAQIAAAAGMjYuMjMyAMpEhikXKd8IyYgxaBcp3wgkQ0lRLklRVDI4NjA5NjEzMS5JUV9DRFNfTUlELjMwLzA5LzI2AQAAADvxBAACAAAABzY4LjMwNjQA4GuGKRcp3wjJiDFoFynfCCNDSVEuSVFUNDYyMTg1MTYuSVFfQ0RTX01JRC4wOC8xMC8yNgEAAACmVaMBAgAAAAc0NC40ODE0AMgdhikXKd8IYUgpaBcp3wgjQ0lRLklRVDQ2MjIwODAzLklRX0NEU19NSUQuMDgvMTAvMjYBAAAA1sk2AAIAAAAHNDAuMTI3OQDKRIYpFynfCGFIKWgXKd8II0NJUS5JUVQ0NjIwMDM2NC5JUV9DRFNfTUlELjA4LzEwLzI2AQAAAFeGCAACAAAABzMwLjg4MTMA4GuGKRcp3wg84iloFynfCCNDSVEuSVFUNDYyMDQzMDAuSVFfQ0RTX01JRC4wNy8xMC8yNgEAAAD2JX0AAgAAAAcxMi43MDk0AMgdhikXKd8IyYgxaBcp3wgjQ0lRLklRVDYwMzg4MDU3LklRX0NEU19NSUQuMDcvMTAvMjYBAAAA38l9AQMAAAAAAMpEhikXKd8IyYgxaBcp3wgjQ0lRLklRVDQ2MTk5ODQxLklRX0NEU19NSUQuMDcvMTAvMjYBAAAA6zAGAAMAAAAAAOBrhikXKd8IyYgxaBcp3wgkQ0lRLklRVDMxMzMxMDE4NC5JUV9DRFNfTUlELjA2LzEwLzI2AQAAAGBEPgACAAAABzEyLjYyOTgA+faFKRcp3whlLi5oFynfCCNDSVEuSVFUNDYyMTQ4NzkuSVFfQ0RTX01J</t>
  </si>
  <si>
    <t>RC4wNi8xMC8yNgEAAAD1GjcAAgAAAAc1Ni4yMDQ5AMgdhikXKd8IpnwuaBcp3wgjQ0lRLklRVDQ2NDcwODc3LklRX0NEU19NSUQuMDYvMTAvMjYBAAAAQjcHAAIAAAAHNjMuMzU5OQDKRIYpFynfCKZ8LmgXKd8IJENJUS5JUVQzMTMzMTA4NTQuSVFfQ0RTX01JRC4wNi8xMC8yNgEAAACvVA0AAgAAAAc2Mi45Mzc1AMLwLSkXKd8IpnwuaBcp3wgjQ0lRLklRVDQ2MjE0OTU0LklRX0NEU19NSUQuMDQvMTAvMjYBAAAAOj05AQIAAAAHMjIuNjMyNgDIHYYpFynfCDziKWgXKd8II0NJUS5JUVQ0NjIwODYzNC5JUV9DRFNfTUlELjA0LzEwLzI2AQAAAAMfwgACAAAABzI0LjI1MTYAykSGKRcp3whSdCtoFynfCCNDSVEuSVFUNDYyMjUwODMuSVFfQ0RTX01JRC4wNC8xMC8yNgEAAABWRAYAAgAAAAc0My44ODczAOBrhikXKd8IsLkraBcp3wgjQ0lRLklRVDQ2MjAzNzE0LklRX0NEU19NSUQuMTMvMDcvMjYBAAAAXwU1AAIAAAAHMzAuODU4MQDIHYYpFynfCCn+L2gXKd8II0NJUS5JUVQ3OTYzOTk1My5JUV9DRFNfTUlELjEzLzA3LzI2AQAAADSbVgECAAAABjI0Ljg3OADKRIYpFynfCJOkMGgXKd8IJENJUS5JUVQ1Mjg5MzY4MTIuSVFfQ0RTX01JRC4xMy8wNy8yNgEAAABsWwYAAgAAAAc0Ni44NjQzAOBrhikXKd8InMwwaBcp3wgjQ0lRLklRVDQ2MTk3MTM4LklRX0NEU19NSUQuMDUvMTAvMjYBAAAA7pQ4AQIAAAAI</t>
  </si>
  <si>
    <t>MTExLjI2NzkA+faFKRcp3wg84iloFynfCCNDSVEuSVFUNTEwMjM0ODAuSVFfQ0RTX01JRC4wNS8xMC8yNgEAAADCRfEBAgAAAAY3LjY2MDcAyB2GKRcp3wg84iloFynfCCNDSVEuSVFUNDYyMDQ5NTcuSVFfQ0RTX01JRC4wNS8xMC8yNgEAAAAhFQYAAgAAAAc2Mi4xODc1AMpEhikXKd8IPOIpaBcp3wgjQ0lRLklRVDYyMjcwMTA2LklRX0NEU19NSUQuMDUvMTAvMjYBAAAArXeDAAIAAAAHNzQuNzYyMgDCyS0pFynfCDziKWgXKd8II0NJUS5JUVQ3OTY0MDAyNC5JUV9DRFNfTUlELjI5LzA5LzI2AQAAADWPmwECAAAABzEwLjM5ODQAyB2GKRcp3wimfC5oFynfCCRDSVEuSVFUMzEzMzA1ODc5LklRX0NEU19NSUQuMjkvMDkvMjYBAAAAhNbcAQIAAAAGMi4yOTM5AMpEhikXKd8IpnwuaBcp3wgjQ0lRLklRVDQ2MjAwNDEyLklRX0NEU19NSUQuMjkvMDkvMjYBAAAAY0MGAAIAAAAHNTMuODMwMwDga4YpFynfCCn+L2gXKd8II0NJUS5JUVQ0NjIwMzMzMi5JUV9DRFNfTUlELjEzLzEwLzI1AQAAAF8eNwACAAAABzE1LjE2NjcAyB2GKRcp3wiLCjNoFynfCCNDSVEuSVFUNDYyMTUxMTEuSVFfQ0RTX01JRC4xMy8xMC8yNQEAAACgS7IBAgAAAAc0NC43MjA3AMpEhikXKd8IiwozaBcp3wgjQ0lRLklRVDQ2MjI2MTMyLklRX0NEU19NSUQuMTMvMTAvMjUBAAAA3VkAAAIAAAAHNTYuNTc3OQDga4YpFynfCHOPNGgXKd8I</t>
  </si>
  <si>
    <t>JENJUS5JUVQzMTMzMTM1MjQuSVFfQ0RTX01JRC4xMy8xMC8yNQEAAADvVQ0AAgAAAAc1Mi42MzE2AMLwLSkXKd8ITN40aBcp3wgkQ0lRLklRVDMxMzMxMDE4NC5JUV9DRFNfTUlELjA1LzEwLzI2AQAAAGBEPgACAAAABzEyLjYzNjUA+faFKRcp3wg84iloFynfCCNDSVEuSVFUNDYyMTQ4NzkuSVFfQ0RTX01JRC4wNS8xMC8yNgEAAAD1GjcAAgAAAAc1Ny4wMTQ0AMgdhikXKd8IPOIpaBcp3wgjQ0lRLklRVDQ2NDcwODc3LklRX0NEU19NSUQuMDUvMTAvMjYBAAAAQjcHAAIAAAAHNjQuMDcxOADKRIYpFynfCDziKWgXKd8IJENJUS5JUVQzMTMzMTA4NTQuSVFfQ0RTX01JRC4wNS8xMC8yNgEAAACvVA0AAgAAAAY2My4zODUAwvAtKRcp3wg84iloFynfCCNDSVEuSVFUNDYyMTQ5NTQuSVFfQ0RTX01JRC4yOS8wOS8yNgEAAAA6PTkBAgAAAAcxNy44OTU3AMgdhikXKd8IpnwuaBcp3wgjQ0lRLklRVDQ2MjA4NjM0LklRX0NEU19NSUQuMjkvMDkvMjYBAAAAAx/CAAIAAAAGMjMuNjI1AMpEhikXKd8IpnwuaBcp3wgkQ0lRLklRVDI1NDk1NTIzMy5JUV9DRFNfTUlELjAzLzEwLzI2AQAAADlWCgACAAAABzU0LjAwMDcA4GuGKRcp3whT8yxoFynfCCRDSVEuSVFUMzEzMzE3MzQ0LklRX0NEU19NSUQuMDIvMTAvMjYBAAAA8awBAAIAAAAHNjEuNDg0MgDC8C0pFynfCGUuLmgXKd8II0NJUS5JUVQ3OTYzNDkwMS5JUV9D</t>
  </si>
  <si>
    <t>RFNfTUlELjAxLzEwLzI2AQAAAJwGEAACAAAABzU2LjE4MjkA4GuGKRcp3wiLCjNoFynfCCRDSVEuSVFUMjYzMjEzMTMyLklRX0NEU19NSUQuMzAvMDkvMjYBAAAA4ZoIAAIAAAAHNjUuNDY3OADga4YpFynfCMmIMWgXKd8II0NJUS5JUVQ0NjIyNTM3NC5JUV9DRFNfTUlELjA3LzEwLzI2AQAAALXWBQACAAAABzQ5LjM5MjMA4GuGKRcp3wjJiDFoFynfCCNDSVEuSVFUNDk3NTExOTYuSVFfQ0RTX01JRC4wNi8xMC8yNgEAAADNmb0AAgAAAAY0Mi42NDIAyB2GKRcp3whlLi5oFynfCCRDSVEuSVFUMzIzNjgwMTMwLklRX0NEU19NSUQuMDYvMTAvMjYBAAAAceECAAIAAAAHNTUuMjQxOQDKRIYpFynfCKZ8LmgXKd8II0NJUS5JUVQ0NjIwNjc3OS5JUV9DRFNfTUlELjA0LzEwLzI2AQAAAPzvNgACAAAABzI5LjI5NzUAyB2GKRcp3wg84iloFynfCCNDSVEuSVFUNDYyMTk5MjIuSVFfQ0RTX01JRC4wNS8xMC8yNgEAAADWRzkBAgAAAAY5LjgzMjUAyB2GKRcp3wg84iloFynfCCRDSVEuSVFUMzEzMzE0OTc2LklRX0NEU19NSUQuMDUvMTAvMjYBAAAAbUoAAAIAAAAHNTUuODQwNQDC8C0pFynfCDziKWgXKd8II0NJUS5JUVQ0NjIwMDM2NC5JUV9DRFNfTUlELjI5LzA5LzI2AQAAAFeGCAACAAAABzI4LjI1ODMA4GuGKRcp3wgp/i9oFynfCCNDSVEuSVFUNDYxOTk4NDEuSVFfQ0RTX01JRC4xMy8xMC8yNQEAAADrMAYA</t>
  </si>
  <si>
    <t>AwAAAAAA4GuGKRcp3whM3jRoFynfCCNDSVEuSVFUNDYyMjUwODMuSVFfQ0RTX01JRC4xMS8xMC8yNgEAAABWRAYAAgAAAAc0NC4xNDAxAOBrhikXKd8I190maBcp3wgjQ0lRLklRVDQ2MjAzNzE0LklRX0NEU19NSUQuMTAvMTAvMjYBAAAAXwU1AAIAAAAHNzkuNTcyMgDIHYYpFynfCIkvJ2gXKd8II0NJUS5JUVQ0NjE5NzEzOC5JUV9DRFNfTUlELjA5LzEwLzI2AQAAAO6UOAECAAAACDEwOS41MDAyAPn2hSkXKd8IiS8naBcp3wgjQ0lRLklRVDQ2MjA0OTU3LklRX0NEU19NSUQuMDkvMTAvMjYBAAAAIRUGAAIAAAAHNjIuNTU5OADKRIYpFynfCOhfKGgXKd8IJENJUS5JUVQ2NDQ3MDE3OTcuSVFfQ0RTX01JRC4zMC8wOS8yNgEAAABTP30BAgAAAAcxMC40MjE4AMgdhikXKd8InMwwaBcp3wgjQ0lRLklRVDQ2MTk1NDkxLklRX0NEU19NSUQuMDgvMTAvMjYBAAAAaUoAAAIAAAAGNjMuMzM2AMpEhikXKd8IYUgpaBcp3wgkQ0lRLklRVDMxMzMxNTQyOS5JUV9DRFNfTUlELjA1LzEwLzI2AQAAADnnBQACAAAABjYzLjYyNQDC8C0pFynfCDziKWgXKd8II0NJUS5JUVQ0NjIwNzc4OS5JUV9DRFNfTUlELjEzLzEwLzI1AQAAACpYowECAAAABzIwLjA2NDkAykSGKRcp3whzjzRoFynfCCNDSVEuSVFUNDYyMTM0NzIuSVFfQ0RTX01JRC4xMy8wNy8yNgEAAAC5WjgAAgAAAAYxNC45NzMAykSGKRcp3wiTpDBoFynfCCND</t>
  </si>
  <si>
    <t>SVEuSVFUNDYyMjIyOTIuSVFfQ0RTX01JRC4wNS8xMC8yNgEAAADRkZsBAgAAAAg3NTUuNDAwMgDKRIYpFynfCDziKWgXKd8II0NJUS5JUVQ0NjIwNzMwOC5JUV9DRFNfTUlELjEzLzEwLzI1AQAAADmJegECAAAABzE2LjMzMzMAyB2GKRcp3wiLCjNoFynfCCNDSVEuSVFUNDYyMDA0MTIuSVFfQ0RTX01JRC4wNy8xMC8yNgEAAABjQwYAAgAAAAc1Ni42ODkxAOBrhikXKd8IyYgxaBcp3wgjQ0lRLklRVDQ2MjI2MTMyLklRX0NEU19NSUQuMDYvMTAvMjYBAAAA3VkAAAIAAAAHNjQuNjkzOQDga4YpFynfCKZ8LmgXKd8II0NJUS5JUVQ0NjIwNzg3Mi5JUV9DRFNfTUlELjA0LzEwLzI2AQAAAFgNCgACAAAABzQ0LjEzMjEAykSGKRcp3whSdCtoFynfCCNDSVEuSVFUNzk2MzQ5MDEuSVFfQ0RTX01JRC4yOS8wOS8yNgEAAACcBhAAAgAAAAc1Ni41OTQyAPn2hSkXKd8IKf4vaBcp3wgkQ0lRLklRVDI1NDk1NTIzMy5JUV9DRFNfTUlELjExLzEwLzI2AQAAADlWCgACAAAABzUyLjgyNjIA4GuGKRcp3wjX3SZoFynfCCNDSVEuSVFUNDYxOTYyMjUuSVFfQ0RTX01JRC4xMC8xMC8yNgEAAAC+VaMBAgAAAAUzMS40NADIHYYpFynfCIkvJ2gXKd8II0NJUS5JUVQ1MTAyMzI2MC5JUV9DRFNfTUlELjEwLzEwLzI2AQAAALERfwECAAAABzE1LjkwNDQAykSGKRcp3wiJLydoFynfCCNDSVEuSVFUNDYyMjQ3NDAuSVFfQ0RTX01J</t>
  </si>
  <si>
    <t>RC4xMC8xMC8yNgEAAADTcggAAgAAAAc1OC41NTgyAOBrhikXKd8IiS8naBcp3wgkQ0lRLklRVDMxMzMxNzM0NC5JUV9DRFNfTUlELjEwLzEwLzI2AQAAAPGsAQACAAAABzYxLjk2ODkAwvAtKRcp3wiJLydoFynfCCNDSVEuSVFUNDYyMDAyNzYuSVFfQ0RTX01JRC4wOS8xMC8yNgEAAACWd3wBAgAAAAczNC44OTY1AMgdhikXKd8I6F8oaBcp3wgjQ0lRLklRVDQ2MTk1NDkxLklRX0NEU19NSUQuMDkvMTAvMjYBAAAAaUoAAAIAAAAHNjIuNTM2MQDKRIYpFynfCOhfKGgXKd8II0NJUS5JUVQ3OTYzNDkwMS5JUV9DRFNfTUlELjA5LzEwLzI2AQAAAJwGEAACAAAABjU2LjU0MwDga4YpFynfCOhfKGgXKd8II0NJUS5JUVQ0NjIwNzU3MS5JUV9DRFNfTUlELjAzLzEwLzI2AQAAAG3vNQACAAAABzcyLjQ1ODEAyB2GKRcp3wiwuStoFynfCCNDSVEuSVFUNDYyMTM0NzIuSVFfQ0RTX01JRC4wMy8xMC8yNgEAAAC5WjgAAgAAAAYxNi4wNjQAykSGKRcp3wiwuStoFynfCCRDSVEuSVFUMjYzMjEzMTMyLklRX0NEU19NSUQuMDMvMTAvMjYBAAAA4ZoIAAIAAAAHNjguMTEwMQDga4YpFynfCFPzLGgXKd8II0NJUS5JUVQ0NjE5NDk5NS5JUV9DRFNfTUlELjAyLzEwLzI2AQAAAG4QMQACAAAABzE2Ljg1MzUAyB2GKRcp3whT8yxoFynfCCNDSVEuSVFUNDYyMjIyOTIuSVFfQ0RTX01JRC4wMi8xMC8yNgEAAADRkZsBAgAAAAg3</t>
  </si>
  <si>
    <t>NTQuMjkxNwDKRIYpFynfCFPzLGgXKd8II0NJUS5JUVQ0NjIyNTAwNi5JUV9DRFNfTUlELjAyLzEwLzI2AQAAAPhVDQACAAAABzY3LjIwOTgA4GuGKRcp3whT8yxoFynfCCNDSVEuSVFUNDYyMjAzMjkuSVFfQ0RTX01JRC4wMi8xMC8yNgEAAADbWwAAAgAAAAQ2MC41AMLwLSkXKd8IZS4uaBcp3wgjQ0lRLklRVDQ2MjYyMzc4LklRX0NEU19NSUQuMDEvMTAvMjYBAAAAQNKJAQIAAAAHMjQuNDUwMwDIHYYpFynfCIsKM2gXKd8II0NJUS5JUVQ0NjE5NzY5NC5JUV9DRFNfTUlELjAxLzEwLzI2AQAAAAf6BQACAAAABzYyLjM1NzUAykSGKRcp3wiLCjNoFynfCCNDSVEuSVFUNjIyNzAxMDcuSVFfQ0RTX01JRC4wMS8xMC8yNgEAAAAVWQAAAgAAAAI0NADga4YpFynfCIsKM2gXKd8II0NJUS5JUVQ0NjIwNzMwOC5JUV9DRFNfTUlELjMwLzA5LzI2AQAAADmJegECAAAABDE2LjUAyB2GKRcp3wiczDBoFynfCCNDSVEuSVFUNDYyMTAwMzIuSVFfQ0RTX01JRC4zMC8wOS8yNgEAAACPVaMBAgAAAAczNC42NDk0AMpEhikXKd8IyYgxaBcp3wgjQ0lRLklRVDQ2MjI1Mzc0LklRX0NEU19NSUQuMzAvMDkvMjYBAAAAtdYFAAIAAAAHNDYuNDIwNwDga4YpFynfCMmIMWgXKd8II0NJUS5JUVQ0NjIwNjc3OS5JUV9DRFNfTUlELjA4LzEwLzI2AQAAAPzvNgACAAAABzMwLjcyOTgAyB2GKRcp3whhSCloFynfCCNDSVEuSVFUNDYy</t>
  </si>
  <si>
    <t>MTg2NzQuSVFfQ0RTX01JRC4wOC8xMC8yNgEAAABXyjYAAgAAAAcxMzguNTcxAMpEhikXKd8IYUgpaBcp3wgjQ0lRLklRVDQ2MjI1NzE1LklRX0NEU19NSUQuMDgvMTAvMjYBAAAAt+UEAAIAAAAHNDMuMjY4OQDga4YpFynfCDziKWgXKd8II0NJUS5JUVQ0NjIwNDg4NC5JUV9DRFNfTUlELjA3LzEwLzI2AQAAAIFRwAECAAAABzQ5LjQ3MjUAyB2GKRcp3wjJiDFoFynfCCNDSVEuSVFUNDYyMDc3ODkuSVFfQ0RTX01JRC4wNy8xMC8yNgEAAAAqWKMBAgAAAAcyOS4yMzUzAMpEhikXKd8IyYgxaBcp3wgkQ0lRLklRVDI4NjA5NjEzMS5JUV9DRFNfTUlELjA3LzEwLzI2AQAAADvxBAACAAAABzcyLjk1MDgA4GuGKRcp3wjJiDFoFynfCCNDSVEuSVFUNDYyMTA1NjAuSVFfQ0RTX01JRC4wNi8xMC8yNgEAAAD2GjcAAgAAAAc5NC4wODI5AMgdhikXKd8IZS4uaBcp3wgjQ0lRLklRVDQ2MjE5OTIyLklRX0NEU19NSUQuMDYvMTAvMjYBAAAA1kc5AQIAAAAGOS41NTMzAMgdhikXKd8IpnwuaBcp3wgjQ0lRLklRVDQ2MjIzNjQ2LklRX0NEU19NSUQuMDYvMTAvMjYBAAAAG3gEAAIAAAAHNTYuMDM5MQDKRIYpFynfCKZ8LmgXKd8IJENJUS5JUVQzMTMzMTQ5NzYuSVFfQ0RTX01JRC4wNi8xMC8yNgEAAABtSgAAAgAAAAc1NS44Mzk3AMLwLSkXKd8IpnwuaBcp3wgjQ0lRLklRVDQ2MjE4NTE2LklRX0NEU19NSUQuMDQvMTAv</t>
  </si>
  <si>
    <t>MjYBAAAAplWjAQIAAAAHNDQuMTM5MwDIHYYpFynfCDziKWgXKd8II0NJUS5JUVQ0NjIyMDgwMy5JUV9DRFNfTUlELjA0LzEwLzI2AQAAANbJNgACAAAABjQxLjQ5MgDKRIYpFynfCFJ0K2gXKd8II0NJUS5JUVQ0NjIwMDM2NC5JUV9DRFNfTUlELjA0LzEwLzI2AQAAAFeGCAACAAAABzMwLjM4NDIA4GuGKRcp3wiwuStoFynfCCNDSVEuSVFUNDYyMDQzMDAuSVFfQ0RTX01JRC4xMy8wNy8yNgEAAAD2JX0AAgAAAAY3LjAwMDUAyB2GKRcp3wgp/i9oFynfCCNDSVEuSVFUNjAzODgwNTcuSVFfQ0RTX01JRC4xMy8wNy8yNgEAAADfyX0BAwAAAAAAykSGKRcp3wiTpDBoFynfCCNDSVEuSVFUNDYxOTk4NDEuSVFfQ0RTX01JRC4xMy8wNy8yNgEAAADrMAYAAwAAAAAA4GuGKRcp3wiczDBoFynfCCNDSVEuSVFUNDYyMjUwODMuSVFfQ0RTX01JRC4yOS8wOS8yNgEAAABWRAYAAgAAAAc0MC42ODg1AOBrhikXKd8IKf4vaBcp3wgjQ0lRLklRVDQ2MjAzNzE0LklRX0NEU19NSUQuMTMvMTAvMjUBAAAAXwU1AAIAAAAHNDAuNDU4MwDIHYYpFynfCIsKM2gXKd8II0NJUS5JUVQ3OTYzOTk1My5JUV9DRFNfTUlELjEzLzEwLzI1AQAAADSbVgECAAAABzMwLjMzNDcAykSGKRcp3whzjzRoFynfCCRDSVEuSVFUNTI4OTM2ODEyLklRX0NEU19NSUQuMTMvMTAvMjUBAAAAbFsGAAIAAAAHNTMuMDE0MgDga4YpFynfCEzeNGgXKd8I</t>
  </si>
  <si>
    <t>I0NJUS5JUVQ0NjIyNDc0MC5JUV9DRFNfTUlELjAyLzEwLzI2AQAAANNyCAACAAAABzYyLjM1OTEA4GuGKRcp3whT8yxoFynfCCNDSVEuSVFUNjIyNzAxMDcuSVFfQ0RTX01JRC4wOC8xMC8yNgEAAAAVWQAAAgAAAAc0NS42Mjc5AOBrhikXKd8IPOIpaBcp3wgjQ0lRLklRVDQ2MjAwNDEyLklRX0NEU19NSUQuMDMvMTAvMjYBAAAAY0MGAAIAAAAFNTYuODkA4GuGKRcp3whT8yxoFynfCCNDSVEuSVFUNDYyMTY5ODYuSVFfQ0RTX01JRC4zMC8wOS8yNgEAAADORDgBAwAAAAAAykSGKRcp3wjJiDFoFynfCCNDSVEuSVFUNDYyMTM0NzIuSVFfQ0RTX01JRC4wNy8xMC8yNgEAAAC5WjgAAgAAAAcxNi4xMTY1AMpEhikXKd8IyYgxaBcp3wgkQ0lRLklRVDI2MzIxMzEzMi5JUV9DRFNfTUlELjA3LzEwLzI2AQAAAOGaCAACAAAABzY3LjYzODEA4GuGKRcp3wjJiDFoFynfCCNDSVEuSVFUNDYxOTQ5OTUuSVFfQ0RTX01JRC4wNi8xMC8yNgEAAABuEDEAAgAAAAcxNy4wMzIzAMgdhikXKd8IpnwuaBcp3wgjQ0lRLklRVDQ2MTk3Njk0LklRX0NEU19NSUQuMDQvMTAvMjYBAAAAB/oFAAIAAAAHNjEuODU3MQDKRIYpFynfCFJ0K2gXKd8II0NJUS5JUVQ2MjI3MDEwNy5JUV9DRFNfTUlELjA0LzEwLzI2AQAAABVZAAACAAAABzQ1LjI4MDUA4GuGKRcp3wiwuStoFynfCCNDSVEuSVFUNDYyMDczMDguSVFfQ0RTX01JRC4xMy8w</t>
  </si>
  <si>
    <t>Ny8yNgEAAAA5iXoBAgAAAAcxNC4zMzMzAMgdhikXKd8IKf4vaBcp3wgjQ0lRLklRVDYwMzg5NTE2LklRX0NEU19NSUQuMDUvMTAvMjYBAAAApfDDAQIAAAAGNy40MDYxAMpEhikXKd8IPOIpaBcp3wgjQ0lRLklRVDQ2MjI1MDA2LklRX0NEU19NSUQuMDUvMTAvMjYBAAAA+FUNAAIAAAAHNjcuMDU2MwDga4YpFynfCDziKWgXKd8IJENJUS5JUVQzMTMzMDU4NzkuSVFfQ0RTX01JRC4wNy8xMC8yNgEAAACE1twBAgAAAAYyLjI5MzkAykSGKRcp3wjJiDFoFynfCCNDSVEuSVFUNzk2Mzk5MTMuSVFfQ0RTX01JRC4wNC8xMC8yNgEAAAAgYxwCAgAAAAY5LjY5MDkAyB2GKRcp3wg84iloFynfCCNDSVEuSVFUNTEwMjMyNjAuSVFfQ0RTX01JRC4wNS8xMC8yNgEAAACxEX8BAgAAAAcxNS43NjY4AMpEhikXKd8IPOIpaBcp3wgjQ0lRLklRVDUxMDIzNDgwLklRX0NEU19NSUQuMDQvMTAvMjYBAAAAwkXxAQIAAAAGNy4xOTc1AMgdhikXKd8IPOIpaBcp3wgkQ0lRLklRVDMxMzMwNTg3OS5JUV9DRFNfTUlELjEzLzA3LzI2AQAAAITW3AECAAAABjIuMzMzNADKRIYpFynfCJOkMGgXKd8II0NJUS5JUVQ0NjIwMDQxMi5JUV9DRFNfTUlELjEzLzA3LzI2AQAAAGNDBgACAAAABzQ2LjQzMjUA4GuGKRcp3wiczDBoFynfCCNDSVEuSVFUNDYyMDA0MTIuSVFfQ0RTX01JRC4xMS8xMC8yNgEAAABjQwYAAgAAAAc1Ni41MzMzAOBr</t>
  </si>
  <si>
    <t>hikXKd8I190maBcp3wgjQ0lRLklRVDQ2MjAzMzMyLklRX0NEU19NSUQuMTAvMTAvMjYBAAAAXx43AAIAAAACMTQAyB2GKRcp3wiJLydoFynfCCNDSVEuSVFUNDYyMTUxMTEuSVFfQ0RTX01JRC4xMC8xMC8yNgEAAACgS7IBAgAAAAczNi40MzI2AMpEhikXKd8IiS8naBcp3wgjQ0lRLklRVDQ2MjI2MTMyLklRX0NEU19NSUQuMTAvMTAvMjYBAAAA3VkAAAIAAAAHNjcuMjc2MQDga4YpFynfCIkvJ2gXKd8IJENJUS5JUVQzMTMzMTM1MjQuSVFfQ0RTX01JRC4xMC8xMC8yNgEAAADvVQ0AAgAAAAc1NC40OTA0AMLwLSkXKd8IiS8naBcp3wgjQ0lRLklRVDc5NjM5OTEzLklRX0NEU19NSUQuMDkvMTAvMjYBAAAAIGMcAgIAAAAGOS42Njc1AMgdhikXKd8I6F8oaBcp3wgjQ0lRLklRVDQ2MjA3ODcyLklRX0NEU19NSUQuMDkvMTAvMjYBAAAAWA0KAAIAAAAHNDQuMDk5NQDKRIYpFynfCOhfKGgXKd8II0NJUS5JUVQ0NjIwMDMxNy5JUV9DRFNfTUlELjA5LzEwLzI2AQAAAP5UDQACAAAABzY5Ljk0OTEAwsktKRcp3wjoXyhoFynfCCRDSVEuSVFUNjQ0NzAxNzk3LklRX0NEU19NSUQuMDMvMTAvMjYBAAAAUz99AQIAAAAHMTAuOTU3MgDIHYYpFynfCLC5K2gXKd8II0NJUS5JUVQ0NjIxODUxNi5JUV9DRFNfTUlELjExLzEwLzI2AQAAAKZVowECAAAABzQ0LjUxNjUAyB2GKRcp3wjhUCVoFynfCCNDSVEuSVFUNDYyMjA4</t>
  </si>
  <si>
    <t>MDMuSVFfQ0RTX01JRC4xMS8xMC8yNgEAAADWyTYAAgAAAAczOS42MjM0AMpEhikXKd8IB3wmaBcp3wgjQ0lRLklRVDQ2MjAwMzY0LklRX0NEU19NSUQuMTEvMTAvMjYBAAAAV4YIAAIAAAAHMzAuNDU4MwDga4YpFynfCNfdJmgXKd8II0NJUS5JUVQ0NjIwNDMwMC5JUV9DRFNfTUlELjEwLzEwLzI2AQAAAPYlfQACAAAABzEyLjMzMzYAyB2GKRcp3wiJLydoFynfCCNDSVEuSVFUNjAzODgwNTcuSVFfQ0RTX01JRC4xMC8xMC8yNgEAAADfyX0BAwAAAAAAykSGKRcp3wiJLydoFynfCCNDSVEuSVFUNDYxOTk4NDEuSVFfQ0RTX01JRC4xMC8xMC8yNgEAAADrMAYAAwAAAAAA4GuGKRcp3wiJLydoFynfCCRDSVEuSVFUMzEzMzEwMTg0LklRX0NEU19NSUQuMDkvMTAvMjYBAAAAYEQ+AAIAAAAHMTMuOTY0NQD59oUpFynfCIkvJ2gXKd8II0NJUS5JUVQ0NjIxNDg3OS5JUV9DRFNfTUlELjA5LzEwLzI2AQAAAPUaNwACAAAABzU2LjI1NjIAyB2GKRcp3wjoXyhoFynfCCNDSVEuSVFUNDY0NzA4NzcuSVFfQ0RTX01JRC4wOS8xMC8yNgEAAABCNwcAAgAAAAc2NC4wNjIzAMpEhikXKd8I6F8oaBcp3wgkQ0lRLklRVDMxMzMxMDg1NC5JUV9DRFNfTUlELjA5LzEwLzI2AQAAAK9UDQACAAAABTYyLjc2AMLJLSkXKd8I6F8oaBcp3wgjQ0lRLklRVDQ2MjE0OTU0LklRX0NEU19NSUQuMDMvMTAvMjYBAAAAOj05AQIAAAAHMjIu</t>
  </si>
  <si>
    <t>NjMyNgDIHYYpFynfCLC5K2gXKd8II0NJUS5JUVQ0NjIwODYzNC5JUV9DRFNfTUlELjAzLzEwLzI2AQAAAAMfwgACAAAABzI0LjI1MTYAykSGKRcp3wiwuStoFynfCCNDSVEuSVFUNDYyMjUwODMuSVFfQ0RTX01JRC4wMy8xMC8yNgEAAABWRAYAAgAAAAc0My44ODczAOBrhikXKd8IU/MsaBcp3wgjQ0lRLklRVDQ2MjAzNzE0LklRX0NEU19NSUQuMDIvMTAvMjYBAAAAXwU1AAIAAAAHODQuMTg2MQDIHYYpFynfCFPzLGgXKd8II0NJUS5JUVQ3OTYzOTk1My5JUV9DRFNfTUlELjAyLzEwLzI2AQAAADSbVgECAAAABzIxLjkzOTEAykSGKRcp3whT8yxoFynfCCRDSVEuSVFUNTI4OTM2ODEyLklRX0NEU19NSUQuMDIvMTAvMjYBAAAAbFsGAAIAAAAHNTcuNTIzOQDga4YpFynfCFPzLGgXKd8II0NJUS5JUVQ0NjE5NzEzOC5JUV9DRFNfTUlELjAxLzEwLzI2AQAAAO6UOAECAAAACDEzMi4xNjYxAPn2hSkXKd8IiwozaBcp3wgjQ0lRLklRVDUxMDIzNDgwLklRX0NEU19NSUQuMDEvMTAvMjYBAAAAwkXxAQIAAAAGNi42MjkzAMgdhikXKd8IiwozaBcp3wgjQ0lRLklRVDQ2MjA0OTU3LklRX0NEU19NSUQuMDEvMTAvMjYBAAAAIRUGAAIAAAAHNjIuMzQxMgDKRIYpFynfCIsKM2gXKd8II0NJUS5JUVQ2MjI3MDEwNi5JUV9DRFNfTUlELjAxLzEwLzI2AQAAAK13gwACAAAABzc0Ljc1NTQAwsktKRcp3wiLCjNoFynfCCND</t>
  </si>
  <si>
    <t>SVEuSVFUNzk2NDAwMjQuSVFfQ0RTX01JRC4zMC8wOS8yNgEAAAA1j5sBAgAAAAUxMS4yNQDIHYYpFynfCJzMMGgXKd8IJENJUS5JUVQzMTMzMDU4NzkuSVFfQ0RTX01JRC4zMC8wOS8yNgEAAACE1twBAgAAAAYyLjI5MzkAykSGKRcp3wjJiDFoFynfCCNDSVEuSVFUNDYyMDA0MTIuSVFfQ0RTX01JRC4zMC8wOS8yNgEAAABjQwYAAgAAAAc1NC43NjUzAOBrhikXKd8IyYgxaBcp3wgkQ0lRLklRVDMxMzMxMzUyNC5JUV9DRFNfTUlELjEzLzEwLzI2AQAAAO9VDQACAAAABzU1Ljg3ODcAwvAtKRcp3wi7WyRoFynfCCNDSVEuSVFUNzk2Mzk5MTMuSVFfQ0RTX01JRC4wOC8xMC8yNgEAAAAgYxwCAgAAAAU5LjY0OADIHYYpFynfCGFIKWgXKd8II0NJUS5JUVQ0NjIwNzg3Mi5JUV9DRFNfTUlELjA4LzEwLzI2AQAAAFgNCgACAAAABzQ0LjQxMDMAykSGKRcp3whhSCloFynfCCNDSVEuSVFUNDYyMDAzMTcuSVFfQ0RTX01JRC4wOC8xMC8yNgEAAAD+VA0AAgAAAAc3MC40NjgzAMLJLSkXKd8IPOIpaBcp3wgkQ0lRLklRVDY0NDcwMTc5Ny5JUV9DRFNfTUlELjA3LzEwLzI2AQAAAFM/fQECAAAABzExLjI1ODcAyB2GKRcp3wjJiDFoFynfCCNDSVEuSVFUNDYyMTY5ODYuSVFfQ0RTX01JRC4wNy8xMC8yNgEAAADORDgBAwAAAAAAykSGKRcp3wjJiDFoFynfCCRDSVEuSVFUMjU0OTU1MjMzLklRX0NEU19NSUQuMDcvMTAv</t>
  </si>
  <si>
    <t>MjYBAAAAOVYKAAIAAAAHNTMuMzIzNQDga4YpFynfCMmIMWgXKd8II0NJUS5JUVQ0NjE5NjIyNS5JUV9DRFNfTUlELjA2LzEwLzI2AQAAAL5VowECAAAABTMyLjI1AMgdhikXKd8IpnwuaBcp3wgjQ0lRLklRVDUxMDIzMjYwLklRX0NEU19NSUQuMDYvMTAvMjYBAAAAsRF/AQIAAAAHMTUuNzMzNADKRIYpFynfCKZ8LmgXKd8II0NJUS5JUVQ0NjIyNDc0MC5JUV9DRFNfTUlELjA2LzEwLzI2AQAAANNyCAACAAAABzU3LjAxMTQA4GuGKRcp3wimfC5oFynfCCRDSVEuSVFUMzEzMzE3MzQ0LklRX0NEU19NSUQuMDYvMTAvMjYBAAAA8awBAAIAAAAHNjIuMDA1NQDC8C0pFynfCKZ8LmgXKd8II0NJUS5JUVQ0NjIwMDI3Ni5JUV9DRFNfTUlELjA0LzEwLzI2AQAAAJZ3fAECAAAABTMzLjQ4AMgdhikXKd8IPOIpaBcp3wgjQ0lRLklRVDQ2MTk1NDkxLklRX0NEU19NSUQuMDQvMTAvMjYBAAAAaUoAAAIAAAAHNjMuODYyMQDKRIYpFynfCFJ0K2gXKd8II0NJUS5JUVQ0OTc1MTE5Ni5JUV9DRFNfTUlELjEyLzEwLzI2AQAAAM2ZvQACAAAABzQxLjkxMzMAyB2GKRcp3wi7WyRoFynfCCNDSVEuSVFUNjAzODk1MTYuSVFfQ0RTX01JRC4xMi8xMC8yNgEAAACl8MMBAgAAAAY3LjM3ODcAyB2GKRcp3wjhUCVoFynfCCRDSVEuSVFUMzIzNjgwMTMwLklRX0NEU19NSUQuMTIvMTAvMjYBAAAAceECAAIAAAAHNTUuNTQwNwDKRIYp</t>
  </si>
  <si>
    <t>FynfCOFQJWgXKd8IJENJUS5JUVQzMTMzMTU0MjkuSVFfQ0RTX01JRC4xMi8xMC8yNgEAAAA55wUAAgAAAAc2Mi43MzcyAMLwLSkXKd8I4VAlaBcp3wgjQ0lRLklRVDQ2MjA2Nzc5LklRX0NEU19NSUQuMTEvMTAvMjYBAAAA/O82AAIAAAAHMjkuNjQ2NgDIHYYpFynfCOFQJWgXKd8II0NJUS5JUVQ0NjIxODY3NC5JUV9DRFNfTUlELjExLzEwLzI2AQAAAFfKNgACAAAACDEzNS4xNzczAMpEhikXKd8IB3wmaBcp3wgjQ0lRLklRVDQ2MjI1NzE1LklRX0NEU19NSUQuMTEvMTAvMjYBAAAAt+UEAAIAAAAHNDMuNTc2NADga4YpFynfCNfdJmgXKd8II0NJUS5JUVQ0NjIwNDg4NC5JUV9DRFNfTUlELjEwLzEwLzI2AQAAAIFRwAECAAAAAjQ4AMgdhikXKd8IiS8naBcp3wgjQ0lRLklRVDQ2MjA3Nzg5LklRX0NEU19NSUQuMTAvMTAvMjYBAAAAKlijAQIAAAAHMjkuNjIyMgDKRIYpFynfCIkvJ2gXKd8IJENJUS5JUVQyODYwOTYxMzEuSVFfQ0RTX01JRC4xMC8xMC8yNgEAAAA78QQAAgAAAAc3Mi40NzI1AOBrhikXKd8IiS8naBcp3wgjQ0lRLklRVDQ2MjEwNTYwLklRX0NEU19NSUQuMDkvMTAvMjYBAAAA9ho3AAIAAAAHOTIuNzM4NwDIHYYpFynfCIkvJ2gXKd8II0NJUS5JUVQ0NjIxOTkyMi5JUV9DRFNfTUlELjA5LzEwLzI2AQAAANZHOQECAAAABjkuNTEzMwDIHYYpFynfCOhfKGgXKd8II0NJUS5JUVQ0NjIyMzY0</t>
  </si>
  <si>
    <t>Ni5JUV9DRFNfTUlELjA5LzEwLzI2AQAAABt4BAACAAAABzU2LjUzNDIAykSGKRcp3wjoXyhoFynfCCRDSVEuSVFUMzEzMzE0OTc2LklRX0NEU19NSUQuMDkvMTAvMjYBAAAAbUoAAAIAAAAHNTQuNDE5MQDC8C0pFynfCCEhKWgXKd8II0NJUS5JUVQ0NjIxODUxNi5JUV9DRFNfTUlELjAzLzEwLzI2AQAAAKZVowECAAAABzQ0LjEzOTMAyB2GKRcp3wiwuStoFynfCCNDSVEuSVFUNDYyMjA4MDMuSVFfQ0RTX01JRC4wMy8xMC8yNgEAAADWyTYAAgAAAAY0MS40OTIAykSGKRcp3wiwuStoFynfCCNDSVEuSVFUNDYyMDAzNjQuSVFfQ0RTX01JRC4wMy8xMC8yNgEAAABXhggAAgAAAAczMC4zODQyAOBrhikXKd8IU/MsaBcp3wgjQ0lRLklRVDQ2MjA0MzAwLklRX0NEU19NSUQuMDIvMTAvMjYBAAAA9iV9AAIAAAAEMTIuNQDIHYYpFynfCFPzLGgXKd8II0NJUS5JUVQ2MDM4ODA1Ny5JUV9DRFNfTUlELjAyLzEwLzI2AQAAAN/JfQEDAAAAAADKRIYpFynfCFPzLGgXKd8II0NJUS5JUVQ0NjE5OTg0MS5JUV9DRFNfTUlELjAyLzEwLzI2AQAAAOswBgADAAAAAADga4YpFynfCFPzLGgXKd8IJENJUS5JUVQzMTMzMTAxODQuSVFfQ0RTX01JRC4wMS8xMC8yNgEAAABgRD4AAgAAAAcxMi4xMzUxAMgdhikXKd8IiwozaBcp3wgjQ0lRLklRVDQ2MjE0ODc5LklRX0NEU19NSUQuMDEvMTAvMjYBAAAA9Ro3AAIAAAAHNTcuMDg0</t>
  </si>
  <si>
    <t>MQDIHYYpFynfCIsKM2gXKd8II0NJUS5JUVQ0NjQ3MDg3Ny5JUV9DRFNfTUlELjAxLzEwLzI2AQAAAEI3BwACAAAABzY0Ljg1NzMAykSGKRcp3wiLCjNoFynfCCRDSVEuSVFUMzEzMzEwODU0LklRX0NEU19NSUQuMDEvMTAvMjYBAAAAr1QNAAIAAAAFNjQuNzQAwvAtKRcp3wiLCjNoFynfCCNDSVEuSVFUNDYyMTQ5NTQuSVFfQ0RTX01JRC4zMC8wOS8yNgEAAAA6PTkBAgAAAAQxOC41AMgdhikXKd8InMwwaBcp3wgjQ0lRLklRVDQ2MjA4NjM0LklRX0NEU19NSUQuMzAvMDkvMjYBAAAAAx/CAAIAAAAHMjMuNDAwMgDKRIYpFynfCMmIMWgXKd8II0NJUS5JUVQ0NjIyNTA4My5JUV9DRFNfTUlELjMwLzA5LzI2AQAAAFZEBgACAAAABzQxLjQ3NzYA4GuGKRcp3wjJiDFoFynfCCNDSVEuSVFUNDYxOTcxMzguSVFfQ0RTX01JRC4wOC8xMC8yNgEAAADulDgBAgAAAAgxMTAuNzEzOQD59oUpFynfCCEhKWgXKd8II0NJUS5JUVQ1MTAyMzQ4MC5JUV9DRFNfTUlELjA4LzEwLzI2AQAAAMJF8QECAAAABjcuMjg4MgDIHYYpFynfCGFIKWgXKd8II0NJUS5JUVQ0NjIwNDk1Ny5JUV9DRFNfTUlELjA4LzEwLzI2AQAAACEVBgACAAAABjYyLjY5NwDKRIYpFynfCGFIKWgXKd8II0NJUS5JUVQ2MjI3MDEwNi5JUV9DRFNfTUlELjA4LzEwLzI2AQAAAK13gwACAAAABzc0Ljc2NDgAwsktKRcp3wg84iloFynfCCNDSVEuSVFUNDYx</t>
  </si>
  <si>
    <t>OTQ5OTUuSVFfQ0RTX01JRC4xMi8xMC8yNgEAAABuEDEAAgAAAAcxNi45Nzk5AMgdhikXKd8Iu1skaBcp3wgjQ0lRLklRVDQ2MjIyMjkyLklRX0NEU19NSUQuMTIvMTAvMjYBAAAA0ZGbAQIAAAAINzc1LjE1MzYAykSGKRcp3wjhUCVoFynfCCNDSVEuSVFUNDYyMjUwMDYuSVFfQ0RTX01JRC4xMi8xMC8yNgEAAAD4VQ0AAgAAAAc2My45NjM2AOBrhikXKd8I4VAlaBcp3wgjQ0lRLklRVDQ2MjIwMzI5LklRX0NEU19NSUQuMTIvMTAvMjYBAAAA21sAAAIAAAAHNjAuMzMyNgDC8C0pFynfCOFQJWgXKd8II0NJUS5JUVQ0NjI2MjM3OC5JUV9DRFNfTUlELjExLzEwLzI2AQAAAEDSiQECAAAABzI2LjU5MTYAyB2GKRcp3wjhUCVoFynfCCNDSVEuSVFUNDYxOTc2OTQuSVFfQ0RTX01JRC4xMS8xMC8yNgEAAAAH+gUAAgAAAAc2MS40NTcxAMpEhikXKd8IB3wmaBcp3wgjQ0lRLklRVDYyMjcwMTA3LklRX0NEU19NSUQuMTEvMTAvMjYBAAAAFVkAAAIAAAAHNDUuMDM5MwDga4YpFynfCNfdJmgXKd8II0NJUS5JUVQ0NjIwNzMwOC5JUV9DRFNfTUlELjEwLzEwLzI2AQAAADmJegECAAAABzE2LjgzMjUAyB2GKRcp3wiJLydoFynfCCNDSVEuSVFUNDYyMTAwMzIuSVFfQ0RTX01JRC4xMC8xMC8yNgEAAACPVaMBAgAAAAczNS4yMjI1AMpEhikXKd8IiS8naBcp3wgjQ0lRLklRVDQ2MjI1Mzc0LklRX0NEU19NSUQuMTAvMTAv</t>
  </si>
  <si>
    <t>MjYBAAAAtdYFAAIAAAAHNDguNDM1NgDga4YpFynfCIkvJ2gXKd8II0NJUS5JUVQ0NjE5NjIyNS5JUV9DRFNfTUlELjEyLzEwLzI2AQAAAL5VowECAAAABTMyLjI1AMgdhikXKd8Iu1skaBcp3wgjQ0lRLklRVDUxMDIzMjYwLklRX0NEU19NSUQuMTIvMTAvMjYBAAAAsRF/AQIAAAAHMTUuODczMwDKRIYpFynfCOFQJWgXKd8II0NJUS5JUVQ0NjIyNDc0MC5JUV9DRFNfTUlELjEyLzEwLzI2AQAAANNyCAACAAAABzU5LjIyNzEA4GuGKRcp3wjhUCVoFynfCCRDSVEuSVFUMzEzMzE3MzQ0LklRX0NEU19NSUQuMTIvMTAvMjYBAAAA8awBAAIAAAAHNjEuNjk5MgDC8C0pFynfCOFQJWgXKd8II0NJUS5JUVQ0NjIwMDI3Ni5JUV9DRFNfTUlELjExLzEwLzI2AQAAAJZ3fAECAAAABzM0Ljg5NjUAyB2GKRcp3wjhUCVoFynfCCNDSVEuSVFUNDYxOTU0OTEuSVFfQ0RTX01JRC4xMS8xMC8yNgEAAABpSgAAAgAAAAc2Mi41MzYxAMpEhikXKd8IB3wmaBcp3wgjQ0lRLklRVDc5NjM0OTAxLklRX0NEU19NSUQuMTEvMTAvMjYBAAAAnAYQAAIAAAAGNTYuNTQzAOBrhikXKd8I190maBcp3wgjQ0lRLklRVDQ2MjA3NTcxLklRX0NEU19NSUQuMTAvMTAvMjYBAAAAbe81AAIAAAAHNjUuNTUxMgDIHYYpFynfCIkvJ2gXKd8II0NJUS5JUVQ0NjIxMzQ3Mi5JUV9DRFNfTUlELjEwLzEwLzI2AQAAALlaOAACAAAABzE2LjE4MzUAykSG</t>
  </si>
  <si>
    <t>KRcp3wiJLydoFynfCCRDSVEuSVFUMjYzMjEzMTMyLklRX0NEU19NSUQuMTAvMTAvMjYBAAAA4ZoIAAIAAAAHNjcuNDEyOADga4YpFynfCIkvJ2gXKd8II0NJUS5JUVQ0NjE5NDk5NS5JUV9DRFNfTUlELjA5LzEwLzI2AQAAAG4QMQACAAAABzE3LjAxOTYAyB2GKRcp3wiJLydoFynfCA==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</si>
</sst>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;\-0;&quot;-&quot;"/>
    <numFmt numFmtId="165" formatCode="#,##0.0;\-#,##0.0;&quot;-&quot;"/>
    <numFmt numFmtId="166" formatCode="\+0.0%;\-0.0%;&quot;-&quot;"/>
    <numFmt numFmtId="167" formatCode="#,##0.0_ ;\-#,##0.0\ "/>
    <numFmt numFmtId="168" formatCode="#,##0.000_ ;\-#,##0.000\ "/>
    <numFmt numFmtId="169" formatCode="0.0;[Red]\(0.0\);\-"/>
    <numFmt numFmtId="170" formatCode="0.0%;[Red]\(0.0%\);\-"/>
  </numFmts>
  <fonts count="30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8"/>
      <color rgb="FF333333"/>
      <name val="Arial"/>
      <family val="2"/>
    </font>
    <font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i/>
      <sz val="8"/>
      <color rgb="FF333333"/>
      <name val="Arial"/>
      <family val="2"/>
    </font>
    <font>
      <i/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rgb="FF14181F"/>
      <name val="Aptos Narrow"/>
      <family val="2"/>
      <scheme val="minor"/>
    </font>
    <font>
      <sz val="8"/>
      <color rgb="FF000000"/>
      <name val="Verdana"/>
      <family val="2"/>
    </font>
    <font>
      <sz val="12"/>
      <color theme="1"/>
      <name val="Tahoma"/>
      <family val="2"/>
    </font>
    <font>
      <b/>
      <sz val="12"/>
      <color theme="0"/>
      <name val="Tahoma"/>
      <family val="2"/>
    </font>
    <font>
      <sz val="11"/>
      <color rgb="FF14181F"/>
      <name val="Aptos Narrow"/>
      <family val="2"/>
      <scheme val="minor"/>
    </font>
    <font>
      <sz val="8"/>
      <color theme="1"/>
      <name val="Arial"/>
      <family val="2"/>
    </font>
    <font>
      <sz val="11"/>
      <color rgb="FF000000"/>
      <name val="Verdana"/>
      <family val="2"/>
    </font>
    <font>
      <sz val="5"/>
      <color rgb="FF000000"/>
      <name val="Verdana"/>
      <family val="2"/>
    </font>
    <font>
      <sz val="11"/>
      <color theme="1"/>
      <name val="Aptos Narrow"/>
      <family val="2"/>
      <scheme val="minor"/>
    </font>
    <font>
      <b/>
      <sz val="10"/>
      <color rgb="FF333333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 Unicode MS"/>
    </font>
    <font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5C6B"/>
      </patternFill>
    </fill>
    <fill>
      <patternFill patternType="solid">
        <fgColor rgb="FF4AA8B8"/>
      </patternFill>
    </fill>
    <fill>
      <patternFill patternType="solid">
        <fgColor rgb="FF2F4F7F"/>
      </patternFill>
    </fill>
    <fill>
      <patternFill patternType="solid">
        <fgColor rgb="FFDCE9F5"/>
      </patternFill>
    </fill>
    <fill>
      <patternFill patternType="solid">
        <fgColor rgb="FFFFFFFF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21596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215968"/>
      </left>
      <right style="thin">
        <color rgb="FF215968"/>
      </right>
      <top/>
      <bottom/>
      <diagonal/>
    </border>
    <border>
      <left style="thin">
        <color rgb="FF215968"/>
      </left>
      <right style="thin">
        <color rgb="FF215968"/>
      </right>
      <top style="thin">
        <color rgb="FF215968"/>
      </top>
      <bottom style="thin">
        <color rgb="FF215968"/>
      </bottom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0" fontId="23" fillId="0" borderId="0"/>
  </cellStyleXfs>
  <cellXfs count="8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5" fontId="1" fillId="6" borderId="1" xfId="0" applyNumberFormat="1" applyFont="1" applyFill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/>
    <xf numFmtId="166" fontId="1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vertical="center"/>
    </xf>
    <xf numFmtId="165" fontId="1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  <xf numFmtId="0" fontId="11" fillId="0" borderId="0" xfId="0" applyFont="1"/>
    <xf numFmtId="0" fontId="12" fillId="0" borderId="3" xfId="0" applyFont="1" applyBorder="1"/>
    <xf numFmtId="0" fontId="12" fillId="0" borderId="4" xfId="0" applyFont="1" applyBorder="1"/>
    <xf numFmtId="0" fontId="13" fillId="9" borderId="0" xfId="0" applyFont="1" applyFill="1"/>
    <xf numFmtId="0" fontId="12" fillId="0" borderId="0" xfId="0" applyFont="1"/>
    <xf numFmtId="14" fontId="0" fillId="0" borderId="0" xfId="0" applyNumberFormat="1"/>
    <xf numFmtId="165" fontId="14" fillId="0" borderId="0" xfId="0" applyNumberFormat="1" applyFont="1" applyAlignment="1">
      <alignment vertical="center"/>
    </xf>
    <xf numFmtId="167" fontId="14" fillId="0" borderId="0" xfId="0" applyNumberFormat="1" applyFont="1" applyAlignment="1">
      <alignment vertical="center"/>
    </xf>
    <xf numFmtId="167" fontId="0" fillId="0" borderId="0" xfId="0" applyNumberFormat="1"/>
    <xf numFmtId="168" fontId="0" fillId="0" borderId="0" xfId="0" applyNumberFormat="1"/>
    <xf numFmtId="1" fontId="1" fillId="6" borderId="1" xfId="0" applyNumberFormat="1" applyFont="1" applyFill="1" applyBorder="1" applyAlignment="1">
      <alignment horizontal="center" vertical="center"/>
    </xf>
    <xf numFmtId="1" fontId="1" fillId="6" borderId="2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0" fillId="0" borderId="0" xfId="0" applyFont="1" applyAlignment="1">
      <alignment horizontal="left"/>
    </xf>
    <xf numFmtId="164" fontId="3" fillId="10" borderId="2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5" fillId="0" borderId="0" xfId="0" applyFont="1"/>
    <xf numFmtId="9" fontId="8" fillId="13" borderId="0" xfId="1" applyFont="1" applyFill="1" applyAlignment="1">
      <alignment horizontal="left"/>
    </xf>
    <xf numFmtId="9" fontId="21" fillId="12" borderId="0" xfId="1" applyFont="1" applyFill="1" applyBorder="1" applyAlignment="1">
      <alignment horizontal="left" vertical="center"/>
    </xf>
    <xf numFmtId="9" fontId="22" fillId="12" borderId="0" xfId="1" applyFont="1" applyFill="1" applyAlignment="1">
      <alignment horizontal="left" vertical="center"/>
    </xf>
    <xf numFmtId="9" fontId="22" fillId="13" borderId="0" xfId="1" applyFont="1" applyFill="1" applyAlignment="1">
      <alignment horizontal="left" vertical="center"/>
    </xf>
    <xf numFmtId="0" fontId="23" fillId="0" borderId="0" xfId="2"/>
    <xf numFmtId="0" fontId="23" fillId="0" borderId="0" xfId="2" applyAlignment="1">
      <alignment horizontal="center"/>
    </xf>
    <xf numFmtId="169" fontId="23" fillId="0" borderId="0" xfId="2" applyNumberFormat="1" applyAlignment="1">
      <alignment horizontal="right"/>
    </xf>
    <xf numFmtId="170" fontId="24" fillId="17" borderId="0" xfId="2" applyNumberFormat="1" applyFont="1" applyFill="1" applyAlignment="1">
      <alignment horizontal="right"/>
    </xf>
    <xf numFmtId="169" fontId="24" fillId="17" borderId="0" xfId="2" applyNumberFormat="1" applyFont="1" applyFill="1" applyAlignment="1">
      <alignment horizontal="right"/>
    </xf>
    <xf numFmtId="0" fontId="24" fillId="0" borderId="0" xfId="2" applyFont="1"/>
    <xf numFmtId="0" fontId="25" fillId="0" borderId="0" xfId="2" applyFont="1" applyAlignment="1">
      <alignment horizontal="center"/>
    </xf>
    <xf numFmtId="169" fontId="25" fillId="0" borderId="0" xfId="2" applyNumberFormat="1" applyFont="1" applyAlignment="1">
      <alignment horizontal="right"/>
    </xf>
    <xf numFmtId="0" fontId="23" fillId="15" borderId="0" xfId="2" applyFill="1"/>
    <xf numFmtId="0" fontId="23" fillId="19" borderId="0" xfId="2" applyFill="1"/>
    <xf numFmtId="0" fontId="23" fillId="16" borderId="0" xfId="2" applyFill="1"/>
    <xf numFmtId="0" fontId="23" fillId="14" borderId="0" xfId="2" applyFill="1"/>
    <xf numFmtId="0" fontId="27" fillId="20" borderId="0" xfId="2" applyFont="1" applyFill="1"/>
    <xf numFmtId="0" fontId="27" fillId="20" borderId="0" xfId="2" applyFont="1" applyFill="1" applyAlignment="1">
      <alignment horizontal="center" vertical="center" wrapText="1"/>
    </xf>
    <xf numFmtId="0" fontId="23" fillId="2" borderId="0" xfId="2" applyFill="1"/>
    <xf numFmtId="0" fontId="28" fillId="18" borderId="0" xfId="2" applyFont="1" applyFill="1"/>
    <xf numFmtId="9" fontId="24" fillId="17" borderId="0" xfId="2" applyNumberFormat="1" applyFont="1" applyFill="1"/>
    <xf numFmtId="0" fontId="6" fillId="2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26" fillId="18" borderId="0" xfId="2" applyFont="1" applyFill="1" applyAlignment="1">
      <alignment horizontal="left" vertical="center"/>
    </xf>
    <xf numFmtId="169" fontId="26" fillId="18" borderId="0" xfId="2" applyNumberFormat="1" applyFont="1" applyFill="1" applyAlignment="1">
      <alignment horizontal="left" vertical="center"/>
    </xf>
    <xf numFmtId="170" fontId="26" fillId="18" borderId="0" xfId="2" applyNumberFormat="1" applyFont="1" applyFill="1" applyAlignment="1">
      <alignment horizontal="left" vertical="center"/>
    </xf>
    <xf numFmtId="0" fontId="29" fillId="21" borderId="0" xfId="2" applyFont="1" applyFill="1" applyAlignment="1">
      <alignment horizontal="left" vertical="center"/>
    </xf>
    <xf numFmtId="0" fontId="27" fillId="21" borderId="0" xfId="2" applyFont="1" applyFill="1" applyAlignment="1">
      <alignment horizontal="left"/>
    </xf>
  </cellXfs>
  <cellStyles count="3">
    <cellStyle name="Normal" xfId="0" builtinId="0"/>
    <cellStyle name="Normal 2" xfId="2" xr:uid="{A1D5D424-D9FE-4AC9-A874-619309FC9078}"/>
    <cellStyle name="Percent" xfId="1" builtinId="5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>
        <v>48.86</v>
        <stp/>
        <stp>18</stp>
        <stp>348884375</stp>
        <tr r="K9" s="1"/>
        <tr r="K9" s="1"/>
      </tp>
      <tp>
        <v>192.76</v>
        <stp/>
        <stp>38</stp>
        <stp>348884375</stp>
        <tr r="I12" s="1"/>
        <tr r="I12" s="1"/>
      </tp>
      <tp>
        <v>307.97000000000003</v>
        <stp/>
        <stp>28</stp>
        <stp>348884375</stp>
        <tr r="K10" s="1"/>
        <tr r="K10" s="1"/>
      </tp>
      <tp>
        <v>114.19</v>
        <stp/>
        <stp>58</stp>
        <stp>348884375</stp>
        <tr r="K14" s="1"/>
        <tr r="K14" s="1"/>
      </tp>
      <tp>
        <v>87.67</v>
        <stp/>
        <stp>48</stp>
        <stp>348884375</stp>
        <tr r="J13" s="1"/>
        <tr r="J13" s="1"/>
      </tp>
      <tp>
        <v>70.63</v>
        <stp/>
        <stp>78</stp>
        <stp>348884375</stp>
        <tr r="I18" s="1"/>
        <tr r="I18" s="1"/>
      </tp>
      <tp>
        <v>17.114999999999998</v>
        <stp/>
        <stp>68</stp>
        <stp>348884375</stp>
        <tr r="H17" s="1"/>
        <tr r="H17" s="1"/>
      </tp>
      <tp>
        <v>374.7</v>
        <stp/>
        <stp>98</stp>
        <stp>348884375</stp>
        <tr r="K22" s="1"/>
        <tr r="K22" s="1"/>
      </tp>
      <tp>
        <v>42.24</v>
        <stp/>
        <stp>88</stp>
        <stp>348884375</stp>
        <tr r="J20" s="1"/>
        <tr r="J20" s="1"/>
      </tp>
      <tp>
        <v>334.3</v>
        <stp/>
        <stp>19</stp>
        <stp>348884375</stp>
        <tr r="H10" s="1"/>
      </tp>
      <tp>
        <v>190.02</v>
        <stp/>
        <stp>39</stp>
        <stp>348884375</stp>
        <tr r="J12" s="1"/>
      </tp>
      <tp>
        <v>893.95</v>
        <stp/>
        <stp>29</stp>
        <stp>348884375</stp>
        <tr r="I11" s="1"/>
      </tp>
      <tp>
        <v>90.09</v>
        <stp/>
        <stp>59</stp>
        <stp>348884375</stp>
        <tr r="H16" s="1"/>
      </tp>
      <tp>
        <v>83.32</v>
        <stp/>
        <stp>49</stp>
        <stp>348884375</stp>
        <tr r="K13" s="1"/>
      </tp>
      <tp>
        <v>64.17</v>
        <stp/>
        <stp>79</stp>
        <stp>348884375</stp>
        <tr r="J18" s="1"/>
      </tp>
      <tp>
        <v>16.329999999999998</v>
        <stp/>
        <stp>69</stp>
        <stp>348884375</stp>
        <tr r="I17" s="1"/>
      </tp>
      <tp>
        <v>1428.4</v>
        <stp/>
        <stp>99</stp>
        <stp>348884375</stp>
        <tr r="H23" s="1"/>
      </tp>
      <tp>
        <v>437.6</v>
        <stp/>
        <stp>89</stp>
        <stp>348884375</stp>
        <tr r="H22" s="1"/>
      </tp>
      <tp>
        <v>59.5</v>
        <stp/>
        <stp>16</stp>
        <stp>348884375</stp>
        <tr r="J9" s="1"/>
        <tr r="J9" s="1"/>
      </tp>
      <tp>
        <v>191.02</v>
        <stp/>
        <stp>36</stp>
        <stp>348884375</stp>
        <tr r="H12" s="1"/>
        <tr r="H12" s="1"/>
      </tp>
      <tp>
        <v>897.18</v>
        <stp/>
        <stp>26</stp>
        <stp>348884375</stp>
        <tr r="H11" s="1"/>
        <tr r="H11" s="1"/>
      </tp>
      <tp>
        <v>178.17</v>
        <stp/>
        <stp>56</stp>
        <stp>348884375</stp>
        <tr r="J14" s="1"/>
        <tr r="J14" s="1"/>
      </tp>
      <tp>
        <v>80.48</v>
        <stp/>
        <stp>46</stp>
        <stp>348884375</stp>
        <tr r="I13" s="1"/>
        <tr r="I13" s="1"/>
      </tp>
      <tp>
        <v>67.31</v>
        <stp/>
        <stp>76</stp>
        <stp>348884375</stp>
        <tr r="H18" s="1"/>
        <tr r="H18" s="1"/>
      </tp>
      <tp>
        <v>75.44</v>
        <stp/>
        <stp>66</stp>
        <stp>348884375</stp>
        <tr r="K16" s="1"/>
        <tr r="K16" s="1"/>
      </tp>
      <tp>
        <v>510</v>
        <stp/>
        <stp>96</stp>
        <stp>348884375</stp>
        <tr r="J22" s="1"/>
        <tr r="J22" s="1"/>
      </tp>
      <tp>
        <v>40.53</v>
        <stp/>
        <stp>86</stp>
        <stp>348884375</stp>
        <tr r="I20" s="1"/>
        <tr r="I20" s="1"/>
      </tp>
      <tp>
        <v>54.58</v>
        <stp/>
        <stp>17</stp>
        <stp>348884375</stp>
        <tr r="K9" s="1"/>
      </tp>
      <tp>
        <v>190.02</v>
        <stp/>
        <stp>37</stp>
        <stp>348884375</stp>
        <tr r="I12" s="1"/>
      </tp>
      <tp>
        <v>334.3</v>
        <stp/>
        <stp>27</stp>
        <stp>348884375</stp>
        <tr r="K10" s="1"/>
      </tp>
      <tp>
        <v>174.93</v>
        <stp/>
        <stp>57</stp>
        <stp>348884375</stp>
        <tr r="K14" s="1"/>
      </tp>
      <tp>
        <v>83.32</v>
        <stp/>
        <stp>47</stp>
        <stp>348884375</stp>
        <tr r="J13" s="1"/>
      </tp>
      <tp>
        <v>64.17</v>
        <stp/>
        <stp>77</stp>
        <stp>348884375</stp>
        <tr r="I18" s="1"/>
      </tp>
      <tp>
        <v>16.329999999999998</v>
        <stp/>
        <stp>67</stp>
        <stp>348884375</stp>
        <tr r="H17" s="1"/>
      </tp>
      <tp>
        <v>437.6</v>
        <stp/>
        <stp>97</stp>
        <stp>348884375</stp>
        <tr r="K22" s="1"/>
      </tp>
      <tp>
        <v>40.01</v>
        <stp/>
        <stp>87</stp>
        <stp>348884375</stp>
        <tr r="J20" s="1"/>
      </tp>
      <tp>
        <v>54.96</v>
        <stp/>
        <stp>14</stp>
        <stp>348884375</stp>
        <tr r="I9" s="1"/>
        <tr r="I9" s="1"/>
      </tp>
      <tp>
        <v>786.78</v>
        <stp/>
        <stp>34</stp>
        <stp>348884375</stp>
        <tr r="K11" s="1"/>
        <tr r="K11" s="1"/>
      </tp>
      <tp>
        <v>334.53</v>
        <stp/>
        <stp>24</stp>
        <stp>348884375</stp>
        <tr r="J10" s="1"/>
        <tr r="J10" s="1"/>
      </tp>
      <tp>
        <v>177.78</v>
        <stp/>
        <stp>54</stp>
        <stp>348884375</stp>
        <tr r="I14" s="1"/>
        <tr r="I14" s="1"/>
      </tp>
      <tp>
        <v>81.510000000000005</v>
        <stp/>
        <stp>44</stp>
        <stp>348884375</stp>
        <tr r="H13" s="1"/>
        <tr r="H13" s="1"/>
      </tp>
      <tp>
        <v>16.48</v>
        <stp/>
        <stp>74</stp>
        <stp>348884375</stp>
        <tr r="K17" s="1"/>
        <tr r="K17" s="1"/>
      </tp>
      <tp>
        <v>100.92</v>
        <stp/>
        <stp>64</stp>
        <stp>348884375</stp>
        <tr r="J16" s="1"/>
        <tr r="J16" s="1"/>
      </tp>
      <tp>
        <v>459</v>
        <stp/>
        <stp>94</stp>
        <stp>348884375</stp>
        <tr r="I22" s="1"/>
        <tr r="I22" s="1"/>
      </tp>
      <tp>
        <v>53.72</v>
        <stp/>
        <stp>84</stp>
        <stp>348884375</stp>
        <tr r="K18" s="1"/>
        <tr r="K18" s="1"/>
      </tp>
      <tp>
        <v>54.58</v>
        <stp/>
        <stp>15</stp>
        <stp>348884375</stp>
        <tr r="J9" s="1"/>
      </tp>
      <tp>
        <v>190.02</v>
        <stp/>
        <stp>35</stp>
        <stp>348884375</stp>
        <tr r="H12" s="1"/>
      </tp>
      <tp>
        <v>893.95</v>
        <stp/>
        <stp>25</stp>
        <stp>348884375</stp>
        <tr r="H11" s="1"/>
      </tp>
      <tp>
        <v>174.93</v>
        <stp/>
        <stp>55</stp>
        <stp>348884375</stp>
        <tr r="J14" s="1"/>
      </tp>
      <tp>
        <v>83.32</v>
        <stp/>
        <stp>45</stp>
        <stp>348884375</stp>
        <tr r="I13" s="1"/>
      </tp>
      <tp>
        <v>64.17</v>
        <stp/>
        <stp>75</stp>
        <stp>348884375</stp>
        <tr r="H18" s="1"/>
      </tp>
      <tp>
        <v>90.09</v>
        <stp/>
        <stp>65</stp>
        <stp>348884375</stp>
        <tr r="K16" s="1"/>
      </tp>
      <tp>
        <v>437.6</v>
        <stp/>
        <stp>95</stp>
        <stp>348884375</stp>
        <tr r="J22" s="1"/>
      </tp>
      <tp>
        <v>40.01</v>
        <stp/>
        <stp>85</stp>
        <stp>348884375</stp>
        <tr r="I20" s="1"/>
      </tp>
      <tp>
        <v>54.09</v>
        <stp/>
        <stp>12</stp>
        <stp>348884375</stp>
        <tr r="H9" s="1"/>
        <tr r="H9" s="1"/>
      </tp>
      <tp>
        <v>1045.9100000000001</v>
        <stp/>
        <stp>32</stp>
        <stp>348884375</stp>
        <tr r="J11" s="1"/>
        <tr r="J11" s="1"/>
      </tp>
      <tp>
        <v>334.98</v>
        <stp/>
        <stp>22</stp>
        <stp>348884375</stp>
        <tr r="I10" s="1"/>
        <tr r="I10" s="1"/>
      </tp>
      <tp>
        <v>175.75</v>
        <stp/>
        <stp>52</stp>
        <stp>348884375</stp>
        <tr r="H14" s="1"/>
        <tr r="H14" s="1"/>
      </tp>
      <tp>
        <v>155.13</v>
        <stp/>
        <stp>42</stp>
        <stp>348884375</stp>
        <tr r="K12" s="1"/>
        <tr r="K12" s="1"/>
      </tp>
      <tp>
        <v>17.55</v>
        <stp/>
        <stp>72</stp>
        <stp>348884375</stp>
        <tr r="J17" s="1"/>
        <tr r="J17" s="1"/>
      </tp>
      <tp>
        <v>97.4</v>
        <stp/>
        <stp>62</stp>
        <stp>348884375</stp>
        <tr r="I16" s="1"/>
        <tr r="I16" s="1"/>
      </tp>
      <tp>
        <v>32.479999999999997</v>
        <stp/>
        <stp>92</stp>
        <stp>348884375</stp>
        <tr r="K20" s="1"/>
        <tr r="K20" s="1"/>
      </tp>
      <tp>
        <v>40.57</v>
        <stp/>
        <stp>82</stp>
        <stp>348884375</stp>
        <tr r="H20" s="1"/>
        <tr r="H20" s="1"/>
      </tp>
      <tp>
        <v>54.58</v>
        <stp/>
        <stp>13</stp>
        <stp>348884375</stp>
        <tr r="I9" s="1"/>
      </tp>
      <tp>
        <v>893.95</v>
        <stp/>
        <stp>33</stp>
        <stp>348884375</stp>
        <tr r="K11" s="1"/>
      </tp>
      <tp>
        <v>334.3</v>
        <stp/>
        <stp>23</stp>
        <stp>348884375</stp>
        <tr r="J10" s="1"/>
      </tp>
      <tp>
        <v>174.93</v>
        <stp/>
        <stp>53</stp>
        <stp>348884375</stp>
        <tr r="I14" s="1"/>
      </tp>
      <tp>
        <v>83.32</v>
        <stp/>
        <stp>43</stp>
        <stp>348884375</stp>
        <tr r="H13" s="1"/>
      </tp>
      <tp>
        <v>16.329999999999998</v>
        <stp/>
        <stp>73</stp>
        <stp>348884375</stp>
        <tr r="K17" s="1"/>
      </tp>
      <tp>
        <v>90.09</v>
        <stp/>
        <stp>63</stp>
        <stp>348884375</stp>
        <tr r="J16" s="1"/>
      </tp>
      <tp>
        <v>437.6</v>
        <stp/>
        <stp>93</stp>
        <stp>348884375</stp>
        <tr r="I22" s="1"/>
      </tp>
      <tp>
        <v>64.17</v>
        <stp/>
        <stp>83</stp>
        <stp>348884375</stp>
        <tr r="K18" s="1"/>
      </tp>
      <tp>
        <v>96.1</v>
        <stp/>
        <stp>10</stp>
        <stp>348884375</stp>
        <tr r="K8" s="1"/>
        <tr r="K8" s="1"/>
      </tp>
      <tp>
        <v>916.24</v>
        <stp/>
        <stp>30</stp>
        <stp>348884375</stp>
        <tr r="I11" s="1"/>
        <tr r="I11" s="1"/>
      </tp>
      <tp>
        <v>331.28</v>
        <stp/>
        <stp>20</stp>
        <stp>348884375</stp>
        <tr r="H10" s="1"/>
        <tr r="H10" s="1"/>
      </tp>
      <tp>
        <v>78.92</v>
        <stp/>
        <stp>50</stp>
        <stp>348884375</stp>
        <tr r="K13" s="1"/>
        <tr r="K13" s="1"/>
      </tp>
      <tp>
        <v>221.09</v>
        <stp/>
        <stp>40</stp>
        <stp>348884375</stp>
        <tr r="J12" s="1"/>
        <tr r="J12" s="1"/>
      </tp>
      <tp>
        <v>17.829999999999998</v>
        <stp/>
        <stp>70</stp>
        <stp>348884375</stp>
        <tr r="I17" s="1"/>
        <tr r="I17" s="1"/>
      </tp>
      <tp>
        <v>95.09</v>
        <stp/>
        <stp>60</stp>
        <stp>348884375</stp>
        <tr r="H16" s="1"/>
        <tr r="H16" s="1"/>
      </tp>
      <tp>
        <v>447.3</v>
        <stp/>
        <stp>90</stp>
        <stp>348884375</stp>
        <tr r="H22" s="1"/>
        <tr r="H22" s="1"/>
      </tp>
      <tp>
        <v>74.64</v>
        <stp/>
        <stp>80</stp>
        <stp>348884375</stp>
        <tr r="J18" s="1"/>
        <tr r="J18" s="1"/>
      </tp>
      <tp>
        <v>54.58</v>
        <stp/>
        <stp>11</stp>
        <stp>348884375</stp>
        <tr r="H9" s="1"/>
      </tp>
      <tp>
        <v>893.95</v>
        <stp/>
        <stp>31</stp>
        <stp>348884375</stp>
        <tr r="J11" s="1"/>
      </tp>
      <tp>
        <v>334.3</v>
        <stp/>
        <stp>21</stp>
        <stp>348884375</stp>
        <tr r="I10" s="1"/>
      </tp>
      <tp>
        <v>174.93</v>
        <stp/>
        <stp>51</stp>
        <stp>348884375</stp>
        <tr r="H14" s="1"/>
      </tp>
      <tp>
        <v>190.02</v>
        <stp/>
        <stp>41</stp>
        <stp>348884375</stp>
        <tr r="K12" s="1"/>
      </tp>
      <tp>
        <v>16.329999999999998</v>
        <stp/>
        <stp>71</stp>
        <stp>348884375</stp>
        <tr r="J17" s="1"/>
      </tp>
      <tp>
        <v>90.09</v>
        <stp/>
        <stp>61</stp>
        <stp>348884375</stp>
        <tr r="I16" s="1"/>
      </tp>
      <tp>
        <v>40.01</v>
        <stp/>
        <stp>91</stp>
        <stp>348884375</stp>
        <tr r="K20" s="1"/>
      </tp>
      <tp>
        <v>40.01</v>
        <stp/>
        <stp>81</stp>
        <stp>348884375</stp>
        <tr r="H20" s="1"/>
      </tp>
      <tp>
        <v>40.36</v>
        <stp/>
        <stp>244</stp>
        <stp>348884375</stp>
        <tr r="H44" s="1"/>
      </tp>
      <tp>
        <v>168.83</v>
        <stp/>
        <stp>214</stp>
        <stp>348884375</stp>
        <tr r="I41" s="1"/>
        <tr r="I41" s="1"/>
      </tp>
      <tp>
        <v>158.65</v>
        <stp/>
        <stp>204</stp>
        <stp>348884375</stp>
        <tr r="H40" s="1"/>
        <tr r="H40" s="1"/>
      </tp>
      <tp>
        <v>230.09</v>
        <stp/>
        <stp>234</stp>
        <stp>348884375</stp>
        <tr r="J43" s="1"/>
        <tr r="J43" s="1"/>
      </tp>
      <tp>
        <v>300.95</v>
        <stp/>
        <stp>224</stp>
        <stp>348884375</stp>
        <tr r="J42" s="1"/>
        <tr r="J42" s="1"/>
      </tp>
      <tp>
        <v>2285</v>
        <stp/>
        <stp>154</stp>
        <stp>348884375</stp>
        <tr r="K32" s="1"/>
        <tr r="K32" s="1"/>
      </tp>
      <tp>
        <v>271.8</v>
        <stp/>
        <stp>144</stp>
        <stp>348884375</stp>
        <tr r="K30" s="1"/>
        <tr r="K30" s="1"/>
      </tp>
      <tp>
        <v>1786</v>
        <stp/>
        <stp>174</stp>
        <stp>348884375</stp>
        <tr r="I35" s="1"/>
        <tr r="I35" s="1"/>
      </tp>
      <tp>
        <v>1995.5</v>
        <stp/>
        <stp>164</stp>
        <stp>348884375</stp>
        <tr r="K33" s="1"/>
        <tr r="K33" s="1"/>
      </tp>
      <tp>
        <v>544</v>
        <stp/>
        <stp>114</stp>
        <stp>348884375</stp>
        <tr r="K24" s="1"/>
        <tr r="K24" s="1"/>
      </tp>
      <tp>
        <v>1462</v>
        <stp/>
        <stp>104</stp>
        <stp>348884375</stp>
        <tr r="J23" s="1"/>
        <tr r="J23" s="1"/>
      </tp>
      <tp>
        <v>41.99</v>
        <stp/>
        <stp>134</stp>
        <stp>348884375</stp>
        <tr r="I28" s="1"/>
        <tr r="I28" s="1"/>
      </tp>
      <tp>
        <v>31.405000000000001</v>
        <stp/>
        <stp>124</stp>
        <stp>348884375</stp>
        <tr r="H27" s="1"/>
        <tr r="H27" s="1"/>
      </tp>
      <tp>
        <v>88.84</v>
        <stp/>
        <stp>194</stp>
        <stp>348884375</stp>
        <tr r="K38" s="1"/>
        <tr r="K38" s="1"/>
      </tp>
      <tp>
        <v>1553</v>
        <stp/>
        <stp>184</stp>
        <stp>348884375</stp>
        <tr r="J36" s="1"/>
        <tr r="J36" s="1"/>
      </tp>
      <tp>
        <v>40.31</v>
        <stp/>
        <stp>245</stp>
        <stp>348884375</stp>
        <tr r="H44" s="1"/>
        <tr r="H44" s="1"/>
      </tp>
      <tp>
        <v>164.19</v>
        <stp/>
        <stp>215</stp>
        <stp>348884375</stp>
        <tr r="J41" s="1"/>
      </tp>
      <tp>
        <v>155.63</v>
        <stp/>
        <stp>205</stp>
        <stp>348884375</stp>
        <tr r="I40" s="1"/>
      </tp>
      <tp>
        <v>40.36</v>
        <stp/>
        <stp>235</stp>
        <stp>348884375</stp>
        <tr r="J44" s="1"/>
      </tp>
      <tp>
        <v>273.77999999999997</v>
        <stp/>
        <stp>225</stp>
        <stp>348884375</stp>
        <tr r="I42" s="1"/>
      </tp>
      <tp>
        <v>3347</v>
        <stp/>
        <stp>155</stp>
        <stp>348884375</stp>
        <tr r="H33" s="1"/>
      </tp>
      <tp>
        <v>358.5</v>
        <stp/>
        <stp>145</stp>
        <stp>348884375</stp>
        <tr r="J30" s="1"/>
      </tp>
      <tp>
        <v>1779.5</v>
        <stp/>
        <stp>175</stp>
        <stp>348884375</stp>
        <tr r="J35" s="1"/>
      </tp>
      <tp>
        <v>8376</v>
        <stp/>
        <stp>165</stp>
        <stp>348884375</stp>
        <tr r="I34" s="1"/>
      </tp>
      <tp>
        <v>2159</v>
        <stp/>
        <stp>115</stp>
        <stp>348884375</stp>
        <tr r="H25" s="1"/>
      </tp>
      <tp>
        <v>1428.4</v>
        <stp/>
        <stp>105</stp>
        <stp>348884375</stp>
        <tr r="K23" s="1"/>
      </tp>
      <tp>
        <v>38.119999999999997</v>
        <stp/>
        <stp>135</stp>
        <stp>348884375</stp>
        <tr r="J28" s="1"/>
      </tp>
      <tp>
        <v>30.29</v>
        <stp/>
        <stp>125</stp>
        <stp>348884375</stp>
        <tr r="I27" s="1"/>
      </tp>
      <tp>
        <v>232.1</v>
        <stp/>
        <stp>195</stp>
        <stp>348884375</stp>
        <tr r="H39" s="1"/>
      </tp>
      <tp>
        <v>1519.5</v>
        <stp/>
        <stp>185</stp>
        <stp>348884375</stp>
        <tr r="K36" s="1"/>
      </tp>
      <tp>
        <v>40.36</v>
        <stp/>
        <stp>246</stp>
        <stp>348884375</stp>
        <tr r="I44" s="1"/>
      </tp>
      <tp>
        <v>172.81</v>
        <stp/>
        <stp>216</stp>
        <stp>348884375</stp>
        <tr r="J41" s="1"/>
        <tr r="J41" s="1"/>
      </tp>
      <tp>
        <v>158.57</v>
        <stp/>
        <stp>206</stp>
        <stp>348884375</stp>
        <tr r="I40" s="1"/>
        <tr r="I40" s="1"/>
      </tp>
      <tp>
        <v>40.18</v>
        <stp/>
        <stp>236</stp>
        <stp>348884375</stp>
        <tr r="J44" s="1"/>
        <tr r="J44" s="1"/>
      </tp>
      <tp>
        <v>283.27999999999997</v>
        <stp/>
        <stp>226</stp>
        <stp>348884375</stp>
        <tr r="I42" s="1"/>
        <tr r="I42" s="1"/>
      </tp>
      <tp>
        <v>3429</v>
        <stp/>
        <stp>156</stp>
        <stp>348884375</stp>
        <tr r="H33" s="1"/>
        <tr r="H33" s="1"/>
      </tp>
      <tp>
        <v>365.7</v>
        <stp/>
        <stp>146</stp>
        <stp>348884375</stp>
        <tr r="J30" s="1"/>
        <tr r="J30" s="1"/>
      </tp>
      <tp>
        <v>1777</v>
        <stp/>
        <stp>176</stp>
        <stp>348884375</stp>
        <tr r="J35" s="1"/>
        <tr r="J35" s="1"/>
      </tp>
      <tp>
        <v>8472</v>
        <stp/>
        <stp>166</stp>
        <stp>348884375</stp>
        <tr r="I34" s="1"/>
        <tr r="I34" s="1"/>
      </tp>
      <tp>
        <v>2253</v>
        <stp/>
        <stp>116</stp>
        <stp>348884375</stp>
        <tr r="H25" s="1"/>
        <tr r="H25" s="1"/>
      </tp>
      <tp>
        <v>992.1</v>
        <stp/>
        <stp>106</stp>
        <stp>348884375</stp>
        <tr r="K23" s="1"/>
        <tr r="K23" s="1"/>
      </tp>
      <tp>
        <v>38.85</v>
        <stp/>
        <stp>136</stp>
        <stp>348884375</stp>
        <tr r="J28" s="1"/>
        <tr r="J28" s="1"/>
      </tp>
      <tp>
        <v>31.75</v>
        <stp/>
        <stp>126</stp>
        <stp>348884375</stp>
        <tr r="I27" s="1"/>
        <tr r="I27" s="1"/>
      </tp>
      <tp>
        <v>236.2</v>
        <stp/>
        <stp>196</stp>
        <stp>348884375</stp>
        <tr r="H39" s="1"/>
        <tr r="H39" s="1"/>
      </tp>
      <tp>
        <v>1060</v>
        <stp/>
        <stp>186</stp>
        <stp>348884375</stp>
        <tr r="K36" s="1"/>
        <tr r="K36" s="1"/>
      </tp>
      <tp>
        <v>40.67</v>
        <stp/>
        <stp>247</stp>
        <stp>348884375</stp>
        <tr r="I44" s="1"/>
        <tr r="I44" s="1"/>
      </tp>
      <tp>
        <v>164.19</v>
        <stp/>
        <stp>217</stp>
        <stp>348884375</stp>
        <tr r="K41" s="1"/>
      </tp>
      <tp>
        <v>155.63</v>
        <stp/>
        <stp>207</stp>
        <stp>348884375</stp>
        <tr r="J40" s="1"/>
      </tp>
      <tp>
        <v>40.36</v>
        <stp/>
        <stp>237</stp>
        <stp>348884375</stp>
        <tr r="K44" s="1"/>
      </tp>
      <tp>
        <v>273.77999999999997</v>
        <stp/>
        <stp>227</stp>
        <stp>348884375</stp>
        <tr r="K42" s="1"/>
      </tp>
      <tp>
        <v>3347</v>
        <stp/>
        <stp>157</stp>
        <stp>348884375</stp>
        <tr r="I33" s="1"/>
      </tp>
      <tp>
        <v>3551</v>
        <stp/>
        <stp>147</stp>
        <stp>348884375</stp>
        <tr r="H32" s="1"/>
      </tp>
      <tp>
        <v>1779.5</v>
        <stp/>
        <stp>177</stp>
        <stp>348884375</stp>
        <tr r="K35" s="1"/>
      </tp>
      <tp>
        <v>8376</v>
        <stp/>
        <stp>167</stp>
        <stp>348884375</stp>
        <tr r="J34" s="1"/>
      </tp>
      <tp>
        <v>2159</v>
        <stp/>
        <stp>117</stp>
        <stp>348884375</stp>
        <tr r="I25" s="1"/>
      </tp>
      <tp>
        <v>653.6</v>
        <stp/>
        <stp>107</stp>
        <stp>348884375</stp>
        <tr r="H24" s="1"/>
      </tp>
      <tp>
        <v>38.119999999999997</v>
        <stp/>
        <stp>137</stp>
        <stp>348884375</stp>
        <tr r="K28" s="1"/>
      </tp>
      <tp>
        <v>30.29</v>
        <stp/>
        <stp>127</stp>
        <stp>348884375</stp>
        <tr r="J27" s="1"/>
      </tp>
      <tp>
        <v>232.1</v>
        <stp/>
        <stp>197</stp>
        <stp>348884375</stp>
        <tr r="I39" s="1"/>
      </tp>
      <tp>
        <v>126.03</v>
        <stp/>
        <stp>187</stp>
        <stp>348884375</stp>
        <tr r="H38" s="1"/>
      </tp>
      <tp>
        <v>149.77000000000001</v>
        <stp/>
        <stp>240</stp>
        <stp>348884375</stp>
        <tr r="K43" s="1"/>
        <tr r="K43" s="1"/>
      </tp>
      <tp>
        <v>111.82</v>
        <stp/>
        <stp>210</stp>
        <stp>348884375</stp>
        <tr r="K40" s="1"/>
        <tr r="K40" s="1"/>
      </tp>
      <tp>
        <v>254.45</v>
        <stp/>
        <stp>200</stp>
        <stp>348884375</stp>
        <tr r="J39" s="1"/>
        <tr r="J39" s="1"/>
      </tp>
      <tp>
        <v>204.22</v>
        <stp/>
        <stp>230</stp>
        <stp>348884375</stp>
        <tr r="H43" s="1"/>
        <tr r="H43" s="1"/>
      </tp>
      <tp>
        <v>-3.0379999999999998</v>
        <stp/>
        <stp>220</stp>
        <stp>348884375</stp>
        <tr r="D42" s="1"/>
        <tr r="D42" s="1"/>
      </tp>
      <tp>
        <v>3592</v>
        <stp/>
        <stp>150</stp>
        <stp>348884375</stp>
        <tr r="I32" s="1"/>
        <tr r="I32" s="1"/>
      </tp>
      <tp>
        <v>365.4</v>
        <stp/>
        <stp>140</stp>
        <stp>348884375</stp>
        <tr r="H30" s="1"/>
        <tr r="H30" s="1"/>
      </tp>
      <tp>
        <v>4756</v>
        <stp/>
        <stp>170</stp>
        <stp>348884375</stp>
        <tr r="K34" s="1"/>
        <tr r="K34" s="1"/>
      </tp>
      <tp>
        <v>3462.5</v>
        <stp/>
        <stp>160</stp>
        <stp>348884375</stp>
        <tr r="J33" s="1"/>
        <tr r="J33" s="1"/>
      </tp>
      <tp>
        <v>688</v>
        <stp/>
        <stp>110</stp>
        <stp>348884375</stp>
        <tr r="I24" s="1"/>
        <tr r="I24" s="1"/>
      </tp>
      <tp>
        <v>1472.2</v>
        <stp/>
        <stp>100</stp>
        <stp>348884375</stp>
        <tr r="H23" s="1"/>
        <tr r="H23" s="1"/>
      </tp>
      <tp>
        <v>30.5</v>
        <stp/>
        <stp>130</stp>
        <stp>348884375</stp>
        <tr r="K27" s="1"/>
        <tr r="K27" s="1"/>
      </tp>
      <tp>
        <v>2100</v>
        <stp/>
        <stp>120</stp>
        <stp>348884375</stp>
        <tr r="J25" s="1"/>
        <tr r="J25" s="1"/>
      </tp>
      <tp>
        <v>131.29</v>
        <stp/>
        <stp>190</stp>
        <stp>348884375</stp>
        <tr r="I38" s="1"/>
        <tr r="I38" s="1"/>
      </tp>
      <tp>
        <v>1537</v>
        <stp/>
        <stp>180</stp>
        <stp>348884375</stp>
        <tr r="H36" s="1"/>
        <tr r="H36" s="1"/>
      </tp>
      <tp t="s">
        <v>The record could not be found (Error code: 0)</v>
        <stp/>
        <stp>241</stp>
        <stp>348884375</stp>
        <tr r="D44" s="1"/>
      </tp>
      <tp>
        <v>164.19</v>
        <stp/>
        <stp>211</stp>
        <stp>348884375</stp>
        <tr r="H41" s="1"/>
      </tp>
      <tp>
        <v>232.1</v>
        <stp/>
        <stp>201</stp>
        <stp>348884375</stp>
        <tr r="K39" s="1"/>
      </tp>
      <tp>
        <v>198.06</v>
        <stp/>
        <stp>231</stp>
        <stp>348884375</stp>
        <tr r="I43" s="1"/>
      </tp>
      <tp>
        <v>273.77999999999997</v>
        <stp/>
        <stp>221</stp>
        <stp>348884375</stp>
        <tr r="H42" s="1"/>
      </tp>
      <tp>
        <v>3551</v>
        <stp/>
        <stp>151</stp>
        <stp>348884375</stp>
        <tr r="J32" s="1"/>
      </tp>
      <tp>
        <v>358.5</v>
        <stp/>
        <stp>141</stp>
        <stp>348884375</stp>
        <tr r="I30" s="1"/>
      </tp>
      <tp>
        <v>1779.5</v>
        <stp/>
        <stp>171</stp>
        <stp>348884375</stp>
        <tr r="H35" s="1"/>
      </tp>
      <tp>
        <v>8376</v>
        <stp/>
        <stp>161</stp>
        <stp>348884375</stp>
        <tr r="H34" s="1"/>
      </tp>
      <tp>
        <v>653.6</v>
        <stp/>
        <stp>111</stp>
        <stp>348884375</stp>
        <tr r="J24" s="1"/>
      </tp>
      <tp>
        <v>1428.4</v>
        <stp/>
        <stp>101</stp>
        <stp>348884375</stp>
        <tr r="I23" s="1"/>
      </tp>
      <tp>
        <v>38.119999999999997</v>
        <stp/>
        <stp>131</stp>
        <stp>348884375</stp>
        <tr r="H28" s="1"/>
      </tp>
      <tp>
        <v>2159</v>
        <stp/>
        <stp>121</stp>
        <stp>348884375</stp>
        <tr r="K25" s="1"/>
      </tp>
      <tp>
        <v>126.03</v>
        <stp/>
        <stp>191</stp>
        <stp>348884375</stp>
        <tr r="J38" s="1"/>
      </tp>
      <tp>
        <v>1519.5</v>
        <stp/>
        <stp>181</stp>
        <stp>348884375</stp>
        <tr r="I36" s="1"/>
      </tp>
      <tp t="s">
        <v>The record could not be found (Error code: 0)</v>
        <stp/>
        <stp>242</stp>
        <stp>348884375</stp>
        <tr r="D44" s="1"/>
        <tr r="D44" s="1"/>
      </tp>
      <tp>
        <v>168.06</v>
        <stp/>
        <stp>212</stp>
        <stp>348884375</stp>
        <tr r="H41" s="1"/>
        <tr r="H41" s="1"/>
      </tp>
      <tp>
        <v>175.98</v>
        <stp/>
        <stp>202</stp>
        <stp>348884375</stp>
        <tr r="K39" s="1"/>
        <tr r="K39" s="1"/>
      </tp>
      <tp>
        <v>207.8</v>
        <stp/>
        <stp>232</stp>
        <stp>348884375</stp>
        <tr r="I43" s="1"/>
        <tr r="I43" s="1"/>
      </tp>
      <tp>
        <v>279.19</v>
        <stp/>
        <stp>222</stp>
        <stp>348884375</stp>
        <tr r="H42" s="1"/>
        <tr r="H42" s="1"/>
      </tp>
      <tp>
        <v>3541</v>
        <stp/>
        <stp>152</stp>
        <stp>348884375</stp>
        <tr r="J32" s="1"/>
        <tr r="J32" s="1"/>
      </tp>
      <tp>
        <v>380.3</v>
        <stp/>
        <stp>142</stp>
        <stp>348884375</stp>
        <tr r="I30" s="1"/>
        <tr r="I30" s="1"/>
      </tp>
      <tp>
        <v>1772.5</v>
        <stp/>
        <stp>172</stp>
        <stp>348884375</stp>
        <tr r="H35" s="1"/>
        <tr r="H35" s="1"/>
      </tp>
      <tp>
        <v>8857</v>
        <stp/>
        <stp>162</stp>
        <stp>348884375</stp>
        <tr r="H34" s="1"/>
        <tr r="H34" s="1"/>
      </tp>
      <tp>
        <v>655</v>
        <stp/>
        <stp>112</stp>
        <stp>348884375</stp>
        <tr r="J24" s="1"/>
        <tr r="J24" s="1"/>
      </tp>
      <tp>
        <v>1510</v>
        <stp/>
        <stp>102</stp>
        <stp>348884375</stp>
        <tr r="I23" s="1"/>
        <tr r="I23" s="1"/>
      </tp>
      <tp>
        <v>40.04</v>
        <stp/>
        <stp>132</stp>
        <stp>348884375</stp>
        <tr r="H28" s="1"/>
        <tr r="H28" s="1"/>
      </tp>
      <tp>
        <v>1450</v>
        <stp/>
        <stp>122</stp>
        <stp>348884375</stp>
        <tr r="K25" s="1"/>
        <tr r="K25" s="1"/>
      </tp>
      <tp>
        <v>125.25</v>
        <stp/>
        <stp>192</stp>
        <stp>348884375</stp>
        <tr r="J38" s="1"/>
        <tr r="J38" s="1"/>
      </tp>
      <tp>
        <v>1529.5</v>
        <stp/>
        <stp>182</stp>
        <stp>348884375</stp>
        <tr r="I36" s="1"/>
        <tr r="I36" s="1"/>
      </tp>
      <tp t="s">
        <v>The record could not be found (Error code: 0)</v>
        <stp/>
        <stp>243</stp>
        <stp>348884375</stp>
        <tr r="C44" s="1"/>
      </tp>
      <tp>
        <v>164.19</v>
        <stp/>
        <stp>213</stp>
        <stp>348884375</stp>
        <tr r="I41" s="1"/>
      </tp>
      <tp>
        <v>155.63</v>
        <stp/>
        <stp>203</stp>
        <stp>348884375</stp>
        <tr r="H40" s="1"/>
      </tp>
      <tp>
        <v>198.06</v>
        <stp/>
        <stp>233</stp>
        <stp>348884375</stp>
        <tr r="J43" s="1"/>
      </tp>
      <tp>
        <v>273.77999999999997</v>
        <stp/>
        <stp>223</stp>
        <stp>348884375</stp>
        <tr r="J42" s="1"/>
      </tp>
      <tp>
        <v>3551</v>
        <stp/>
        <stp>153</stp>
        <stp>348884375</stp>
        <tr r="K32" s="1"/>
      </tp>
      <tp>
        <v>358.5</v>
        <stp/>
        <stp>143</stp>
        <stp>348884375</stp>
        <tr r="K30" s="1"/>
      </tp>
      <tp>
        <v>1779.5</v>
        <stp/>
        <stp>173</stp>
        <stp>348884375</stp>
        <tr r="I35" s="1"/>
      </tp>
      <tp>
        <v>3347</v>
        <stp/>
        <stp>163</stp>
        <stp>348884375</stp>
        <tr r="K33" s="1"/>
      </tp>
      <tp>
        <v>653.6</v>
        <stp/>
        <stp>113</stp>
        <stp>348884375</stp>
        <tr r="K24" s="1"/>
      </tp>
      <tp>
        <v>1428.4</v>
        <stp/>
        <stp>103</stp>
        <stp>348884375</stp>
        <tr r="J23" s="1"/>
      </tp>
      <tp>
        <v>38.119999999999997</v>
        <stp/>
        <stp>133</stp>
        <stp>348884375</stp>
        <tr r="I28" s="1"/>
      </tp>
      <tp>
        <v>30.29</v>
        <stp/>
        <stp>123</stp>
        <stp>348884375</stp>
        <tr r="H27" s="1"/>
      </tp>
      <tp>
        <v>126.03</v>
        <stp/>
        <stp>193</stp>
        <stp>348884375</stp>
        <tr r="K38" s="1"/>
      </tp>
      <tp>
        <v>1519.5</v>
        <stp/>
        <stp>183</stp>
        <stp>348884375</stp>
        <tr r="J36" s="1"/>
      </tp>
      <tp>
        <v>109.78</v>
        <stp/>
        <stp>218</stp>
        <stp>348884375</stp>
        <tr r="K41" s="1"/>
        <tr r="K41" s="1"/>
      </tp>
      <tp>
        <v>166.68</v>
        <stp/>
        <stp>208</stp>
        <stp>348884375</stp>
        <tr r="J40" s="1"/>
        <tr r="J40" s="1"/>
      </tp>
      <tp>
        <v>32.06</v>
        <stp/>
        <stp>238</stp>
        <stp>348884375</stp>
        <tr r="K44" s="1"/>
        <tr r="K44" s="1"/>
      </tp>
      <tp>
        <v>201.2</v>
        <stp/>
        <stp>228</stp>
        <stp>348884375</stp>
        <tr r="K42" s="1"/>
        <tr r="K42" s="1"/>
      </tp>
      <tp>
        <v>3357</v>
        <stp/>
        <stp>158</stp>
        <stp>348884375</stp>
        <tr r="I33" s="1"/>
        <tr r="I33" s="1"/>
      </tp>
      <tp>
        <v>3671</v>
        <stp/>
        <stp>148</stp>
        <stp>348884375</stp>
        <tr r="H32" s="1"/>
        <tr r="H32" s="1"/>
      </tp>
      <tp>
        <v>1167</v>
        <stp/>
        <stp>178</stp>
        <stp>348884375</stp>
        <tr r="K35" s="1"/>
        <tr r="K35" s="1"/>
      </tp>
      <tp>
        <v>8417</v>
        <stp/>
        <stp>168</stp>
        <stp>348884375</stp>
        <tr r="J34" s="1"/>
        <tr r="J34" s="1"/>
      </tp>
      <tp>
        <v>2329</v>
        <stp/>
        <stp>118</stp>
        <stp>348884375</stp>
        <tr r="I25" s="1"/>
        <tr r="I25" s="1"/>
      </tp>
      <tp>
        <v>668.4</v>
        <stp/>
        <stp>108</stp>
        <stp>348884375</stp>
        <tr r="H24" s="1"/>
        <tr r="H24" s="1"/>
      </tp>
      <tp>
        <v>31.07</v>
        <stp/>
        <stp>138</stp>
        <stp>348884375</stp>
        <tr r="K28" s="1"/>
        <tr r="K28" s="1"/>
      </tp>
      <tp>
        <v>31</v>
        <stp/>
        <stp>128</stp>
        <stp>348884375</stp>
        <tr r="J27" s="1"/>
        <tr r="J27" s="1"/>
      </tp>
      <tp>
        <v>240.69</v>
        <stp/>
        <stp>198</stp>
        <stp>348884375</stp>
        <tr r="I39" s="1"/>
        <tr r="I39" s="1"/>
      </tp>
      <tp>
        <v>128.24</v>
        <stp/>
        <stp>188</stp>
        <stp>348884375</stp>
        <tr r="H38" s="1"/>
        <tr r="H38" s="1"/>
      </tp>
      <tp>
        <v>63.113999999999997</v>
        <stp/>
        <stp>219</stp>
        <stp>348884375</stp>
        <tr r="D42" s="1"/>
      </tp>
      <tp>
        <v>155.63</v>
        <stp/>
        <stp>209</stp>
        <stp>348884375</stp>
        <tr r="K40" s="1"/>
      </tp>
      <tp>
        <v>198.06</v>
        <stp/>
        <stp>239</stp>
        <stp>348884375</stp>
        <tr r="K43" s="1"/>
      </tp>
      <tp>
        <v>198.06</v>
        <stp/>
        <stp>229</stp>
        <stp>348884375</stp>
        <tr r="H43" s="1"/>
      </tp>
      <tp>
        <v>3347</v>
        <stp/>
        <stp>159</stp>
        <stp>348884375</stp>
        <tr r="J33" s="1"/>
      </tp>
      <tp>
        <v>3551</v>
        <stp/>
        <stp>149</stp>
        <stp>348884375</stp>
        <tr r="I32" s="1"/>
      </tp>
      <tp>
        <v>1519.5</v>
        <stp/>
        <stp>179</stp>
        <stp>348884375</stp>
        <tr r="H36" s="1"/>
      </tp>
      <tp>
        <v>8376</v>
        <stp/>
        <stp>169</stp>
        <stp>348884375</stp>
        <tr r="K34" s="1"/>
      </tp>
      <tp>
        <v>2159</v>
        <stp/>
        <stp>119</stp>
        <stp>348884375</stp>
        <tr r="J25" s="1"/>
      </tp>
      <tp>
        <v>653.6</v>
        <stp/>
        <stp>109</stp>
        <stp>348884375</stp>
        <tr r="I24" s="1"/>
      </tp>
      <tp>
        <v>358.5</v>
        <stp/>
        <stp>139</stp>
        <stp>348884375</stp>
        <tr r="H30" s="1"/>
      </tp>
      <tp>
        <v>30.29</v>
        <stp/>
        <stp>129</stp>
        <stp>348884375</stp>
        <tr r="K27" s="1"/>
      </tp>
      <tp>
        <v>232.1</v>
        <stp/>
        <stp>199</stp>
        <stp>348884375</stp>
        <tr r="J39" s="1"/>
      </tp>
      <tp>
        <v>126.03</v>
        <stp/>
        <stp>189</stp>
        <stp>348884375</stp>
        <tr r="I38" s="1"/>
      </tp>
      <tp>
        <v>140.71</v>
        <stp/>
        <stp>8</stp>
        <stp>348884375</stp>
        <tr r="J8" s="1"/>
        <tr r="J8" s="1"/>
      </tp>
      <tp>
        <v>131.91999999999999</v>
        <stp/>
        <stp>9</stp>
        <stp>348884375</stp>
        <tr r="K8" s="1"/>
      </tp>
      <tp>
        <v>131.91999999999999</v>
        <stp/>
        <stp>2</stp>
        <stp>348884375</stp>
        <tr r="H8" s="1"/>
      </tp>
      <tp>
        <v>128.52000000000001</v>
        <stp/>
        <stp>3</stp>
        <stp>348884375</stp>
        <tr r="H8" s="1"/>
        <tr r="H8" s="1"/>
      </tp>
      <tp t="s">
        <v>The formula must contain at least one field or function.</v>
        <stp/>
        <stp>1</stp>
        <stp>348884375</stp>
        <tr r="M2" s="1"/>
      </tp>
      <tp>
        <v>130.80000000000001</v>
        <stp/>
        <stp>6</stp>
        <stp>348884375</stp>
        <tr r="I8" s="1"/>
        <tr r="I8" s="1"/>
      </tp>
      <tp>
        <v>131.91999999999999</v>
        <stp/>
        <stp>7</stp>
        <stp>348884375</stp>
        <tr r="J8" s="1"/>
      </tp>
      <tp t="s">
        <v>The formula must contain at least one field or function.</v>
        <stp/>
        <stp>4</stp>
        <stp>348884375</stp>
        <tr r="M5" s="1"/>
      </tp>
      <tp>
        <v>131.91999999999999</v>
        <stp/>
        <stp>5</stp>
        <stp>348884375</stp>
        <tr r="I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CA"/>
              <a:t>Composite Risk Score by Bank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14-4BF4-BA99-8D63BE6D9D3F}"/>
            </c:ext>
          </c:extLst>
        </c:ser>
        <c:ser>
          <c:idx val="1"/>
          <c:order val="1"/>
          <c:tx>
            <c:v>Composite Risk Score</c:v>
          </c:tx>
          <c:invertIfNegative val="1"/>
          <c:cat>
            <c:strRef>
              <c:f>'Risk Score Model'!$A$8:$A$44</c:f>
              <c:strCache>
                <c:ptCount val="37"/>
                <c:pt idx="0">
                  <c:v>Citigroup</c:v>
                </c:pt>
                <c:pt idx="1">
                  <c:v>Bank of America</c:v>
                </c:pt>
                <c:pt idx="2">
                  <c:v>JPMorgan Chase</c:v>
                </c:pt>
                <c:pt idx="3">
                  <c:v>Goldman Sachs</c:v>
                </c:pt>
                <c:pt idx="4">
                  <c:v>Morgan Stanley</c:v>
                </c:pt>
                <c:pt idx="5">
                  <c:v>Wells Fargo</c:v>
                </c:pt>
                <c:pt idx="6">
                  <c:v>State Street Bank</c:v>
                </c:pt>
                <c:pt idx="7">
                  <c:v>France</c:v>
                </c:pt>
                <c:pt idx="8">
                  <c:v>BNP Paribas SA</c:v>
                </c:pt>
                <c:pt idx="9">
                  <c:v>Credit Agricole SA</c:v>
                </c:pt>
                <c:pt idx="10">
                  <c:v>Societe Generale</c:v>
                </c:pt>
                <c:pt idx="11">
                  <c:v>Switzerland</c:v>
                </c:pt>
                <c:pt idx="12">
                  <c:v>UBS Group AG</c:v>
                </c:pt>
                <c:pt idx="13">
                  <c:v>U.K.</c:v>
                </c:pt>
                <c:pt idx="14">
                  <c:v>Barclays Bank PLC</c:v>
                </c:pt>
                <c:pt idx="15">
                  <c:v>HSBC Holdings PLC</c:v>
                </c:pt>
                <c:pt idx="16">
                  <c:v>RBS Group PLC</c:v>
                </c:pt>
                <c:pt idx="17">
                  <c:v>Standard Chartered</c:v>
                </c:pt>
                <c:pt idx="18">
                  <c:v>Germany</c:v>
                </c:pt>
                <c:pt idx="19">
                  <c:v>Deutsche Bank AG</c:v>
                </c:pt>
                <c:pt idx="20">
                  <c:v>Commerzbank</c:v>
                </c:pt>
                <c:pt idx="21">
                  <c:v>Denmark</c:v>
                </c:pt>
                <c:pt idx="22">
                  <c:v>Danske</c:v>
                </c:pt>
                <c:pt idx="23">
                  <c:v>Japan</c:v>
                </c:pt>
                <c:pt idx="24">
                  <c:v>Mitsubishi</c:v>
                </c:pt>
                <c:pt idx="25">
                  <c:v>Sumitomo</c:v>
                </c:pt>
                <c:pt idx="26">
                  <c:v>Mizuho</c:v>
                </c:pt>
                <c:pt idx="27">
                  <c:v>Daiwa</c:v>
                </c:pt>
                <c:pt idx="28">
                  <c:v>Nomura</c:v>
                </c:pt>
                <c:pt idx="29">
                  <c:v>Canada</c:v>
                </c:pt>
                <c:pt idx="30">
                  <c:v>Bank of Nova Scotia</c:v>
                </c:pt>
                <c:pt idx="31">
                  <c:v>BMO</c:v>
                </c:pt>
                <c:pt idx="32">
                  <c:v>CIBC</c:v>
                </c:pt>
                <c:pt idx="33">
                  <c:v>TD</c:v>
                </c:pt>
                <c:pt idx="34">
                  <c:v>RBC</c:v>
                </c:pt>
                <c:pt idx="35">
                  <c:v>Nationale</c:v>
                </c:pt>
                <c:pt idx="36">
                  <c:v>Laurentian</c:v>
                </c:pt>
              </c:strCache>
            </c:strRef>
          </c:cat>
          <c:val>
            <c:numRef>
              <c:f>'Risk Score Model'!$G$8:$G$44</c:f>
              <c:numCache>
                <c:formatCode>0.0;[Red]\(0.0\);\-</c:formatCode>
                <c:ptCount val="37"/>
                <c:pt idx="0">
                  <c:v>36.68</c:v>
                </c:pt>
                <c:pt idx="1">
                  <c:v>69.97999999999999</c:v>
                </c:pt>
                <c:pt idx="2">
                  <c:v>13.36</c:v>
                </c:pt>
                <c:pt idx="3">
                  <c:v>79.960000000000008</c:v>
                </c:pt>
                <c:pt idx="4">
                  <c:v>86.68</c:v>
                </c:pt>
                <c:pt idx="5">
                  <c:v>19.98</c:v>
                </c:pt>
                <c:pt idx="6">
                  <c:v>43.32</c:v>
                </c:pt>
                <c:pt idx="8">
                  <c:v>0</c:v>
                </c:pt>
                <c:pt idx="9">
                  <c:v>50</c:v>
                </c:pt>
                <c:pt idx="10">
                  <c:v>100</c:v>
                </c:pt>
                <c:pt idx="12">
                  <c:v>0</c:v>
                </c:pt>
                <c:pt idx="14">
                  <c:v>60</c:v>
                </c:pt>
                <c:pt idx="15">
                  <c:v>26.680000000000003</c:v>
                </c:pt>
                <c:pt idx="16">
                  <c:v>53.32</c:v>
                </c:pt>
                <c:pt idx="17">
                  <c:v>59.980000000000004</c:v>
                </c:pt>
                <c:pt idx="19">
                  <c:v>60</c:v>
                </c:pt>
                <c:pt idx="20">
                  <c:v>40</c:v>
                </c:pt>
                <c:pt idx="22">
                  <c:v>0</c:v>
                </c:pt>
                <c:pt idx="24">
                  <c:v>40</c:v>
                </c:pt>
                <c:pt idx="25">
                  <c:v>15</c:v>
                </c:pt>
                <c:pt idx="26">
                  <c:v>60</c:v>
                </c:pt>
                <c:pt idx="27">
                  <c:v>55</c:v>
                </c:pt>
                <c:pt idx="28">
                  <c:v>80</c:v>
                </c:pt>
                <c:pt idx="30">
                  <c:v>92</c:v>
                </c:pt>
                <c:pt idx="31">
                  <c:v>36</c:v>
                </c:pt>
                <c:pt idx="32">
                  <c:v>48</c:v>
                </c:pt>
                <c:pt idx="33">
                  <c:v>32</c:v>
                </c:pt>
                <c:pt idx="34">
                  <c:v>52</c:v>
                </c:pt>
                <c:pt idx="35">
                  <c:v>40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4-4BF4-BA99-8D63BE6D9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0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5F02A0E3-C32E-48CE-B969-D4ABB72B0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kofcanada.sharepoint.com/sites/D_FER_CRA/mcrag/RA%20Materials/Biweekly%20Meetings/Bi-Weekly%20Templates/CRAO%20-%20Markets%20Monitoring.xlsx" TargetMode="External"/><Relationship Id="rId1" Type="http://schemas.openxmlformats.org/officeDocument/2006/relationships/externalLinkPath" Target="https://bankofcanada.sharepoint.com/sites/D_FER_CRA/mcrag/RA%20Materials/Biweekly%20Meetings/Bi-Weekly%20Templates/CRAO%20-%20Markets%20Monito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Log"/>
      <sheetName val="Bloomberg Codes"/>
      <sheetName val="_CIQHiddenCacheSheet"/>
      <sheetName val="Report"/>
      <sheetName val="TimeSeries_provinces_5yr"/>
      <sheetName val="TimeSeries_provinces"/>
      <sheetName val="Provinces"/>
      <sheetName val="Sovereign Indicators"/>
      <sheetName val="Bank Indicators"/>
      <sheetName val="DebtDist"/>
      <sheetName val="List"/>
    </sheetNames>
    <sheetDataSet>
      <sheetData sheetId="0" refreshError="1"/>
      <sheetData sheetId="1" refreshError="1"/>
      <sheetData sheetId="2">
        <row r="2">
          <cell r="O2" t="str">
            <v>Rating Code</v>
          </cell>
          <cell r="P2" t="str">
            <v>Equity Data</v>
          </cell>
          <cell r="Q2" t="str">
            <v>CDS 5Y</v>
          </cell>
          <cell r="R2" t="str">
            <v>CDS 1Y</v>
          </cell>
          <cell r="S2" t="str">
            <v>Corp Bond 5Y</v>
          </cell>
          <cell r="T2" t="str">
            <v>Liquidity Ratios</v>
          </cell>
          <cell r="U2" t="str">
            <v>General Debt Profile/Credit Tred</v>
          </cell>
        </row>
        <row r="3">
          <cell r="A3" t="str">
            <v>America</v>
          </cell>
          <cell r="N3" t="str">
            <v>Citigroup</v>
          </cell>
          <cell r="O3" t="str">
            <v>C US Equity</v>
          </cell>
          <cell r="P3" t="str">
            <v>C US Equity</v>
          </cell>
          <cell r="Q3" t="str">
            <v>CCGI1U5 CBIN Curncy</v>
          </cell>
          <cell r="R3" t="str">
            <v>CINC CDS USD SR 1Y D14</v>
          </cell>
          <cell r="S3" t="str">
            <v>C GB USD SR 5Y Corp</v>
          </cell>
        </row>
        <row r="4">
          <cell r="A4" t="str">
            <v>BRAZIL</v>
          </cell>
          <cell r="B4" t="str">
            <v>1323Z BZ Equity</v>
          </cell>
          <cell r="C4" t="str">
            <v>BRAZIL CDS USD SR 5Y D14 Corp</v>
          </cell>
          <cell r="D4" t="str">
            <v>GTBRL5Y Govt</v>
          </cell>
          <cell r="E4" t="str">
            <v>BCSWNPD Curncy</v>
          </cell>
          <cell r="F4" t="str">
            <v>IBOV Index</v>
          </cell>
          <cell r="G4" t="str">
            <v>USDBRL Curncy</v>
          </cell>
          <cell r="J4" t="str">
            <v>BZUETOTN Index</v>
          </cell>
          <cell r="N4" t="str">
            <v>Bank of America</v>
          </cell>
          <cell r="O4" t="str">
            <v>15581Z US Equity</v>
          </cell>
          <cell r="P4" t="str">
            <v>BAC US Equity</v>
          </cell>
          <cell r="Q4" t="str">
            <v>CBAC1U5 CBIN Curncy</v>
          </cell>
          <cell r="R4" t="str">
            <v>BOFA CDS USD SR 1Y D14</v>
          </cell>
          <cell r="S4" t="str">
            <v>BAC GB USD SR 5Y Corp</v>
          </cell>
        </row>
        <row r="5">
          <cell r="A5" t="str">
            <v>CANADA</v>
          </cell>
          <cell r="B5" t="str">
            <v>80710Z CN Equity</v>
          </cell>
          <cell r="C5" t="str">
            <v>CANPAC CDS USD SR 5Y D14 Corp</v>
          </cell>
          <cell r="D5" t="str">
            <v>GCAN5YR Index</v>
          </cell>
          <cell r="E5" t="str">
            <v>CDSW5 Curncy</v>
          </cell>
          <cell r="F5" t="str">
            <v>SPTSX Index</v>
          </cell>
          <cell r="G5" t="str">
            <v>USDCAD Curncy</v>
          </cell>
          <cell r="H5" t="str">
            <v>CACPIYOY Index</v>
          </cell>
          <cell r="I5" t="str">
            <v>CACPICHG Index</v>
          </cell>
          <cell r="J5" t="str">
            <v>CANLXEMR Index</v>
          </cell>
          <cell r="N5" t="str">
            <v>JPMorgan Chase &amp; Co</v>
          </cell>
          <cell r="O5" t="str">
            <v>8147Z US Equity</v>
          </cell>
          <cell r="P5" t="str">
            <v>JPM US Equity</v>
          </cell>
          <cell r="Q5" t="str">
            <v>CJPM1U5 CBIN Curncy</v>
          </cell>
          <cell r="R5" t="str">
            <v>JPMCC CDS USD SR 1Y D14</v>
          </cell>
          <cell r="S5" t="str">
            <v>JPM GB USD SR 5Y Corp</v>
          </cell>
        </row>
        <row r="6">
          <cell r="A6" t="str">
            <v>MEXICO</v>
          </cell>
          <cell r="B6" t="str">
            <v>1426Z MM Equity</v>
          </cell>
          <cell r="C6" t="str">
            <v>MEXICO CDS USD SR 5Y D14 Corp</v>
          </cell>
          <cell r="D6" t="str">
            <v>GMXN05YR Index</v>
          </cell>
          <cell r="E6" t="str">
            <v>MPSW5E Curncy</v>
          </cell>
          <cell r="F6" t="str">
            <v>MEXBOL Index</v>
          </cell>
          <cell r="G6" t="str">
            <v>USDMXN Curncy</v>
          </cell>
          <cell r="H6" t="str">
            <v>MXCPYOY Index</v>
          </cell>
          <cell r="I6" t="str">
            <v>MXCPCHNG Index</v>
          </cell>
          <cell r="J6" t="str">
            <v>MXUERATE Index</v>
          </cell>
          <cell r="N6" t="str">
            <v>BNP Paribas SA</v>
          </cell>
          <cell r="O6" t="str">
            <v>BNP FP Equity</v>
          </cell>
          <cell r="P6" t="str">
            <v>BNP FP Equity</v>
          </cell>
          <cell r="Q6" t="str">
            <v>CBNP1E5 CBIN Curncy</v>
          </cell>
          <cell r="R6" t="str">
            <v>BNP CDS EUR SR 1Y D14</v>
          </cell>
          <cell r="S6" t="str">
            <v>AL997029 Corp</v>
          </cell>
        </row>
        <row r="7">
          <cell r="A7" t="str">
            <v>UNITED STATES</v>
          </cell>
          <cell r="B7" t="str">
            <v>3352Z US Equity</v>
          </cell>
          <cell r="C7" t="str">
            <v>US CDS EUR SR 5Y D14 Corp</v>
          </cell>
          <cell r="D7" t="str">
            <v>USGG5YR Index</v>
          </cell>
          <cell r="E7" t="str">
            <v>USSWAP5 Curncy</v>
          </cell>
          <cell r="F7" t="str">
            <v>SPX Index</v>
          </cell>
          <cell r="H7" t="str">
            <v>CPI YOY Index</v>
          </cell>
          <cell r="I7" t="str">
            <v>CPI CHNG Index</v>
          </cell>
          <cell r="J7" t="str">
            <v>USURTOT Index</v>
          </cell>
          <cell r="N7" t="str">
            <v>Credit Agricole SA</v>
          </cell>
          <cell r="O7" t="str">
            <v>331900Z FP Equity</v>
          </cell>
          <cell r="P7" t="str">
            <v>ACA FP Equity</v>
          </cell>
          <cell r="Q7" t="str">
            <v>LCL SA CDS EUR SR 5Y D14 Corp</v>
          </cell>
          <cell r="R7" t="str">
            <v>LCL SA CDS EUR SR 1Y D14 Corp</v>
          </cell>
          <cell r="S7" t="str">
            <v>ACAFP 0.435 06/26/20 Corp</v>
          </cell>
        </row>
        <row r="8">
          <cell r="A8" t="str">
            <v>Europe</v>
          </cell>
          <cell r="N8" t="str">
            <v>Societe Generale SA</v>
          </cell>
          <cell r="O8" t="str">
            <v>GLE FP Equity</v>
          </cell>
          <cell r="P8" t="str">
            <v>GLE FP Equity</v>
          </cell>
          <cell r="Q8" t="str">
            <v>SOCGEN CDS EUR SR 5Y D14 Corp</v>
          </cell>
          <cell r="R8" t="str">
            <v>SOCGEN CDS EUR SR 1Y D14 Corp</v>
          </cell>
          <cell r="S8" t="str">
            <v>QJ659760 Corp</v>
          </cell>
        </row>
        <row r="9">
          <cell r="A9" t="str">
            <v>AUSTRIA</v>
          </cell>
          <cell r="B9" t="str">
            <v>1480Z AV Equity</v>
          </cell>
          <cell r="C9" t="str">
            <v>AUST CDS USD SR 5Y D14 Corp</v>
          </cell>
          <cell r="D9" t="str">
            <v>GAGB5YR Index</v>
          </cell>
          <cell r="E9" t="str">
            <v>EUSA5 CMPN Curncy</v>
          </cell>
          <cell r="F9" t="str">
            <v>ATX Index</v>
          </cell>
          <cell r="G9" t="str">
            <v>USDEUR Curncy</v>
          </cell>
          <cell r="H9" t="str">
            <v>ATCPYY10 Index</v>
          </cell>
          <cell r="J9" t="str">
            <v>ATUERNA Index</v>
          </cell>
          <cell r="N9" t="str">
            <v>UBS Group AG</v>
          </cell>
          <cell r="O9" t="str">
            <v>UBSN SW Equity</v>
          </cell>
          <cell r="P9" t="str">
            <v>UBSG SW Equity</v>
          </cell>
          <cell r="Q9" t="str">
            <v>UBS AG CDS EUR SR 5Y D14 Corp</v>
          </cell>
          <cell r="R9" t="str">
            <v>UBS CDS EUR SR 1Y D14 Corp</v>
          </cell>
          <cell r="S9" t="str">
            <v>UBS GB USD SR 3Y Corp</v>
          </cell>
        </row>
        <row r="10">
          <cell r="A10" t="str">
            <v>BELGIUM</v>
          </cell>
          <cell r="B10" t="str">
            <v>111136Z BB Equity</v>
          </cell>
          <cell r="C10" t="str">
            <v>BELG CDS USD SR 5Y D14 Corp</v>
          </cell>
          <cell r="D10" t="str">
            <v>GBGB5YR Index</v>
          </cell>
          <cell r="E10" t="str">
            <v>EUSA5 CMPN Curncy</v>
          </cell>
          <cell r="F10" t="str">
            <v>BEL20 Index</v>
          </cell>
          <cell r="G10" t="str">
            <v>USDEUR Curncy</v>
          </cell>
          <cell r="H10" t="str">
            <v>BECPYOY Index</v>
          </cell>
          <cell r="I10" t="str">
            <v>BECPCHNG Index</v>
          </cell>
          <cell r="J10" t="str">
            <v>BEUER Index</v>
          </cell>
          <cell r="N10" t="str">
            <v>HSBC Holdings PLC</v>
          </cell>
          <cell r="O10" t="str">
            <v>521903Z US Equity</v>
          </cell>
          <cell r="P10" t="str">
            <v>HSBA LN Equity</v>
          </cell>
          <cell r="Q10" t="str">
            <v>HSBCHD CDS GBP SR 5Y D14</v>
          </cell>
          <cell r="R10" t="str">
            <v>HSBCHD CDS GBP SR 1Y D14</v>
          </cell>
          <cell r="S10" t="str">
            <v>HSBC GB USD SR 5Y Corp</v>
          </cell>
        </row>
        <row r="11">
          <cell r="A11" t="str">
            <v>BRITAIN</v>
          </cell>
          <cell r="B11" t="str">
            <v>6152Z LN Equity</v>
          </cell>
          <cell r="C11" t="str">
            <v>UK CDS USD SR 5Y D14 Corp</v>
          </cell>
          <cell r="D11" t="str">
            <v>GUKG5 Index</v>
          </cell>
          <cell r="E11" t="str">
            <v>BPSW5 Curncy</v>
          </cell>
          <cell r="F11" t="str">
            <v>UKX Index</v>
          </cell>
          <cell r="G11" t="str">
            <v>USDGBP Curncy</v>
          </cell>
          <cell r="H11" t="str">
            <v>UKRPYOY Index</v>
          </cell>
          <cell r="I11" t="str">
            <v>UKRPMOM Index</v>
          </cell>
          <cell r="J11" t="str">
            <v>UKUEILOR Index</v>
          </cell>
          <cell r="N11" t="str">
            <v>Credit Suisse Group AG</v>
          </cell>
          <cell r="O11" t="str">
            <v>1236172D LN Equity</v>
          </cell>
          <cell r="P11" t="str">
            <v>CSGN SW Equity</v>
          </cell>
          <cell r="Q11" t="str">
            <v>CRDSUI CDS EUR SR 5Y D14 Corp</v>
          </cell>
          <cell r="R11" t="str">
            <v>CRDSUI CDS EUR SR 1Y D14 Corp</v>
          </cell>
          <cell r="S11" t="str">
            <v>CS GB USD SR 5Y Corp</v>
          </cell>
        </row>
        <row r="12">
          <cell r="A12" t="str">
            <v>CZECH REPUBLIC</v>
          </cell>
          <cell r="B12" t="str">
            <v>1040Z CP Equity</v>
          </cell>
          <cell r="C12" t="str">
            <v>CZECH CDS USD SR 5Y D14 Corp</v>
          </cell>
          <cell r="D12" t="str">
            <v>CZGB5YR Index</v>
          </cell>
          <cell r="E12" t="str">
            <v>CKSW5 Curncy</v>
          </cell>
          <cell r="F12" t="str">
            <v>PX Index</v>
          </cell>
          <cell r="G12" t="str">
            <v>USDCZK Curncy</v>
          </cell>
          <cell r="H12" t="str">
            <v>CZCPYOY Index</v>
          </cell>
          <cell r="I12" t="str">
            <v>CZCPMOM Index</v>
          </cell>
          <cell r="J12" t="str">
            <v>CZJLUNR Index</v>
          </cell>
          <cell r="N12" t="str">
            <v>RBS Group PLC</v>
          </cell>
          <cell r="O12" t="str">
            <v>RBS LN Equity</v>
          </cell>
          <cell r="P12" t="str">
            <v>RBS LN Equity</v>
          </cell>
          <cell r="Q12" t="str">
            <v>CRBS1E5 CBIN Curncy</v>
          </cell>
          <cell r="R12" t="str">
            <v>RPSPLC CDS EUR SR 1Y D14 Corp</v>
          </cell>
          <cell r="S12" t="str">
            <v>EI189405 Corp</v>
          </cell>
        </row>
        <row r="13">
          <cell r="A13" t="str">
            <v>DENMARK</v>
          </cell>
          <cell r="B13" t="str">
            <v>1271Z DC Equity</v>
          </cell>
          <cell r="C13" t="str">
            <v>DENK CDS USD SR 5Y D14 Corp</v>
          </cell>
          <cell r="D13" t="str">
            <v>GDGB5YR  Index</v>
          </cell>
          <cell r="E13" t="str">
            <v>DKSW5 Curncy</v>
          </cell>
          <cell r="F13" t="str">
            <v>KFX Index</v>
          </cell>
          <cell r="G13" t="str">
            <v>USDDKK Curncy</v>
          </cell>
          <cell r="H13" t="str">
            <v>DNCPIYOY Index</v>
          </cell>
          <cell r="I13" t="str">
            <v>DNCPIMOM Index</v>
          </cell>
          <cell r="J13" t="str">
            <v>DEUEGRAT Index</v>
          </cell>
          <cell r="N13" t="str">
            <v>Bank of Nova Scotia</v>
          </cell>
          <cell r="O13" t="str">
            <v>BNS CN Equity</v>
          </cell>
          <cell r="P13" t="str">
            <v>BNS CN Equity</v>
          </cell>
          <cell r="Q13" t="str">
            <v>BNS CDS USD SR 5Y D14 Corp</v>
          </cell>
          <cell r="R13" t="str">
            <v>BNS CDS USD SR 1Y D14 Corp</v>
          </cell>
          <cell r="S13" t="str">
            <v>BNS GB USD SR 5Y Corp</v>
          </cell>
        </row>
        <row r="14">
          <cell r="A14" t="str">
            <v>FINLAND</v>
          </cell>
          <cell r="B14" t="str">
            <v>1306Z FH Equity</v>
          </cell>
          <cell r="C14" t="str">
            <v>FINL CDS USD SR 5Y D14 Corp</v>
          </cell>
          <cell r="D14" t="str">
            <v>GFIN5YR Index</v>
          </cell>
          <cell r="E14" t="str">
            <v>EUSA5 CMPN Curncy</v>
          </cell>
          <cell r="F14" t="str">
            <v>HEX Index</v>
          </cell>
          <cell r="G14" t="str">
            <v>USDEUR Curncy</v>
          </cell>
          <cell r="H14" t="str">
            <v>FICP2YOY Index</v>
          </cell>
          <cell r="I14" t="str">
            <v>FICP2MOM Index</v>
          </cell>
          <cell r="J14" t="str">
            <v>FIUER Index</v>
          </cell>
          <cell r="N14" t="str">
            <v>BMO</v>
          </cell>
          <cell r="O14" t="str">
            <v>BMO CN Equity</v>
          </cell>
          <cell r="P14" t="str">
            <v>BMO CN Equity</v>
          </cell>
          <cell r="Q14" t="str">
            <v>BMO CDS USD SR 5Y D14 Corp</v>
          </cell>
          <cell r="R14" t="str">
            <v>BMO CDS USD SR 1Y D14 Corp</v>
          </cell>
          <cell r="S14" t="str">
            <v>QJ076587 Corp</v>
          </cell>
        </row>
        <row r="15">
          <cell r="A15" t="str">
            <v>FRANCE</v>
          </cell>
          <cell r="B15" t="str">
            <v>223727Z FP Equity</v>
          </cell>
          <cell r="C15" t="str">
            <v>FRANCE CDS USD SR 5Y D14 Corp</v>
          </cell>
          <cell r="D15" t="str">
            <v>GFRN5 Index</v>
          </cell>
          <cell r="E15" t="str">
            <v>EUSA5 CMPN Curncy</v>
          </cell>
          <cell r="F15" t="str">
            <v>CAC Index</v>
          </cell>
          <cell r="G15" t="str">
            <v>USDEUR Curncy</v>
          </cell>
          <cell r="H15" t="str">
            <v>FRCPISYY Index</v>
          </cell>
          <cell r="I15" t="str">
            <v>FRCPISMM Index</v>
          </cell>
          <cell r="J15" t="str">
            <v>FRUEREU Index</v>
          </cell>
          <cell r="N15" t="str">
            <v>CIBC</v>
          </cell>
          <cell r="O15" t="str">
            <v>CM CN Equity</v>
          </cell>
          <cell r="P15" t="str">
            <v>CM CN Equity</v>
          </cell>
          <cell r="S15" t="str">
            <v>CM 1.85 07/14/20 Corp</v>
          </cell>
        </row>
        <row r="16">
          <cell r="A16" t="str">
            <v>GERMANY</v>
          </cell>
          <cell r="B16" t="str">
            <v>3413Z GR Equity</v>
          </cell>
          <cell r="C16" t="str">
            <v>GERMAN CDS USD SR 5Y D14 Corp</v>
          </cell>
          <cell r="D16" t="str">
            <v>GDBR5 Index</v>
          </cell>
          <cell r="E16" t="str">
            <v>EUSA5 CMPN Curncy</v>
          </cell>
          <cell r="F16" t="str">
            <v>DAX Index</v>
          </cell>
          <cell r="G16" t="str">
            <v>USDEUR Curncy</v>
          </cell>
          <cell r="H16" t="str">
            <v>GRCP20YY Index</v>
          </cell>
          <cell r="I16" t="str">
            <v>GRCP20MM Index</v>
          </cell>
          <cell r="J16" t="str">
            <v>GRUEPR Index</v>
          </cell>
          <cell r="N16" t="str">
            <v>TD</v>
          </cell>
          <cell r="O16" t="str">
            <v>TD US Equity</v>
          </cell>
          <cell r="P16" t="str">
            <v>TD CN Equity</v>
          </cell>
          <cell r="Q16" t="str">
            <v>TD CDS USD SR 5Y D14 Corp</v>
          </cell>
          <cell r="R16" t="str">
            <v>TD CDS USD SR 1Y D14 Corp</v>
          </cell>
          <cell r="S16" t="str">
            <v>TD 2.621 12/22/21 Corp</v>
          </cell>
        </row>
        <row r="17">
          <cell r="A17" t="str">
            <v>GREECE</v>
          </cell>
          <cell r="B17" t="str">
            <v>1004Z GA Equity</v>
          </cell>
          <cell r="C17" t="str">
            <v>GREECE CDS USD SR 5Y D14 Corp</v>
          </cell>
          <cell r="D17" t="str">
            <v>GGGB5YR Index</v>
          </cell>
          <cell r="E17" t="str">
            <v>EUSA5 CMPN Curncy</v>
          </cell>
          <cell r="F17" t="str">
            <v>ASE Index</v>
          </cell>
          <cell r="G17" t="str">
            <v>USDEUR Curncy</v>
          </cell>
          <cell r="H17" t="str">
            <v>GKCPNEWY Index</v>
          </cell>
          <cell r="I17" t="str">
            <v>GKCPNEWM Index</v>
          </cell>
          <cell r="J17" t="str">
            <v>GKUERATE Index</v>
          </cell>
          <cell r="N17" t="str">
            <v>RBC</v>
          </cell>
          <cell r="O17" t="str">
            <v>RY CN Equity</v>
          </cell>
          <cell r="P17" t="str">
            <v>RY CN Equity</v>
          </cell>
          <cell r="S17" t="str">
            <v>RY GB USD SR 5Y Corp</v>
          </cell>
        </row>
        <row r="18">
          <cell r="A18" t="str">
            <v>IRELAND</v>
          </cell>
          <cell r="B18" t="str">
            <v>1266Z ID Equity</v>
          </cell>
          <cell r="C18" t="str">
            <v>IRELND CDS USD SR 5Y D14 Corp</v>
          </cell>
          <cell r="D18" t="str">
            <v>GTIEP5YR  Corp</v>
          </cell>
          <cell r="E18" t="str">
            <v>EUSA5 CMPN Curncy</v>
          </cell>
          <cell r="F18" t="str">
            <v>ISEQ Index</v>
          </cell>
          <cell r="G18" t="str">
            <v>USDEUR Curncy</v>
          </cell>
          <cell r="H18" t="str">
            <v>IECPIYOY Index</v>
          </cell>
          <cell r="I18" t="str">
            <v>IECPIMOM Index</v>
          </cell>
          <cell r="J18" t="str">
            <v>IEUERT Index</v>
          </cell>
          <cell r="N18" t="str">
            <v>Nationale</v>
          </cell>
          <cell r="O18" t="str">
            <v>NA CN Equity</v>
          </cell>
          <cell r="P18" t="str">
            <v>NA CN Equity</v>
          </cell>
          <cell r="S18" t="str">
            <v>EK777641 Corp</v>
          </cell>
        </row>
        <row r="19">
          <cell r="A19" t="str">
            <v>ITALY</v>
          </cell>
          <cell r="B19" t="str">
            <v>2103Z IM Equity</v>
          </cell>
          <cell r="C19" t="str">
            <v>ITALY CDS USD SR 5Y D14 Corp</v>
          </cell>
          <cell r="D19" t="str">
            <v>GBTPGR5 Index</v>
          </cell>
          <cell r="E19" t="str">
            <v>EUSA5 CMPN Curncy</v>
          </cell>
          <cell r="F19" t="str">
            <v>FTSEMIB Index</v>
          </cell>
          <cell r="G19" t="str">
            <v>USDEUR Curncy</v>
          </cell>
          <cell r="H19" t="str">
            <v>ITCPNICY Index</v>
          </cell>
          <cell r="I19" t="str">
            <v>ITCPNICM Index</v>
          </cell>
          <cell r="J19" t="str">
            <v>ITMUURS Index</v>
          </cell>
          <cell r="N19" t="str">
            <v>Deutche Bank AG</v>
          </cell>
          <cell r="O19" t="str">
            <v>DBK GR Equity</v>
          </cell>
          <cell r="P19" t="str">
            <v>DBK GR Equity</v>
          </cell>
          <cell r="Q19" t="str">
            <v>CDB1E5 CBIN Curncy</v>
          </cell>
          <cell r="R19" t="str">
            <v>DB CDS EUR SR 1Y D14</v>
          </cell>
          <cell r="S19" t="str">
            <v>LW0631934 Corp</v>
          </cell>
        </row>
        <row r="20">
          <cell r="A20" t="str">
            <v>LUXEMBOURG</v>
          </cell>
          <cell r="B20" t="str">
            <v>1110Z LX Equity</v>
          </cell>
          <cell r="C20" t="str">
            <v>LUXEMBOURG CDS USD SR 5Y D14 Corp</v>
          </cell>
          <cell r="D20" t="str">
            <v>EI2501308 Corp</v>
          </cell>
          <cell r="E20" t="str">
            <v>EUSA5 CMPN Curncy</v>
          </cell>
          <cell r="F20" t="str">
            <v>LUXXX Index</v>
          </cell>
          <cell r="G20" t="str">
            <v>USDEUR Curncy</v>
          </cell>
          <cell r="H20" t="str">
            <v>LXCPIYOY Index</v>
          </cell>
          <cell r="J20" t="str">
            <v>LXUERS Index</v>
          </cell>
          <cell r="N20" t="str">
            <v>Barclays Bank PLC</v>
          </cell>
          <cell r="P20" t="str">
            <v>BARC LN Equity</v>
          </cell>
          <cell r="Q20" t="str">
            <v>CBAR1E5 CBIN Curncy</v>
          </cell>
          <cell r="R20" t="str">
            <v>CBAR1E1 CBIN Curncy</v>
          </cell>
          <cell r="S20" t="str">
            <v>BACR GB USD SR 5Y Corp</v>
          </cell>
        </row>
        <row r="21">
          <cell r="A21" t="str">
            <v>NETHERLANDS</v>
          </cell>
          <cell r="B21" t="str">
            <v>1533Z NA Equity</v>
          </cell>
          <cell r="C21" t="str">
            <v>NETHER CDS USD SR 5Y D14 Corp</v>
          </cell>
          <cell r="D21" t="str">
            <v>GNTH5YR Index</v>
          </cell>
          <cell r="E21" t="str">
            <v>EUSA5 CMPN Curncy</v>
          </cell>
          <cell r="F21" t="str">
            <v>AEX Index</v>
          </cell>
          <cell r="G21" t="str">
            <v>USDEUR Curncy</v>
          </cell>
          <cell r="H21" t="str">
            <v>NECPIYOY Index</v>
          </cell>
          <cell r="I21" t="str">
            <v>NECPIMOM Index</v>
          </cell>
          <cell r="J21" t="str">
            <v>NEUETOTR Index</v>
          </cell>
          <cell r="N21" t="str">
            <v>Goldman Sachs Group</v>
          </cell>
          <cell r="P21" t="str">
            <v>GS US Equity</v>
          </cell>
          <cell r="Q21" t="str">
            <v>CGS1U5 CBIN Curncy</v>
          </cell>
          <cell r="R21" t="str">
            <v>CGS1U1 CBIN Curncy</v>
          </cell>
          <cell r="S21" t="str">
            <v>GS GB USD SR 5Y Corp</v>
          </cell>
        </row>
        <row r="22">
          <cell r="A22" t="str">
            <v>NORWAY</v>
          </cell>
          <cell r="B22" t="str">
            <v>1233Z NO Equity</v>
          </cell>
          <cell r="C22" t="str">
            <v>NORWAY CDS USD SR 5Y D14 Corp</v>
          </cell>
          <cell r="D22" t="str">
            <v>EI2488605 Corp</v>
          </cell>
          <cell r="E22" t="str">
            <v>NKSW5 Curncy</v>
          </cell>
          <cell r="F22" t="str">
            <v>OSEAX Index</v>
          </cell>
          <cell r="G22" t="str">
            <v>USDNOK Curncy</v>
          </cell>
          <cell r="H22" t="str">
            <v>NOCPIYOY Index</v>
          </cell>
          <cell r="I22" t="str">
            <v>NOCPIMOM Index</v>
          </cell>
          <cell r="J22" t="str">
            <v>NOLBRATE Index</v>
          </cell>
          <cell r="N22" t="str">
            <v>Morgan Stanley</v>
          </cell>
          <cell r="P22" t="str">
            <v>MS US Equity</v>
          </cell>
          <cell r="Q22" t="str">
            <v>CMWD1U5 CBIN Curncy</v>
          </cell>
          <cell r="R22" t="str">
            <v>MS CDS USD SR 1Y D14</v>
          </cell>
          <cell r="S22" t="str">
            <v>MS GB USD SR 5Y Corp</v>
          </cell>
        </row>
        <row r="23">
          <cell r="A23" t="str">
            <v>POLAND</v>
          </cell>
          <cell r="B23" t="str">
            <v>1084Z PW Equity</v>
          </cell>
          <cell r="C23" t="str">
            <v>POLAND CDS USD SR 5Y D14 Corp</v>
          </cell>
          <cell r="D23" t="str">
            <v>POGB5YR Index</v>
          </cell>
          <cell r="E23" t="str">
            <v>PZSW5 Curncy</v>
          </cell>
          <cell r="F23" t="str">
            <v>WIG Index</v>
          </cell>
          <cell r="G23" t="str">
            <v>USDPLN Curncy</v>
          </cell>
          <cell r="H23" t="str">
            <v>POCPIYOY Index</v>
          </cell>
          <cell r="I23" t="str">
            <v>POCPIMOM Index</v>
          </cell>
          <cell r="J23" t="str">
            <v>POUER Index</v>
          </cell>
          <cell r="N23" t="str">
            <v>State Street Bank &amp; Trust</v>
          </cell>
          <cell r="P23" t="str">
            <v>STT US Equity</v>
          </cell>
          <cell r="Q23" t="str">
            <v>STT CDS USD SR 5Y D14</v>
          </cell>
          <cell r="R23" t="str">
            <v>STT CDS USD SR 1Y D14</v>
          </cell>
          <cell r="S23" t="str">
            <v>STT GB USD SR 5Y Corp</v>
          </cell>
        </row>
        <row r="24">
          <cell r="A24" t="str">
            <v>PORTUGAL</v>
          </cell>
          <cell r="B24" t="str">
            <v>1174Z PL Equity</v>
          </cell>
          <cell r="C24" t="str">
            <v>PORTUG CDS USD SR 5Y D14 Corp</v>
          </cell>
          <cell r="D24" t="str">
            <v>GSPT5YR Index</v>
          </cell>
          <cell r="E24" t="str">
            <v>EUSA5 CMPN Curncy</v>
          </cell>
          <cell r="F24" t="str">
            <v>PSI20 Index</v>
          </cell>
          <cell r="G24" t="str">
            <v>USDEUR Curncy</v>
          </cell>
          <cell r="H24" t="str">
            <v>PLCPYOY Index</v>
          </cell>
          <cell r="I24" t="str">
            <v>PLCPMOM Index</v>
          </cell>
          <cell r="J24" t="str">
            <v>PTUE Index</v>
          </cell>
        </row>
        <row r="25">
          <cell r="A25" t="str">
            <v>SLOVENIA</v>
          </cell>
          <cell r="B25" t="str">
            <v>1091Z SV Equity</v>
          </cell>
          <cell r="C25" t="str">
            <v>SLOVEN CDS USD SR 5Y D14 Corp</v>
          </cell>
          <cell r="D25" t="str">
            <v>EI1152335 Corp</v>
          </cell>
          <cell r="E25" t="str">
            <v>EUSA5 CMPN Curncy</v>
          </cell>
          <cell r="F25" t="str">
            <v>SBITOP Index</v>
          </cell>
          <cell r="G25" t="str">
            <v>USDEUR Curncy</v>
          </cell>
          <cell r="H25" t="str">
            <v>SVCPYOY Index</v>
          </cell>
          <cell r="I25" t="str">
            <v>SVCPMOM Index</v>
          </cell>
          <cell r="J25" t="str">
            <v>SVUER Index</v>
          </cell>
        </row>
        <row r="26">
          <cell r="A26" t="str">
            <v>SPAIN</v>
          </cell>
          <cell r="B26" t="str">
            <v>1841Z SM Equity</v>
          </cell>
          <cell r="C26" t="str">
            <v>SPAIN CDS USD SR 5Y D14 Corp</v>
          </cell>
          <cell r="D26" t="str">
            <v>GSPG5YR Index</v>
          </cell>
          <cell r="E26" t="str">
            <v>EUSA5 CMPN Curncy</v>
          </cell>
          <cell r="F26" t="str">
            <v>IBEX Index</v>
          </cell>
          <cell r="G26" t="str">
            <v>USDEUR Curncy</v>
          </cell>
          <cell r="H26" t="str">
            <v>SPIPCYOY Index</v>
          </cell>
          <cell r="I26" t="str">
            <v>SPIPCMOM Index</v>
          </cell>
          <cell r="J26" t="str">
            <v>SPUNEMPR Index</v>
          </cell>
        </row>
        <row r="27">
          <cell r="A27" t="str">
            <v>SWEDEN</v>
          </cell>
          <cell r="B27" t="str">
            <v>1179Z SS Equity</v>
          </cell>
          <cell r="C27" t="str">
            <v>SWED CDS USD SR 5Y D14 Corp</v>
          </cell>
          <cell r="D27" t="str">
            <v>GSGB5YR Index</v>
          </cell>
          <cell r="E27" t="str">
            <v>SKSW5 Curncy</v>
          </cell>
          <cell r="F27" t="str">
            <v>OMX Index</v>
          </cell>
          <cell r="G27" t="str">
            <v>USDSEK Index</v>
          </cell>
          <cell r="H27" t="str">
            <v>SWCPYOY Index</v>
          </cell>
          <cell r="I27" t="str">
            <v>SWCPMOM Index</v>
          </cell>
          <cell r="J27" t="str">
            <v>SWUERATE Index</v>
          </cell>
        </row>
        <row r="28">
          <cell r="A28" t="str">
            <v>SWITZERLAND</v>
          </cell>
          <cell r="B28" t="str">
            <v>344758Z SW Equity</v>
          </cell>
          <cell r="C28" t="str">
            <v>SWISS CDS USD SR 5Y D14 Corp</v>
          </cell>
          <cell r="D28" t="str">
            <v>GSWISS05 Index</v>
          </cell>
          <cell r="E28" t="str">
            <v>SFSW5 Curncy</v>
          </cell>
          <cell r="F28" t="str">
            <v>SMI Index</v>
          </cell>
          <cell r="G28" t="str">
            <v>USDCHF Curncy</v>
          </cell>
          <cell r="H28" t="str">
            <v>SZCPIYOY Index</v>
          </cell>
          <cell r="I28" t="str">
            <v>SZCPIMOM Index</v>
          </cell>
          <cell r="J28" t="str">
            <v>SZUEUEA Index</v>
          </cell>
        </row>
        <row r="29">
          <cell r="A29" t="str">
            <v>UKRAINE</v>
          </cell>
          <cell r="B29" t="str">
            <v>1089Z UZ Equity</v>
          </cell>
          <cell r="C29" t="str">
            <v>CUKR1U5 CBBT Curncy</v>
          </cell>
          <cell r="D29" t="str">
            <v>GTUAH5YR  Corp</v>
          </cell>
          <cell r="E29" t="str">
            <v>UKSW5 Curncy</v>
          </cell>
          <cell r="F29" t="str">
            <v>PFTS Index</v>
          </cell>
          <cell r="G29" t="str">
            <v>USDUAH Curncy</v>
          </cell>
          <cell r="H29" t="str">
            <v>UACPTYOY Index</v>
          </cell>
          <cell r="J29" t="str">
            <v>UAUEILO Index</v>
          </cell>
        </row>
        <row r="30">
          <cell r="A30" t="str">
            <v>Asia/Pacific</v>
          </cell>
        </row>
        <row r="31">
          <cell r="A31" t="str">
            <v>AUSTRALIA</v>
          </cell>
          <cell r="B31" t="str">
            <v>1525Z AU Equity</v>
          </cell>
          <cell r="C31" t="str">
            <v>AUSTLA CDS USD SR 5Y D14 Corp</v>
          </cell>
          <cell r="D31" t="str">
            <v>GACGB5 Index</v>
          </cell>
          <cell r="E31" t="str">
            <v>ADSWAP5 Curncy</v>
          </cell>
          <cell r="F31" t="str">
            <v>AS51 Index</v>
          </cell>
          <cell r="G31" t="str">
            <v>USDAUD Curncy</v>
          </cell>
          <cell r="H31" t="str">
            <v>AUCPIYOY Index</v>
          </cell>
          <cell r="I31" t="str">
            <v>AUCPICHG Index</v>
          </cell>
          <cell r="J31" t="str">
            <v>AULFUNEM Index</v>
          </cell>
        </row>
        <row r="32">
          <cell r="A32" t="str">
            <v>CHINA</v>
          </cell>
          <cell r="B32" t="str">
            <v>PRCH CH Equity</v>
          </cell>
          <cell r="C32" t="str">
            <v>CHINAGOV CDS USD SR 5Y D14 Corp</v>
          </cell>
          <cell r="D32" t="str">
            <v>GCNY5YR Index</v>
          </cell>
          <cell r="E32" t="str">
            <v>CCSWN5 Curncy</v>
          </cell>
          <cell r="F32" t="str">
            <v>SHCOMP Index</v>
          </cell>
          <cell r="G32" t="str">
            <v>USDCNY Index</v>
          </cell>
          <cell r="H32" t="str">
            <v>CNCPIYOY Index</v>
          </cell>
          <cell r="J32" t="str">
            <v>CNUERATE Index</v>
          </cell>
        </row>
        <row r="33">
          <cell r="A33" t="str">
            <v>HONG KONG</v>
          </cell>
          <cell r="B33" t="str">
            <v>3343935Z HK Equity</v>
          </cell>
          <cell r="C33" t="str">
            <v>HONGK CDS USD SR 5Y D14 Corp</v>
          </cell>
          <cell r="D33" t="str">
            <v>EI4809337 Corp</v>
          </cell>
          <cell r="E33" t="str">
            <v>HDSW5 Curncy</v>
          </cell>
          <cell r="F33" t="str">
            <v>HSI Index</v>
          </cell>
          <cell r="G33" t="str">
            <v>USDHKD Curncy</v>
          </cell>
          <cell r="H33" t="str">
            <v>HKCPIY Index</v>
          </cell>
          <cell r="I33" t="str">
            <v>HKCPIM Index</v>
          </cell>
          <cell r="J33" t="str">
            <v>HKUERATE Index</v>
          </cell>
        </row>
        <row r="34">
          <cell r="A34" t="str">
            <v>INDIA</v>
          </cell>
          <cell r="B34" t="str">
            <v>1504Z IN Equity</v>
          </cell>
          <cell r="C34" t="str">
            <v>INDIA CDS USD SR 5Y D14 Corp</v>
          </cell>
          <cell r="D34" t="str">
            <v>GIND5YR Index</v>
          </cell>
          <cell r="E34" t="str">
            <v>IRSWO5 Curncy</v>
          </cell>
          <cell r="F34" t="str">
            <v>SENSEX Index</v>
          </cell>
          <cell r="G34" t="str">
            <v>USDINR Curncy</v>
          </cell>
          <cell r="H34" t="str">
            <v>INFUTOTY Index</v>
          </cell>
          <cell r="J34" t="str">
            <v>INUNCIA Index</v>
          </cell>
        </row>
        <row r="35">
          <cell r="A35" t="str">
            <v>JAPAN</v>
          </cell>
          <cell r="B35" t="str">
            <v>JAPZ JP Equity</v>
          </cell>
          <cell r="C35" t="str">
            <v>JAPAN CDS USD SR 5Y D14 Corp</v>
          </cell>
          <cell r="D35" t="str">
            <v>GJGB5 Index</v>
          </cell>
          <cell r="E35" t="str">
            <v>JYSWAP5 Curncy</v>
          </cell>
          <cell r="F35" t="str">
            <v>TPX Index</v>
          </cell>
          <cell r="G35" t="str">
            <v>USDJPY BGN Curncy</v>
          </cell>
          <cell r="H35" t="str">
            <v>JNCPIYOY Index</v>
          </cell>
          <cell r="J35" t="str">
            <v>JNUE Index</v>
          </cell>
        </row>
        <row r="36">
          <cell r="A36" t="str">
            <v>MALAYSIA</v>
          </cell>
          <cell r="B36" t="str">
            <v>1124Z MK Equity</v>
          </cell>
          <cell r="C36" t="str">
            <v>MALAYS CDS USD SR 5Y D14 Corp</v>
          </cell>
          <cell r="D36" t="str">
            <v>MGIY5Y Index</v>
          </cell>
          <cell r="E36" t="str">
            <v>MRSWQO5 Curncy</v>
          </cell>
          <cell r="F36" t="str">
            <v>FBMKLCI Index</v>
          </cell>
          <cell r="G36" t="str">
            <v>USDMYR Curncy</v>
          </cell>
          <cell r="H36" t="str">
            <v>MACPIYOY Index</v>
          </cell>
          <cell r="I36" t="str">
            <v>MACPIMOM Index</v>
          </cell>
          <cell r="J36" t="str">
            <v>MAEPRATE Index</v>
          </cell>
        </row>
        <row r="37">
          <cell r="A37" t="str">
            <v>NEW ZEALAND</v>
          </cell>
          <cell r="B37" t="str">
            <v>46443Z NZ Equity</v>
          </cell>
          <cell r="C37" t="str">
            <v>NZ CDS USD SR 5Y D14 Corp</v>
          </cell>
          <cell r="D37" t="str">
            <v>GNZGB5 Index</v>
          </cell>
          <cell r="E37" t="str">
            <v>NDSWAP5 Curncy</v>
          </cell>
          <cell r="F37" t="str">
            <v>NZSE50FG Index</v>
          </cell>
          <cell r="G37" t="str">
            <v>USDNZD Curncy</v>
          </cell>
          <cell r="H37" t="str">
            <v>NZCPIYOY Index</v>
          </cell>
          <cell r="I37" t="str">
            <v>NZCPICHG Index</v>
          </cell>
          <cell r="J37" t="str">
            <v>NZLFUNER Index</v>
          </cell>
        </row>
        <row r="38">
          <cell r="A38" t="str">
            <v>RUSSIA</v>
          </cell>
          <cell r="B38" t="str">
            <v>4458Z RU Equity</v>
          </cell>
          <cell r="C38" t="str">
            <v>RUSSIA CDS USD SR 5Y D14 Corp</v>
          </cell>
          <cell r="D38" t="str">
            <v>GTRUB5YR  Corp</v>
          </cell>
          <cell r="F38" t="str">
            <v>INDEXCF Index</v>
          </cell>
          <cell r="G38" t="str">
            <v>USDRUB Curncy</v>
          </cell>
          <cell r="H38" t="str">
            <v>RUCPIYOY Index</v>
          </cell>
          <cell r="I38" t="str">
            <v>RUCPIMOM Index</v>
          </cell>
          <cell r="J38" t="str">
            <v>RUUER Index</v>
          </cell>
        </row>
        <row r="39">
          <cell r="A39" t="str">
            <v>SINGAPORE</v>
          </cell>
          <cell r="B39" t="str">
            <v>1545Z SP Equity</v>
          </cell>
          <cell r="C39" t="str">
            <v>SINGAP CDS USD SR 5Y D14 Corp</v>
          </cell>
          <cell r="D39" t="str">
            <v>MASB5Y Index</v>
          </cell>
          <cell r="E39" t="str">
            <v>SDSW5 Curncy</v>
          </cell>
          <cell r="F39" t="str">
            <v>FSSTI Index</v>
          </cell>
          <cell r="G39" t="str">
            <v>USDSGD Curncy</v>
          </cell>
          <cell r="H39" t="str">
            <v>SICPIYOY Index</v>
          </cell>
          <cell r="I39" t="str">
            <v>SICPIMOM Index</v>
          </cell>
          <cell r="J39" t="str">
            <v>SIQUTOTA Index</v>
          </cell>
        </row>
        <row r="40">
          <cell r="A40" t="str">
            <v>SOUTH KOREA</v>
          </cell>
          <cell r="B40" t="str">
            <v>ROKZ KS Equity</v>
          </cell>
          <cell r="C40" t="str">
            <v>KOREA CDS USD SR 5Y D14 Corp</v>
          </cell>
          <cell r="D40" t="str">
            <v>GVSK5YR Index</v>
          </cell>
          <cell r="E40" t="str">
            <v>KWSWO5 Curncy</v>
          </cell>
          <cell r="F40" t="str">
            <v>KOSPI Index</v>
          </cell>
          <cell r="G40" t="str">
            <v>USDKRW Curncy</v>
          </cell>
          <cell r="H40" t="str">
            <v>KOCPIYOY Index</v>
          </cell>
          <cell r="I40" t="str">
            <v>KOCPIMOM Index</v>
          </cell>
          <cell r="J40" t="str">
            <v>KOEAUERS Index</v>
          </cell>
        </row>
        <row r="41">
          <cell r="A41" t="str">
            <v>TAIWAN</v>
          </cell>
          <cell r="B41" t="str">
            <v>116657Z TT Equity</v>
          </cell>
          <cell r="D41" t="str">
            <v>GVTW5YR Index</v>
          </cell>
          <cell r="E41" t="str">
            <v>NTSWO5 Curncy</v>
          </cell>
          <cell r="F41" t="str">
            <v>TWSE Index</v>
          </cell>
          <cell r="G41" t="str">
            <v>USDTWD Curncy</v>
          </cell>
          <cell r="H41" t="str">
            <v>TWCPIYOY Index</v>
          </cell>
          <cell r="I41" t="str">
            <v>TWCPII Index</v>
          </cell>
          <cell r="J41" t="str">
            <v>TWLFADJ Index</v>
          </cell>
        </row>
        <row r="42">
          <cell r="A42" t="str">
            <v>THAILAND</v>
          </cell>
          <cell r="B42" t="str">
            <v>1179Z TB Equity</v>
          </cell>
          <cell r="C42" t="str">
            <v>THAI CDS USD SR 5Y D14 Corp</v>
          </cell>
          <cell r="D42" t="str">
            <v>GVTL5YR Index</v>
          </cell>
          <cell r="E42" t="str">
            <v>TBSWO5 Curncy</v>
          </cell>
          <cell r="F42" t="str">
            <v>SET Index</v>
          </cell>
          <cell r="G42" t="str">
            <v>USDTHB Curncy</v>
          </cell>
          <cell r="H42" t="str">
            <v>THCPIYOY Index</v>
          </cell>
          <cell r="I42" t="str">
            <v>THCPIMOM Index</v>
          </cell>
          <cell r="J42" t="str">
            <v>THLMUERT Index</v>
          </cell>
        </row>
        <row r="43">
          <cell r="A43" t="str">
            <v>South Africa</v>
          </cell>
          <cell r="B43" t="str">
            <v>50184Z SJ Equity</v>
          </cell>
          <cell r="C43" t="str">
            <v>REPSOU CDS USD SR 5Y D14 Corp</v>
          </cell>
          <cell r="D43" t="str">
            <v>GTZAR5Y Govt</v>
          </cell>
          <cell r="E43" t="str">
            <v>SASW5 Curncy</v>
          </cell>
          <cell r="F43" t="str">
            <v>TOP40 Index</v>
          </cell>
          <cell r="G43" t="str">
            <v>USDZAR Curncy</v>
          </cell>
          <cell r="H43" t="str">
            <v>SCP8EPNY Index</v>
          </cell>
          <cell r="I43" t="str">
            <v>SCP8014M Index</v>
          </cell>
          <cell r="J43" t="str">
            <v>SAUERATQ Index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C1">
            <v>46218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E43C-D656-429E-BEE3-FB39AF9F3E15}">
  <dimension ref="A1:DC1"/>
  <sheetViews>
    <sheetView workbookViewId="0"/>
  </sheetViews>
  <sheetFormatPr defaultRowHeight="14.5"/>
  <sheetData>
    <row r="1" spans="1:107">
      <c r="A1">
        <v>107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  <c r="T1" t="s">
        <v>285</v>
      </c>
      <c r="U1" t="s">
        <v>286</v>
      </c>
      <c r="V1" t="s">
        <v>287</v>
      </c>
      <c r="W1" t="s">
        <v>288</v>
      </c>
      <c r="X1" t="s">
        <v>289</v>
      </c>
      <c r="Y1" t="s">
        <v>290</v>
      </c>
      <c r="Z1" t="s">
        <v>291</v>
      </c>
      <c r="AA1" t="s">
        <v>292</v>
      </c>
      <c r="AB1" t="s">
        <v>293</v>
      </c>
      <c r="AC1" t="s">
        <v>294</v>
      </c>
      <c r="AD1" t="s">
        <v>295</v>
      </c>
      <c r="AE1" t="s">
        <v>296</v>
      </c>
      <c r="AF1" t="s">
        <v>297</v>
      </c>
      <c r="AG1" t="s">
        <v>298</v>
      </c>
      <c r="AH1" t="s">
        <v>299</v>
      </c>
      <c r="AI1" t="s">
        <v>300</v>
      </c>
      <c r="AJ1" t="s">
        <v>301</v>
      </c>
      <c r="AK1" t="s">
        <v>302</v>
      </c>
      <c r="AL1" t="s">
        <v>303</v>
      </c>
      <c r="AM1" t="s">
        <v>304</v>
      </c>
      <c r="AN1" t="s">
        <v>305</v>
      </c>
      <c r="AO1" t="s">
        <v>306</v>
      </c>
      <c r="AP1" t="s">
        <v>307</v>
      </c>
      <c r="AQ1" t="s">
        <v>308</v>
      </c>
      <c r="AR1" t="s">
        <v>309</v>
      </c>
      <c r="AS1" t="s">
        <v>310</v>
      </c>
      <c r="AT1" t="s">
        <v>311</v>
      </c>
      <c r="AU1" t="s">
        <v>312</v>
      </c>
      <c r="AV1" t="s">
        <v>313</v>
      </c>
      <c r="AW1" t="s">
        <v>314</v>
      </c>
      <c r="AX1" t="s">
        <v>315</v>
      </c>
      <c r="AY1" t="s">
        <v>316</v>
      </c>
      <c r="AZ1" t="s">
        <v>317</v>
      </c>
      <c r="BA1" t="s">
        <v>318</v>
      </c>
      <c r="BB1" t="s">
        <v>319</v>
      </c>
      <c r="BC1" t="s">
        <v>320</v>
      </c>
      <c r="BD1" t="s">
        <v>321</v>
      </c>
      <c r="BE1" t="s">
        <v>322</v>
      </c>
      <c r="BF1" t="s">
        <v>323</v>
      </c>
      <c r="BG1" t="s">
        <v>324</v>
      </c>
      <c r="BH1" t="s">
        <v>325</v>
      </c>
      <c r="BI1" t="s">
        <v>326</v>
      </c>
      <c r="BJ1" t="s">
        <v>327</v>
      </c>
      <c r="BK1" t="s">
        <v>328</v>
      </c>
      <c r="BL1" t="s">
        <v>329</v>
      </c>
      <c r="BM1" t="s">
        <v>330</v>
      </c>
      <c r="BN1" t="s">
        <v>331</v>
      </c>
      <c r="BO1" t="s">
        <v>332</v>
      </c>
      <c r="BP1" t="s">
        <v>333</v>
      </c>
      <c r="BQ1" t="s">
        <v>334</v>
      </c>
      <c r="BR1" t="s">
        <v>335</v>
      </c>
      <c r="BS1" t="s">
        <v>336</v>
      </c>
      <c r="BT1" t="s">
        <v>337</v>
      </c>
      <c r="BU1" t="s">
        <v>338</v>
      </c>
      <c r="BV1" t="s">
        <v>339</v>
      </c>
      <c r="BW1" t="s">
        <v>340</v>
      </c>
      <c r="BX1" t="s">
        <v>341</v>
      </c>
      <c r="BY1" t="s">
        <v>342</v>
      </c>
      <c r="BZ1" t="s">
        <v>343</v>
      </c>
      <c r="CA1" t="s">
        <v>344</v>
      </c>
      <c r="CB1" t="s">
        <v>345</v>
      </c>
      <c r="CC1" t="s">
        <v>346</v>
      </c>
      <c r="CD1" t="s">
        <v>347</v>
      </c>
      <c r="CE1" t="s">
        <v>348</v>
      </c>
      <c r="CF1" t="s">
        <v>349</v>
      </c>
      <c r="CG1" t="s">
        <v>350</v>
      </c>
      <c r="CH1" t="s">
        <v>351</v>
      </c>
      <c r="CI1" t="s">
        <v>352</v>
      </c>
      <c r="CJ1" t="s">
        <v>353</v>
      </c>
      <c r="CK1" t="s">
        <v>354</v>
      </c>
      <c r="CL1" t="s">
        <v>355</v>
      </c>
      <c r="CM1" t="s">
        <v>356</v>
      </c>
      <c r="CN1" t="s">
        <v>357</v>
      </c>
      <c r="CO1" t="s">
        <v>358</v>
      </c>
      <c r="CP1" t="s">
        <v>359</v>
      </c>
      <c r="CQ1" t="s">
        <v>360</v>
      </c>
      <c r="CR1" t="s">
        <v>361</v>
      </c>
      <c r="CS1" t="s">
        <v>362</v>
      </c>
      <c r="CT1" t="s">
        <v>363</v>
      </c>
      <c r="CU1" t="s">
        <v>364</v>
      </c>
      <c r="CV1" t="s">
        <v>365</v>
      </c>
      <c r="CW1" t="s">
        <v>366</v>
      </c>
      <c r="CX1" t="s">
        <v>367</v>
      </c>
      <c r="CY1" t="s">
        <v>368</v>
      </c>
      <c r="CZ1" t="s">
        <v>369</v>
      </c>
      <c r="DA1" t="s">
        <v>370</v>
      </c>
      <c r="DB1" t="s">
        <v>371</v>
      </c>
      <c r="DC1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7631-A035-4B26-8F61-072DACD140F6}">
  <dimension ref="A1:Q64"/>
  <sheetViews>
    <sheetView tabSelected="1" zoomScale="84" zoomScaleNormal="84" workbookViewId="0">
      <selection activeCell="H9" sqref="H9"/>
    </sheetView>
  </sheetViews>
  <sheetFormatPr defaultRowHeight="14.5"/>
  <cols>
    <col min="1" max="1" width="19.36328125" customWidth="1"/>
    <col min="2" max="2" width="27.08984375" customWidth="1"/>
    <col min="3" max="3" width="23.90625" customWidth="1"/>
    <col min="8" max="8" width="15.08984375" customWidth="1"/>
    <col min="13" max="13" width="21.453125" customWidth="1"/>
    <col min="14" max="14" width="12.7265625" customWidth="1"/>
    <col min="15" max="15" width="18.7265625" customWidth="1"/>
    <col min="16" max="16" width="18.6328125" customWidth="1"/>
    <col min="17" max="17" width="12.1796875" customWidth="1"/>
  </cols>
  <sheetData>
    <row r="1" spans="1:17">
      <c r="A1" s="44"/>
      <c r="B1" s="43"/>
      <c r="C1" s="73" t="s">
        <v>234</v>
      </c>
      <c r="D1" s="74"/>
      <c r="E1" s="74"/>
      <c r="F1" s="74"/>
      <c r="G1" s="75"/>
      <c r="H1" s="73" t="s">
        <v>1</v>
      </c>
      <c r="I1" s="74"/>
      <c r="J1" s="74"/>
      <c r="K1" s="74"/>
    </row>
    <row r="2" spans="1:17">
      <c r="A2" s="42"/>
      <c r="B2" s="45" t="s">
        <v>235</v>
      </c>
      <c r="C2" s="1"/>
      <c r="D2" s="39">
        <v>-3</v>
      </c>
      <c r="E2" s="39">
        <v>-3</v>
      </c>
      <c r="F2" s="39">
        <v>-30</v>
      </c>
      <c r="G2" s="47">
        <v>-75</v>
      </c>
      <c r="H2" s="39">
        <v>2</v>
      </c>
      <c r="I2" s="39">
        <v>10</v>
      </c>
      <c r="J2" s="39">
        <v>30</v>
      </c>
      <c r="K2" s="39">
        <v>70</v>
      </c>
      <c r="M2" s="21" t="str" cm="1">
        <f t="array" ref="M2">_xll.TR("C5YUSAX=R","PCT1W")</f>
        <v>The formula must contain at least one field or function.</v>
      </c>
    </row>
    <row r="3" spans="1:17">
      <c r="A3" s="42"/>
      <c r="B3" s="45" t="s">
        <v>236</v>
      </c>
      <c r="C3" s="1"/>
      <c r="D3" s="48">
        <v>3</v>
      </c>
      <c r="E3" s="48">
        <v>3</v>
      </c>
      <c r="F3" s="49">
        <v>20</v>
      </c>
      <c r="G3" s="49">
        <v>50</v>
      </c>
      <c r="H3" s="48">
        <v>-3</v>
      </c>
      <c r="I3" s="48">
        <v>-10</v>
      </c>
      <c r="J3" s="48">
        <v>-30</v>
      </c>
      <c r="K3" s="48">
        <v>-70</v>
      </c>
      <c r="M3" s="40"/>
      <c r="N3" s="40"/>
    </row>
    <row r="4" spans="1:17">
      <c r="A4" s="43"/>
      <c r="B4" s="46"/>
      <c r="H4" s="50"/>
      <c r="I4" s="50"/>
      <c r="J4" s="50"/>
      <c r="K4" s="50"/>
      <c r="M4" s="21"/>
    </row>
    <row r="5" spans="1:17">
      <c r="A5" s="2"/>
      <c r="B5" s="2"/>
      <c r="C5" s="76" t="s">
        <v>0</v>
      </c>
      <c r="D5" s="74"/>
      <c r="E5" s="74"/>
      <c r="F5" s="74"/>
      <c r="G5" s="75"/>
      <c r="H5" s="76" t="s">
        <v>1</v>
      </c>
      <c r="I5" s="74"/>
      <c r="J5" s="74"/>
      <c r="K5" s="74"/>
      <c r="M5" s="24" t="str" cm="1">
        <f t="array" ref="M5">_xll.TR(O10,"TR.CDSMidSpread")</f>
        <v>The formula must contain at least one field or function.</v>
      </c>
    </row>
    <row r="6" spans="1:17">
      <c r="A6" s="3" t="s">
        <v>2</v>
      </c>
      <c r="B6" s="3" t="s">
        <v>254</v>
      </c>
      <c r="C6" s="3" t="s">
        <v>3</v>
      </c>
      <c r="D6" s="3" t="s">
        <v>4</v>
      </c>
      <c r="E6" s="3" t="s">
        <v>5</v>
      </c>
      <c r="F6" s="3" t="s">
        <v>6</v>
      </c>
      <c r="G6" s="4" t="s">
        <v>7</v>
      </c>
      <c r="H6" s="3" t="s">
        <v>4</v>
      </c>
      <c r="I6" s="3" t="s">
        <v>5</v>
      </c>
      <c r="J6" s="3" t="s">
        <v>6</v>
      </c>
      <c r="K6" s="3" t="s">
        <v>7</v>
      </c>
    </row>
    <row r="7" spans="1:17">
      <c r="A7" s="5" t="s">
        <v>8</v>
      </c>
      <c r="B7" s="5" t="s">
        <v>9</v>
      </c>
      <c r="C7" s="6"/>
      <c r="D7" s="6"/>
      <c r="E7" s="6"/>
      <c r="F7" s="6"/>
      <c r="G7" s="7"/>
      <c r="H7" s="6"/>
      <c r="I7" s="6"/>
      <c r="J7" s="6"/>
      <c r="K7" s="6"/>
      <c r="M7" s="13" t="s">
        <v>2</v>
      </c>
      <c r="N7" s="13" t="s">
        <v>49</v>
      </c>
      <c r="O7" s="16" t="s">
        <v>233</v>
      </c>
    </row>
    <row r="8" spans="1:17">
      <c r="A8" s="8" t="s">
        <v>10</v>
      </c>
      <c r="B8" s="9" t="s">
        <v>263</v>
      </c>
      <c r="C8" s="10">
        <f ca="1">'CDS from CapitalIQ'!C48</f>
        <v>61.5976</v>
      </c>
      <c r="D8" s="35">
        <f ca="1">'CDS from CapitalIQ'!T48</f>
        <v>-0.61730000000000018</v>
      </c>
      <c r="E8" s="35">
        <f ca="1">'CDS from CapitalIQ'!V48</f>
        <v>0.21560000000000201</v>
      </c>
      <c r="F8" s="35">
        <f ca="1">'CDS from CapitalIQ'!W48</f>
        <v>9.545499999999997</v>
      </c>
      <c r="G8" s="36">
        <f ca="1">'CDS from CapitalIQ'!X48</f>
        <v>2.3016000000000005</v>
      </c>
      <c r="H8" s="11" cm="1">
        <f t="array" aca="1" ref="H8" ca="1">(_xll.TR(N8,"TR.PriceClose")-_xll.TR(N8,"TR.PriceClose","SDate:"&amp;TEXT(WORKDAY(TODAY(),-5),"yyyy-mm-dd")))/_xll.TR(N8,"TR.PriceClose","SDate:"&amp;TEXT(WORKDAY(TODAY(),-5),"yyyy-mm-dd"))</f>
        <v>2.6455026455026277E-2</v>
      </c>
      <c r="I8" s="11" cm="1">
        <f t="array" aca="1" ref="I8" ca="1">(_xll.TR(N8,"TR.PriceClose")-_xll.TR(N8,"TR.PriceClose","SDate:"&amp;TEXT(WORKDAY(TODAY(),-10),"yyyy-mm-dd")))/_xll.TR(N8,"TR.PriceClose","SDate:"&amp;TEXT(WORKDAY(TODAY(),-10),"yyyy-mm-dd"))</f>
        <v>8.562691131498287E-3</v>
      </c>
      <c r="J8" s="11" cm="1">
        <f t="array" aca="1" ref="J8" ca="1">(_xll.TR(N8,"TR.PriceClose")-_xll.TR(N8,"TR.PriceClose","SDate:"&amp;EDATE(TODAY(),-3)))/_xll.TR(N8,"TR.PriceClose","SDate:"&amp;EDATE(TODAY(),-3))</f>
        <v>-6.2468907682467628E-2</v>
      </c>
      <c r="K8" s="11" cm="1">
        <f t="array" aca="1" ref="K8" ca="1">(_xll.TR(N8,"TR.PriceClose")-_xll.TR(N8,"TR.PriceClose","SDate:"&amp;EDATE(TODAY(),-12)))/_xll.TR(N8,"TR.PriceClose","SDate:"&amp;EDATE(TODAY(),-12))</f>
        <v>0.37273673257023926</v>
      </c>
      <c r="M8" s="14" t="s">
        <v>10</v>
      </c>
      <c r="N8" s="15" t="s">
        <v>50</v>
      </c>
      <c r="O8" t="s">
        <v>81</v>
      </c>
      <c r="Q8" s="31"/>
    </row>
    <row r="9" spans="1:17">
      <c r="A9" s="12" t="s">
        <v>11</v>
      </c>
      <c r="B9" s="9" t="s">
        <v>263</v>
      </c>
      <c r="C9" s="10">
        <f ca="1">'CDS from CapitalIQ'!C49</f>
        <v>62.620600000000003</v>
      </c>
      <c r="D9" s="35">
        <f ca="1">'CDS from CapitalIQ'!T49</f>
        <v>-0.71539999999999537</v>
      </c>
      <c r="E9" s="35">
        <f ca="1">'CDS from CapitalIQ'!V49</f>
        <v>0.63660000000000139</v>
      </c>
      <c r="F9" s="35">
        <f ca="1">'CDS from CapitalIQ'!W49</f>
        <v>8.3941000000000017</v>
      </c>
      <c r="G9" s="36">
        <f ca="1">'CDS from CapitalIQ'!X49</f>
        <v>3.2785000000000011</v>
      </c>
      <c r="H9" s="11" cm="1">
        <f t="array" aca="1" ref="H9" ca="1">(_xll.TR(N9,"TR.PriceClose")-_xll.TR(N9,"TR.PriceClose","SDate:"&amp;TEXT(WORKDAY(TODAY(),-5),"yyyy-mm-dd")))/_xll.TR(N9,"TR.PriceClose","SDate:"&amp;TEXT(WORKDAY(TODAY(),-5),"yyyy-mm-dd"))</f>
        <v>9.0589757811054689E-3</v>
      </c>
      <c r="I9" s="11" cm="1">
        <f t="array" aca="1" ref="I9" ca="1">(_xll.TR(N9,"TR.PriceClose")-_xll.TR(N9,"TR.PriceClose","SDate:"&amp;TEXT(WORKDAY(TODAY(),-10),"yyyy-mm-dd")))/_xll.TR(N9,"TR.PriceClose","SDate:"&amp;TEXT(WORKDAY(TODAY(),-10),"yyyy-mm-dd"))</f>
        <v>-6.9141193595342529E-3</v>
      </c>
      <c r="J9" s="11" cm="1">
        <f t="array" aca="1" ref="J9" ca="1">(_xll.TR(N9,"TR.PriceClose")-_xll.TR(N9,"TR.PriceClose","SDate:"&amp;EDATE(TODAY(),-3)))/_xll.TR(N9,"TR.PriceClose","SDate:"&amp;EDATE(TODAY(),-3))</f>
        <v>-8.2689075630252129E-2</v>
      </c>
      <c r="K9" s="11" cm="1">
        <f t="array" aca="1" ref="K9" ca="1">(_xll.TR(N9,"TR.PriceClose")-_xll.TR(N9,"TR.PriceClose","SDate:"&amp;EDATE(TODAY(),-12)))/_xll.TR(N9,"TR.PriceClose","SDate:"&amp;EDATE(TODAY(),-12))</f>
        <v>0.11706917724109699</v>
      </c>
      <c r="M9" s="14" t="s">
        <v>11</v>
      </c>
      <c r="N9" s="15" t="s">
        <v>51</v>
      </c>
      <c r="O9" t="s">
        <v>82</v>
      </c>
      <c r="Q9" s="32"/>
    </row>
    <row r="10" spans="1:17">
      <c r="A10" s="8" t="s">
        <v>12</v>
      </c>
      <c r="B10" s="9" t="s">
        <v>263</v>
      </c>
      <c r="C10" s="10">
        <f ca="1">'CDS from CapitalIQ'!C50</f>
        <v>44.201599999999999</v>
      </c>
      <c r="D10" s="35">
        <f ca="1">'CDS from CapitalIQ'!T50</f>
        <v>-0.20870000000000033</v>
      </c>
      <c r="E10" s="35">
        <f ca="1">'CDS from CapitalIQ'!V50</f>
        <v>1.1319000000000017</v>
      </c>
      <c r="F10" s="35">
        <f ca="1">'CDS from CapitalIQ'!W50</f>
        <v>4.1548000000000016</v>
      </c>
      <c r="G10" s="36">
        <f ca="1">'CDS from CapitalIQ'!X50</f>
        <v>-2.2619000000000042</v>
      </c>
      <c r="H10" s="11" cm="1">
        <f t="array" aca="1" ref="H10" ca="1">(_xll.TR(N10,"TR.PriceClose")-_xll.TR(N10,"TR.PriceClose","SDate:"&amp;TEXT(WORKDAY(TODAY(),-5),"yyyy-mm-dd")))/_xll.TR(N10,"TR.PriceClose","SDate:"&amp;TEXT(WORKDAY(TODAY(),-5),"yyyy-mm-dd"))</f>
        <v>9.1161555179909409E-3</v>
      </c>
      <c r="I10" s="11" cm="1">
        <f t="array" aca="1" ref="I10" ca="1">(_xll.TR(N10,"TR.PriceClose")-_xll.TR(N10,"TR.PriceClose","SDate:"&amp;TEXT(WORKDAY(TODAY(),-10),"yyyy-mm-dd")))/_xll.TR(N10,"TR.PriceClose","SDate:"&amp;TEXT(WORKDAY(TODAY(),-10),"yyyy-mm-dd"))</f>
        <v>-2.0299719386232215E-3</v>
      </c>
      <c r="J10" s="11" cm="1">
        <f t="array" aca="1" ref="J10" ca="1">(_xll.TR(N10,"TR.PriceClose")-_xll.TR(N10,"TR.PriceClose","SDate:"&amp;EDATE(TODAY(),-3)))/_xll.TR(N10,"TR.PriceClose","SDate:"&amp;EDATE(TODAY(),-3))</f>
        <v>-6.8753176097797314E-4</v>
      </c>
      <c r="K10" s="11" cm="1">
        <f t="array" aca="1" ref="K10" ca="1">(_xll.TR(N10,"TR.PriceClose")-_xll.TR(N10,"TR.PriceClose","SDate:"&amp;EDATE(TODAY(),-12)))/_xll.TR(N10,"TR.PriceClose","SDate:"&amp;EDATE(TODAY(),-12))</f>
        <v>8.5495340455239086E-2</v>
      </c>
      <c r="M10" s="14" t="s">
        <v>12</v>
      </c>
      <c r="N10" s="15" t="s">
        <v>52</v>
      </c>
      <c r="O10" t="s">
        <v>83</v>
      </c>
      <c r="Q10" s="33"/>
    </row>
    <row r="11" spans="1:17">
      <c r="A11" s="12" t="s">
        <v>13</v>
      </c>
      <c r="B11" s="9" t="s">
        <v>263</v>
      </c>
      <c r="C11" s="10">
        <f ca="1">'CDS from CapitalIQ'!C51</f>
        <v>62.452800000000003</v>
      </c>
      <c r="D11" s="35">
        <f ca="1">'CDS from CapitalIQ'!T51</f>
        <v>-0.24419999999999931</v>
      </c>
      <c r="E11" s="35">
        <f ca="1">'CDS from CapitalIQ'!V51</f>
        <v>1.3840000000000003</v>
      </c>
      <c r="F11" s="35">
        <f ca="1">'CDS from CapitalIQ'!W51</f>
        <v>8.3266000000000062</v>
      </c>
      <c r="G11" s="36">
        <f ca="1">'CDS from CapitalIQ'!X51</f>
        <v>-0.26009999999999422</v>
      </c>
      <c r="H11" s="11" cm="1">
        <f t="array" aca="1" ref="H11" ca="1">(_xll.TR(N11,"TR.PriceClose")-_xll.TR(N11,"TR.PriceClose","SDate:"&amp;TEXT(WORKDAY(TODAY(),-5),"yyyy-mm-dd")))/_xll.TR(N11,"TR.PriceClose","SDate:"&amp;TEXT(WORKDAY(TODAY(),-5),"yyyy-mm-dd"))</f>
        <v>-3.600169419737293E-3</v>
      </c>
      <c r="I11" s="11" cm="1">
        <f t="array" aca="1" ref="I11" ca="1">(_xll.TR(N11,"TR.PriceClose")-_xll.TR(N11,"TR.PriceClose","SDate:"&amp;TEXT(WORKDAY(TODAY(),-10),"yyyy-mm-dd")))/_xll.TR(N11,"TR.PriceClose","SDate:"&amp;TEXT(WORKDAY(TODAY(),-10),"yyyy-mm-dd"))</f>
        <v>-2.4327687068890207E-2</v>
      </c>
      <c r="J11" s="11" cm="1">
        <f t="array" aca="1" ref="J11" ca="1">(_xll.TR(N11,"TR.PriceClose")-_xll.TR(N11,"TR.PriceClose","SDate:"&amp;EDATE(TODAY(),-3)))/_xll.TR(N11,"TR.PriceClose","SDate:"&amp;EDATE(TODAY(),-3))</f>
        <v>-0.14528974768383515</v>
      </c>
      <c r="K11" s="11" cm="1">
        <f t="array" aca="1" ref="K11" ca="1">(_xll.TR(N11,"TR.PriceClose")-_xll.TR(N11,"TR.PriceClose","SDate:"&amp;EDATE(TODAY(),-12)))/_xll.TR(N11,"TR.PriceClose","SDate:"&amp;EDATE(TODAY(),-12))</f>
        <v>0.13621342687917853</v>
      </c>
      <c r="M11" s="14" t="s">
        <v>13</v>
      </c>
      <c r="N11" s="15" t="s">
        <v>53</v>
      </c>
      <c r="O11" t="s">
        <v>84</v>
      </c>
      <c r="Q11" s="34"/>
    </row>
    <row r="12" spans="1:17">
      <c r="A12" s="8" t="s">
        <v>14</v>
      </c>
      <c r="B12" s="9" t="s">
        <v>263</v>
      </c>
      <c r="C12" s="10">
        <f ca="1">'CDS from CapitalIQ'!C52</f>
        <v>64.000299999999996</v>
      </c>
      <c r="D12" s="35">
        <f ca="1">'CDS from CapitalIQ'!T52</f>
        <v>-0.51100000000000989</v>
      </c>
      <c r="E12" s="35">
        <f ca="1">'CDS from CapitalIQ'!V52</f>
        <v>0.15159999999999485</v>
      </c>
      <c r="F12" s="35">
        <f ca="1">'CDS from CapitalIQ'!W52</f>
        <v>8.2309999999999945</v>
      </c>
      <c r="G12" s="36">
        <f ca="1">'CDS from CapitalIQ'!X52</f>
        <v>5.6733999999999938</v>
      </c>
      <c r="H12" s="11" cm="1">
        <f t="array" aca="1" ref="H12" ca="1">(_xll.TR(N12,"TR.PriceClose")-_xll.TR(N12,"TR.PriceClose","SDate:"&amp;TEXT(WORKDAY(TODAY(),-5),"yyyy-mm-dd")))/_xll.TR(N12,"TR.PriceClose","SDate:"&amp;TEXT(WORKDAY(TODAY(),-5),"yyyy-mm-dd"))</f>
        <v>-5.2350539210553864E-3</v>
      </c>
      <c r="I12" s="11" cm="1">
        <f t="array" aca="1" ref="I12" ca="1">(_xll.TR(N12,"TR.PriceClose")-_xll.TR(N12,"TR.PriceClose","SDate:"&amp;TEXT(WORKDAY(TODAY(),-10),"yyyy-mm-dd")))/_xll.TR(N12,"TR.PriceClose","SDate:"&amp;TEXT(WORKDAY(TODAY(),-10),"yyyy-mm-dd"))</f>
        <v>-1.4214567337621813E-2</v>
      </c>
      <c r="J12" s="11" cm="1">
        <f t="array" aca="1" ref="J12" ca="1">(_xll.TR(N12,"TR.PriceClose")-_xll.TR(N12,"TR.PriceClose","SDate:"&amp;EDATE(TODAY(),-3)))/_xll.TR(N12,"TR.PriceClose","SDate:"&amp;EDATE(TODAY(),-3))</f>
        <v>-0.1405310054728843</v>
      </c>
      <c r="K12" s="11" cm="1">
        <f t="array" aca="1" ref="K12" ca="1">(_xll.TR(N12,"TR.PriceClose")-_xll.TR(N12,"TR.PriceClose","SDate:"&amp;EDATE(TODAY(),-12)))/_xll.TR(N12,"TR.PriceClose","SDate:"&amp;EDATE(TODAY(),-12))</f>
        <v>0.22490814155869282</v>
      </c>
      <c r="M12" s="14" t="s">
        <v>14</v>
      </c>
      <c r="N12" s="15" t="s">
        <v>54</v>
      </c>
      <c r="O12" t="s">
        <v>85</v>
      </c>
      <c r="Q12" s="21"/>
    </row>
    <row r="13" spans="1:17">
      <c r="A13" s="12" t="s">
        <v>15</v>
      </c>
      <c r="B13" s="9" t="s">
        <v>263</v>
      </c>
      <c r="C13" s="10">
        <f ca="1">'CDS from CapitalIQ'!C53</f>
        <v>56.645899999999997</v>
      </c>
      <c r="D13" s="35">
        <f ca="1">'CDS from CapitalIQ'!T53</f>
        <v>-0.47980000000000445</v>
      </c>
      <c r="E13" s="35">
        <f ca="1">'CDS from CapitalIQ'!V53</f>
        <v>0.79819999999999425</v>
      </c>
      <c r="F13" s="35">
        <f ca="1">'CDS from CapitalIQ'!W53</f>
        <v>7.3499999999999943</v>
      </c>
      <c r="G13" s="36">
        <f ca="1">'CDS from CapitalIQ'!X53</f>
        <v>3.3480999999999952</v>
      </c>
      <c r="H13" s="11" cm="1">
        <f t="array" aca="1" ref="H13" ca="1">(_xll.TR(N13,"TR.PriceClose")-_xll.TR(N13,"TR.PriceClose","SDate:"&amp;TEXT(WORKDAY(TODAY(),-5),"yyyy-mm-dd")))/_xll.TR(N13,"TR.PriceClose","SDate:"&amp;TEXT(WORKDAY(TODAY(),-5),"yyyy-mm-dd"))</f>
        <v>2.2205864311127321E-2</v>
      </c>
      <c r="I13" s="11" cm="1">
        <f t="array" aca="1" ref="I13" ca="1">(_xll.TR(N13,"TR.PriceClose")-_xll.TR(N13,"TR.PriceClose","SDate:"&amp;TEXT(WORKDAY(TODAY(),-10),"yyyy-mm-dd")))/_xll.TR(N13,"TR.PriceClose","SDate:"&amp;TEXT(WORKDAY(TODAY(),-10),"yyyy-mm-dd"))</f>
        <v>3.5288270377733459E-2</v>
      </c>
      <c r="J13" s="11" cm="1">
        <f t="array" aca="1" ref="J13" ca="1">(_xll.TR(N13,"TR.PriceClose")-_xll.TR(N13,"TR.PriceClose","SDate:"&amp;EDATE(TODAY(),-3)))/_xll.TR(N13,"TR.PriceClose","SDate:"&amp;EDATE(TODAY(),-3))</f>
        <v>-4.9617885251511444E-2</v>
      </c>
      <c r="K13" s="11" cm="1">
        <f t="array" aca="1" ref="K13" ca="1">(_xll.TR(N13,"TR.PriceClose")-_xll.TR(N13,"TR.PriceClose","SDate:"&amp;EDATE(TODAY(),-12)))/_xll.TR(N13,"TR.PriceClose","SDate:"&amp;EDATE(TODAY(),-12))</f>
        <v>5.5752660922453005E-2</v>
      </c>
      <c r="M13" s="14" t="s">
        <v>15</v>
      </c>
      <c r="N13" s="15" t="s">
        <v>55</v>
      </c>
      <c r="O13" s="20" t="s">
        <v>86</v>
      </c>
      <c r="Q13" s="21"/>
    </row>
    <row r="14" spans="1:17">
      <c r="A14" s="8" t="s">
        <v>16</v>
      </c>
      <c r="B14" s="9" t="s">
        <v>263</v>
      </c>
      <c r="C14" s="10">
        <f ca="1">'CDS from CapitalIQ'!C54</f>
        <v>55.540700000000001</v>
      </c>
      <c r="D14" s="35">
        <f ca="1">'CDS from CapitalIQ'!T54</f>
        <v>0.21829999999999927</v>
      </c>
      <c r="E14" s="35">
        <f ca="1">'CDS from CapitalIQ'!V54</f>
        <v>-1.9298999999999964</v>
      </c>
      <c r="F14" s="35">
        <f ca="1">'CDS from CapitalIQ'!W54</f>
        <v>2.6854000000000013</v>
      </c>
      <c r="G14" s="36">
        <f ca="1">'CDS from CapitalIQ'!X54</f>
        <v>1.6478999999999999</v>
      </c>
      <c r="H14" s="11" cm="1">
        <f t="array" aca="1" ref="H14" ca="1">(_xll.TR(N14,"TR.PriceClose")-_xll.TR(N14,"TR.PriceClose","SDate:"&amp;TEXT(WORKDAY(TODAY(),-5),"yyyy-mm-dd")))/_xll.TR(N14,"TR.PriceClose","SDate:"&amp;TEXT(WORKDAY(TODAY(),-5),"yyyy-mm-dd"))</f>
        <v>-4.6657183499288378E-3</v>
      </c>
      <c r="I14" s="11" cm="1">
        <f t="array" aca="1" ref="I14" ca="1">(_xll.TR(N14,"TR.PriceClose")-_xll.TR(N14,"TR.PriceClose","SDate:"&amp;TEXT(WORKDAY(TODAY(),-10),"yyyy-mm-dd")))/_xll.TR(N14,"TR.PriceClose","SDate:"&amp;TEXT(WORKDAY(TODAY(),-10),"yyyy-mm-dd"))</f>
        <v>-1.603104961187982E-2</v>
      </c>
      <c r="J14" s="11" cm="1">
        <f t="array" aca="1" ref="J14" ca="1">(_xll.TR(N14,"TR.PriceClose")-_xll.TR(N14,"TR.PriceClose","SDate:"&amp;EDATE(TODAY(),-3)))/_xll.TR(N14,"TR.PriceClose","SDate:"&amp;EDATE(TODAY(),-3))</f>
        <v>-1.8184879609361739E-2</v>
      </c>
      <c r="K14" s="11" cm="1">
        <f t="array" aca="1" ref="K14" ca="1">(_xll.TR(N14,"TR.PriceClose")-_xll.TR(N14,"TR.PriceClose","SDate:"&amp;EDATE(TODAY(),-12)))/_xll.TR(N14,"TR.PriceClose","SDate:"&amp;EDATE(TODAY(),-12))</f>
        <v>0.53192048340485165</v>
      </c>
      <c r="M14" s="14" t="s">
        <v>16</v>
      </c>
      <c r="N14" s="15" t="s">
        <v>56</v>
      </c>
      <c r="O14" t="s">
        <v>87</v>
      </c>
      <c r="Q14" s="21"/>
    </row>
    <row r="15" spans="1:17">
      <c r="A15" s="18" t="s">
        <v>17</v>
      </c>
      <c r="B15" s="5" t="s">
        <v>264</v>
      </c>
      <c r="C15" s="22"/>
      <c r="D15" s="37"/>
      <c r="E15" s="37"/>
      <c r="F15" s="37"/>
      <c r="G15" s="38"/>
      <c r="H15" s="17"/>
      <c r="I15" s="17"/>
      <c r="J15" s="17"/>
      <c r="K15" s="17"/>
      <c r="M15" s="16"/>
    </row>
    <row r="16" spans="1:17">
      <c r="A16" s="12" t="s">
        <v>18</v>
      </c>
      <c r="B16" s="72" t="s">
        <v>214</v>
      </c>
      <c r="C16" s="10">
        <f ca="1">'CDS from CapitalIQ'!C56</f>
        <v>63.9636</v>
      </c>
      <c r="D16" s="35">
        <f ca="1">'CDS from CapitalIQ'!T56</f>
        <v>-3.3299999999996999E-2</v>
      </c>
      <c r="E16" s="35">
        <f ca="1">'CDS from CapitalIQ'!V56</f>
        <v>5.1463999999999999</v>
      </c>
      <c r="F16" s="35">
        <f ca="1">'CDS from CapitalIQ'!W56</f>
        <v>22.255400000000002</v>
      </c>
      <c r="G16" s="36">
        <f ca="1">'CDS from CapitalIQ'!X56</f>
        <v>15.637</v>
      </c>
      <c r="H16" s="11" cm="1">
        <f t="array" aca="1" ref="H16" ca="1">(_xll.TR(N16,"TR.PriceClose")-_xll.TR(N16,"TR.PriceClose","SDate:"&amp;TEXT(WORKDAY(TODAY(),-5),"yyyy-mm-dd")))/_xll.TR(N16,"TR.PriceClose","SDate:"&amp;TEXT(WORKDAY(TODAY(),-5),"yyyy-mm-dd"))</f>
        <v>-5.258176464402145E-2</v>
      </c>
      <c r="I16" s="11" cm="1">
        <f t="array" aca="1" ref="I16" ca="1">(_xll.TR(N16,"TR.PriceClose")-_xll.TR(N16,"TR.PriceClose","SDate:"&amp;TEXT(WORKDAY(TODAY(),-10),"yyyy-mm-dd")))/_xll.TR(N16,"TR.PriceClose","SDate:"&amp;TEXT(WORKDAY(TODAY(),-10),"yyyy-mm-dd"))</f>
        <v>-7.5051334702258748E-2</v>
      </c>
      <c r="J16" s="11" cm="1">
        <f t="array" aca="1" ref="J16" ca="1">(_xll.TR(N16,"TR.PriceClose")-_xll.TR(N16,"TR.PriceClose","SDate:"&amp;EDATE(TODAY(),-3)))/_xll.TR(N16,"TR.PriceClose","SDate:"&amp;EDATE(TODAY(),-3))</f>
        <v>-0.10731272294887037</v>
      </c>
      <c r="K16" s="11" cm="1">
        <f t="array" aca="1" ref="K16" ca="1">(_xll.TR(N16,"TR.PriceClose")-_xll.TR(N16,"TR.PriceClose","SDate:"&amp;EDATE(TODAY(),-12)))/_xll.TR(N16,"TR.PriceClose","SDate:"&amp;EDATE(TODAY(),-12))</f>
        <v>0.19419406150583254</v>
      </c>
      <c r="M16" s="14" t="s">
        <v>18</v>
      </c>
      <c r="N16" s="15" t="s">
        <v>57</v>
      </c>
      <c r="O16" s="20" t="s">
        <v>88</v>
      </c>
    </row>
    <row r="17" spans="1:17">
      <c r="A17" s="8" t="s">
        <v>19</v>
      </c>
      <c r="B17" s="72" t="s">
        <v>214</v>
      </c>
      <c r="C17" s="10">
        <f ca="1">'CDS from CapitalIQ'!C57</f>
        <v>59.2271</v>
      </c>
      <c r="D17" s="35">
        <f ca="1">'CDS from CapitalIQ'!T57</f>
        <v>0.1430999999999969</v>
      </c>
      <c r="E17" s="35">
        <f ca="1">'CDS from CapitalIQ'!V57</f>
        <v>5.9846999999999966</v>
      </c>
      <c r="F17" s="35">
        <f ca="1">'CDS from CapitalIQ'!W57</f>
        <v>25.502099999999999</v>
      </c>
      <c r="G17" s="36">
        <f ca="1">'CDS from CapitalIQ'!X57</f>
        <v>13.028399999999998</v>
      </c>
      <c r="H17" s="11" cm="1">
        <f t="array" aca="1" ref="H17" ca="1">(_xll.TR(N17,"TR.PriceClose")-_xll.TR(N17,"TR.PriceClose","SDate:"&amp;TEXT(WORKDAY(TODAY(),-5),"yyyy-mm-dd")))/_xll.TR(N17,"TR.PriceClose","SDate:"&amp;TEXT(WORKDAY(TODAY(),-5),"yyyy-mm-dd"))</f>
        <v>-4.5866199240432379E-2</v>
      </c>
      <c r="I17" s="11" cm="1">
        <f t="array" aca="1" ref="I17" ca="1">(_xll.TR(N17,"TR.PriceClose")-_xll.TR(N17,"TR.PriceClose","SDate:"&amp;TEXT(WORKDAY(TODAY(),-10),"yyyy-mm-dd")))/_xll.TR(N17,"TR.PriceClose","SDate:"&amp;TEXT(WORKDAY(TODAY(),-10),"yyyy-mm-dd"))</f>
        <v>-8.4127874369040956E-2</v>
      </c>
      <c r="J17" s="11" cm="1">
        <f t="array" aca="1" ref="J17" ca="1">(_xll.TR(N17,"TR.PriceClose")-_xll.TR(N17,"TR.PriceClose","SDate:"&amp;EDATE(TODAY(),-3)))/_xll.TR(N17,"TR.PriceClose","SDate:"&amp;EDATE(TODAY(),-3))</f>
        <v>-6.9515669515669648E-2</v>
      </c>
      <c r="K17" s="11" cm="1">
        <f t="array" aca="1" ref="K17" ca="1">(_xll.TR(N17,"TR.PriceClose")-_xll.TR(N17,"TR.PriceClose","SDate:"&amp;EDATE(TODAY(),-12)))/_xll.TR(N17,"TR.PriceClose","SDate:"&amp;EDATE(TODAY(),-12))</f>
        <v>-9.1019417475729451E-3</v>
      </c>
      <c r="M17" s="14" t="s">
        <v>19</v>
      </c>
      <c r="N17" s="15" t="s">
        <v>58</v>
      </c>
      <c r="O17" t="s">
        <v>89</v>
      </c>
      <c r="Q17" s="23"/>
    </row>
    <row r="18" spans="1:17">
      <c r="A18" s="12" t="s">
        <v>20</v>
      </c>
      <c r="B18" s="72" t="s">
        <v>214</v>
      </c>
      <c r="C18" s="10">
        <f ca="1">'CDS from CapitalIQ'!C58</f>
        <v>68.150000000000006</v>
      </c>
      <c r="D18" s="35">
        <f ca="1">'CDS from CapitalIQ'!T58</f>
        <v>-0.3399999999999892</v>
      </c>
      <c r="E18" s="35">
        <f ca="1">'CDS from CapitalIQ'!V58</f>
        <v>7.9385000000000048</v>
      </c>
      <c r="F18" s="35">
        <f ca="1">'CDS from CapitalIQ'!W58</f>
        <v>26.290000000000006</v>
      </c>
      <c r="G18" s="36">
        <f ca="1">'CDS from CapitalIQ'!X58</f>
        <v>11.572100000000006</v>
      </c>
      <c r="H18" s="11" cm="1">
        <f t="array" aca="1" ref="H18" ca="1">(_xll.TR(N18,"TR.PriceClose")-_xll.TR(N18,"TR.PriceClose","SDate:"&amp;TEXT(WORKDAY(TODAY(),-5),"yyyy-mm-dd")))/_xll.TR(N18,"TR.PriceClose","SDate:"&amp;TEXT(WORKDAY(TODAY(),-5),"yyyy-mm-dd"))</f>
        <v>-4.6649829148714905E-2</v>
      </c>
      <c r="I18" s="11" cm="1">
        <f t="array" aca="1" ref="I18" ca="1">(_xll.TR(N18,"TR.PriceClose")-_xll.TR(N18,"TR.PriceClose","SDate:"&amp;TEXT(WORKDAY(TODAY(),-10),"yyyy-mm-dd")))/_xll.TR(N18,"TR.PriceClose","SDate:"&amp;TEXT(WORKDAY(TODAY(),-10),"yyyy-mm-dd"))</f>
        <v>-9.1462551323800004E-2</v>
      </c>
      <c r="J18" s="11" cm="1">
        <f t="array" aca="1" ref="J18" ca="1">(_xll.TR(N18,"TR.PriceClose")-_xll.TR(N18,"TR.PriceClose","SDate:"&amp;EDATE(TODAY(),-3)))/_xll.TR(N18,"TR.PriceClose","SDate:"&amp;EDATE(TODAY(),-3))</f>
        <v>-0.1402733118971061</v>
      </c>
      <c r="K18" s="11" cm="1">
        <f t="array" aca="1" ref="K18" ca="1">(_xll.TR(N18,"TR.PriceClose")-_xll.TR(N18,"TR.PriceClose","SDate:"&amp;EDATE(TODAY(),-12)))/_xll.TR(N18,"TR.PriceClose","SDate:"&amp;EDATE(TODAY(),-12))</f>
        <v>0.19452717795979158</v>
      </c>
      <c r="M18" s="14" t="s">
        <v>20</v>
      </c>
      <c r="N18" s="15" t="s">
        <v>59</v>
      </c>
      <c r="O18" t="s">
        <v>90</v>
      </c>
      <c r="Q18" s="23"/>
    </row>
    <row r="19" spans="1:17">
      <c r="A19" s="18" t="s">
        <v>21</v>
      </c>
      <c r="B19" s="19"/>
      <c r="C19" s="22"/>
      <c r="D19" s="37"/>
      <c r="E19" s="37"/>
      <c r="F19" s="37"/>
      <c r="G19" s="38"/>
      <c r="H19" s="17"/>
      <c r="I19" s="17"/>
      <c r="J19" s="17"/>
      <c r="K19" s="17"/>
      <c r="M19" s="14"/>
      <c r="N19" s="15"/>
      <c r="Q19" s="23"/>
    </row>
    <row r="20" spans="1:17">
      <c r="A20" s="8" t="s">
        <v>22</v>
      </c>
      <c r="B20" s="9" t="s">
        <v>266</v>
      </c>
      <c r="C20" s="10">
        <f ca="1">'CDS from CapitalIQ'!C60</f>
        <v>57.6526</v>
      </c>
      <c r="D20" s="35">
        <f ca="1">'CDS from CapitalIQ'!T60</f>
        <v>-8.2000000000022055E-3</v>
      </c>
      <c r="E20" s="35">
        <f ca="1">'CDS from CapitalIQ'!V60</f>
        <v>3.6381999999999977</v>
      </c>
      <c r="F20" s="35">
        <f ca="1">'CDS from CapitalIQ'!W60</f>
        <v>10.7883</v>
      </c>
      <c r="G20" s="36">
        <f ca="1">'CDS from CapitalIQ'!X60</f>
        <v>4.6383999999999972</v>
      </c>
      <c r="H20" s="11" cm="1">
        <f t="array" aca="1" ref="H20" ca="1">(_xll.TR(N20,"TR.PriceClose")-_xll.TR(N20,"TR.PriceClose","SDate:"&amp;TEXT(WORKDAY(TODAY(),-5),"yyyy-mm-dd")))/_xll.TR(N20,"TR.PriceClose","SDate:"&amp;TEXT(WORKDAY(TODAY(),-5),"yyyy-mm-dd"))</f>
        <v>-1.3803302933201929E-2</v>
      </c>
      <c r="I20" s="11" cm="1">
        <f t="array" aca="1" ref="I20" ca="1">(_xll.TR(N20,"TR.PriceClose")-_xll.TR(N20,"TR.PriceClose","SDate:"&amp;TEXT(WORKDAY(TODAY(),-10),"yyyy-mm-dd")))/_xll.TR(N20,"TR.PriceClose","SDate:"&amp;TEXT(WORKDAY(TODAY(),-10),"yyyy-mm-dd"))</f>
        <v>-1.2830002467308244E-2</v>
      </c>
      <c r="J20" s="11" cm="1">
        <f t="array" aca="1" ref="J20" ca="1">(_xll.TR(N20,"TR.PriceClose")-_xll.TR(N20,"TR.PriceClose","SDate:"&amp;EDATE(TODAY(),-3)))/_xll.TR(N20,"TR.PriceClose","SDate:"&amp;EDATE(TODAY(),-3))</f>
        <v>-5.2793560606060698E-2</v>
      </c>
      <c r="K20" s="11" cm="1">
        <f t="array" aca="1" ref="K20" ca="1">(_xll.TR(N20,"TR.PriceClose")-_xll.TR(N20,"TR.PriceClose","SDate:"&amp;EDATE(TODAY(),-12)))/_xll.TR(N20,"TR.PriceClose","SDate:"&amp;EDATE(TODAY(),-12))</f>
        <v>0.23183497536945818</v>
      </c>
      <c r="M20" s="14" t="s">
        <v>22</v>
      </c>
      <c r="N20" s="15" t="s">
        <v>60</v>
      </c>
      <c r="O20" t="s">
        <v>91</v>
      </c>
    </row>
    <row r="21" spans="1:17">
      <c r="A21" s="18" t="s">
        <v>23</v>
      </c>
      <c r="B21" s="19"/>
      <c r="C21" s="22"/>
      <c r="D21" s="37"/>
      <c r="E21" s="37"/>
      <c r="F21" s="37"/>
      <c r="G21" s="38"/>
      <c r="H21" s="17"/>
      <c r="I21" s="17"/>
      <c r="J21" s="17"/>
      <c r="K21" s="17"/>
      <c r="M21" s="16"/>
      <c r="Q21" s="23"/>
    </row>
    <row r="22" spans="1:17">
      <c r="A22" s="8" t="s">
        <v>24</v>
      </c>
      <c r="B22" s="9" t="s">
        <v>214</v>
      </c>
      <c r="C22" s="10">
        <f ca="1">'CDS from CapitalIQ'!C63</f>
        <v>72.951400000000007</v>
      </c>
      <c r="D22" s="35">
        <f ca="1">'CDS from CapitalIQ'!T63</f>
        <v>-0.24979999999999336</v>
      </c>
      <c r="E22" s="35">
        <f ca="1">'CDS from CapitalIQ'!T63</f>
        <v>-0.24979999999999336</v>
      </c>
      <c r="F22" s="35">
        <f ca="1">'CDS from CapitalIQ'!V63</f>
        <v>5.5085000000000122</v>
      </c>
      <c r="G22" s="36">
        <f ca="1">'CDS from CapitalIQ'!X63</f>
        <v>0.95050000000000523</v>
      </c>
      <c r="H22" s="11" cm="1">
        <f t="array" aca="1" ref="H22" ca="1">(_xll.TR(N22,"TR.PriceClose")-_xll.TR(N22,"TR.PriceClose","SDate:"&amp;TEXT(WORKDAY(TODAY(),-5),"yyyy-mm-dd")))/_xll.TR(N22,"TR.PriceClose","SDate:"&amp;TEXT(WORKDAY(TODAY(),-5),"yyyy-mm-dd"))</f>
        <v>-2.1685669572993491E-2</v>
      </c>
      <c r="I22" s="11" cm="1">
        <f t="array" aca="1" ref="I22" ca="1">(_xll.TR(N22,"TR.PriceClose")-_xll.TR(N22,"TR.PriceClose","SDate:"&amp;TEXT(WORKDAY(TODAY(),-10),"yyyy-mm-dd")))/_xll.TR(N22,"TR.PriceClose","SDate:"&amp;TEXT(WORKDAY(TODAY(),-10),"yyyy-mm-dd"))</f>
        <v>-4.6623093681917159E-2</v>
      </c>
      <c r="J22" s="11" cm="1">
        <f t="array" aca="1" ref="J22" ca="1">(_xll.TR(N22,"TR.PriceClose")-_xll.TR(N22,"TR.PriceClose","SDate:"&amp;EDATE(TODAY(),-3)))/_xll.TR(N22,"TR.PriceClose","SDate:"&amp;EDATE(TODAY(),-3))</f>
        <v>-0.14196078431372544</v>
      </c>
      <c r="K22" s="11" cm="1">
        <f t="array" aca="1" ref="K22" ca="1">(_xll.TR(N22,"TR.PriceClose")-_xll.TR(N22,"TR.PriceClose","SDate:"&amp;EDATE(TODAY(),-12)))/_xll.TR(N22,"TR.PriceClose","SDate:"&amp;EDATE(TODAY(),-12))</f>
        <v>0.16786762743528166</v>
      </c>
      <c r="M22" s="14" t="s">
        <v>24</v>
      </c>
      <c r="N22" s="15" t="s">
        <v>61</v>
      </c>
      <c r="O22" t="s">
        <v>92</v>
      </c>
      <c r="Q22" s="23"/>
    </row>
    <row r="23" spans="1:17">
      <c r="A23" s="12" t="s">
        <v>25</v>
      </c>
      <c r="B23" s="9" t="s">
        <v>214</v>
      </c>
      <c r="C23" s="10">
        <f ca="1">'CDS from CapitalIQ'!C64</f>
        <v>49.028199999999998</v>
      </c>
      <c r="D23" s="35">
        <f ca="1">'CDS from CapitalIQ'!T64</f>
        <v>-0.24620000000000175</v>
      </c>
      <c r="E23" s="35">
        <f ca="1">'CDS from CapitalIQ'!T64</f>
        <v>-0.24620000000000175</v>
      </c>
      <c r="F23" s="35">
        <f ca="1">'CDS from CapitalIQ'!V64</f>
        <v>3.2325000000000017</v>
      </c>
      <c r="G23" s="36">
        <f ca="1">'CDS from CapitalIQ'!X64</f>
        <v>-4.357600000000005</v>
      </c>
      <c r="H23" s="11" cm="1">
        <f t="array" aca="1" ref="H23" ca="1">(_xll.TR(N23,"TR.PriceClose")-_xll.TR(N23,"TR.PriceClose","SDate:"&amp;TEXT(WORKDAY(TODAY(),-5),"yyyy-mm-dd")))/_xll.TR(N23,"TR.PriceClose","SDate:"&amp;TEXT(WORKDAY(TODAY(),-5),"yyyy-mm-dd"))</f>
        <v>-2.9751392473848629E-2</v>
      </c>
      <c r="I23" s="11" cm="1">
        <f t="array" aca="1" ref="I23" ca="1">(_xll.TR(N23,"TR.PriceClose")-_xll.TR(N23,"TR.PriceClose","SDate:"&amp;TEXT(WORKDAY(TODAY(),-10),"yyyy-mm-dd")))/_xll.TR(N23,"TR.PriceClose","SDate:"&amp;TEXT(WORKDAY(TODAY(),-10),"yyyy-mm-dd"))</f>
        <v>-5.4039735099337689E-2</v>
      </c>
      <c r="J23" s="11" cm="1">
        <f t="array" aca="1" ref="J23" ca="1">(_xll.TR(N23,"TR.PriceClose")-_xll.TR(N23,"TR.PriceClose","SDate:"&amp;EDATE(TODAY(),-3)))/_xll.TR(N23,"TR.PriceClose","SDate:"&amp;EDATE(TODAY(),-3))</f>
        <v>-2.2982216142270799E-2</v>
      </c>
      <c r="K23" s="11" cm="1">
        <f t="array" aca="1" ref="K23" ca="1">(_xll.TR(N23,"TR.PriceClose")-_xll.TR(N23,"TR.PriceClose","SDate:"&amp;EDATE(TODAY(),-12)))/_xll.TR(N23,"TR.PriceClose","SDate:"&amp;EDATE(TODAY(),-12))</f>
        <v>0.43977421630883989</v>
      </c>
      <c r="M23" s="14" t="s">
        <v>25</v>
      </c>
      <c r="N23" s="15" t="s">
        <v>62</v>
      </c>
      <c r="O23" t="s">
        <v>94</v>
      </c>
      <c r="Q23" s="23"/>
    </row>
    <row r="24" spans="1:17">
      <c r="A24" s="8" t="s">
        <v>26</v>
      </c>
      <c r="B24" s="9" t="s">
        <v>214</v>
      </c>
      <c r="C24" s="10">
        <f ca="1">'CDS from CapitalIQ'!C65</f>
        <v>67.557299999999998</v>
      </c>
      <c r="D24" s="35">
        <f ca="1">'CDS from CapitalIQ'!T65</f>
        <v>-0.72670000000000812</v>
      </c>
      <c r="E24" s="35">
        <f ca="1">'CDS from CapitalIQ'!T65</f>
        <v>-0.72670000000000812</v>
      </c>
      <c r="F24" s="35">
        <f ca="1">'CDS from CapitalIQ'!V65</f>
        <v>2.8957999999999942</v>
      </c>
      <c r="G24" s="36">
        <f ca="1">'CDS from CapitalIQ'!X65</f>
        <v>4.2475999999999985</v>
      </c>
      <c r="H24" s="11" cm="1">
        <f t="array" aca="1" ref="H24" ca="1">(_xll.TR(N24,"TR.PriceClose")-_xll.TR(N24,"TR.PriceClose","SDate:"&amp;TEXT(WORKDAY(TODAY(),-5),"yyyy-mm-dd")))/_xll.TR(N24,"TR.PriceClose","SDate:"&amp;TEXT(WORKDAY(TODAY(),-5),"yyyy-mm-dd"))</f>
        <v>-2.214242968282459E-2</v>
      </c>
      <c r="I24" s="11" cm="1">
        <f t="array" aca="1" ref="I24" ca="1">(_xll.TR(N24,"TR.PriceClose")-_xll.TR(N24,"TR.PriceClose","SDate:"&amp;TEXT(WORKDAY(TODAY(),-10),"yyyy-mm-dd")))/_xll.TR(N24,"TR.PriceClose","SDate:"&amp;TEXT(WORKDAY(TODAY(),-10),"yyyy-mm-dd"))</f>
        <v>-4.9999999999999968E-2</v>
      </c>
      <c r="J24" s="11" cm="1">
        <f t="array" aca="1" ref="J24" ca="1">(_xll.TR(N24,"TR.PriceClose")-_xll.TR(N24,"TR.PriceClose","SDate:"&amp;EDATE(TODAY(),-3)))/_xll.TR(N24,"TR.PriceClose","SDate:"&amp;EDATE(TODAY(),-3))</f>
        <v>-2.1374045801526372E-3</v>
      </c>
      <c r="K24" s="11" cm="1">
        <f t="array" aca="1" ref="K24" ca="1">(_xll.TR(N24,"TR.PriceClose")-_xll.TR(N24,"TR.PriceClose","SDate:"&amp;EDATE(TODAY(),-12)))/_xll.TR(N24,"TR.PriceClose","SDate:"&amp;EDATE(TODAY(),-12))</f>
        <v>0.20147058823529415</v>
      </c>
      <c r="M24" s="14" t="s">
        <v>26</v>
      </c>
      <c r="N24" s="15" t="s">
        <v>63</v>
      </c>
      <c r="O24" t="s">
        <v>95</v>
      </c>
    </row>
    <row r="25" spans="1:17">
      <c r="A25" s="12" t="s">
        <v>27</v>
      </c>
      <c r="B25" s="9" t="s">
        <v>214</v>
      </c>
      <c r="C25" s="10">
        <f ca="1">'CDS from CapitalIQ'!C66</f>
        <v>53.816699999999997</v>
      </c>
      <c r="D25" s="35">
        <f ca="1">'CDS from CapitalIQ'!T66</f>
        <v>0.2213999999999956</v>
      </c>
      <c r="E25" s="35">
        <f ca="1">'CDS from CapitalIQ'!T66</f>
        <v>0.2213999999999956</v>
      </c>
      <c r="F25" s="35">
        <f ca="1">'CDS from CapitalIQ'!V66</f>
        <v>4.3335000000000008</v>
      </c>
      <c r="G25" s="36">
        <f ca="1">'CDS from CapitalIQ'!X66</f>
        <v>-4.9301999999999992</v>
      </c>
      <c r="H25" s="11" cm="1">
        <f t="array" aca="1" ref="H25" ca="1">(_xll.TR(N25,"TR.PriceClose")-_xll.TR(N25,"TR.PriceClose","SDate:"&amp;TEXT(WORKDAY(TODAY(),-5),"yyyy-mm-dd")))/_xll.TR(N25,"TR.PriceClose","SDate:"&amp;TEXT(WORKDAY(TODAY(),-5),"yyyy-mm-dd"))</f>
        <v>-4.1722148246782068E-2</v>
      </c>
      <c r="I25" s="11" cm="1">
        <f t="array" aca="1" ref="I25" ca="1">(_xll.TR(N25,"TR.PriceClose")-_xll.TR(N25,"TR.PriceClose","SDate:"&amp;TEXT(WORKDAY(TODAY(),-10),"yyyy-mm-dd")))/_xll.TR(N25,"TR.PriceClose","SDate:"&amp;TEXT(WORKDAY(TODAY(),-10),"yyyy-mm-dd"))</f>
        <v>-7.2992700729927001E-2</v>
      </c>
      <c r="J25" s="11" cm="1">
        <f t="array" aca="1" ref="J25" ca="1">(_xll.TR(N25,"TR.PriceClose")-_xll.TR(N25,"TR.PriceClose","SDate:"&amp;EDATE(TODAY(),-3)))/_xll.TR(N25,"TR.PriceClose","SDate:"&amp;EDATE(TODAY(),-3))</f>
        <v>2.8095238095238097E-2</v>
      </c>
      <c r="K25" s="11" cm="1">
        <f t="array" aca="1" ref="K25" ca="1">(_xll.TR(N25,"TR.PriceClose")-_xll.TR(N25,"TR.PriceClose","SDate:"&amp;EDATE(TODAY(),-12)))/_xll.TR(N25,"TR.PriceClose","SDate:"&amp;EDATE(TODAY(),-12))</f>
        <v>0.48896551724137932</v>
      </c>
      <c r="M25" s="14" t="s">
        <v>27</v>
      </c>
      <c r="N25" s="15" t="s">
        <v>64</v>
      </c>
      <c r="O25" t="s">
        <v>93</v>
      </c>
      <c r="Q25" s="16"/>
    </row>
    <row r="26" spans="1:17">
      <c r="A26" s="18" t="s">
        <v>28</v>
      </c>
      <c r="B26" s="19"/>
      <c r="C26" s="22"/>
      <c r="D26" s="37"/>
      <c r="E26" s="37"/>
      <c r="F26" s="37"/>
      <c r="G26" s="38"/>
      <c r="H26" s="17"/>
      <c r="I26" s="17"/>
      <c r="J26" s="17"/>
      <c r="K26" s="17"/>
      <c r="Q26" s="23"/>
    </row>
    <row r="27" spans="1:17">
      <c r="A27" s="8" t="s">
        <v>29</v>
      </c>
      <c r="B27" s="9" t="s">
        <v>214</v>
      </c>
      <c r="C27" s="10">
        <f ca="1">'CDS from CapitalIQ'!C68</f>
        <v>57.75</v>
      </c>
      <c r="D27" s="35">
        <f ca="1">'CDS from CapitalIQ'!T68</f>
        <v>0.25650000000000261</v>
      </c>
      <c r="E27" s="35">
        <f ca="1">'CDS from CapitalIQ'!V68</f>
        <v>3.9196999999999989</v>
      </c>
      <c r="F27" s="35">
        <f ca="1">'CDS from CapitalIQ'!W68</f>
        <v>11.317500000000003</v>
      </c>
      <c r="G27" s="36">
        <f ca="1">'CDS from CapitalIQ'!X68</f>
        <v>4.229999999999734E-2</v>
      </c>
      <c r="H27" s="11" cm="1">
        <f t="array" aca="1" ref="H27" ca="1">(_xll.TR(N27,"TR.PriceClose")-_xll.TR(N27,"TR.PriceClose","SDate:"&amp;TEXT(WORKDAY(TODAY(),-5),"yyyy-mm-dd")))/_xll.TR(N27,"TR.PriceClose","SDate:"&amp;TEXT(WORKDAY(TODAY(),-5),"yyyy-mm-dd"))</f>
        <v>-3.5503900652762363E-2</v>
      </c>
      <c r="I27" s="11" cm="1">
        <f t="array" aca="1" ref="I27" ca="1">(_xll.TR(N27,"TR.PriceClose")-_xll.TR(N27,"TR.PriceClose","SDate:"&amp;TEXT(WORKDAY(TODAY(),-10),"yyyy-mm-dd")))/_xll.TR(N27,"TR.PriceClose","SDate:"&amp;TEXT(WORKDAY(TODAY(),-10),"yyyy-mm-dd"))</f>
        <v>-4.5984251968503961E-2</v>
      </c>
      <c r="J27" s="11" cm="1">
        <f t="array" aca="1" ref="J27" ca="1">(_xll.TR(N27,"TR.PriceClose")-_xll.TR(N27,"TR.PriceClose","SDate:"&amp;EDATE(TODAY(),-3)))/_xll.TR(N27,"TR.PriceClose","SDate:"&amp;EDATE(TODAY(),-3))</f>
        <v>-2.2903225806451641E-2</v>
      </c>
      <c r="K27" s="11" cm="1">
        <f t="array" aca="1" ref="K27" ca="1">(_xll.TR(N27,"TR.PriceClose")-_xll.TR(N27,"TR.PriceClose","SDate:"&amp;EDATE(TODAY(),-12)))/_xll.TR(N27,"TR.PriceClose","SDate:"&amp;EDATE(TODAY(),-12))</f>
        <v>-6.8852459016393724E-3</v>
      </c>
      <c r="M27" s="14" t="s">
        <v>29</v>
      </c>
      <c r="N27" s="15" t="s">
        <v>65</v>
      </c>
      <c r="O27" t="s">
        <v>96</v>
      </c>
      <c r="Q27" s="16"/>
    </row>
    <row r="28" spans="1:17">
      <c r="A28" s="12" t="s">
        <v>30</v>
      </c>
      <c r="B28" s="9" t="s">
        <v>214</v>
      </c>
      <c r="C28" s="10">
        <f ca="1">'CDS from CapitalIQ'!C69</f>
        <v>44.243499999999997</v>
      </c>
      <c r="D28" s="35">
        <f ca="1">'CDS from CapitalIQ'!T69</f>
        <v>-0.38150000000000261</v>
      </c>
      <c r="E28" s="35">
        <f ca="1">'CDS from CapitalIQ'!V69</f>
        <v>3.5549999999999997</v>
      </c>
      <c r="F28" s="35">
        <f ca="1">'CDS from CapitalIQ'!W69</f>
        <v>6.8674999999999997</v>
      </c>
      <c r="G28" s="36">
        <f ca="1">'CDS from CapitalIQ'!X69</f>
        <v>-0.4708000000000041</v>
      </c>
      <c r="H28" s="11" cm="1">
        <f t="array" aca="1" ref="H28" ca="1">(_xll.TR(N28,"TR.PriceClose")-_xll.TR(N28,"TR.PriceClose","SDate:"&amp;TEXT(WORKDAY(TODAY(),-5),"yyyy-mm-dd")))/_xll.TR(N28,"TR.PriceClose","SDate:"&amp;TEXT(WORKDAY(TODAY(),-5),"yyyy-mm-dd"))</f>
        <v>-4.7952047952047994E-2</v>
      </c>
      <c r="I28" s="11" cm="1">
        <f t="array" aca="1" ref="I28" ca="1">(_xll.TR(N28,"TR.PriceClose")-_xll.TR(N28,"TR.PriceClose","SDate:"&amp;TEXT(WORKDAY(TODAY(),-10),"yyyy-mm-dd")))/_xll.TR(N28,"TR.PriceClose","SDate:"&amp;TEXT(WORKDAY(TODAY(),-10),"yyyy-mm-dd"))</f>
        <v>-9.2164801143129416E-2</v>
      </c>
      <c r="J28" s="11" cm="1">
        <f t="array" aca="1" ref="J28" ca="1">(_xll.TR(N28,"TR.PriceClose")-_xll.TR(N28,"TR.PriceClose","SDate:"&amp;EDATE(TODAY(),-3)))/_xll.TR(N28,"TR.PriceClose","SDate:"&amp;EDATE(TODAY(),-3))</f>
        <v>-1.8790218790218891E-2</v>
      </c>
      <c r="K28" s="11" cm="1">
        <f t="array" aca="1" ref="K28" ca="1">(_xll.TR(N28,"TR.PriceClose")-_xll.TR(N28,"TR.PriceClose","SDate:"&amp;EDATE(TODAY(),-12)))/_xll.TR(N28,"TR.PriceClose","SDate:"&amp;EDATE(TODAY(),-12))</f>
        <v>0.22690698422915986</v>
      </c>
      <c r="M28" s="14" t="s">
        <v>30</v>
      </c>
      <c r="N28" s="15" t="s">
        <v>66</v>
      </c>
      <c r="O28" t="s">
        <v>97</v>
      </c>
      <c r="Q28" s="23"/>
    </row>
    <row r="29" spans="1:17">
      <c r="A29" s="18" t="s">
        <v>31</v>
      </c>
      <c r="B29" s="19"/>
      <c r="C29" s="22"/>
      <c r="D29" s="37"/>
      <c r="E29" s="37"/>
      <c r="F29" s="37"/>
      <c r="G29" s="38"/>
      <c r="H29" s="17"/>
      <c r="I29" s="17"/>
      <c r="J29" s="17"/>
      <c r="K29" s="17"/>
      <c r="M29" s="13"/>
      <c r="Q29" s="23"/>
    </row>
    <row r="30" spans="1:17">
      <c r="A30" s="8" t="s">
        <v>32</v>
      </c>
      <c r="B30" s="9" t="s">
        <v>266</v>
      </c>
      <c r="C30" s="10">
        <f ca="1">'CDS from CapitalIQ'!C71</f>
        <v>30.75</v>
      </c>
      <c r="D30" s="35">
        <f ca="1">'CDS from CapitalIQ'!T71</f>
        <v>-0.13129999999999953</v>
      </c>
      <c r="E30" s="35">
        <f ca="1">'CDS from CapitalIQ'!V71</f>
        <v>2.4917000000000016</v>
      </c>
      <c r="F30" s="35">
        <f ca="1">'CDS from CapitalIQ'!W71</f>
        <v>5.77</v>
      </c>
      <c r="G30" s="36">
        <f ca="1">'CDS from CapitalIQ'!X71</f>
        <v>-5.8004000000000033</v>
      </c>
      <c r="H30" s="11" cm="1">
        <f t="array" aca="1" ref="H30" ca="1">(_xll.TR(N30,"TR.PriceClose")-_xll.TR(N30,"TR.PriceClose","SDate:"&amp;TEXT(WORKDAY(TODAY(),-5),"yyyy-mm-dd")))/_xll.TR(N30,"TR.PriceClose","SDate:"&amp;TEXT(WORKDAY(TODAY(),-5),"yyyy-mm-dd"))</f>
        <v>-1.8883415435139512E-2</v>
      </c>
      <c r="I30" s="11" cm="1">
        <f t="array" aca="1" ref="I30" ca="1">(_xll.TR(N30,"TR.PriceClose")-_xll.TR(N30,"TR.PriceClose","SDate:"&amp;TEXT(WORKDAY(TODAY(),-10),"yyyy-mm-dd")))/_xll.TR(N30,"TR.PriceClose","SDate:"&amp;TEXT(WORKDAY(TODAY(),-10),"yyyy-mm-dd"))</f>
        <v>-5.7323165921640835E-2</v>
      </c>
      <c r="J30" s="11" cm="1">
        <f t="array" aca="1" ref="J30" ca="1">(_xll.TR(N30,"TR.PriceClose")-_xll.TR(N30,"TR.PriceClose","SDate:"&amp;EDATE(TODAY(),-3)))/_xll.TR(N30,"TR.PriceClose","SDate:"&amp;EDATE(TODAY(),-3))</f>
        <v>-1.9688269073010634E-2</v>
      </c>
      <c r="K30" s="11" cm="1">
        <f t="array" aca="1" ref="K30" ca="1">(_xll.TR(N30,"TR.PriceClose")-_xll.TR(N30,"TR.PriceClose","SDate:"&amp;EDATE(TODAY(),-12)))/_xll.TR(N30,"TR.PriceClose","SDate:"&amp;EDATE(TODAY(),-12))</f>
        <v>0.31898454746136862</v>
      </c>
      <c r="M30" t="s">
        <v>32</v>
      </c>
      <c r="N30" t="s">
        <v>67</v>
      </c>
      <c r="O30" t="s">
        <v>98</v>
      </c>
      <c r="Q30" s="24"/>
    </row>
    <row r="31" spans="1:17">
      <c r="A31" s="18" t="s">
        <v>33</v>
      </c>
      <c r="B31" s="18" t="s">
        <v>34</v>
      </c>
      <c r="C31" s="22"/>
      <c r="D31" s="37"/>
      <c r="E31" s="37"/>
      <c r="F31" s="37"/>
      <c r="G31" s="38"/>
      <c r="H31" s="17"/>
      <c r="I31" s="17"/>
      <c r="J31" s="17"/>
      <c r="K31" s="17"/>
      <c r="M31" s="14"/>
      <c r="N31" s="15"/>
    </row>
    <row r="32" spans="1:17">
      <c r="A32" s="12" t="s">
        <v>35</v>
      </c>
      <c r="B32" s="72" t="s">
        <v>265</v>
      </c>
      <c r="C32" s="10">
        <f ca="1">'CDS from CapitalIQ'!C73</f>
        <v>43.317799999999998</v>
      </c>
      <c r="D32" s="35">
        <f ca="1">'CDS from CapitalIQ'!T73</f>
        <v>4.8899999999996169E-2</v>
      </c>
      <c r="E32" s="35">
        <f ca="1">'CDS from CapitalIQ'!V73</f>
        <v>-2.5900000000000034E-2</v>
      </c>
      <c r="F32" s="35">
        <f ca="1">'CDS from CapitalIQ'!W73</f>
        <v>2.1441000000000017</v>
      </c>
      <c r="G32" s="36">
        <f ca="1">'CDS from CapitalIQ'!X73</f>
        <v>9.1539999999999964</v>
      </c>
      <c r="H32" s="11" cm="1">
        <f t="array" aca="1" ref="H32" ca="1">(_xll.TR(N32,"TR.PriceClose")-_xll.TR(N32,"TR.PriceClose","SDate:"&amp;TEXT(WORKDAY(TODAY(),-5),"yyyy-mm-dd")))/_xll.TR(N32,"TR.PriceClose","SDate:"&amp;TEXT(WORKDAY(TODAY(),-5),"yyyy-mm-dd"))</f>
        <v>-3.268864069735767E-2</v>
      </c>
      <c r="I32" s="11" cm="1">
        <f t="array" aca="1" ref="I32" ca="1">(_xll.TR(N32,"TR.PriceClose")-_xll.TR(N32,"TR.PriceClose","SDate:"&amp;TEXT(WORKDAY(TODAY(),-10),"yyyy-mm-dd")))/_xll.TR(N32,"TR.PriceClose","SDate:"&amp;TEXT(WORKDAY(TODAY(),-10),"yyyy-mm-dd"))</f>
        <v>-1.1414253897550112E-2</v>
      </c>
      <c r="J32" s="11" cm="1">
        <f t="array" aca="1" ref="J32" ca="1">(_xll.TR(N32,"TR.PriceClose")-_xll.TR(N32,"TR.PriceClose","SDate:"&amp;EDATE(TODAY(),-3)))/_xll.TR(N32,"TR.PriceClose","SDate:"&amp;EDATE(TODAY(),-3))</f>
        <v>2.8240609997175941E-3</v>
      </c>
      <c r="K32" s="11" cm="1">
        <f t="array" aca="1" ref="K32" ca="1">(_xll.TR(N32,"TR.PriceClose")-_xll.TR(N32,"TR.PriceClose","SDate:"&amp;EDATE(TODAY(),-12)))/_xll.TR(N32,"TR.PriceClose","SDate:"&amp;EDATE(TODAY(),-12))</f>
        <v>0.55404814004376368</v>
      </c>
      <c r="M32" s="14" t="s">
        <v>68</v>
      </c>
      <c r="N32" s="15" t="s">
        <v>69</v>
      </c>
      <c r="O32" t="s">
        <v>99</v>
      </c>
      <c r="Q32" s="16"/>
    </row>
    <row r="33" spans="1:17">
      <c r="A33" s="8" t="s">
        <v>36</v>
      </c>
      <c r="B33" s="72" t="s">
        <v>265</v>
      </c>
      <c r="C33" s="10">
        <f ca="1">'CDS from CapitalIQ'!C74</f>
        <v>44.923099999999998</v>
      </c>
      <c r="D33" s="35">
        <f ca="1">'CDS from CapitalIQ'!T74</f>
        <v>-0.70479999999999876</v>
      </c>
      <c r="E33" s="35">
        <f ca="1">'CDS from CapitalIQ'!V74</f>
        <v>0.7972999999999999</v>
      </c>
      <c r="F33" s="35">
        <f ca="1">'CDS from CapitalIQ'!W74</f>
        <v>3.6712999999999951</v>
      </c>
      <c r="G33" s="36">
        <f ca="1">'CDS from CapitalIQ'!X74</f>
        <v>15.215299999999999</v>
      </c>
      <c r="H33" s="11" cm="1">
        <f t="array" aca="1" ref="H33" ca="1">(_xll.TR(N33,"TR.PriceClose")-_xll.TR(N33,"TR.PriceClose","SDate:"&amp;TEXT(WORKDAY(TODAY(),-5),"yyyy-mm-dd")))/_xll.TR(N33,"TR.PriceClose","SDate:"&amp;TEXT(WORKDAY(TODAY(),-5),"yyyy-mm-dd"))</f>
        <v>-2.3913677456984545E-2</v>
      </c>
      <c r="I33" s="11" cm="1">
        <f t="array" aca="1" ref="I33" ca="1">(_xll.TR(N33,"TR.PriceClose")-_xll.TR(N33,"TR.PriceClose","SDate:"&amp;TEXT(WORKDAY(TODAY(),-10),"yyyy-mm-dd")))/_xll.TR(N33,"TR.PriceClose","SDate:"&amp;TEXT(WORKDAY(TODAY(),-10),"yyyy-mm-dd"))</f>
        <v>-2.9788501638367592E-3</v>
      </c>
      <c r="J33" s="11" cm="1">
        <f t="array" aca="1" ref="J33" ca="1">(_xll.TR(N33,"TR.PriceClose")-_xll.TR(N33,"TR.PriceClose","SDate:"&amp;EDATE(TODAY(),-3)))/_xll.TR(N33,"TR.PriceClose","SDate:"&amp;EDATE(TODAY(),-3))</f>
        <v>-3.335740072202166E-2</v>
      </c>
      <c r="K33" s="11" cm="1">
        <f t="array" aca="1" ref="K33" ca="1">(_xll.TR(N33,"TR.PriceClose")-_xll.TR(N33,"TR.PriceClose","SDate:"&amp;EDATE(TODAY(),-12)))/_xll.TR(N33,"TR.PriceClose","SDate:"&amp;EDATE(TODAY(),-12))</f>
        <v>0.67727386619894758</v>
      </c>
      <c r="M33" s="14" t="s">
        <v>36</v>
      </c>
      <c r="N33" s="15" t="s">
        <v>70</v>
      </c>
      <c r="O33" t="s">
        <v>100</v>
      </c>
      <c r="Q33" s="23"/>
    </row>
    <row r="34" spans="1:17">
      <c r="A34" s="12" t="s">
        <v>37</v>
      </c>
      <c r="B34" s="72" t="s">
        <v>265</v>
      </c>
      <c r="C34" s="10">
        <f ca="1">'CDS from CapitalIQ'!C75</f>
        <v>56.517899999999997</v>
      </c>
      <c r="D34" s="35">
        <f ca="1">'CDS from CapitalIQ'!T75</f>
        <v>-2.400000000001512E-3</v>
      </c>
      <c r="E34" s="35">
        <f ca="1">'CDS from CapitalIQ'!V75</f>
        <v>-7.6300000000003365E-2</v>
      </c>
      <c r="F34" s="35">
        <f ca="1">'CDS from CapitalIQ'!W75</f>
        <v>15.369799999999998</v>
      </c>
      <c r="G34" s="36">
        <f ca="1">'CDS from CapitalIQ'!X75</f>
        <v>0.73639999999999617</v>
      </c>
      <c r="H34" s="11" cm="1">
        <f t="array" aca="1" ref="H34" ca="1">(_xll.TR(N34,"TR.PriceClose")-_xll.TR(N34,"TR.PriceClose","SDate:"&amp;TEXT(WORKDAY(TODAY(),-5),"yyyy-mm-dd")))/_xll.TR(N34,"TR.PriceClose","SDate:"&amp;TEXT(WORKDAY(TODAY(),-5),"yyyy-mm-dd"))</f>
        <v>-5.4307327537540931E-2</v>
      </c>
      <c r="I34" s="11" cm="1">
        <f t="array" aca="1" ref="I34" ca="1">(_xll.TR(N34,"TR.PriceClose")-_xll.TR(N34,"TR.PriceClose","SDate:"&amp;TEXT(WORKDAY(TODAY(),-10),"yyyy-mm-dd")))/_xll.TR(N34,"TR.PriceClose","SDate:"&amp;TEXT(WORKDAY(TODAY(),-10),"yyyy-mm-dd"))</f>
        <v>-1.1331444759206799E-2</v>
      </c>
      <c r="J34" s="11" cm="1">
        <f t="array" aca="1" ref="J34" ca="1">(_xll.TR(N34,"TR.PriceClose")-_xll.TR(N34,"TR.PriceClose","SDate:"&amp;EDATE(TODAY(),-3)))/_xll.TR(N34,"TR.PriceClose","SDate:"&amp;EDATE(TODAY(),-3))</f>
        <v>-4.8710942140905312E-3</v>
      </c>
      <c r="K34" s="11" cm="1">
        <f t="array" aca="1" ref="K34" ca="1">(_xll.TR(N34,"TR.PriceClose")-_xll.TR(N34,"TR.PriceClose","SDate:"&amp;EDATE(TODAY(),-12)))/_xll.TR(N34,"TR.PriceClose","SDate:"&amp;EDATE(TODAY(),-12))</f>
        <v>0.7611438183347351</v>
      </c>
      <c r="M34" s="14" t="s">
        <v>37</v>
      </c>
      <c r="N34" s="15" t="s">
        <v>71</v>
      </c>
      <c r="O34" t="s">
        <v>101</v>
      </c>
      <c r="Q34" s="23"/>
    </row>
    <row r="35" spans="1:17">
      <c r="A35" s="8" t="s">
        <v>38</v>
      </c>
      <c r="B35" s="72" t="s">
        <v>265</v>
      </c>
      <c r="C35" s="10">
        <f ca="1">'CDS from CapitalIQ'!C76</f>
        <v>69.413300000000007</v>
      </c>
      <c r="D35" s="35">
        <f ca="1">'CDS from CapitalIQ'!T76</f>
        <v>-1.0549999999999926</v>
      </c>
      <c r="E35" s="35">
        <f ca="1">'CDS from CapitalIQ'!V76</f>
        <v>5.1800000000000068E-2</v>
      </c>
      <c r="F35" s="35">
        <f ca="1">'CDS from CapitalIQ'!W76</f>
        <v>4.8689000000000107</v>
      </c>
      <c r="G35" s="36">
        <f ca="1">'CDS from CapitalIQ'!X76</f>
        <v>-1.9727999999999923</v>
      </c>
      <c r="H35" s="11" cm="1">
        <f t="array" aca="1" ref="H35" ca="1">(_xll.TR(N35,"TR.PriceClose")-_xll.TR(N35,"TR.PriceClose","SDate:"&amp;TEXT(WORKDAY(TODAY(),-5),"yyyy-mm-dd")))/_xll.TR(N35,"TR.PriceClose","SDate:"&amp;TEXT(WORKDAY(TODAY(),-5),"yyyy-mm-dd"))</f>
        <v>3.9492242595204514E-3</v>
      </c>
      <c r="I35" s="11" cm="1">
        <f t="array" aca="1" ref="I35" ca="1">(_xll.TR(N35,"TR.PriceClose")-_xll.TR(N35,"TR.PriceClose","SDate:"&amp;TEXT(WORKDAY(TODAY(),-10),"yyyy-mm-dd")))/_xll.TR(N35,"TR.PriceClose","SDate:"&amp;TEXT(WORKDAY(TODAY(),-10),"yyyy-mm-dd"))</f>
        <v>-3.6394176931690931E-3</v>
      </c>
      <c r="J35" s="11" cm="1">
        <f t="array" aca="1" ref="J35" ca="1">(_xll.TR(N35,"TR.PriceClose")-_xll.TR(N35,"TR.PriceClose","SDate:"&amp;EDATE(TODAY(),-3)))/_xll.TR(N35,"TR.PriceClose","SDate:"&amp;EDATE(TODAY(),-3))</f>
        <v>1.4068655036578502E-3</v>
      </c>
      <c r="K35" s="11" cm="1">
        <f t="array" aca="1" ref="K35" ca="1">(_xll.TR(N35,"TR.PriceClose")-_xll.TR(N35,"TR.PriceClose","SDate:"&amp;EDATE(TODAY(),-12)))/_xll.TR(N35,"TR.PriceClose","SDate:"&amp;EDATE(TODAY(),-12))</f>
        <v>0.52485004284490144</v>
      </c>
      <c r="M35" s="14" t="s">
        <v>38</v>
      </c>
      <c r="N35" s="15" t="s">
        <v>72</v>
      </c>
      <c r="O35" t="s">
        <v>102</v>
      </c>
    </row>
    <row r="36" spans="1:17">
      <c r="A36" s="12" t="s">
        <v>39</v>
      </c>
      <c r="B36" s="72" t="s">
        <v>265</v>
      </c>
      <c r="C36" s="10">
        <f ca="1">'CDS from CapitalIQ'!C77</f>
        <v>72.176000000000002</v>
      </c>
      <c r="D36" s="35">
        <f ca="1">'CDS from CapitalIQ'!T77</f>
        <v>-2.588799999999992</v>
      </c>
      <c r="E36" s="35">
        <f ca="1">'CDS from CapitalIQ'!V77</f>
        <v>-2.5810999999999922</v>
      </c>
      <c r="F36" s="35">
        <f ca="1">'CDS from CapitalIQ'!W77</f>
        <v>-3.0378000000000043</v>
      </c>
      <c r="G36" s="36">
        <f ca="1">'CDS from CapitalIQ'!X77</f>
        <v>0.98499999999999943</v>
      </c>
      <c r="H36" s="11" cm="1">
        <f t="array" aca="1" ref="H36" ca="1">(_xll.TR(N36,"TR.PriceClose")-_xll.TR(N36,"TR.PriceClose","SDate:"&amp;TEXT(WORKDAY(TODAY(),-5),"yyyy-mm-dd")))/_xll.TR(N36,"TR.PriceClose","SDate:"&amp;TEXT(WORKDAY(TODAY(),-5),"yyyy-mm-dd"))</f>
        <v>-1.1385816525699415E-2</v>
      </c>
      <c r="I36" s="11" cm="1">
        <f t="array" aca="1" ref="I36" ca="1">(_xll.TR(N36,"TR.PriceClose")-_xll.TR(N36,"TR.PriceClose","SDate:"&amp;TEXT(WORKDAY(TODAY(),-10),"yyyy-mm-dd")))/_xll.TR(N36,"TR.PriceClose","SDate:"&amp;TEXT(WORKDAY(TODAY(),-10),"yyyy-mm-dd"))</f>
        <v>-6.5380843412880026E-3</v>
      </c>
      <c r="J36" s="11" cm="1">
        <f t="array" aca="1" ref="J36" ca="1">(_xll.TR(N36,"TR.PriceClose")-_xll.TR(N36,"TR.PriceClose","SDate:"&amp;TEXT(WORKDAY(TODAY(),-65),"yyyy-mm-dd")))/_xll.TR(N36,"TR.PriceClose","SDate:"&amp;TEXT(WORKDAY(TODAY(),-65),"yyyy-mm-dd"))</f>
        <v>-2.1571152607855762E-2</v>
      </c>
      <c r="K36" s="11" cm="1">
        <f t="array" aca="1" ref="K36" ca="1">(_xll.TR(N36,"TR.PriceClose")-_xll.TR(N36,"TR.PriceClose","SDate:"&amp;EDATE(TODAY(),-12)))/_xll.TR(N36,"TR.PriceClose","SDate:"&amp;EDATE(TODAY(),-12))</f>
        <v>0.43349056603773584</v>
      </c>
      <c r="M36" s="14" t="s">
        <v>39</v>
      </c>
      <c r="N36" s="15" t="s">
        <v>73</v>
      </c>
      <c r="O36" t="s">
        <v>103</v>
      </c>
      <c r="Q36" s="16"/>
    </row>
    <row r="37" spans="1:17">
      <c r="A37" s="18" t="s">
        <v>40</v>
      </c>
      <c r="B37" s="18" t="s">
        <v>41</v>
      </c>
      <c r="C37" s="22"/>
      <c r="D37" s="37"/>
      <c r="E37" s="37"/>
      <c r="F37" s="37"/>
      <c r="G37" s="38"/>
      <c r="H37" s="17"/>
      <c r="I37" s="17"/>
      <c r="J37" s="17"/>
      <c r="K37" s="17"/>
      <c r="M37" s="13"/>
      <c r="N37" s="13"/>
      <c r="Q37" s="23"/>
    </row>
    <row r="38" spans="1:17">
      <c r="A38" s="8" t="s">
        <v>42</v>
      </c>
      <c r="B38" s="9" t="s">
        <v>263</v>
      </c>
      <c r="C38" s="10">
        <f ca="1">'CDS from CapitalIQ'!C79</f>
        <v>63.751600000000003</v>
      </c>
      <c r="D38" s="35">
        <f ca="1">'CDS from CapitalIQ'!T79</f>
        <v>0.5496000000000052</v>
      </c>
      <c r="E38" s="35">
        <f ca="1">'CDS from CapitalIQ'!V79</f>
        <v>-0.89809999999999235</v>
      </c>
      <c r="F38" s="35">
        <f ca="1">'CDS from CapitalIQ'!W79</f>
        <v>2.2516000000000034</v>
      </c>
      <c r="G38" s="36">
        <f ca="1">'CDS from CapitalIQ'!X79</f>
        <v>15.664900000000003</v>
      </c>
      <c r="H38" s="11" cm="1">
        <f t="array" aca="1" ref="H38" ca="1">(_xll.TR(N38,"TR.PriceClose")-_xll.TR(N38,"TR.PriceClose","SDate:"&amp;TEXT(WORKDAY(TODAY(),-5),"yyyy-mm-dd")))/_xll.TR(N38,"TR.PriceClose","SDate:"&amp;TEXT(WORKDAY(TODAY(),-5),"yyyy-mm-dd"))</f>
        <v>-1.7233312538989454E-2</v>
      </c>
      <c r="I38" s="11" cm="1">
        <f t="array" aca="1" ref="I38" ca="1">(_xll.TR(N38,"TR.PriceClose")-_xll.TR(N38,"TR.PriceClose","SDate:"&amp;TEXT(WORKDAY(TODAY(),-10),"yyyy-mm-dd")))/_xll.TR(N38,"TR.PriceClose","SDate:"&amp;TEXT(WORKDAY(TODAY(),-10),"yyyy-mm-dd"))</f>
        <v>-4.0063980501180527E-2</v>
      </c>
      <c r="J38" s="11" cm="1">
        <f t="array" aca="1" ref="J38" ca="1">(_xll.TR(N38,"TR.PriceClose")-_xll.TR(N38,"TR.PriceClose","SDate:"&amp;TEXT(WORKDAY(TODAY(),-65),"yyyy-mm-dd")))/_xll.TR(N38,"TR.PriceClose","SDate:"&amp;TEXT(WORKDAY(TODAY(),-65),"yyyy-mm-dd"))</f>
        <v>6.2275449101796502E-3</v>
      </c>
      <c r="K38" s="11" cm="1">
        <f t="array" aca="1" ref="K38" ca="1">(_xll.TR(N38,"TR.PriceClose")-_xll.TR(N38,"TR.PriceClose","SDate:"&amp;EDATE(TODAY(),-12)))/_xll.TR(N38,"TR.PriceClose","SDate:"&amp;EDATE(TODAY(),-12))</f>
        <v>0.41861773975686623</v>
      </c>
      <c r="M38" s="14" t="s">
        <v>42</v>
      </c>
      <c r="N38" s="15" t="s">
        <v>74</v>
      </c>
      <c r="O38" t="s">
        <v>104</v>
      </c>
      <c r="Q38" s="23"/>
    </row>
    <row r="39" spans="1:17">
      <c r="A39" s="12" t="s">
        <v>43</v>
      </c>
      <c r="B39" s="9" t="s">
        <v>263</v>
      </c>
      <c r="C39" s="10">
        <f ca="1">'CDS from CapitalIQ'!C80</f>
        <v>55.890300000000003</v>
      </c>
      <c r="D39" s="35">
        <f ca="1">'CDS from CapitalIQ'!T80</f>
        <v>-0.33539999999999992</v>
      </c>
      <c r="E39" s="35">
        <f ca="1">'CDS from CapitalIQ'!V80</f>
        <v>0.34710000000000463</v>
      </c>
      <c r="F39" s="35">
        <f ca="1">'CDS from CapitalIQ'!W80</f>
        <v>-0.60969999999999658</v>
      </c>
      <c r="G39" s="36">
        <f ca="1">'CDS from CapitalIQ'!X80</f>
        <v>3.8819000000000017</v>
      </c>
      <c r="H39" s="11" cm="1">
        <f t="array" aca="1" ref="H39" ca="1">(_xll.TR(N39,"TR.PriceClose")-_xll.TR(N39,"TR.PriceClose","SDate:"&amp;TEXT(WORKDAY(TODAY(),-5),"yyyy-mm-dd")))/_xll.TR(N39,"TR.PriceClose","SDate:"&amp;TEXT(WORKDAY(TODAY(),-5),"yyyy-mm-dd"))</f>
        <v>-1.735817104149024E-2</v>
      </c>
      <c r="I39" s="11" cm="1">
        <f t="array" aca="1" ref="I39" ca="1">(_xll.TR(N39,"TR.PriceClose")-_xll.TR(N39,"TR.PriceClose","SDate:"&amp;TEXT(WORKDAY(TODAY(),-10),"yyyy-mm-dd")))/_xll.TR(N39,"TR.PriceClose","SDate:"&amp;TEXT(WORKDAY(TODAY(),-10),"yyyy-mm-dd"))</f>
        <v>-3.5689060617391681E-2</v>
      </c>
      <c r="J39" s="11" cm="1">
        <f t="array" aca="1" ref="J39" ca="1">(_xll.TR(N39,"TR.PriceClose")-_xll.TR(N39,"TR.PriceClose","SDate:"&amp;TEXT(WORKDAY(TODAY(),-65),"yyyy-mm-dd")))/_xll.TR(N39,"TR.PriceClose","SDate:"&amp;TEXT(WORKDAY(TODAY(),-65),"yyyy-mm-dd"))</f>
        <v>-8.7836510119866359E-2</v>
      </c>
      <c r="K39" s="11" cm="1">
        <f t="array" aca="1" ref="K39" ca="1">(_xll.TR(N39,"TR.PriceClose")-_xll.TR(N39,"TR.PriceClose","SDate:"&amp;EDATE(TODAY(),-12)))/_xll.TR(N39,"TR.PriceClose","SDate:"&amp;EDATE(TODAY(),-12))</f>
        <v>0.31889987498579386</v>
      </c>
      <c r="M39" s="14" t="s">
        <v>43</v>
      </c>
      <c r="N39" s="15" t="s">
        <v>75</v>
      </c>
      <c r="O39" t="s">
        <v>108</v>
      </c>
      <c r="Q39" s="23"/>
    </row>
    <row r="40" spans="1:17">
      <c r="A40" s="8" t="s">
        <v>44</v>
      </c>
      <c r="B40" s="9" t="s">
        <v>263</v>
      </c>
      <c r="C40" s="10">
        <f ca="1">'CDS from CapitalIQ'!C81</f>
        <v>62.737200000000001</v>
      </c>
      <c r="D40" s="35">
        <f ca="1">'CDS from CapitalIQ'!T81</f>
        <v>-0.76279999999999859</v>
      </c>
      <c r="E40" s="35">
        <f ca="1">'CDS from CapitalIQ'!V81</f>
        <v>-1.1400999999999968</v>
      </c>
      <c r="F40" s="35">
        <f ca="1">'CDS from CapitalIQ'!W81</f>
        <v>0.40390000000000015</v>
      </c>
      <c r="G40" s="36">
        <f ca="1">'CDS from CapitalIQ'!X81</f>
        <v>13.934800000000003</v>
      </c>
      <c r="H40" s="11" cm="1">
        <f t="array" aca="1" ref="H40" ca="1">(_xll.TR(N40,"TR.PriceClose")-_xll.TR(N40,"TR.PriceClose","SDate:"&amp;TEXT(WORKDAY(TODAY(),-5),"yyyy-mm-dd")))/_xll.TR(N40,"TR.PriceClose","SDate:"&amp;TEXT(WORKDAY(TODAY(),-5),"yyyy-mm-dd"))</f>
        <v>-1.9035612984557266E-2</v>
      </c>
      <c r="I40" s="11" cm="1">
        <f t="array" aca="1" ref="I40" ca="1">(_xll.TR(N40,"TR.PriceClose")-_xll.TR(N40,"TR.PriceClose","SDate:"&amp;TEXT(WORKDAY(TODAY(),-10),"yyyy-mm-dd")))/_xll.TR(N40,"TR.PriceClose","SDate:"&amp;TEXT(WORKDAY(TODAY(),-10),"yyyy-mm-dd"))</f>
        <v>-1.8540707573942095E-2</v>
      </c>
      <c r="J40" s="11" cm="1">
        <f t="array" aca="1" ref="J40" ca="1">(_xll.TR(N40,"TR.PriceClose")-_xll.TR(N40,"TR.PriceClose","SDate:"&amp;TEXT(WORKDAY(TODAY(),-65),"yyyy-mm-dd")))/_xll.TR(N40,"TR.PriceClose","SDate:"&amp;TEXT(WORKDAY(TODAY(),-65),"yyyy-mm-dd"))</f>
        <v>-6.629469642428612E-2</v>
      </c>
      <c r="K40" s="11" cm="1">
        <f t="array" aca="1" ref="K40" ca="1">(_xll.TR(N40,"TR.PriceClose")-_xll.TR(N40,"TR.PriceClose","SDate:"&amp;EDATE(TODAY(),-12)))/_xll.TR(N40,"TR.PriceClose","SDate:"&amp;EDATE(TODAY(),-12))</f>
        <v>0.39179037739223754</v>
      </c>
      <c r="M40" s="14" t="s">
        <v>44</v>
      </c>
      <c r="N40" s="15" t="s">
        <v>76</v>
      </c>
      <c r="O40" t="s">
        <v>105</v>
      </c>
      <c r="Q40" s="23"/>
    </row>
    <row r="41" spans="1:17">
      <c r="A41" s="12" t="s">
        <v>45</v>
      </c>
      <c r="B41" s="9" t="s">
        <v>263</v>
      </c>
      <c r="C41" s="10">
        <f ca="1">'CDS from CapitalIQ'!C82</f>
        <v>60.332599999999999</v>
      </c>
      <c r="D41" s="35">
        <f ca="1">'CDS from CapitalIQ'!T82</f>
        <v>-0.66740000000000066</v>
      </c>
      <c r="E41" s="35">
        <f ca="1">'CDS from CapitalIQ'!V82</f>
        <v>-0.16740000000000066</v>
      </c>
      <c r="F41" s="35">
        <f ca="1">'CDS from CapitalIQ'!W82</f>
        <v>3.8325999999999993</v>
      </c>
      <c r="G41" s="36">
        <f ca="1">'CDS from CapitalIQ'!X82</f>
        <v>17.409399999999998</v>
      </c>
      <c r="H41" s="11" cm="1">
        <f t="array" aca="1" ref="H41" ca="1">(_xll.TR(N41,"TR.PriceClose")-_xll.TR(N41,"TR.PriceClose","SDate:"&amp;TEXT(WORKDAY(TODAY(),-5),"yyyy-mm-dd")))/_xll.TR(N41,"TR.PriceClose","SDate:"&amp;TEXT(WORKDAY(TODAY(),-5),"yyyy-mm-dd"))</f>
        <v>-2.3027490182077857E-2</v>
      </c>
      <c r="I41" s="11" cm="1">
        <f t="array" aca="1" ref="I41" ca="1">(_xll.TR(N41,"TR.PriceClose")-_xll.TR(N41,"TR.PriceClose","SDate:"&amp;TEXT(WORKDAY(TODAY(),-10),"yyyy-mm-dd")))/_xll.TR(N41,"TR.PriceClose","SDate:"&amp;TEXT(WORKDAY(TODAY(),-10),"yyyy-mm-dd"))</f>
        <v>-2.7483267191849875E-2</v>
      </c>
      <c r="J41" s="11" cm="1">
        <f t="array" aca="1" ref="J41" ca="1">(_xll.TR(N41,"TR.PriceClose")-_xll.TR(N41,"TR.PriceClose","SDate:"&amp;TEXT(WORKDAY(TODAY(),-65),"yyyy-mm-dd")))/_xll.TR(N41,"TR.PriceClose","SDate:"&amp;TEXT(WORKDAY(TODAY(),-65),"yyyy-mm-dd"))</f>
        <v>-4.9881372605752004E-2</v>
      </c>
      <c r="K41" s="11" cm="1">
        <f t="array" aca="1" ref="K41" ca="1">(_xll.TR(N41,"TR.PriceClose")-_xll.TR(N41,"TR.PriceClose","SDate:"&amp;EDATE(TODAY(),-12)))/_xll.TR(N41,"TR.PriceClose","SDate:"&amp;EDATE(TODAY(),-12))</f>
        <v>0.49562761887411183</v>
      </c>
      <c r="M41" s="14" t="s">
        <v>45</v>
      </c>
      <c r="N41" s="15" t="s">
        <v>77</v>
      </c>
      <c r="O41" t="s">
        <v>109</v>
      </c>
      <c r="Q41" s="23"/>
    </row>
    <row r="42" spans="1:17">
      <c r="A42" s="8" t="s">
        <v>46</v>
      </c>
      <c r="B42" s="9" t="s">
        <v>263</v>
      </c>
      <c r="C42" s="10">
        <f ca="1">'CDS from CapitalIQ'!C83</f>
        <v>61.699199999999998</v>
      </c>
      <c r="D42" s="35" cm="1">
        <f t="array" ref="D42">_xll.TR(O42,"MID_SPREAD")*_xll.TR(O42,"PCTCHG_1W")/(100+_xll.TR(O42,"PCTCHG_1W"))</f>
        <v>-1.9774791361564321</v>
      </c>
      <c r="E42" s="35">
        <f ca="1">'CDS from CapitalIQ'!V83</f>
        <v>-1.0373000000000019</v>
      </c>
      <c r="F42" s="35">
        <f ca="1">'CDS from CapitalIQ'!W83</f>
        <v>1.1968999999999994</v>
      </c>
      <c r="G42" s="36">
        <f ca="1">'CDS from CapitalIQ'!X83</f>
        <v>10.748399999999997</v>
      </c>
      <c r="H42" s="11" cm="1">
        <f t="array" aca="1" ref="H42" ca="1">(_xll.TR(N42,"TR.PriceClose")-_xll.TR(N42,"TR.PriceClose","SDate:"&amp;TEXT(WORKDAY(TODAY(),-5),"yyyy-mm-dd")))/_xll.TR(N42,"TR.PriceClose","SDate:"&amp;TEXT(WORKDAY(TODAY(),-5),"yyyy-mm-dd"))</f>
        <v>-1.9377484866936585E-2</v>
      </c>
      <c r="I42" s="11" cm="1">
        <f t="array" aca="1" ref="I42" ca="1">(_xll.TR(N42,"TR.PriceClose")-_xll.TR(N42,"TR.PriceClose","SDate:"&amp;TEXT(WORKDAY(TODAY(),-10),"yyyy-mm-dd")))/_xll.TR(N42,"TR.PriceClose","SDate:"&amp;TEXT(WORKDAY(TODAY(),-10),"yyyy-mm-dd"))</f>
        <v>-3.3535724371646432E-2</v>
      </c>
      <c r="J42" s="11" cm="1">
        <f t="array" aca="1" ref="J42" ca="1">(_xll.TR(N42,"TR.PriceClose")-_xll.TR(N42,"TR.PriceClose","SDate:"&amp;TEXT(WORKDAY(TODAY(),-65),"yyyy-mm-dd")))/_xll.TR(N42,"TR.PriceClose","SDate:"&amp;TEXT(WORKDAY(TODAY(),-65),"yyyy-mm-dd"))</f>
        <v>-9.0280777537797036E-2</v>
      </c>
      <c r="K42" s="11" cm="1">
        <f t="array" aca="1" ref="K42" ca="1">(_xll.TR(N42,"TR.PriceClose")-_xll.TR(N42,"TR.PriceClose","SDate:"&amp;EDATE(TODAY(),-12)))/_xll.TR(N42,"TR.PriceClose","SDate:"&amp;EDATE(TODAY(),-12))</f>
        <v>0.36073558648111326</v>
      </c>
      <c r="M42" s="14" t="s">
        <v>46</v>
      </c>
      <c r="N42" s="15" t="s">
        <v>78</v>
      </c>
      <c r="O42" t="s">
        <v>106</v>
      </c>
      <c r="Q42" s="23"/>
    </row>
    <row r="43" spans="1:17">
      <c r="A43" s="12" t="s">
        <v>47</v>
      </c>
      <c r="B43" s="9" t="s">
        <v>263</v>
      </c>
      <c r="C43" s="10">
        <f ca="1">'CDS from CapitalIQ'!C84</f>
        <v>55.878700000000002</v>
      </c>
      <c r="D43" s="35">
        <f ca="1">'CDS from CapitalIQ'!T84</f>
        <v>-0.14849999999999852</v>
      </c>
      <c r="E43" s="35">
        <f ca="1">'CDS from CapitalIQ'!V84</f>
        <v>-4.970000000000141E-2</v>
      </c>
      <c r="F43" s="35">
        <f ca="1">'CDS from CapitalIQ'!W84</f>
        <v>-4.6013999999999982</v>
      </c>
      <c r="G43" s="36">
        <f ca="1">'CDS from CapitalIQ'!X84</f>
        <v>3.2471000000000032</v>
      </c>
      <c r="H43" s="11" cm="1">
        <f t="array" aca="1" ref="H43" ca="1">(_xll.TR(N43,"TR.PriceClose")-_xll.TR(N43,"TR.PriceClose","SDate:"&amp;TEXT(WORKDAY(TODAY(),-5),"yyyy-mm-dd")))/_xll.TR(N43,"TR.PriceClose","SDate:"&amp;TEXT(WORKDAY(TODAY(),-5),"yyyy-mm-dd"))</f>
        <v>-3.0163549113700894E-2</v>
      </c>
      <c r="I43" s="11" cm="1">
        <f t="array" aca="1" ref="I43" ca="1">(_xll.TR(N43,"TR.PriceClose")-_xll.TR(N43,"TR.PriceClose","SDate:"&amp;TEXT(WORKDAY(TODAY(),-10),"yyyy-mm-dd")))/_xll.TR(N43,"TR.PriceClose","SDate:"&amp;TEXT(WORKDAY(TODAY(),-10),"yyyy-mm-dd"))</f>
        <v>-4.6871992300288781E-2</v>
      </c>
      <c r="J43" s="11" cm="1">
        <f t="array" aca="1" ref="J43" ca="1">(_xll.TR(N43,"TR.PriceClose")-_xll.TR(N43,"TR.PriceClose","SDate:"&amp;TEXT(WORKDAY(TODAY(),-65),"yyyy-mm-dd")))/_xll.TR(N43,"TR.PriceClose","SDate:"&amp;TEXT(WORKDAY(TODAY(),-65),"yyyy-mm-dd"))</f>
        <v>-0.13920639749663175</v>
      </c>
      <c r="K43" s="11" cm="1">
        <f t="array" aca="1" ref="K43" ca="1">(_xll.TR(N43,"TR.PriceClose")-_xll.TR(N43,"TR.PriceClose","SDate:"&amp;EDATE(TODAY(),-12)))/_xll.TR(N43,"TR.PriceClose","SDate:"&amp;EDATE(TODAY(),-12))</f>
        <v>0.32242772250784529</v>
      </c>
      <c r="M43" s="14" t="s">
        <v>47</v>
      </c>
      <c r="N43" s="15" t="s">
        <v>79</v>
      </c>
      <c r="O43" t="s">
        <v>107</v>
      </c>
    </row>
    <row r="44" spans="1:17">
      <c r="A44" s="8" t="s">
        <v>48</v>
      </c>
      <c r="B44" s="9" t="s">
        <v>263</v>
      </c>
      <c r="C44" s="10" t="str" cm="1">
        <f t="array" ref="C44">_xll.TR(O44,"MID_SPREAD")</f>
        <v>The record could not be found (Error code: 0)</v>
      </c>
      <c r="D44" s="35" t="e" cm="1">
        <f t="array" ref="D44">_xll.TR(O44,"MID_SPREAD")*_xll.TR(O44,"PCTCHG_1W")/(100+_xll.TR(O44,"PCTCHG_1W"))</f>
        <v>#VALUE!</v>
      </c>
      <c r="E44" s="35">
        <f>'CDS from CapitalIQ'!V85</f>
        <v>0</v>
      </c>
      <c r="F44" s="35">
        <f>'CDS from CapitalIQ'!W85</f>
        <v>0</v>
      </c>
      <c r="G44" s="36">
        <f>'CDS from CapitalIQ'!X85</f>
        <v>0</v>
      </c>
      <c r="H44" s="11" cm="1">
        <f t="array" aca="1" ref="H44" ca="1">(_xll.TR(N44,"TR.PriceClose")-_xll.TR(N44,"TR.PriceClose","SDate:"&amp;TEXT(WORKDAY(TODAY(),-5),"yyyy-mm-dd")))/_xll.TR(N44,"TR.PriceClose","SDate:"&amp;TEXT(WORKDAY(TODAY(),-5),"yyyy-mm-dd"))</f>
        <v>1.2403870007441616E-3</v>
      </c>
      <c r="I44" s="11" cm="1">
        <f t="array" aca="1" ref="I44" ca="1">(_xll.TR(N44,"TR.PriceClose")-_xll.TR(N44,"TR.PriceClose","SDate:"&amp;TEXT(WORKDAY(TODAY(),-10),"yyyy-mm-dd")))/_xll.TR(N44,"TR.PriceClose","SDate:"&amp;TEXT(WORKDAY(TODAY(),-10),"yyyy-mm-dd"))</f>
        <v>-7.6223260388493305E-3</v>
      </c>
      <c r="J44" s="11" cm="1">
        <f t="array" aca="1" ref="J44" ca="1">(_xll.TR(N44,"TR.PriceClose")-_xll.TR(N44,"TR.PriceClose","SDate:"&amp;TEXT(WORKDAY(TODAY(),-65),"yyyy-mm-dd")))/_xll.TR(N44,"TR.PriceClose","SDate:"&amp;TEXT(WORKDAY(TODAY(),-65),"yyyy-mm-dd"))</f>
        <v>4.4798407167745075E-3</v>
      </c>
      <c r="K44" s="11" cm="1">
        <f t="array" aca="1" ref="K44" ca="1">(_xll.TR(N44,"TR.PriceClose")-_xll.TR(N44,"TR.PriceClose","SDate:"&amp;EDATE(TODAY(),-12)))/_xll.TR(N44,"TR.PriceClose","SDate:"&amp;EDATE(TODAY(),-12))</f>
        <v>0.25888958203368673</v>
      </c>
      <c r="M44" s="14" t="s">
        <v>48</v>
      </c>
      <c r="N44" s="15" t="s">
        <v>80</v>
      </c>
      <c r="O44" t="s">
        <v>110</v>
      </c>
      <c r="Q44" s="16"/>
    </row>
    <row r="45" spans="1:17">
      <c r="Q45" s="23"/>
    </row>
    <row r="46" spans="1:17">
      <c r="A46" t="s">
        <v>237</v>
      </c>
      <c r="F46" s="24"/>
      <c r="H46" s="52">
        <f ca="1">_xlfn.PERCENTILE.INC(H$8:H$44,0.2)</f>
        <v>-3.67475501715663E-2</v>
      </c>
      <c r="I46" s="52">
        <f ca="1">_xlfn.PERCENTILE.INC(I$8:I$44,0.2)</f>
        <v>-5.4696421263798319E-2</v>
      </c>
      <c r="J46" s="53">
        <f ca="1">_xlfn.PERCENTILE.INC(J$8:J$44,0.2)</f>
        <v>-9.3687166620011697E-2</v>
      </c>
      <c r="K46" s="53">
        <f ca="1">_xlfn.PERCENTILE.INC(K$8:K$44,0.2)</f>
        <v>0.16153678732406107</v>
      </c>
      <c r="M46" s="16"/>
      <c r="Q46" s="23"/>
    </row>
    <row r="47" spans="1:17">
      <c r="H47" s="51">
        <f ca="1">_xlfn.PERCENTILE.INC(H$8:H$44,0.8)</f>
        <v>-2.6320581356409885E-3</v>
      </c>
      <c r="I47" s="51">
        <f ca="1">_xlfn.PERCENTILE.INC(I$8:I$44,0.8)</f>
        <v>-6.838912355885002E-3</v>
      </c>
      <c r="J47" s="54">
        <f ca="1">_xlfn.PERCENTILE.INC(J$8:J$44,0.8)</f>
        <v>-1.8474300163177004E-3</v>
      </c>
      <c r="K47" s="54">
        <f ca="1">_xlfn.PERCENTILE.INC(K$8:K$44,0.8)</f>
        <v>0.49029793756792583</v>
      </c>
      <c r="Q47" s="23"/>
    </row>
    <row r="48" spans="1:17">
      <c r="C48" s="41"/>
      <c r="D48" s="41"/>
      <c r="M48" s="13"/>
      <c r="N48" s="13"/>
      <c r="Q48" s="23"/>
    </row>
    <row r="49" spans="4:17">
      <c r="M49" s="14"/>
      <c r="N49" s="15"/>
      <c r="Q49" s="23"/>
    </row>
    <row r="50" spans="4:17">
      <c r="D50" s="41"/>
      <c r="M50" s="14"/>
      <c r="N50" s="15"/>
      <c r="Q50" s="23"/>
    </row>
    <row r="51" spans="4:17">
      <c r="M51" s="14"/>
      <c r="N51" s="15"/>
      <c r="Q51" s="23"/>
    </row>
    <row r="52" spans="4:17">
      <c r="M52" s="14"/>
      <c r="N52" s="15"/>
      <c r="Q52" s="23"/>
    </row>
    <row r="53" spans="4:17">
      <c r="M53" s="14"/>
      <c r="N53" s="15"/>
    </row>
    <row r="55" spans="4:17">
      <c r="M55" s="16"/>
    </row>
    <row r="57" spans="4:17">
      <c r="M57" s="13"/>
      <c r="N57" s="13"/>
    </row>
    <row r="58" spans="4:17">
      <c r="M58" s="14"/>
      <c r="N58" s="15"/>
    </row>
    <row r="59" spans="4:17">
      <c r="M59" s="14"/>
      <c r="N59" s="15"/>
    </row>
    <row r="60" spans="4:17">
      <c r="M60" s="14"/>
      <c r="N60" s="15"/>
    </row>
    <row r="61" spans="4:17">
      <c r="M61" s="14"/>
      <c r="N61" s="15"/>
    </row>
    <row r="62" spans="4:17">
      <c r="M62" s="14"/>
      <c r="N62" s="15"/>
    </row>
    <row r="63" spans="4:17">
      <c r="M63" s="14"/>
      <c r="N63" s="15"/>
    </row>
    <row r="64" spans="4:17">
      <c r="M64" s="14"/>
      <c r="N64" s="15"/>
    </row>
  </sheetData>
  <mergeCells count="4">
    <mergeCell ref="C1:G1"/>
    <mergeCell ref="C5:G5"/>
    <mergeCell ref="H1:K1"/>
    <mergeCell ref="H5:K5"/>
  </mergeCells>
  <conditionalFormatting sqref="D8:D43">
    <cfRule type="expression" dxfId="23" priority="15" stopIfTrue="1">
      <formula>D8&lt;=-3</formula>
    </cfRule>
    <cfRule type="expression" dxfId="22" priority="16" stopIfTrue="1">
      <formula>D8&gt;3</formula>
    </cfRule>
  </conditionalFormatting>
  <conditionalFormatting sqref="E8:E44">
    <cfRule type="expression" dxfId="21" priority="13" stopIfTrue="1">
      <formula>E8&lt;=-3</formula>
    </cfRule>
    <cfRule type="expression" dxfId="20" priority="14" stopIfTrue="1">
      <formula>E8&gt;3</formula>
    </cfRule>
  </conditionalFormatting>
  <conditionalFormatting sqref="F8:G44">
    <cfRule type="expression" dxfId="19" priority="9" stopIfTrue="1">
      <formula>F8&lt;=-20</formula>
    </cfRule>
    <cfRule type="expression" dxfId="18" priority="10" stopIfTrue="1">
      <formula>F8&gt;20</formula>
    </cfRule>
  </conditionalFormatting>
  <conditionalFormatting sqref="H8:H44 H46">
    <cfRule type="expression" dxfId="17" priority="7" stopIfTrue="1">
      <formula>H8&gt;=0.02</formula>
    </cfRule>
    <cfRule type="expression" dxfId="16" priority="8" stopIfTrue="1">
      <formula>H8&lt;=-0.03</formula>
    </cfRule>
  </conditionalFormatting>
  <conditionalFormatting sqref="I8:I44 I46">
    <cfRule type="expression" dxfId="15" priority="5" stopIfTrue="1">
      <formula>I8&gt;=0.1</formula>
    </cfRule>
    <cfRule type="expression" dxfId="14" priority="6" stopIfTrue="1">
      <formula>I8&lt;=-0.03</formula>
    </cfRule>
  </conditionalFormatting>
  <conditionalFormatting sqref="J8:J44">
    <cfRule type="expression" dxfId="13" priority="3" stopIfTrue="1">
      <formula>J8&gt;=0.3</formula>
    </cfRule>
    <cfRule type="expression" dxfId="12" priority="4" stopIfTrue="1">
      <formula>J8&lt;=-0.13</formula>
    </cfRule>
  </conditionalFormatting>
  <conditionalFormatting sqref="K8:K44">
    <cfRule type="expression" dxfId="11" priority="1" stopIfTrue="1">
      <formula>K8&gt;=0.7</formula>
    </cfRule>
    <cfRule type="expression" dxfId="10" priority="2" stopIfTrue="1">
      <formula>K8&lt;=-0.3</formula>
    </cfRule>
  </conditionalFormatting>
  <pageMargins left="0.7" right="0.7" top="0.75" bottom="0.75" header="0.3" footer="0.3"/>
  <pageSetup orientation="portrait" r:id="rId1"/>
  <headerFooter>
    <oddHeader>&amp;R&amp;"Aptos"&amp;10&amp;K000000 Category/Catégorie: Non-Sensitive/Non-Délicat&amp;1#_x000D_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D83A-8344-46DF-9263-3D6EDECA8BF0}">
  <dimension ref="A1:K44"/>
  <sheetViews>
    <sheetView zoomScale="98" zoomScaleNormal="98" workbookViewId="0">
      <selection activeCell="F16" sqref="F16"/>
    </sheetView>
  </sheetViews>
  <sheetFormatPr defaultRowHeight="14"/>
  <cols>
    <col min="1" max="1" width="27.26953125" style="55" customWidth="1"/>
    <col min="2" max="3" width="15.26953125" style="55" customWidth="1"/>
    <col min="4" max="4" width="21.81640625" style="55" customWidth="1"/>
    <col min="5" max="5" width="19.6328125" style="55" customWidth="1"/>
    <col min="6" max="6" width="21.81640625" style="55" customWidth="1"/>
    <col min="7" max="7" width="20.7265625" style="55" customWidth="1"/>
    <col min="8" max="8" width="16.36328125" style="55" customWidth="1"/>
    <col min="9" max="9" width="8.7265625" style="55"/>
    <col min="10" max="10" width="19.6328125" style="55" customWidth="1"/>
    <col min="11" max="11" width="24" style="55" customWidth="1"/>
    <col min="12" max="16384" width="8.7265625" style="55"/>
  </cols>
  <sheetData>
    <row r="1" spans="1:11" ht="18" customHeight="1">
      <c r="A1" s="80" t="s">
        <v>262</v>
      </c>
      <c r="B1" s="80"/>
      <c r="C1" s="80"/>
      <c r="D1" s="80"/>
      <c r="E1" s="80"/>
      <c r="F1" s="80"/>
      <c r="G1" s="80"/>
      <c r="H1" s="80"/>
      <c r="J1" s="81" t="s">
        <v>261</v>
      </c>
      <c r="K1" s="81"/>
    </row>
    <row r="2" spans="1:11">
      <c r="J2" s="70" t="s">
        <v>260</v>
      </c>
      <c r="K2" s="71">
        <v>0.6</v>
      </c>
    </row>
    <row r="3" spans="1:11">
      <c r="J3" s="70" t="s">
        <v>259</v>
      </c>
      <c r="K3" s="71">
        <v>0.4</v>
      </c>
    </row>
    <row r="4" spans="1:11">
      <c r="J4" s="70" t="s">
        <v>258</v>
      </c>
      <c r="K4" s="69" t="s">
        <v>257</v>
      </c>
    </row>
    <row r="5" spans="1:11">
      <c r="J5" s="70" t="s">
        <v>256</v>
      </c>
      <c r="K5" s="69" t="s">
        <v>255</v>
      </c>
    </row>
    <row r="7" spans="1:11" ht="34.5" customHeight="1">
      <c r="A7" s="68" t="s">
        <v>2</v>
      </c>
      <c r="B7" s="68" t="s">
        <v>254</v>
      </c>
      <c r="C7" s="68" t="s">
        <v>253</v>
      </c>
      <c r="D7" s="68" t="s">
        <v>252</v>
      </c>
      <c r="E7" s="68" t="s">
        <v>251</v>
      </c>
      <c r="F7" s="68" t="s">
        <v>250</v>
      </c>
      <c r="G7" s="68" t="s">
        <v>249</v>
      </c>
      <c r="H7" s="68" t="s">
        <v>247</v>
      </c>
    </row>
    <row r="8" spans="1:11">
      <c r="A8" s="60" t="s">
        <v>10</v>
      </c>
      <c r="B8" s="60" t="s">
        <v>238</v>
      </c>
      <c r="C8" s="59">
        <f ca="1">Report!$C$8</f>
        <v>61.5976</v>
      </c>
      <c r="D8" s="58">
        <f ca="1">Report!$I$8</f>
        <v>8.562691131498287E-3</v>
      </c>
      <c r="E8" s="62">
        <f ca="1">_xlfn.PERCENTRANK.INC($C$8:$C$14,C8)*100</f>
        <v>50</v>
      </c>
      <c r="F8" s="62">
        <f ca="1">(1-_xlfn.PERCENTRANK.INC($D$8:$D$14,D8))*100</f>
        <v>16.700000000000003</v>
      </c>
      <c r="G8" s="62">
        <f t="shared" ref="G8:G14" ca="1" si="0">IF(OR(E8="",F8=""),"",$K$2*E8+$K$3*F8)</f>
        <v>36.68</v>
      </c>
      <c r="H8" s="61" t="str">
        <f t="shared" ref="H8:H14" ca="1" si="1">IF(G8="","",IF(G8&lt;=25,"Low",IF(G8&lt;=50,"Moderate",IF(G8&lt;=75,"Elevated","High"))))</f>
        <v>Moderate</v>
      </c>
      <c r="J8" s="67" t="s">
        <v>248</v>
      </c>
      <c r="K8" s="67" t="s">
        <v>247</v>
      </c>
    </row>
    <row r="9" spans="1:11">
      <c r="A9" s="60" t="s">
        <v>11</v>
      </c>
      <c r="B9" s="60" t="s">
        <v>238</v>
      </c>
      <c r="C9" s="59">
        <f ca="1">Report!$C$9</f>
        <v>62.620600000000003</v>
      </c>
      <c r="D9" s="58">
        <f ca="1">Report!$I$9</f>
        <v>-6.9141193595342529E-3</v>
      </c>
      <c r="E9" s="62">
        <f t="shared" ref="E9:E14" ca="1" si="2">_xlfn.PERCENTRANK.INC($C$8:$C$14,C9)*100</f>
        <v>83.3</v>
      </c>
      <c r="F9" s="62">
        <f t="shared" ref="F9:F14" ca="1" si="3">(1-_xlfn.PERCENTRANK.INC($D$8:$D$14,D9))*100</f>
        <v>50</v>
      </c>
      <c r="G9" s="62">
        <f t="shared" ca="1" si="0"/>
        <v>69.97999999999999</v>
      </c>
      <c r="H9" s="61" t="str">
        <f t="shared" ca="1" si="1"/>
        <v>Elevated</v>
      </c>
      <c r="J9" s="66" t="s">
        <v>246</v>
      </c>
      <c r="K9" s="66" t="s">
        <v>245</v>
      </c>
    </row>
    <row r="10" spans="1:11">
      <c r="A10" s="60" t="s">
        <v>12</v>
      </c>
      <c r="B10" s="60" t="s">
        <v>238</v>
      </c>
      <c r="C10" s="59">
        <f ca="1">Report!$C$10</f>
        <v>44.201599999999999</v>
      </c>
      <c r="D10" s="58">
        <f ca="1">Report!$I$10</f>
        <v>-2.0299719386232215E-3</v>
      </c>
      <c r="E10" s="62">
        <f t="shared" ca="1" si="2"/>
        <v>0</v>
      </c>
      <c r="F10" s="62">
        <f t="shared" ca="1" si="3"/>
        <v>33.4</v>
      </c>
      <c r="G10" s="62">
        <f t="shared" ca="1" si="0"/>
        <v>13.36</v>
      </c>
      <c r="H10" s="61" t="str">
        <f t="shared" ca="1" si="1"/>
        <v>Low</v>
      </c>
      <c r="J10" s="65" t="s">
        <v>244</v>
      </c>
      <c r="K10" s="65" t="s">
        <v>243</v>
      </c>
    </row>
    <row r="11" spans="1:11">
      <c r="A11" s="60" t="s">
        <v>13</v>
      </c>
      <c r="B11" s="60" t="s">
        <v>238</v>
      </c>
      <c r="C11" s="59">
        <f ca="1">Report!$C$11</f>
        <v>62.452800000000003</v>
      </c>
      <c r="D11" s="58">
        <f ca="1">Report!$I$11</f>
        <v>-2.4327687068890207E-2</v>
      </c>
      <c r="E11" s="62">
        <f t="shared" ca="1" si="2"/>
        <v>66.600000000000009</v>
      </c>
      <c r="F11" s="62">
        <f t="shared" ca="1" si="3"/>
        <v>100</v>
      </c>
      <c r="G11" s="62">
        <f t="shared" ca="1" si="0"/>
        <v>79.960000000000008</v>
      </c>
      <c r="H11" s="61" t="str">
        <f t="shared" ca="1" si="1"/>
        <v>High</v>
      </c>
      <c r="J11" s="64" t="s">
        <v>242</v>
      </c>
      <c r="K11" s="64" t="s">
        <v>241</v>
      </c>
    </row>
    <row r="12" spans="1:11">
      <c r="A12" s="60" t="s">
        <v>14</v>
      </c>
      <c r="B12" s="60" t="s">
        <v>238</v>
      </c>
      <c r="C12" s="59">
        <f ca="1">Report!$C$12</f>
        <v>64.000299999999996</v>
      </c>
      <c r="D12" s="58">
        <f ca="1">Report!$I$12</f>
        <v>-1.4214567337621813E-2</v>
      </c>
      <c r="E12" s="62">
        <f t="shared" ca="1" si="2"/>
        <v>100</v>
      </c>
      <c r="F12" s="62">
        <f t="shared" ca="1" si="3"/>
        <v>66.7</v>
      </c>
      <c r="G12" s="62">
        <f t="shared" ca="1" si="0"/>
        <v>86.68</v>
      </c>
      <c r="H12" s="61" t="str">
        <f t="shared" ca="1" si="1"/>
        <v>High</v>
      </c>
      <c r="J12" s="63" t="s">
        <v>240</v>
      </c>
      <c r="K12" s="63" t="s">
        <v>239</v>
      </c>
    </row>
    <row r="13" spans="1:11">
      <c r="A13" s="60" t="s">
        <v>15</v>
      </c>
      <c r="B13" s="60" t="s">
        <v>238</v>
      </c>
      <c r="C13" s="59">
        <f ca="1">Report!$C$13</f>
        <v>56.645899999999997</v>
      </c>
      <c r="D13" s="58">
        <f ca="1">Report!$I$13</f>
        <v>3.5288270377733459E-2</v>
      </c>
      <c r="E13" s="62">
        <f t="shared" ca="1" si="2"/>
        <v>33.300000000000004</v>
      </c>
      <c r="F13" s="62">
        <f t="shared" ca="1" si="3"/>
        <v>0</v>
      </c>
      <c r="G13" s="62">
        <f t="shared" ca="1" si="0"/>
        <v>19.98</v>
      </c>
      <c r="H13" s="61" t="str">
        <f t="shared" ca="1" si="1"/>
        <v>Low</v>
      </c>
    </row>
    <row r="14" spans="1:11">
      <c r="A14" s="60" t="s">
        <v>16</v>
      </c>
      <c r="B14" s="60" t="s">
        <v>238</v>
      </c>
      <c r="C14" s="59">
        <f ca="1">Report!$C$14</f>
        <v>55.540700000000001</v>
      </c>
      <c r="D14" s="58">
        <f ca="1">Report!$I$14</f>
        <v>-1.603104961187982E-2</v>
      </c>
      <c r="E14" s="62">
        <f t="shared" ca="1" si="2"/>
        <v>16.600000000000001</v>
      </c>
      <c r="F14" s="62">
        <f t="shared" ca="1" si="3"/>
        <v>83.399999999999991</v>
      </c>
      <c r="G14" s="62">
        <f t="shared" ca="1" si="0"/>
        <v>43.32</v>
      </c>
      <c r="H14" s="61" t="str">
        <f t="shared" ca="1" si="1"/>
        <v>Moderate</v>
      </c>
    </row>
    <row r="15" spans="1:11" ht="14.65" customHeight="1">
      <c r="A15" s="77" t="s">
        <v>17</v>
      </c>
      <c r="B15" s="77"/>
      <c r="C15" s="78"/>
      <c r="D15" s="79"/>
      <c r="E15" s="78"/>
      <c r="F15" s="78"/>
      <c r="G15" s="78"/>
      <c r="H15" s="77"/>
    </row>
    <row r="16" spans="1:11">
      <c r="A16" s="60" t="s">
        <v>18</v>
      </c>
      <c r="B16" s="60" t="s">
        <v>17</v>
      </c>
      <c r="C16" s="59">
        <f ca="1">Report!$C$16</f>
        <v>63.9636</v>
      </c>
      <c r="D16" s="58">
        <f ca="1">Report!$I$16</f>
        <v>-7.5051334702258748E-2</v>
      </c>
      <c r="E16" s="62">
        <f ca="1">_xlfn.PERCENTRANK.INC($C$16:$C$18,C16)*100</f>
        <v>50</v>
      </c>
      <c r="F16" s="62">
        <f ca="1">(1-_xlfn.PERCENTRANK.INC($D$16:$D$18,D16))*100</f>
        <v>0</v>
      </c>
      <c r="G16" s="62" t="e">
        <f ca="1">IF(OR(#REF!="",F16=""),"",$K$2*#REF!+$K$3*F16)</f>
        <v>#REF!</v>
      </c>
      <c r="H16" s="61" t="e">
        <f ca="1">IF(G16="","",IF(G16&lt;=25,"Low",IF(G16&lt;=50,"Moderate",IF(G16&lt;=75,"Elevated","High"))))</f>
        <v>#REF!</v>
      </c>
    </row>
    <row r="17" spans="1:8">
      <c r="A17" s="60" t="s">
        <v>19</v>
      </c>
      <c r="B17" s="60" t="s">
        <v>17</v>
      </c>
      <c r="C17" s="59">
        <f ca="1">Report!$C$17</f>
        <v>59.2271</v>
      </c>
      <c r="D17" s="58">
        <f ca="1">Report!$I$17</f>
        <v>-8.4127874369040956E-2</v>
      </c>
      <c r="E17" s="62">
        <f t="shared" ref="E17:E18" ca="1" si="4">_xlfn.PERCENTRANK.INC($C$16:$C$18,C17)*100</f>
        <v>0</v>
      </c>
      <c r="F17" s="62">
        <f t="shared" ref="F17:F18" ca="1" si="5">(1-_xlfn.PERCENTRANK.INC($D$16:$D$18,D17))*100</f>
        <v>50</v>
      </c>
      <c r="G17" s="62">
        <f ca="1">IF(OR(E16="",F17=""),"",$K$2*E16+$K$3*F17)</f>
        <v>50</v>
      </c>
      <c r="H17" s="61" t="str">
        <f ca="1">IF(G17="","",IF(G17&lt;=25,"Low",IF(G17&lt;=50,"Moderate",IF(G17&lt;=75,"Elevated","High"))))</f>
        <v>Moderate</v>
      </c>
    </row>
    <row r="18" spans="1:8">
      <c r="A18" s="60" t="s">
        <v>20</v>
      </c>
      <c r="B18" s="60" t="s">
        <v>17</v>
      </c>
      <c r="C18" s="59">
        <f ca="1">Report!$C$18</f>
        <v>68.150000000000006</v>
      </c>
      <c r="D18" s="58">
        <f ca="1">Report!$I$18</f>
        <v>-9.1462551323800004E-2</v>
      </c>
      <c r="E18" s="62">
        <f t="shared" ca="1" si="4"/>
        <v>100</v>
      </c>
      <c r="F18" s="62">
        <f t="shared" ca="1" si="5"/>
        <v>100</v>
      </c>
      <c r="G18" s="62">
        <f ca="1">IF(OR(E18="",F18=""),"",$K$2*E18+$K$3*F18)</f>
        <v>100</v>
      </c>
      <c r="H18" s="61" t="str">
        <f ca="1">IF(G18="","",IF(G18&lt;=25,"Low",IF(G18&lt;=50,"Moderate",IF(G18&lt;=75,"Elevated","High"))))</f>
        <v>High</v>
      </c>
    </row>
    <row r="19" spans="1:8" ht="14.65" customHeight="1">
      <c r="A19" s="77" t="s">
        <v>21</v>
      </c>
      <c r="B19" s="77"/>
      <c r="C19" s="78"/>
      <c r="D19" s="79"/>
      <c r="E19" s="78"/>
      <c r="F19" s="78"/>
      <c r="G19" s="78"/>
      <c r="H19" s="77"/>
    </row>
    <row r="20" spans="1:8">
      <c r="A20" s="60" t="s">
        <v>22</v>
      </c>
      <c r="B20" s="60" t="s">
        <v>21</v>
      </c>
      <c r="C20" s="59">
        <f ca="1">Report!$C$20</f>
        <v>57.6526</v>
      </c>
      <c r="D20" s="58">
        <f ca="1">Report!$I$20</f>
        <v>-1.2830002467308244E-2</v>
      </c>
      <c r="E20" s="62" t="str">
        <f ca="1">IF(OR(C20="",COUNTIFS($B$8:$B$44,B20,$C$8:$C$44,"&lt;&gt;")&lt;2),"",100*(COUNTIFS($B$8:$B$44,B20,$C$8:$C$44,"&lt;"&amp;C20)+0.5*(COUNTIFS($B$8:$B$44,B20,$C$8:$C$44,"="&amp;C20)-1))/(COUNTIFS($B$8:$B$44,B20,$C$8:$C$44,"&lt;&gt;")-1))</f>
        <v/>
      </c>
      <c r="F20" s="62" t="str">
        <f ca="1">IF(OR(D20="",COUNTIFS($B$8:$B$44,B20,$D$8:$D$44,"&lt;&gt;")&lt;2),"",100*(COUNTIFS($B$8:$B$44,B20,$D$8:$D$44,"&gt;"&amp;D20)+0.5*(COUNTIFS($B$8:$B$44,B20,$D$8:$D$44,"="&amp;D20)-1))/(COUNTIFS($B$8:$B$44,B20,$D$8:$D$44,"&lt;&gt;")-1))</f>
        <v/>
      </c>
      <c r="G20" s="62" t="str">
        <f ca="1">IF(OR(E20="",F20=""),"",$K$2*E20+$K$3*F20)</f>
        <v/>
      </c>
      <c r="H20" s="61" t="str">
        <f ca="1">IF(G20="","",IF(G20&lt;=25,"Low",IF(G20&lt;=50,"Moderate",IF(G20&lt;=75,"Elevated","High"))))</f>
        <v/>
      </c>
    </row>
    <row r="21" spans="1:8" ht="14.65" customHeight="1">
      <c r="A21" s="77" t="s">
        <v>23</v>
      </c>
      <c r="B21" s="77"/>
      <c r="C21" s="78"/>
      <c r="D21" s="79"/>
      <c r="E21" s="78"/>
      <c r="F21" s="78"/>
      <c r="G21" s="78"/>
      <c r="H21" s="77"/>
    </row>
    <row r="22" spans="1:8">
      <c r="A22" s="60" t="s">
        <v>24</v>
      </c>
      <c r="B22" s="60" t="s">
        <v>23</v>
      </c>
      <c r="C22" s="59">
        <f ca="1">Report!$C$22</f>
        <v>72.951400000000007</v>
      </c>
      <c r="D22" s="58">
        <f ca="1">Report!$I$22</f>
        <v>-4.6623093681917159E-2</v>
      </c>
      <c r="E22" s="62">
        <f ca="1">_xlfn.PERCENTRANK.INC($C$22:$C$25,C22)*100</f>
        <v>100</v>
      </c>
      <c r="F22" s="62">
        <f ca="1">(1-_xlfn.PERCENTRANK.INC($D$22:$D$25,D22))*100</f>
        <v>0</v>
      </c>
      <c r="G22" s="62">
        <f ca="1">IF(OR(E22="",F22=""),"",$K$2*E22+$K$3*F22)</f>
        <v>60</v>
      </c>
      <c r="H22" s="61" t="str">
        <f ca="1">IF(G22="","",IF(G22&lt;=25,"Low",IF(G22&lt;=50,"Moderate",IF(G22&lt;=75,"Elevated","High"))))</f>
        <v>Elevated</v>
      </c>
    </row>
    <row r="23" spans="1:8">
      <c r="A23" s="60" t="s">
        <v>25</v>
      </c>
      <c r="B23" s="60" t="s">
        <v>23</v>
      </c>
      <c r="C23" s="59">
        <f ca="1">Report!$C$23</f>
        <v>49.028199999999998</v>
      </c>
      <c r="D23" s="58">
        <f ca="1">Report!$I$23</f>
        <v>-5.4039735099337689E-2</v>
      </c>
      <c r="E23" s="62">
        <f t="shared" ref="E23:E25" ca="1" si="6">_xlfn.PERCENTRANK.INC($C$22:$C$25,C23)*100</f>
        <v>0</v>
      </c>
      <c r="F23" s="62">
        <f t="shared" ref="F23:F25" ca="1" si="7">(1-_xlfn.PERCENTRANK.INC($D$22:$D$25,D23))*100</f>
        <v>66.7</v>
      </c>
      <c r="G23" s="62">
        <f ca="1">IF(OR(E23="",F23=""),"",$K$2*E23+$K$3*F23)</f>
        <v>26.680000000000003</v>
      </c>
      <c r="H23" s="61" t="str">
        <f ca="1">IF(G23="","",IF(G23&lt;=25,"Low",IF(G23&lt;=50,"Moderate",IF(G23&lt;=75,"Elevated","High"))))</f>
        <v>Moderate</v>
      </c>
    </row>
    <row r="24" spans="1:8">
      <c r="A24" s="60" t="s">
        <v>26</v>
      </c>
      <c r="B24" s="60" t="s">
        <v>23</v>
      </c>
      <c r="C24" s="59">
        <f ca="1">Report!$C$24</f>
        <v>67.557299999999998</v>
      </c>
      <c r="D24" s="58">
        <f ca="1">Report!$I$24</f>
        <v>-4.9999999999999968E-2</v>
      </c>
      <c r="E24" s="62">
        <f t="shared" ca="1" si="6"/>
        <v>66.600000000000009</v>
      </c>
      <c r="F24" s="62">
        <f t="shared" ca="1" si="7"/>
        <v>33.4</v>
      </c>
      <c r="G24" s="62">
        <f ca="1">IF(OR(E24="",F24=""),"",$K$2*E24+$K$3*F24)</f>
        <v>53.32</v>
      </c>
      <c r="H24" s="61" t="str">
        <f ca="1">IF(G24="","",IF(G24&lt;=25,"Low",IF(G24&lt;=50,"Moderate",IF(G24&lt;=75,"Elevated","High"))))</f>
        <v>Elevated</v>
      </c>
    </row>
    <row r="25" spans="1:8">
      <c r="A25" s="60" t="s">
        <v>27</v>
      </c>
      <c r="B25" s="60" t="s">
        <v>23</v>
      </c>
      <c r="C25" s="59">
        <f ca="1">Report!$C$25</f>
        <v>53.816699999999997</v>
      </c>
      <c r="D25" s="58">
        <f ca="1">Report!$I$25</f>
        <v>-7.2992700729927001E-2</v>
      </c>
      <c r="E25" s="62">
        <f t="shared" ca="1" si="6"/>
        <v>33.300000000000004</v>
      </c>
      <c r="F25" s="62">
        <f t="shared" ca="1" si="7"/>
        <v>100</v>
      </c>
      <c r="G25" s="62">
        <f ca="1">IF(OR(E25="",F25=""),"",$K$2*E25+$K$3*F25)</f>
        <v>59.980000000000004</v>
      </c>
      <c r="H25" s="61" t="str">
        <f ca="1">IF(G25="","",IF(G25&lt;=25,"Low",IF(G25&lt;=50,"Moderate",IF(G25&lt;=75,"Elevated","High"))))</f>
        <v>Elevated</v>
      </c>
    </row>
    <row r="26" spans="1:8" ht="14.65" customHeight="1">
      <c r="A26" s="77" t="s">
        <v>28</v>
      </c>
      <c r="B26" s="77"/>
      <c r="C26" s="78"/>
      <c r="D26" s="79"/>
      <c r="E26" s="78"/>
      <c r="F26" s="78"/>
      <c r="G26" s="78"/>
      <c r="H26" s="77"/>
    </row>
    <row r="27" spans="1:8">
      <c r="A27" s="60" t="s">
        <v>29</v>
      </c>
      <c r="B27" s="60" t="s">
        <v>28</v>
      </c>
      <c r="C27" s="59">
        <f ca="1">Report!$C$27</f>
        <v>57.75</v>
      </c>
      <c r="D27" s="58">
        <f ca="1">Report!$I$27</f>
        <v>-4.5984251968503961E-2</v>
      </c>
      <c r="E27" s="62">
        <f ca="1">_xlfn.PERCENTRANK.INC($C$27:$C$28,C27)*100</f>
        <v>100</v>
      </c>
      <c r="F27" s="62">
        <f ca="1">(1-_xlfn.PERCENTRANK.INC($D$27:$D$28,D27))*100</f>
        <v>0</v>
      </c>
      <c r="G27" s="62">
        <f ca="1">IF(OR(E27="",F27=""),"",$K$2*E27+$K$3*F27)</f>
        <v>60</v>
      </c>
      <c r="H27" s="61" t="str">
        <f ca="1">IF(G27="","",IF(G27&lt;=25,"Low",IF(G27&lt;=50,"Moderate",IF(G27&lt;=75,"Elevated","High"))))</f>
        <v>Elevated</v>
      </c>
    </row>
    <row r="28" spans="1:8">
      <c r="A28" s="60" t="s">
        <v>30</v>
      </c>
      <c r="B28" s="60" t="s">
        <v>28</v>
      </c>
      <c r="C28" s="59">
        <f ca="1">Report!$C$28</f>
        <v>44.243499999999997</v>
      </c>
      <c r="D28" s="58">
        <f ca="1">Report!$I$28</f>
        <v>-9.2164801143129416E-2</v>
      </c>
      <c r="E28" s="62">
        <f ca="1">_xlfn.PERCENTRANK.INC($C$27:$C$28,C28)*100</f>
        <v>0</v>
      </c>
      <c r="F28" s="62">
        <f ca="1">(1-_xlfn.PERCENTRANK.INC($D$27:$D$28,D28))*100</f>
        <v>100</v>
      </c>
      <c r="G28" s="62">
        <f ca="1">IF(OR(E28="",F28=""),"",$K$2*E28+$K$3*F28)</f>
        <v>40</v>
      </c>
      <c r="H28" s="61" t="str">
        <f ca="1">IF(G28="","",IF(G28&lt;=25,"Low",IF(G28&lt;=50,"Moderate",IF(G28&lt;=75,"Elevated","High"))))</f>
        <v>Moderate</v>
      </c>
    </row>
    <row r="29" spans="1:8" ht="14.65" customHeight="1">
      <c r="A29" s="77" t="s">
        <v>31</v>
      </c>
      <c r="B29" s="77"/>
      <c r="C29" s="78"/>
      <c r="D29" s="79"/>
      <c r="E29" s="78"/>
      <c r="F29" s="78"/>
      <c r="G29" s="78"/>
      <c r="H29" s="77"/>
    </row>
    <row r="30" spans="1:8">
      <c r="A30" s="60" t="s">
        <v>32</v>
      </c>
      <c r="B30" s="60" t="s">
        <v>31</v>
      </c>
      <c r="C30" s="59">
        <f ca="1">Report!$C$30</f>
        <v>30.75</v>
      </c>
      <c r="D30" s="58">
        <f ca="1">Report!$I$30</f>
        <v>-5.7323165921640835E-2</v>
      </c>
      <c r="E30" s="62" t="str">
        <f ca="1">IF(OR(C30="",COUNTIFS($B$8:$B$44,B30,$C$8:$C$44,"&lt;&gt;")&lt;2),"",100*(COUNTIFS($B$8:$B$44,B30,$C$8:$C$44,"&lt;"&amp;C30)+0.5*(COUNTIFS($B$8:$B$44,B30,$C$8:$C$44,"="&amp;C30)-1))/(COUNTIFS($B$8:$B$44,B30,$C$8:$C$44,"&lt;&gt;")-1))</f>
        <v/>
      </c>
      <c r="F30" s="62" t="str">
        <f ca="1">IF(OR(D30="",COUNTIFS($B$8:$B$44,B30,$D$8:$D$44,"&lt;&gt;")&lt;2),"",100*(COUNTIFS($B$8:$B$44,B30,$D$8:$D$44,"&gt;"&amp;D30)+0.5*(COUNTIFS($B$8:$B$44,B30,$D$8:$D$44,"="&amp;D30)-1))/(COUNTIFS($B$8:$B$44,B30,$D$8:$D$44,"&lt;&gt;")-1))</f>
        <v/>
      </c>
      <c r="G30" s="62" t="str">
        <f ca="1">IF(OR(E30="",F30=""),"",$K$2*E30+$K$3*F30)</f>
        <v/>
      </c>
      <c r="H30" s="61" t="str">
        <f ca="1">IF(G30="","",IF(G30&lt;=25,"Low",IF(G30&lt;=50,"Moderate",IF(G30&lt;=75,"Elevated","High"))))</f>
        <v/>
      </c>
    </row>
    <row r="31" spans="1:8" ht="14.65" customHeight="1">
      <c r="A31" s="77" t="s">
        <v>33</v>
      </c>
      <c r="B31" s="77"/>
      <c r="C31" s="78"/>
      <c r="D31" s="79"/>
      <c r="E31" s="78"/>
      <c r="F31" s="78"/>
      <c r="G31" s="78"/>
      <c r="H31" s="77"/>
    </row>
    <row r="32" spans="1:8">
      <c r="A32" s="60" t="s">
        <v>35</v>
      </c>
      <c r="B32" s="60" t="s">
        <v>33</v>
      </c>
      <c r="C32" s="59">
        <f ca="1">Report!$C$32</f>
        <v>43.317799999999998</v>
      </c>
      <c r="D32" s="58">
        <f ca="1">Report!$I$32</f>
        <v>-1.1414253897550112E-2</v>
      </c>
      <c r="E32" s="62">
        <f ca="1">_xlfn.PERCENTRANK.INC($C$32:$C$36,C32)*100</f>
        <v>0</v>
      </c>
      <c r="F32" s="62">
        <f ca="1">(1-_xlfn.PERCENTRANK.INC($D$32:$D$36,D32))*100</f>
        <v>100</v>
      </c>
      <c r="G32" s="62">
        <f ca="1">IF(OR(E32="",F32=""),"",$K$2*E32+$K$3*F32)</f>
        <v>40</v>
      </c>
      <c r="H32" s="61" t="str">
        <f ca="1">IF(G32="","",IF(G32&lt;=25,"Low",IF(G32&lt;=50,"Moderate",IF(G32&lt;=75,"Elevated","High"))))</f>
        <v>Moderate</v>
      </c>
    </row>
    <row r="33" spans="1:8">
      <c r="A33" s="60" t="s">
        <v>36</v>
      </c>
      <c r="B33" s="60" t="s">
        <v>33</v>
      </c>
      <c r="C33" s="59">
        <f ca="1">Report!$C$33</f>
        <v>44.923099999999998</v>
      </c>
      <c r="D33" s="58">
        <f ca="1">Report!$I$33</f>
        <v>-2.9788501638367592E-3</v>
      </c>
      <c r="E33" s="62">
        <f t="shared" ref="E33:E36" ca="1" si="8">_xlfn.PERCENTRANK.INC($C$32:$C$36,C33)*100</f>
        <v>25</v>
      </c>
      <c r="F33" s="62">
        <f t="shared" ref="F33:F36" ca="1" si="9">(1-_xlfn.PERCENTRANK.INC($D$32:$D$36,D33))*100</f>
        <v>0</v>
      </c>
      <c r="G33" s="62">
        <f ca="1">IF(OR(E33="",F33=""),"",$K$2*E33+$K$3*F33)</f>
        <v>15</v>
      </c>
      <c r="H33" s="61" t="str">
        <f ca="1">IF(G33="","",IF(G33&lt;=25,"Low",IF(G33&lt;=50,"Moderate",IF(G33&lt;=75,"Elevated","High"))))</f>
        <v>Low</v>
      </c>
    </row>
    <row r="34" spans="1:8">
      <c r="A34" s="60" t="s">
        <v>37</v>
      </c>
      <c r="B34" s="60" t="s">
        <v>33</v>
      </c>
      <c r="C34" s="59">
        <f ca="1">Report!$C$34</f>
        <v>56.517899999999997</v>
      </c>
      <c r="D34" s="58">
        <f ca="1">Report!$I$34</f>
        <v>-1.1331444759206799E-2</v>
      </c>
      <c r="E34" s="62">
        <f t="shared" ca="1" si="8"/>
        <v>50</v>
      </c>
      <c r="F34" s="62">
        <f t="shared" ca="1" si="9"/>
        <v>75</v>
      </c>
      <c r="G34" s="62">
        <f ca="1">IF(OR(E34="",F34=""),"",$K$2*E34+$K$3*F34)</f>
        <v>60</v>
      </c>
      <c r="H34" s="61" t="str">
        <f ca="1">IF(G34="","",IF(G34&lt;=25,"Low",IF(G34&lt;=50,"Moderate",IF(G34&lt;=75,"Elevated","High"))))</f>
        <v>Elevated</v>
      </c>
    </row>
    <row r="35" spans="1:8">
      <c r="A35" s="60" t="s">
        <v>38</v>
      </c>
      <c r="B35" s="60" t="s">
        <v>33</v>
      </c>
      <c r="C35" s="59">
        <f ca="1">Report!$C$35</f>
        <v>69.413300000000007</v>
      </c>
      <c r="D35" s="58">
        <f ca="1">Report!$I$35</f>
        <v>-3.6394176931690931E-3</v>
      </c>
      <c r="E35" s="62">
        <f t="shared" ca="1" si="8"/>
        <v>75</v>
      </c>
      <c r="F35" s="62">
        <f t="shared" ca="1" si="9"/>
        <v>25</v>
      </c>
      <c r="G35" s="62">
        <f ca="1">IF(OR(E35="",F35=""),"",$K$2*E35+$K$3*F35)</f>
        <v>55</v>
      </c>
      <c r="H35" s="61" t="str">
        <f ca="1">IF(G35="","",IF(G35&lt;=25,"Low",IF(G35&lt;=50,"Moderate",IF(G35&lt;=75,"Elevated","High"))))</f>
        <v>Elevated</v>
      </c>
    </row>
    <row r="36" spans="1:8">
      <c r="A36" s="60" t="s">
        <v>39</v>
      </c>
      <c r="B36" s="60" t="s">
        <v>33</v>
      </c>
      <c r="C36" s="59">
        <f ca="1">Report!$C$36</f>
        <v>72.176000000000002</v>
      </c>
      <c r="D36" s="58">
        <f ca="1">Report!$I$36</f>
        <v>-6.5380843412880026E-3</v>
      </c>
      <c r="E36" s="62">
        <f t="shared" ca="1" si="8"/>
        <v>100</v>
      </c>
      <c r="F36" s="62">
        <f t="shared" ca="1" si="9"/>
        <v>50</v>
      </c>
      <c r="G36" s="62">
        <f ca="1">IF(OR(E36="",F36=""),"",$K$2*E36+$K$3*F36)</f>
        <v>80</v>
      </c>
      <c r="H36" s="61" t="str">
        <f ca="1">IF(G36="","",IF(G36&lt;=25,"Low",IF(G36&lt;=50,"Moderate",IF(G36&lt;=75,"Elevated","High"))))</f>
        <v>High</v>
      </c>
    </row>
    <row r="37" spans="1:8" ht="14.65" customHeight="1">
      <c r="A37" s="77" t="s">
        <v>40</v>
      </c>
      <c r="B37" s="77"/>
      <c r="C37" s="78"/>
      <c r="D37" s="79"/>
      <c r="E37" s="78"/>
      <c r="F37" s="78"/>
      <c r="G37" s="78"/>
      <c r="H37" s="77"/>
    </row>
    <row r="38" spans="1:8">
      <c r="A38" s="60" t="s">
        <v>42</v>
      </c>
      <c r="B38" s="60" t="s">
        <v>40</v>
      </c>
      <c r="C38" s="59">
        <f ca="1">Report!$C$38</f>
        <v>63.751600000000003</v>
      </c>
      <c r="D38" s="58">
        <f ca="1">Report!$I$38</f>
        <v>-4.0063980501180527E-2</v>
      </c>
      <c r="E38" s="62">
        <f ca="1">_xlfn.PERCENTRANK.INC($C$38:$C$43,C38)*100</f>
        <v>100</v>
      </c>
      <c r="F38" s="62">
        <f ca="1">(1-_xlfn.PERCENTRANK.INC($D$38:$D$43,D38))*100</f>
        <v>80</v>
      </c>
      <c r="G38" s="62">
        <f t="shared" ref="G38:G44" ca="1" si="10">IF(OR(E38="",F38=""),"",$K$2*E38+$K$3*F38)</f>
        <v>92</v>
      </c>
      <c r="H38" s="61" t="str">
        <f t="shared" ref="H38:H44" ca="1" si="11">IF(G38="","",IF(G38&lt;=25,"Low",IF(G38&lt;=50,"Moderate",IF(G38&lt;=75,"Elevated","High"))))</f>
        <v>High</v>
      </c>
    </row>
    <row r="39" spans="1:8">
      <c r="A39" s="60" t="s">
        <v>43</v>
      </c>
      <c r="B39" s="60" t="s">
        <v>40</v>
      </c>
      <c r="C39" s="59">
        <f ca="1">Report!$C$39</f>
        <v>55.890300000000003</v>
      </c>
      <c r="D39" s="58">
        <f ca="1">Report!$I$39</f>
        <v>-3.5689060617391681E-2</v>
      </c>
      <c r="E39" s="62">
        <f t="shared" ref="E39:E43" ca="1" si="12">_xlfn.PERCENTRANK.INC($C$38:$C$43,C39)*100</f>
        <v>20</v>
      </c>
      <c r="F39" s="62">
        <f t="shared" ref="F39:F42" ca="1" si="13">(1-_xlfn.PERCENTRANK.INC($D$38:$D$43,D39))*100</f>
        <v>60</v>
      </c>
      <c r="G39" s="62">
        <f t="shared" ca="1" si="10"/>
        <v>36</v>
      </c>
      <c r="H39" s="61" t="str">
        <f t="shared" ca="1" si="11"/>
        <v>Moderate</v>
      </c>
    </row>
    <row r="40" spans="1:8">
      <c r="A40" s="60" t="s">
        <v>44</v>
      </c>
      <c r="B40" s="60" t="s">
        <v>40</v>
      </c>
      <c r="C40" s="59">
        <f ca="1">Report!$C$40</f>
        <v>62.737200000000001</v>
      </c>
      <c r="D40" s="58">
        <f ca="1">Report!$I$40</f>
        <v>-1.8540707573942095E-2</v>
      </c>
      <c r="E40" s="62">
        <f t="shared" ca="1" si="12"/>
        <v>80</v>
      </c>
      <c r="F40" s="62">
        <f t="shared" ca="1" si="13"/>
        <v>0</v>
      </c>
      <c r="G40" s="57">
        <f t="shared" ca="1" si="10"/>
        <v>48</v>
      </c>
      <c r="H40" s="56" t="str">
        <f t="shared" ca="1" si="11"/>
        <v>Moderate</v>
      </c>
    </row>
    <row r="41" spans="1:8">
      <c r="A41" s="60" t="s">
        <v>45</v>
      </c>
      <c r="B41" s="60" t="s">
        <v>40</v>
      </c>
      <c r="C41" s="59">
        <f ca="1">Report!$C$41</f>
        <v>60.332599999999999</v>
      </c>
      <c r="D41" s="58">
        <f ca="1">Report!$I$41</f>
        <v>-2.7483267191849875E-2</v>
      </c>
      <c r="E41" s="62">
        <f t="shared" ca="1" si="12"/>
        <v>40</v>
      </c>
      <c r="F41" s="62">
        <f t="shared" ca="1" si="13"/>
        <v>19.999999999999996</v>
      </c>
      <c r="G41" s="57">
        <f t="shared" ca="1" si="10"/>
        <v>32</v>
      </c>
      <c r="H41" s="56" t="str">
        <f t="shared" ca="1" si="11"/>
        <v>Moderate</v>
      </c>
    </row>
    <row r="42" spans="1:8">
      <c r="A42" s="60" t="s">
        <v>46</v>
      </c>
      <c r="B42" s="60" t="s">
        <v>40</v>
      </c>
      <c r="C42" s="59">
        <f ca="1">Report!$C$42</f>
        <v>61.699199999999998</v>
      </c>
      <c r="D42" s="58">
        <f ca="1">Report!$I$42</f>
        <v>-3.3535724371646432E-2</v>
      </c>
      <c r="E42" s="62">
        <f t="shared" ca="1" si="12"/>
        <v>60</v>
      </c>
      <c r="F42" s="62">
        <f t="shared" ca="1" si="13"/>
        <v>40</v>
      </c>
      <c r="G42" s="57">
        <f t="shared" ca="1" si="10"/>
        <v>52</v>
      </c>
      <c r="H42" s="56" t="str">
        <f t="shared" ca="1" si="11"/>
        <v>Elevated</v>
      </c>
    </row>
    <row r="43" spans="1:8">
      <c r="A43" s="60" t="s">
        <v>47</v>
      </c>
      <c r="B43" s="60" t="s">
        <v>40</v>
      </c>
      <c r="C43" s="59">
        <f ca="1">Report!$C$43</f>
        <v>55.878700000000002</v>
      </c>
      <c r="D43" s="58">
        <f ca="1">Report!$I$43</f>
        <v>-4.6871992300288781E-2</v>
      </c>
      <c r="E43" s="62">
        <f t="shared" ca="1" si="12"/>
        <v>0</v>
      </c>
      <c r="F43" s="57">
        <f t="shared" ref="F43" ca="1" si="14">IF(OR(D43="",COUNTIFS($B$8:$B$44,B43,$D$8:$D$44,"&lt;&gt;")&lt;2),"",100*(COUNTIFS($B$8:$B$44,B43,$D$8:$D$44,"&gt;"&amp;D43)+0.5*(COUNTIFS($B$8:$B$44,B43,$D$8:$D$44,"="&amp;D43)-1))/(COUNTIFS($B$8:$B$44,B43,$D$8:$D$44,"&lt;&gt;")-1))</f>
        <v>100</v>
      </c>
      <c r="G43" s="57">
        <f t="shared" ca="1" si="10"/>
        <v>40</v>
      </c>
      <c r="H43" s="56" t="str">
        <f t="shared" ca="1" si="11"/>
        <v>Moderate</v>
      </c>
    </row>
    <row r="44" spans="1:8">
      <c r="A44" s="60" t="s">
        <v>48</v>
      </c>
      <c r="B44" s="60" t="s">
        <v>40</v>
      </c>
      <c r="C44" s="59"/>
      <c r="D44" s="58"/>
      <c r="E44" s="57" t="str">
        <f t="shared" ref="E44" ca="1" si="15">IF(OR(C44="",COUNTIFS($B$8:$B$44,B44,$C$8:$C$44,"&lt;&gt;")&lt;2),"",100*(COUNTIFS($B$8:$B$44,B44,$C$8:$C$44,"&lt;"&amp;C44)+0.5*(COUNTIFS($B$8:$B$44,B44,$C$8:$C$44,"="&amp;C44)-1))/(COUNTIFS($B$8:$B$44,B44,$C$8:$C$44,"&lt;&gt;")-1))</f>
        <v/>
      </c>
      <c r="F44" s="57"/>
      <c r="G44" s="57" t="str">
        <f t="shared" ca="1" si="10"/>
        <v/>
      </c>
      <c r="H44" s="56" t="str">
        <f t="shared" ca="1" si="11"/>
        <v/>
      </c>
    </row>
  </sheetData>
  <mergeCells count="9">
    <mergeCell ref="A29:H29"/>
    <mergeCell ref="A31:H31"/>
    <mergeCell ref="A37:H37"/>
    <mergeCell ref="A1:H1"/>
    <mergeCell ref="J1:K1"/>
    <mergeCell ref="A15:H15"/>
    <mergeCell ref="A19:H19"/>
    <mergeCell ref="A21:H21"/>
    <mergeCell ref="A26:H26"/>
  </mergeCells>
  <conditionalFormatting sqref="G8:G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G4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H39">
    <cfRule type="expression" dxfId="9" priority="2">
      <formula>H8="Low"</formula>
    </cfRule>
    <cfRule type="expression" dxfId="8" priority="3">
      <formula>H8="Moderate"</formula>
    </cfRule>
    <cfRule type="expression" dxfId="7" priority="4">
      <formula>H8="Elevated"</formula>
    </cfRule>
    <cfRule type="expression" dxfId="6" priority="5">
      <formula>H8="High"</formula>
    </cfRule>
  </conditionalFormatting>
  <conditionalFormatting sqref="H8:H44">
    <cfRule type="expression" dxfId="5" priority="7">
      <formula>H8="Low"</formula>
    </cfRule>
    <cfRule type="expression" dxfId="4" priority="8">
      <formula>H8="Moderate"</formula>
    </cfRule>
    <cfRule type="expression" dxfId="3" priority="9">
      <formula>H8="Elevated"</formula>
    </cfRule>
    <cfRule type="expression" dxfId="2" priority="10">
      <formula>H8="High"</formula>
    </cfRule>
  </conditionalFormatting>
  <dataValidations count="1">
    <dataValidation type="list" sqref="B8:B39" xr:uid="{00000000-0002-0000-0000-000000000000}">
      <formula1>"US,Canada,Europe,UK,Japan,Other"</formula1>
    </dataValidation>
  </dataValidations>
  <pageMargins left="0.7" right="0.7" top="0.75" bottom="0.75" header="0.3" footer="0.3"/>
  <headerFooter>
    <oddHeader>&amp;R&amp;"Aptos"&amp;10&amp;K000000 Category/Catégorie: Non-Sensitive/Non-Délicat&amp;1#_x000D_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6BCC-4358-41B8-AA3B-EAD66D71F3CC}">
  <dimension ref="A1:Z85"/>
  <sheetViews>
    <sheetView workbookViewId="0">
      <selection activeCell="E61" sqref="E61"/>
    </sheetView>
  </sheetViews>
  <sheetFormatPr defaultColWidth="9.1796875" defaultRowHeight="14.5"/>
  <cols>
    <col min="1" max="1" width="27.54296875" customWidth="1"/>
    <col min="2" max="2" width="13.81640625" customWidth="1"/>
    <col min="3" max="3" width="14.54296875" customWidth="1"/>
    <col min="4" max="8" width="10.54296875" customWidth="1"/>
    <col min="9" max="9" width="10.81640625" customWidth="1"/>
    <col min="10" max="10" width="11.453125" customWidth="1"/>
    <col min="11" max="11" width="10.54296875" customWidth="1"/>
    <col min="12" max="12" width="11.453125" customWidth="1"/>
    <col min="13" max="13" width="13.453125" customWidth="1"/>
    <col min="14" max="14" width="11.453125" customWidth="1"/>
    <col min="15" max="17" width="10.54296875" bestFit="1" customWidth="1"/>
    <col min="18" max="18" width="10.54296875" customWidth="1"/>
    <col min="19" max="19" width="10.54296875" bestFit="1" customWidth="1"/>
  </cols>
  <sheetData>
    <row r="1" spans="1:26">
      <c r="A1" s="16" t="s">
        <v>232</v>
      </c>
      <c r="B1" s="16" t="s">
        <v>231</v>
      </c>
    </row>
    <row r="2" spans="1:26">
      <c r="A2" s="16" t="s">
        <v>230</v>
      </c>
      <c r="C2" s="30">
        <f ca="1">TODAY()</f>
        <v>46308</v>
      </c>
      <c r="D2" s="30">
        <f ca="1">TODAY() - 1</f>
        <v>46307</v>
      </c>
      <c r="E2" s="30">
        <f ca="1">TODAY() - 2</f>
        <v>46306</v>
      </c>
      <c r="F2" s="30">
        <f ca="1">TODAY() - 3</f>
        <v>46305</v>
      </c>
      <c r="G2" s="30">
        <f ca="1">TODAY() - 4</f>
        <v>46304</v>
      </c>
      <c r="H2" s="30">
        <f ca="1">TODAY() - 5</f>
        <v>46303</v>
      </c>
      <c r="I2" s="30">
        <f ca="1">TODAY() - 6</f>
        <v>46302</v>
      </c>
      <c r="J2" s="30">
        <f ca="1">TODAY() - 7</f>
        <v>46301</v>
      </c>
      <c r="K2" s="30">
        <f ca="1">TODAY() - 8</f>
        <v>46300</v>
      </c>
      <c r="L2" s="30">
        <f ca="1">TODAY() - 9</f>
        <v>46299</v>
      </c>
      <c r="M2" s="30">
        <f ca="1">TODAY() - 10</f>
        <v>46298</v>
      </c>
      <c r="N2" s="30">
        <f ca="1">TODAY() - 11</f>
        <v>46297</v>
      </c>
      <c r="O2" s="30">
        <f ca="1">TODAY() - 12</f>
        <v>46296</v>
      </c>
      <c r="P2" s="30">
        <f ca="1">TODAY() - 13</f>
        <v>46295</v>
      </c>
      <c r="Q2" s="30">
        <f ca="1">TODAY() - 14</f>
        <v>46294</v>
      </c>
      <c r="R2" s="30">
        <f ca="1">EDATE(TODAY(), -3)</f>
        <v>46216</v>
      </c>
      <c r="S2" s="30">
        <f ca="1">EDATE(TODAY(), -12)</f>
        <v>45943</v>
      </c>
      <c r="T2" t="s">
        <v>229</v>
      </c>
      <c r="U2" t="s">
        <v>228</v>
      </c>
      <c r="V2" t="s">
        <v>227</v>
      </c>
      <c r="W2" t="s">
        <v>226</v>
      </c>
      <c r="X2" t="s">
        <v>225</v>
      </c>
      <c r="Y2" t="s">
        <v>224</v>
      </c>
    </row>
    <row r="3" spans="1:26">
      <c r="A3" t="s">
        <v>223</v>
      </c>
      <c r="B3" s="25" t="s">
        <v>222</v>
      </c>
      <c r="C3">
        <f ca="1">_xll.ciqfunctions.udf.CIQ($B3,"IQ_CDS_mid",C$2)</f>
        <v>109.3386</v>
      </c>
      <c r="D3">
        <f ca="1">_xll.ciqfunctions.udf.CIQ($B3,"IQ_CDS_mid",D$2)</f>
        <v>109.3386</v>
      </c>
      <c r="E3">
        <f ca="1">_xll.ciqfunctions.udf.CIQ($B3,"IQ_CDS_mid",E$2)</f>
        <v>109.50020000000001</v>
      </c>
      <c r="F3">
        <f ca="1">_xll.ciqfunctions.udf.CIQ($B3,"IQ_CDS_mid",F$2)</f>
        <v>109.50020000000001</v>
      </c>
      <c r="G3">
        <f ca="1">_xll.ciqfunctions.udf.CIQ($B3,"IQ_CDS_mid",G$2)</f>
        <v>109.50020000000001</v>
      </c>
      <c r="H3">
        <f ca="1">_xll.ciqfunctions.udf.CIQ($B3,"IQ_CDS_mid",H$2)</f>
        <v>110.7139</v>
      </c>
      <c r="I3">
        <f ca="1">_xll.ciqfunctions.udf.CIQ($B3,"IQ_CDS_mid",I$2)</f>
        <v>110.0123</v>
      </c>
      <c r="J3">
        <f ca="1">_xll.ciqfunctions.udf.CIQ($B3,"IQ_CDS_mid",J$2)</f>
        <v>107.80159999999999</v>
      </c>
      <c r="K3">
        <f ca="1">_xll.ciqfunctions.udf.CIQ($B3,"IQ_CDS_mid",K$2)</f>
        <v>111.2679</v>
      </c>
      <c r="L3">
        <f ca="1">_xll.ciqfunctions.udf.CIQ($B3,"IQ_CDS_mid",L$2)</f>
        <v>132.78630000000001</v>
      </c>
      <c r="M3">
        <f ca="1">_xll.ciqfunctions.udf.CIQ($B3,"IQ_CDS_mid",M$2)</f>
        <v>132.78630000000001</v>
      </c>
      <c r="N3">
        <f ca="1">_xll.ciqfunctions.udf.CIQ($B3,"IQ_CDS_mid",N$2)</f>
        <v>132.78630000000001</v>
      </c>
      <c r="O3">
        <f ca="1">_xll.ciqfunctions.udf.CIQ($B3,"IQ_CDS_mid",O$2)</f>
        <v>132.1661</v>
      </c>
      <c r="P3">
        <f ca="1">_xll.ciqfunctions.udf.CIQ($B3,"IQ_CDS_mid",P$2)</f>
        <v>130.6661</v>
      </c>
      <c r="Q3">
        <f ca="1">_xll.ciqfunctions.udf.CIQ($B3,"IQ_CDS_mid",Q$2)</f>
        <v>130.4829</v>
      </c>
      <c r="R3">
        <f ca="1">_xll.ciqfunctions.udf.CIQ($B3,"IQ_CDS_mid",R$2)</f>
        <v>124.732</v>
      </c>
      <c r="S3">
        <f ca="1">_xll.ciqfunctions.udf.CIQ($B3,"IQ_CDS_mid",S$2)</f>
        <v>159.68209999999999</v>
      </c>
      <c r="T3">
        <f ca="1">C3-H3</f>
        <v>-1.3752999999999957</v>
      </c>
      <c r="U3">
        <f ca="1">C3-M3</f>
        <v>-23.447700000000012</v>
      </c>
      <c r="V3">
        <f ca="1">C3-Q3</f>
        <v>-21.144300000000001</v>
      </c>
      <c r="W3">
        <f ca="1">C3-R3</f>
        <v>-15.3934</v>
      </c>
      <c r="X3">
        <f t="shared" ref="X3:X40" ca="1" si="0">C3-S3</f>
        <v>-50.343499999999992</v>
      </c>
      <c r="Y3" t="s">
        <v>221</v>
      </c>
      <c r="Z3" t="s">
        <v>220</v>
      </c>
    </row>
    <row r="4" spans="1:26">
      <c r="A4" t="s">
        <v>40</v>
      </c>
      <c r="B4" s="25" t="s">
        <v>219</v>
      </c>
      <c r="C4">
        <f ca="1">_xll.ciqfunctions.udf.CIQ($B4,"IQ_CDS_mid",C$2)</f>
        <v>14.0791</v>
      </c>
      <c r="D4">
        <f ca="1">_xll.ciqfunctions.udf.CIQ($B4,"IQ_CDS_mid",D$2)</f>
        <v>14.0791</v>
      </c>
      <c r="E4">
        <f ca="1">_xll.ciqfunctions.udf.CIQ($B4,"IQ_CDS_mid",E$2)</f>
        <v>13.964499999999999</v>
      </c>
      <c r="F4">
        <f ca="1">_xll.ciqfunctions.udf.CIQ($B4,"IQ_CDS_mid",F$2)</f>
        <v>13.964499999999999</v>
      </c>
      <c r="G4">
        <f ca="1">_xll.ciqfunctions.udf.CIQ($B4,"IQ_CDS_mid",G$2)</f>
        <v>13.964499999999999</v>
      </c>
      <c r="H4">
        <f ca="1">_xll.ciqfunctions.udf.CIQ($B4,"IQ_CDS_mid",H$2)</f>
        <v>13.8567</v>
      </c>
      <c r="I4">
        <f ca="1">_xll.ciqfunctions.udf.CIQ($B4,"IQ_CDS_mid",I$2)</f>
        <v>13.4635</v>
      </c>
      <c r="J4">
        <f ca="1">_xll.ciqfunctions.udf.CIQ($B4,"IQ_CDS_mid",J$2)</f>
        <v>12.629799999999999</v>
      </c>
      <c r="K4">
        <f ca="1">_xll.ciqfunctions.udf.CIQ($B4,"IQ_CDS_mid",K$2)</f>
        <v>12.6365</v>
      </c>
      <c r="L4">
        <f ca="1">_xll.ciqfunctions.udf.CIQ($B4,"IQ_CDS_mid",L$2)</f>
        <v>12.4099</v>
      </c>
      <c r="M4">
        <f ca="1">_xll.ciqfunctions.udf.CIQ($B4,"IQ_CDS_mid",M$2)</f>
        <v>12.4099</v>
      </c>
      <c r="N4">
        <f ca="1">_xll.ciqfunctions.udf.CIQ($B4,"IQ_CDS_mid",N$2)</f>
        <v>12.4099</v>
      </c>
      <c r="O4">
        <f ca="1">_xll.ciqfunctions.udf.CIQ($B4,"IQ_CDS_mid",O$2)</f>
        <v>12.1351</v>
      </c>
      <c r="P4">
        <f ca="1">_xll.ciqfunctions.udf.CIQ($B4,"IQ_CDS_mid",P$2)</f>
        <v>11.7088</v>
      </c>
      <c r="Q4">
        <f ca="1">_xll.ciqfunctions.udf.CIQ($B4,"IQ_CDS_mid",Q$2)</f>
        <v>11.5511</v>
      </c>
      <c r="R4">
        <f ca="1">_xll.ciqfunctions.udf.CIQ($B4,"IQ_CDS_mid",R$2)</f>
        <v>11.200799999999999</v>
      </c>
      <c r="S4">
        <f ca="1">_xll.ciqfunctions.udf.CIQ($B4,"IQ_CDS_mid",S$2)</f>
        <v>17.680700000000002</v>
      </c>
      <c r="T4">
        <f ca="1">C4-H4</f>
        <v>0.22240000000000038</v>
      </c>
      <c r="U4">
        <f ca="1">C4-M4</f>
        <v>1.6692</v>
      </c>
      <c r="V4">
        <f ca="1">C4-Q4</f>
        <v>2.5280000000000005</v>
      </c>
      <c r="W4">
        <f ca="1">C4-R4</f>
        <v>2.8783000000000012</v>
      </c>
      <c r="X4">
        <f t="shared" ca="1" si="0"/>
        <v>-3.6016000000000012</v>
      </c>
      <c r="Y4">
        <v>150</v>
      </c>
      <c r="Z4">
        <v>10</v>
      </c>
    </row>
    <row r="5" spans="1:26">
      <c r="A5" t="s">
        <v>218</v>
      </c>
      <c r="B5" s="25" t="s">
        <v>217</v>
      </c>
      <c r="C5">
        <f ca="1">_xll.ciqfunctions.udf.CIQ($B5,"IQ_CDS_mid",C$2)</f>
        <v>92.708299999999994</v>
      </c>
      <c r="D5">
        <f ca="1">_xll.ciqfunctions.udf.CIQ($B5,"IQ_CDS_mid",D$2)</f>
        <v>92.708299999999994</v>
      </c>
      <c r="E5">
        <f ca="1">_xll.ciqfunctions.udf.CIQ($B5,"IQ_CDS_mid",E$2)</f>
        <v>92.738699999999994</v>
      </c>
      <c r="F5">
        <f ca="1">_xll.ciqfunctions.udf.CIQ($B5,"IQ_CDS_mid",F$2)</f>
        <v>92.738699999999994</v>
      </c>
      <c r="G5">
        <f ca="1">_xll.ciqfunctions.udf.CIQ($B5,"IQ_CDS_mid",G$2)</f>
        <v>92.738699999999994</v>
      </c>
      <c r="H5">
        <f ca="1">_xll.ciqfunctions.udf.CIQ($B5,"IQ_CDS_mid",H$2)</f>
        <v>94.4285</v>
      </c>
      <c r="I5">
        <f ca="1">_xll.ciqfunctions.udf.CIQ($B5,"IQ_CDS_mid",I$2)</f>
        <v>93.993600000000001</v>
      </c>
      <c r="J5">
        <f ca="1">_xll.ciqfunctions.udf.CIQ($B5,"IQ_CDS_mid",J$2)</f>
        <v>94.082899999999995</v>
      </c>
      <c r="K5">
        <f ca="1">_xll.ciqfunctions.udf.CIQ($B5,"IQ_CDS_mid",K$2)</f>
        <v>98.959900000000005</v>
      </c>
      <c r="L5">
        <f ca="1">_xll.ciqfunctions.udf.CIQ($B5,"IQ_CDS_mid",L$2)</f>
        <v>100.9982</v>
      </c>
      <c r="M5">
        <f ca="1">_xll.ciqfunctions.udf.CIQ($B5,"IQ_CDS_mid",M$2)</f>
        <v>100.9982</v>
      </c>
      <c r="N5">
        <f ca="1">_xll.ciqfunctions.udf.CIQ($B5,"IQ_CDS_mid",N$2)</f>
        <v>100.9982</v>
      </c>
      <c r="O5">
        <f ca="1">_xll.ciqfunctions.udf.CIQ($B5,"IQ_CDS_mid",O$2)</f>
        <v>100.971</v>
      </c>
      <c r="P5">
        <f ca="1">_xll.ciqfunctions.udf.CIQ($B5,"IQ_CDS_mid",P$2)</f>
        <v>95.94</v>
      </c>
      <c r="Q5">
        <f ca="1">_xll.ciqfunctions.udf.CIQ($B5,"IQ_CDS_mid",Q$2)</f>
        <v>92.230400000000003</v>
      </c>
      <c r="R5">
        <f ca="1">_xll.ciqfunctions.udf.CIQ($B5,"IQ_CDS_mid",R$2)</f>
        <v>85.848500000000001</v>
      </c>
      <c r="S5">
        <f ca="1">_xll.ciqfunctions.udf.CIQ($B5,"IQ_CDS_mid",S$2)</f>
        <v>96.928700000000006</v>
      </c>
      <c r="T5">
        <f ca="1">C5-H5</f>
        <v>-1.7202000000000055</v>
      </c>
      <c r="U5">
        <f ca="1">C5-M5</f>
        <v>-8.2899000000000029</v>
      </c>
      <c r="V5">
        <f ca="1">C5-Q5</f>
        <v>0.47789999999999111</v>
      </c>
      <c r="W5">
        <f ca="1">C5-R5</f>
        <v>6.8597999999999928</v>
      </c>
      <c r="X5">
        <f t="shared" ca="1" si="0"/>
        <v>-4.2204000000000121</v>
      </c>
    </row>
    <row r="6" spans="1:26">
      <c r="A6" t="s">
        <v>216</v>
      </c>
      <c r="B6" s="25" t="s">
        <v>215</v>
      </c>
      <c r="C6">
        <f ca="1">_xll.ciqfunctions.udf.CIQ($B6,"IQ_CDS_mid",C$2)</f>
        <v>41.9133</v>
      </c>
      <c r="D6">
        <f ca="1">_xll.ciqfunctions.udf.CIQ($B6,"IQ_CDS_mid",D$2)</f>
        <v>41.9133</v>
      </c>
      <c r="E6">
        <f ca="1">_xll.ciqfunctions.udf.CIQ($B6,"IQ_CDS_mid",E$2)</f>
        <v>42.144399999999997</v>
      </c>
      <c r="F6">
        <f ca="1">_xll.ciqfunctions.udf.CIQ($B6,"IQ_CDS_mid",F$2)</f>
        <v>42.144399999999997</v>
      </c>
      <c r="G6">
        <f ca="1">_xll.ciqfunctions.udf.CIQ($B6,"IQ_CDS_mid",G$2)</f>
        <v>42.144399999999997</v>
      </c>
      <c r="H6">
        <f ca="1">_xll.ciqfunctions.udf.CIQ($B6,"IQ_CDS_mid",H$2)</f>
        <v>42.765999999999998</v>
      </c>
      <c r="I6">
        <f ca="1">_xll.ciqfunctions.udf.CIQ($B6,"IQ_CDS_mid",I$2)</f>
        <v>42.767299999999999</v>
      </c>
      <c r="J6">
        <f ca="1">_xll.ciqfunctions.udf.CIQ($B6,"IQ_CDS_mid",J$2)</f>
        <v>42.642000000000003</v>
      </c>
      <c r="K6">
        <f ca="1">_xll.ciqfunctions.udf.CIQ($B6,"IQ_CDS_mid",K$2)</f>
        <v>42.958300000000001</v>
      </c>
      <c r="L6">
        <f ca="1">_xll.ciqfunctions.udf.CIQ($B6,"IQ_CDS_mid",L$2)</f>
        <v>42.704599999999999</v>
      </c>
      <c r="M6">
        <f ca="1">_xll.ciqfunctions.udf.CIQ($B6,"IQ_CDS_mid",M$2)</f>
        <v>42.704599999999999</v>
      </c>
      <c r="N6">
        <f ca="1">_xll.ciqfunctions.udf.CIQ($B6,"IQ_CDS_mid",N$2)</f>
        <v>42.704599999999999</v>
      </c>
      <c r="O6">
        <f ca="1">_xll.ciqfunctions.udf.CIQ($B6,"IQ_CDS_mid",O$2)</f>
        <v>42.382100000000001</v>
      </c>
      <c r="P6">
        <f ca="1">_xll.ciqfunctions.udf.CIQ($B6,"IQ_CDS_mid",P$2)</f>
        <v>40.580800000000004</v>
      </c>
      <c r="Q6">
        <f ca="1">_xll.ciqfunctions.udf.CIQ($B6,"IQ_CDS_mid",Q$2)</f>
        <v>39.870699999999999</v>
      </c>
      <c r="R6">
        <f ca="1">_xll.ciqfunctions.udf.CIQ($B6,"IQ_CDS_mid",R$2)</f>
        <v>41.75</v>
      </c>
      <c r="S6">
        <f ca="1">_xll.ciqfunctions.udf.CIQ($B6,"IQ_CDS_mid",S$2)</f>
        <v>41.5</v>
      </c>
      <c r="T6">
        <f ca="1">C6-H6</f>
        <v>-0.85269999999999868</v>
      </c>
      <c r="U6">
        <f ca="1">C6-M6</f>
        <v>-0.79129999999999967</v>
      </c>
      <c r="V6">
        <f ca="1">C6-Q6</f>
        <v>2.0426000000000002</v>
      </c>
      <c r="W6">
        <f ca="1">C6-R6</f>
        <v>0.16329999999999956</v>
      </c>
      <c r="X6">
        <f t="shared" ca="1" si="0"/>
        <v>0.41329999999999956</v>
      </c>
    </row>
    <row r="7" spans="1:26">
      <c r="A7" s="16" t="s">
        <v>214</v>
      </c>
      <c r="X7">
        <f t="shared" si="0"/>
        <v>0</v>
      </c>
    </row>
    <row r="8" spans="1:26">
      <c r="A8" t="s">
        <v>213</v>
      </c>
      <c r="B8" s="25" t="s">
        <v>212</v>
      </c>
      <c r="C8">
        <f ca="1">_xll.ciqfunctions.udf.CIQ($B8,"IQ_CDS_mid",C$2)</f>
        <v>16.979900000000001</v>
      </c>
      <c r="D8">
        <f ca="1">_xll.ciqfunctions.udf.CIQ($B8,"IQ_CDS_mid",D$2)</f>
        <v>16.979900000000001</v>
      </c>
      <c r="E8">
        <f ca="1">_xll.ciqfunctions.udf.CIQ($B8,"IQ_CDS_mid",E$2)</f>
        <v>17.019600000000001</v>
      </c>
      <c r="F8">
        <f ca="1">_xll.ciqfunctions.udf.CIQ($B8,"IQ_CDS_mid",F$2)</f>
        <v>17.019600000000001</v>
      </c>
      <c r="G8">
        <f ca="1">_xll.ciqfunctions.udf.CIQ($B8,"IQ_CDS_mid",G$2)</f>
        <v>17.019600000000001</v>
      </c>
      <c r="H8">
        <f ca="1">_xll.ciqfunctions.udf.CIQ($B8,"IQ_CDS_mid",H$2)</f>
        <v>17.117799999999999</v>
      </c>
      <c r="I8">
        <f ca="1">_xll.ciqfunctions.udf.CIQ($B8,"IQ_CDS_mid",I$2)</f>
        <v>17.206499999999998</v>
      </c>
      <c r="J8">
        <f ca="1">_xll.ciqfunctions.udf.CIQ($B8,"IQ_CDS_mid",J$2)</f>
        <v>17.032299999999999</v>
      </c>
      <c r="K8">
        <f ca="1">_xll.ciqfunctions.udf.CIQ($B8,"IQ_CDS_mid",K$2)</f>
        <v>17.1478</v>
      </c>
      <c r="L8">
        <f ca="1">_xll.ciqfunctions.udf.CIQ($B8,"IQ_CDS_mid",L$2)</f>
        <v>16.8535</v>
      </c>
      <c r="M8">
        <f ca="1">_xll.ciqfunctions.udf.CIQ($B8,"IQ_CDS_mid",M$2)</f>
        <v>16.8535</v>
      </c>
      <c r="N8">
        <f ca="1">_xll.ciqfunctions.udf.CIQ($B8,"IQ_CDS_mid",N$2)</f>
        <v>16.8535</v>
      </c>
      <c r="O8">
        <f ca="1">_xll.ciqfunctions.udf.CIQ($B8,"IQ_CDS_mid",O$2)</f>
        <v>15.3095</v>
      </c>
      <c r="P8">
        <f ca="1">_xll.ciqfunctions.udf.CIQ($B8,"IQ_CDS_mid",P$2)</f>
        <v>14.2628</v>
      </c>
      <c r="Q8">
        <f ca="1">_xll.ciqfunctions.udf.CIQ($B8,"IQ_CDS_mid",Q$2)</f>
        <v>14.077</v>
      </c>
      <c r="R8">
        <f ca="1">_xll.ciqfunctions.udf.CIQ($B8,"IQ_CDS_mid",R$2)</f>
        <v>10.9998</v>
      </c>
      <c r="S8">
        <f ca="1">_xll.ciqfunctions.udf.CIQ($B8,"IQ_CDS_mid",S$2)</f>
        <v>14.7438</v>
      </c>
      <c r="T8">
        <f t="shared" ref="T8:T20" ca="1" si="1">C8-H8</f>
        <v>-0.13789999999999836</v>
      </c>
      <c r="U8">
        <f t="shared" ref="U8:U20" ca="1" si="2">C8-M8</f>
        <v>0.12640000000000029</v>
      </c>
      <c r="V8">
        <f t="shared" ref="V8:V20" ca="1" si="3">C8-Q8</f>
        <v>2.9029000000000007</v>
      </c>
      <c r="W8">
        <f t="shared" ref="W8:W20" ca="1" si="4">C8-R8</f>
        <v>5.9801000000000002</v>
      </c>
      <c r="X8">
        <f t="shared" ca="1" si="0"/>
        <v>2.2361000000000004</v>
      </c>
    </row>
    <row r="9" spans="1:26">
      <c r="A9" t="s">
        <v>211</v>
      </c>
      <c r="B9" s="25" t="s">
        <v>210</v>
      </c>
      <c r="C9">
        <f ca="1">_xll.ciqfunctions.udf.CIQ($B9,"IQ_CDS_mid",C$2)</f>
        <v>32.25</v>
      </c>
      <c r="D9">
        <f ca="1">_xll.ciqfunctions.udf.CIQ($B9,"IQ_CDS_mid",D$2)</f>
        <v>32.25</v>
      </c>
      <c r="E9">
        <f ca="1">_xll.ciqfunctions.udf.CIQ($B9,"IQ_CDS_mid",E$2)</f>
        <v>31.44</v>
      </c>
      <c r="F9">
        <f ca="1">_xll.ciqfunctions.udf.CIQ($B9,"IQ_CDS_mid",F$2)</f>
        <v>31.44</v>
      </c>
      <c r="G9">
        <f ca="1">_xll.ciqfunctions.udf.CIQ($B9,"IQ_CDS_mid",G$2)</f>
        <v>31.44</v>
      </c>
      <c r="H9">
        <f ca="1">_xll.ciqfunctions.udf.CIQ($B9,"IQ_CDS_mid",H$2)</f>
        <v>32.700000000000003</v>
      </c>
      <c r="I9">
        <f ca="1">_xll.ciqfunctions.udf.CIQ($B9,"IQ_CDS_mid",I$2)</f>
        <v>32.396599999999999</v>
      </c>
      <c r="J9">
        <f ca="1">_xll.ciqfunctions.udf.CIQ($B9,"IQ_CDS_mid",J$2)</f>
        <v>32.25</v>
      </c>
      <c r="K9">
        <f ca="1">_xll.ciqfunctions.udf.CIQ($B9,"IQ_CDS_mid",K$2)</f>
        <v>31.333300000000001</v>
      </c>
      <c r="L9">
        <f ca="1">_xll.ciqfunctions.udf.CIQ($B9,"IQ_CDS_mid",L$2)</f>
        <v>27.96</v>
      </c>
      <c r="M9">
        <f ca="1">_xll.ciqfunctions.udf.CIQ($B9,"IQ_CDS_mid",M$2)</f>
        <v>27.96</v>
      </c>
      <c r="N9">
        <f ca="1">_xll.ciqfunctions.udf.CIQ($B9,"IQ_CDS_mid",N$2)</f>
        <v>27.96</v>
      </c>
      <c r="O9">
        <f ca="1">_xll.ciqfunctions.udf.CIQ($B9,"IQ_CDS_mid",O$2)</f>
        <v>26.566500000000001</v>
      </c>
      <c r="P9">
        <f ca="1">_xll.ciqfunctions.udf.CIQ($B9,"IQ_CDS_mid",P$2)</f>
        <v>24.423999999999999</v>
      </c>
      <c r="Q9">
        <f ca="1">_xll.ciqfunctions.udf.CIQ($B9,"IQ_CDS_mid",Q$2)</f>
        <v>23.39</v>
      </c>
      <c r="R9">
        <f ca="1">_xll.ciqfunctions.udf.CIQ($B9,"IQ_CDS_mid",R$2)</f>
        <v>17.333300000000001</v>
      </c>
      <c r="S9">
        <f ca="1">_xll.ciqfunctions.udf.CIQ($B9,"IQ_CDS_mid",S$2)</f>
        <v>21.825800000000001</v>
      </c>
      <c r="T9">
        <f t="shared" ca="1" si="1"/>
        <v>-0.45000000000000284</v>
      </c>
      <c r="U9">
        <f t="shared" ca="1" si="2"/>
        <v>4.2899999999999991</v>
      </c>
      <c r="V9">
        <f t="shared" ca="1" si="3"/>
        <v>8.86</v>
      </c>
      <c r="W9">
        <f t="shared" ca="1" si="4"/>
        <v>14.916699999999999</v>
      </c>
      <c r="X9">
        <f t="shared" ca="1" si="0"/>
        <v>10.424199999999999</v>
      </c>
    </row>
    <row r="10" spans="1:26">
      <c r="A10" t="s">
        <v>209</v>
      </c>
      <c r="B10" s="25" t="s">
        <v>208</v>
      </c>
      <c r="C10">
        <f ca="1">_xll.ciqfunctions.udf.CIQ($B10,"IQ_CDS_mid",C$2)</f>
        <v>13.1227</v>
      </c>
      <c r="D10">
        <f ca="1">_xll.ciqfunctions.udf.CIQ($B10,"IQ_CDS_mid",D$2)</f>
        <v>13.1227</v>
      </c>
      <c r="E10">
        <f ca="1">_xll.ciqfunctions.udf.CIQ($B10,"IQ_CDS_mid",E$2)</f>
        <v>14</v>
      </c>
      <c r="F10">
        <f ca="1">_xll.ciqfunctions.udf.CIQ($B10,"IQ_CDS_mid",F$2)</f>
        <v>14</v>
      </c>
      <c r="G10">
        <f ca="1">_xll.ciqfunctions.udf.CIQ($B10,"IQ_CDS_mid",G$2)</f>
        <v>14</v>
      </c>
      <c r="H10">
        <f ca="1">_xll.ciqfunctions.udf.CIQ($B10,"IQ_CDS_mid",H$2)</f>
        <v>13.666700000000001</v>
      </c>
      <c r="I10">
        <f ca="1">_xll.ciqfunctions.udf.CIQ($B10,"IQ_CDS_mid",I$2)</f>
        <v>13.636699999999999</v>
      </c>
      <c r="J10">
        <f ca="1">_xll.ciqfunctions.udf.CIQ($B10,"IQ_CDS_mid",J$2)</f>
        <v>13.6898</v>
      </c>
      <c r="K10">
        <f ca="1">_xll.ciqfunctions.udf.CIQ($B10,"IQ_CDS_mid",K$2)</f>
        <v>13.5</v>
      </c>
      <c r="L10">
        <f ca="1">_xll.ciqfunctions.udf.CIQ($B10,"IQ_CDS_mid",L$2)</f>
        <v>13.1898</v>
      </c>
      <c r="M10">
        <f ca="1">_xll.ciqfunctions.udf.CIQ($B10,"IQ_CDS_mid",M$2)</f>
        <v>13.1898</v>
      </c>
      <c r="N10">
        <f ca="1">_xll.ciqfunctions.udf.CIQ($B10,"IQ_CDS_mid",N$2)</f>
        <v>13.1898</v>
      </c>
      <c r="O10">
        <f ca="1">_xll.ciqfunctions.udf.CIQ($B10,"IQ_CDS_mid",O$2)</f>
        <v>12.5</v>
      </c>
      <c r="P10">
        <f ca="1">_xll.ciqfunctions.udf.CIQ($B10,"IQ_CDS_mid",P$2)</f>
        <v>12.333299999999999</v>
      </c>
      <c r="Q10">
        <f ca="1">_xll.ciqfunctions.udf.CIQ($B10,"IQ_CDS_mid",Q$2)</f>
        <v>12.0625</v>
      </c>
      <c r="R10">
        <f ca="1">_xll.ciqfunctions.udf.CIQ($B10,"IQ_CDS_mid",R$2)</f>
        <v>11.375400000000001</v>
      </c>
      <c r="S10">
        <f ca="1">_xll.ciqfunctions.udf.CIQ($B10,"IQ_CDS_mid",S$2)</f>
        <v>15.166700000000001</v>
      </c>
      <c r="T10">
        <f t="shared" ca="1" si="1"/>
        <v>-0.54400000000000048</v>
      </c>
      <c r="U10">
        <f t="shared" ca="1" si="2"/>
        <v>-6.7099999999999937E-2</v>
      </c>
      <c r="V10">
        <f t="shared" ca="1" si="3"/>
        <v>1.0602</v>
      </c>
      <c r="W10">
        <f t="shared" ca="1" si="4"/>
        <v>1.7472999999999992</v>
      </c>
      <c r="X10">
        <f t="shared" ca="1" si="0"/>
        <v>-2.0440000000000005</v>
      </c>
    </row>
    <row r="11" spans="1:26">
      <c r="A11" t="s">
        <v>17</v>
      </c>
      <c r="B11" s="25" t="s">
        <v>207</v>
      </c>
      <c r="C11">
        <f ca="1">_xll.ciqfunctions.udf.CIQ($B11,"IQ_CDS_mid",C$2)</f>
        <v>80.764300000000006</v>
      </c>
      <c r="D11">
        <f ca="1">_xll.ciqfunctions.udf.CIQ($B11,"IQ_CDS_mid",D$2)</f>
        <v>80.764300000000006</v>
      </c>
      <c r="E11">
        <f ca="1">_xll.ciqfunctions.udf.CIQ($B11,"IQ_CDS_mid",E$2)</f>
        <v>79.572199999999995</v>
      </c>
      <c r="F11">
        <f ca="1">_xll.ciqfunctions.udf.CIQ($B11,"IQ_CDS_mid",F$2)</f>
        <v>79.572199999999995</v>
      </c>
      <c r="G11">
        <f ca="1">_xll.ciqfunctions.udf.CIQ($B11,"IQ_CDS_mid",G$2)</f>
        <v>79.572199999999995</v>
      </c>
      <c r="H11">
        <f ca="1">_xll.ciqfunctions.udf.CIQ($B11,"IQ_CDS_mid",H$2)</f>
        <v>80.237099999999998</v>
      </c>
      <c r="I11">
        <f ca="1">_xll.ciqfunctions.udf.CIQ($B11,"IQ_CDS_mid",I$2)</f>
        <v>79.653800000000004</v>
      </c>
      <c r="J11">
        <f ca="1">_xll.ciqfunctions.udf.CIQ($B11,"IQ_CDS_mid",J$2)</f>
        <v>73.026399999999995</v>
      </c>
      <c r="K11">
        <f ca="1">_xll.ciqfunctions.udf.CIQ($B11,"IQ_CDS_mid",K$2)</f>
        <v>80.123199999999997</v>
      </c>
      <c r="L11">
        <f ca="1">_xll.ciqfunctions.udf.CIQ($B11,"IQ_CDS_mid",L$2)</f>
        <v>84.186099999999996</v>
      </c>
      <c r="M11">
        <f ca="1">_xll.ciqfunctions.udf.CIQ($B11,"IQ_CDS_mid",M$2)</f>
        <v>84.186099999999996</v>
      </c>
      <c r="N11">
        <f ca="1">_xll.ciqfunctions.udf.CIQ($B11,"IQ_CDS_mid",N$2)</f>
        <v>84.186099999999996</v>
      </c>
      <c r="O11">
        <f ca="1">_xll.ciqfunctions.udf.CIQ($B11,"IQ_CDS_mid",O$2)</f>
        <v>76.507400000000004</v>
      </c>
      <c r="P11">
        <f ca="1">_xll.ciqfunctions.udf.CIQ($B11,"IQ_CDS_mid",P$2)</f>
        <v>70.225800000000007</v>
      </c>
      <c r="Q11">
        <f ca="1">_xll.ciqfunctions.udf.CIQ($B11,"IQ_CDS_mid",Q$2)</f>
        <v>65.137299999999996</v>
      </c>
      <c r="R11">
        <f ca="1">_xll.ciqfunctions.udf.CIQ($B11,"IQ_CDS_mid",R$2)</f>
        <v>30.8581</v>
      </c>
      <c r="S11">
        <f ca="1">_xll.ciqfunctions.udf.CIQ($B11,"IQ_CDS_mid",S$2)</f>
        <v>40.458300000000001</v>
      </c>
      <c r="T11">
        <f t="shared" ca="1" si="1"/>
        <v>0.52720000000000766</v>
      </c>
      <c r="U11">
        <f t="shared" ca="1" si="2"/>
        <v>-3.4217999999999904</v>
      </c>
      <c r="V11">
        <f t="shared" ca="1" si="3"/>
        <v>15.62700000000001</v>
      </c>
      <c r="W11">
        <f t="shared" ca="1" si="4"/>
        <v>49.906200000000005</v>
      </c>
      <c r="X11">
        <f t="shared" ca="1" si="0"/>
        <v>40.306000000000004</v>
      </c>
    </row>
    <row r="12" spans="1:26">
      <c r="A12" t="s">
        <v>28</v>
      </c>
      <c r="B12" s="25" t="s">
        <v>206</v>
      </c>
      <c r="C12">
        <f ca="1">_xll.ciqfunctions.udf.CIQ($B12,"IQ_CDS_mid",C$2)</f>
        <v>12.222300000000001</v>
      </c>
      <c r="D12">
        <f ca="1">_xll.ciqfunctions.udf.CIQ($B12,"IQ_CDS_mid",D$2)</f>
        <v>12.222300000000001</v>
      </c>
      <c r="E12">
        <f ca="1">_xll.ciqfunctions.udf.CIQ($B12,"IQ_CDS_mid",E$2)</f>
        <v>12.333600000000001</v>
      </c>
      <c r="F12">
        <f ca="1">_xll.ciqfunctions.udf.CIQ($B12,"IQ_CDS_mid",F$2)</f>
        <v>12.333600000000001</v>
      </c>
      <c r="G12">
        <f ca="1">_xll.ciqfunctions.udf.CIQ($B12,"IQ_CDS_mid",G$2)</f>
        <v>12.333600000000001</v>
      </c>
      <c r="H12">
        <f ca="1">_xll.ciqfunctions.udf.CIQ($B12,"IQ_CDS_mid",H$2)</f>
        <v>12.5349</v>
      </c>
      <c r="I12">
        <f ca="1">_xll.ciqfunctions.udf.CIQ($B12,"IQ_CDS_mid",I$2)</f>
        <v>12.7094</v>
      </c>
      <c r="J12">
        <f ca="1">_xll.ciqfunctions.udf.CIQ($B12,"IQ_CDS_mid",J$2)</f>
        <v>12.5875</v>
      </c>
      <c r="K12">
        <f ca="1">_xll.ciqfunctions.udf.CIQ($B12,"IQ_CDS_mid",K$2)</f>
        <v>12.35</v>
      </c>
      <c r="L12">
        <f ca="1">_xll.ciqfunctions.udf.CIQ($B12,"IQ_CDS_mid",L$2)</f>
        <v>12.5</v>
      </c>
      <c r="M12">
        <f ca="1">_xll.ciqfunctions.udf.CIQ($B12,"IQ_CDS_mid",M$2)</f>
        <v>12.5</v>
      </c>
      <c r="N12">
        <f ca="1">_xll.ciqfunctions.udf.CIQ($B12,"IQ_CDS_mid",N$2)</f>
        <v>12.5</v>
      </c>
      <c r="O12">
        <f ca="1">_xll.ciqfunctions.udf.CIQ($B12,"IQ_CDS_mid",O$2)</f>
        <v>10.73</v>
      </c>
      <c r="P12">
        <f ca="1">_xll.ciqfunctions.udf.CIQ($B12,"IQ_CDS_mid",P$2)</f>
        <v>10.130000000000001</v>
      </c>
      <c r="Q12">
        <f ca="1">_xll.ciqfunctions.udf.CIQ($B12,"IQ_CDS_mid",Q$2)</f>
        <v>10.003399999999999</v>
      </c>
      <c r="R12">
        <f ca="1">_xll.ciqfunctions.udf.CIQ($B12,"IQ_CDS_mid",R$2)</f>
        <v>7.0004999999999997</v>
      </c>
      <c r="S12">
        <f ca="1">_xll.ciqfunctions.udf.CIQ($B12,"IQ_CDS_mid",S$2)</f>
        <v>8.9473000000000003</v>
      </c>
      <c r="T12">
        <f t="shared" ca="1" si="1"/>
        <v>-0.31259999999999977</v>
      </c>
      <c r="U12">
        <f t="shared" ca="1" si="2"/>
        <v>-0.27769999999999939</v>
      </c>
      <c r="V12">
        <f t="shared" ca="1" si="3"/>
        <v>2.2189000000000014</v>
      </c>
      <c r="W12">
        <f t="shared" ca="1" si="4"/>
        <v>5.2218000000000009</v>
      </c>
      <c r="X12">
        <f t="shared" ca="1" si="0"/>
        <v>3.2750000000000004</v>
      </c>
    </row>
    <row r="13" spans="1:26">
      <c r="A13" t="s">
        <v>205</v>
      </c>
      <c r="B13" s="25" t="s">
        <v>204</v>
      </c>
      <c r="C13">
        <f ca="1">_xll.ciqfunctions.udf.CIQ($B13,"IQ_CDS_mid",C$2)</f>
        <v>47.546700000000001</v>
      </c>
      <c r="D13">
        <f ca="1">_xll.ciqfunctions.udf.CIQ($B13,"IQ_CDS_mid",D$2)</f>
        <v>47.546700000000001</v>
      </c>
      <c r="E13">
        <f ca="1">_xll.ciqfunctions.udf.CIQ($B13,"IQ_CDS_mid",E$2)</f>
        <v>48</v>
      </c>
      <c r="F13">
        <f ca="1">_xll.ciqfunctions.udf.CIQ($B13,"IQ_CDS_mid",F$2)</f>
        <v>48</v>
      </c>
      <c r="G13">
        <f ca="1">_xll.ciqfunctions.udf.CIQ($B13,"IQ_CDS_mid",G$2)</f>
        <v>48</v>
      </c>
      <c r="H13">
        <f ca="1">_xll.ciqfunctions.udf.CIQ($B13,"IQ_CDS_mid",H$2)</f>
        <v>49.5717</v>
      </c>
      <c r="I13">
        <f ca="1">_xll.ciqfunctions.udf.CIQ($B13,"IQ_CDS_mid",I$2)</f>
        <v>49.472499999999997</v>
      </c>
      <c r="J13">
        <f ca="1">_xll.ciqfunctions.udf.CIQ($B13,"IQ_CDS_mid",J$2)</f>
        <v>48.083300000000001</v>
      </c>
      <c r="K13">
        <f ca="1">_xll.ciqfunctions.udf.CIQ($B13,"IQ_CDS_mid",K$2)</f>
        <v>50.332500000000003</v>
      </c>
      <c r="L13">
        <f ca="1">_xll.ciqfunctions.udf.CIQ($B13,"IQ_CDS_mid",L$2)</f>
        <v>46.227200000000003</v>
      </c>
      <c r="M13">
        <f ca="1">_xll.ciqfunctions.udf.CIQ($B13,"IQ_CDS_mid",M$2)</f>
        <v>46.227200000000003</v>
      </c>
      <c r="N13">
        <f ca="1">_xll.ciqfunctions.udf.CIQ($B13,"IQ_CDS_mid",N$2)</f>
        <v>46.227200000000003</v>
      </c>
      <c r="O13">
        <f ca="1">_xll.ciqfunctions.udf.CIQ($B13,"IQ_CDS_mid",O$2)</f>
        <v>42.684899999999999</v>
      </c>
      <c r="P13">
        <f ca="1">_xll.ciqfunctions.udf.CIQ($B13,"IQ_CDS_mid",P$2)</f>
        <v>40.076000000000001</v>
      </c>
      <c r="Q13">
        <f ca="1">_xll.ciqfunctions.udf.CIQ($B13,"IQ_CDS_mid",Q$2)</f>
        <v>37.4101</v>
      </c>
      <c r="R13">
        <f ca="1">_xll.ciqfunctions.udf.CIQ($B13,"IQ_CDS_mid",R$2)</f>
        <v>29.182700000000001</v>
      </c>
      <c r="S13">
        <f ca="1">_xll.ciqfunctions.udf.CIQ($B13,"IQ_CDS_mid",S$2)</f>
        <v>40.514000000000003</v>
      </c>
      <c r="T13">
        <f t="shared" ca="1" si="1"/>
        <v>-2.0249999999999986</v>
      </c>
      <c r="U13">
        <f t="shared" ca="1" si="2"/>
        <v>1.3194999999999979</v>
      </c>
      <c r="V13">
        <f t="shared" ca="1" si="3"/>
        <v>10.136600000000001</v>
      </c>
      <c r="W13">
        <f t="shared" ca="1" si="4"/>
        <v>18.364000000000001</v>
      </c>
      <c r="X13">
        <f t="shared" ca="1" si="0"/>
        <v>7.0326999999999984</v>
      </c>
    </row>
    <row r="14" spans="1:26">
      <c r="A14" t="s">
        <v>203</v>
      </c>
      <c r="B14" s="25" t="s">
        <v>202</v>
      </c>
      <c r="C14">
        <f ca="1">_xll.ciqfunctions.udf.CIQ($B14,"IQ_CDS_mid",C$2)</f>
        <v>16.774999999999999</v>
      </c>
      <c r="D14">
        <f ca="1">_xll.ciqfunctions.udf.CIQ($B14,"IQ_CDS_mid",D$2)</f>
        <v>16.774999999999999</v>
      </c>
      <c r="E14">
        <f ca="1">_xll.ciqfunctions.udf.CIQ($B14,"IQ_CDS_mid",E$2)</f>
        <v>16.8325</v>
      </c>
      <c r="F14">
        <f ca="1">_xll.ciqfunctions.udf.CIQ($B14,"IQ_CDS_mid",F$2)</f>
        <v>16.8325</v>
      </c>
      <c r="G14">
        <f ca="1">_xll.ciqfunctions.udf.CIQ($B14,"IQ_CDS_mid",G$2)</f>
        <v>16.8325</v>
      </c>
      <c r="H14">
        <f ca="1">_xll.ciqfunctions.udf.CIQ($B14,"IQ_CDS_mid",H$2)</f>
        <v>17.4267</v>
      </c>
      <c r="I14">
        <f ca="1">_xll.ciqfunctions.udf.CIQ($B14,"IQ_CDS_mid",I$2)</f>
        <v>17.333300000000001</v>
      </c>
      <c r="J14">
        <f ca="1">_xll.ciqfunctions.udf.CIQ($B14,"IQ_CDS_mid",J$2)</f>
        <v>17.441700000000001</v>
      </c>
      <c r="K14">
        <f ca="1">_xll.ciqfunctions.udf.CIQ($B14,"IQ_CDS_mid",K$2)</f>
        <v>17.833300000000001</v>
      </c>
      <c r="L14">
        <f ca="1">_xll.ciqfunctions.udf.CIQ($B14,"IQ_CDS_mid",L$2)</f>
        <v>19.625</v>
      </c>
      <c r="M14">
        <f ca="1">_xll.ciqfunctions.udf.CIQ($B14,"IQ_CDS_mid",M$2)</f>
        <v>19.625</v>
      </c>
      <c r="N14">
        <f ca="1">_xll.ciqfunctions.udf.CIQ($B14,"IQ_CDS_mid",N$2)</f>
        <v>19.625</v>
      </c>
      <c r="O14">
        <f ca="1">_xll.ciqfunctions.udf.CIQ($B14,"IQ_CDS_mid",O$2)</f>
        <v>17.2667</v>
      </c>
      <c r="P14">
        <f ca="1">_xll.ciqfunctions.udf.CIQ($B14,"IQ_CDS_mid",P$2)</f>
        <v>16.5</v>
      </c>
      <c r="Q14">
        <f ca="1">_xll.ciqfunctions.udf.CIQ($B14,"IQ_CDS_mid",Q$2)</f>
        <v>16.3</v>
      </c>
      <c r="R14">
        <f ca="1">_xll.ciqfunctions.udf.CIQ($B14,"IQ_CDS_mid",R$2)</f>
        <v>14.333299999999999</v>
      </c>
      <c r="S14">
        <f ca="1">_xll.ciqfunctions.udf.CIQ($B14,"IQ_CDS_mid",S$2)</f>
        <v>16.333300000000001</v>
      </c>
      <c r="T14">
        <f t="shared" ca="1" si="1"/>
        <v>-0.65170000000000172</v>
      </c>
      <c r="U14">
        <f t="shared" ca="1" si="2"/>
        <v>-2.8500000000000014</v>
      </c>
      <c r="V14">
        <f t="shared" ca="1" si="3"/>
        <v>0.47499999999999787</v>
      </c>
      <c r="W14">
        <f t="shared" ca="1" si="4"/>
        <v>2.4416999999999991</v>
      </c>
      <c r="X14">
        <f t="shared" ca="1" si="0"/>
        <v>0.44169999999999732</v>
      </c>
    </row>
    <row r="15" spans="1:26">
      <c r="A15" t="s">
        <v>201</v>
      </c>
      <c r="B15" s="25" t="s">
        <v>200</v>
      </c>
      <c r="C15">
        <f ca="1">_xll.ciqfunctions.udf.CIQ($B15,"IQ_CDS_mid",C$2)</f>
        <v>66.023200000000003</v>
      </c>
      <c r="D15">
        <f ca="1">_xll.ciqfunctions.udf.CIQ($B15,"IQ_CDS_mid",D$2)</f>
        <v>66.023200000000003</v>
      </c>
      <c r="E15">
        <f ca="1">_xll.ciqfunctions.udf.CIQ($B15,"IQ_CDS_mid",E$2)</f>
        <v>65.551199999999994</v>
      </c>
      <c r="F15">
        <f ca="1">_xll.ciqfunctions.udf.CIQ($B15,"IQ_CDS_mid",F$2)</f>
        <v>65.551199999999994</v>
      </c>
      <c r="G15">
        <f ca="1">_xll.ciqfunctions.udf.CIQ($B15,"IQ_CDS_mid",G$2)</f>
        <v>65.551199999999994</v>
      </c>
      <c r="H15">
        <f ca="1">_xll.ciqfunctions.udf.CIQ($B15,"IQ_CDS_mid",H$2)</f>
        <v>65.634699999999995</v>
      </c>
      <c r="I15">
        <f ca="1">_xll.ciqfunctions.udf.CIQ($B15,"IQ_CDS_mid",I$2)</f>
        <v>67.692899999999995</v>
      </c>
      <c r="J15">
        <f ca="1">_xll.ciqfunctions.udf.CIQ($B15,"IQ_CDS_mid",J$2)</f>
        <v>61.003900000000002</v>
      </c>
      <c r="K15">
        <f ca="1">_xll.ciqfunctions.udf.CIQ($B15,"IQ_CDS_mid",K$2)</f>
        <v>68.349999999999994</v>
      </c>
      <c r="L15">
        <f ca="1">_xll.ciqfunctions.udf.CIQ($B15,"IQ_CDS_mid",L$2)</f>
        <v>72.458100000000002</v>
      </c>
      <c r="M15">
        <f ca="1">_xll.ciqfunctions.udf.CIQ($B15,"IQ_CDS_mid",M$2)</f>
        <v>72.458100000000002</v>
      </c>
      <c r="N15">
        <f ca="1">_xll.ciqfunctions.udf.CIQ($B15,"IQ_CDS_mid",N$2)</f>
        <v>72.458100000000002</v>
      </c>
      <c r="O15">
        <f ca="1">_xll.ciqfunctions.udf.CIQ($B15,"IQ_CDS_mid",O$2)</f>
        <v>62.536299999999997</v>
      </c>
      <c r="P15">
        <f ca="1">_xll.ciqfunctions.udf.CIQ($B15,"IQ_CDS_mid",P$2)</f>
        <v>51.116999999999997</v>
      </c>
      <c r="Q15">
        <f ca="1">_xll.ciqfunctions.udf.CIQ($B15,"IQ_CDS_mid",Q$2)</f>
        <v>48.8643</v>
      </c>
      <c r="R15">
        <f ca="1">_xll.ciqfunctions.udf.CIQ($B15,"IQ_CDS_mid",R$2)</f>
        <v>29.152699999999999</v>
      </c>
      <c r="S15">
        <f ca="1">_xll.ciqfunctions.udf.CIQ($B15,"IQ_CDS_mid",S$2)</f>
        <v>38.137999999999998</v>
      </c>
      <c r="T15">
        <f t="shared" ca="1" si="1"/>
        <v>0.38850000000000762</v>
      </c>
      <c r="U15">
        <f t="shared" ca="1" si="2"/>
        <v>-6.434899999999999</v>
      </c>
      <c r="V15">
        <f t="shared" ca="1" si="3"/>
        <v>17.158900000000003</v>
      </c>
      <c r="W15">
        <f t="shared" ca="1" si="4"/>
        <v>36.870500000000007</v>
      </c>
      <c r="X15">
        <f t="shared" ca="1" si="0"/>
        <v>27.885200000000005</v>
      </c>
    </row>
    <row r="16" spans="1:26">
      <c r="A16" t="s">
        <v>199</v>
      </c>
      <c r="B16" s="25" t="s">
        <v>198</v>
      </c>
      <c r="C16">
        <f ca="1">_xll.ciqfunctions.udf.CIQ($B16,"IQ_CDS_mid",C$2)</f>
        <v>11.7546</v>
      </c>
      <c r="D16">
        <f ca="1">_xll.ciqfunctions.udf.CIQ($B16,"IQ_CDS_mid",D$2)</f>
        <v>11.7546</v>
      </c>
      <c r="E16">
        <f ca="1">_xll.ciqfunctions.udf.CIQ($B16,"IQ_CDS_mid",E$2)</f>
        <v>11.455299999999999</v>
      </c>
      <c r="F16">
        <f ca="1">_xll.ciqfunctions.udf.CIQ($B16,"IQ_CDS_mid",F$2)</f>
        <v>11.455299999999999</v>
      </c>
      <c r="G16">
        <f ca="1">_xll.ciqfunctions.udf.CIQ($B16,"IQ_CDS_mid",G$2)</f>
        <v>11.455299999999999</v>
      </c>
      <c r="H16">
        <f ca="1">_xll.ciqfunctions.udf.CIQ($B16,"IQ_CDS_mid",H$2)</f>
        <v>11.662800000000001</v>
      </c>
      <c r="I16">
        <f ca="1">_xll.ciqfunctions.udf.CIQ($B16,"IQ_CDS_mid",I$2)</f>
        <v>11.258699999999999</v>
      </c>
      <c r="J16">
        <f ca="1">_xll.ciqfunctions.udf.CIQ($B16,"IQ_CDS_mid",J$2)</f>
        <v>10.5977</v>
      </c>
      <c r="K16">
        <f ca="1">_xll.ciqfunctions.udf.CIQ($B16,"IQ_CDS_mid",K$2)</f>
        <v>10.774100000000001</v>
      </c>
      <c r="L16">
        <f ca="1">_xll.ciqfunctions.udf.CIQ($B16,"IQ_CDS_mid",L$2)</f>
        <v>10.9572</v>
      </c>
      <c r="M16">
        <f ca="1">_xll.ciqfunctions.udf.CIQ($B16,"IQ_CDS_mid",M$2)</f>
        <v>10.9572</v>
      </c>
      <c r="N16">
        <f ca="1">_xll.ciqfunctions.udf.CIQ($B16,"IQ_CDS_mid",N$2)</f>
        <v>10.9572</v>
      </c>
      <c r="O16">
        <f ca="1">_xll.ciqfunctions.udf.CIQ($B16,"IQ_CDS_mid",O$2)</f>
        <v>12.062200000000001</v>
      </c>
      <c r="P16">
        <f ca="1">_xll.ciqfunctions.udf.CIQ($B16,"IQ_CDS_mid",P$2)</f>
        <v>10.421799999999999</v>
      </c>
      <c r="Q16">
        <f ca="1">_xll.ciqfunctions.udf.CIQ($B16,"IQ_CDS_mid",Q$2)</f>
        <v>10.480399999999999</v>
      </c>
      <c r="R16">
        <f ca="1">_xll.ciqfunctions.udf.CIQ($B16,"IQ_CDS_mid",R$2)</f>
        <v>9.9968000000000004</v>
      </c>
      <c r="S16">
        <f ca="1">_xll.ciqfunctions.udf.CIQ($B16,"IQ_CDS_mid",S$2)</f>
        <v>14.115</v>
      </c>
      <c r="T16">
        <f t="shared" ca="1" si="1"/>
        <v>9.1799999999999216E-2</v>
      </c>
      <c r="U16">
        <f t="shared" ca="1" si="2"/>
        <v>0.79739999999999966</v>
      </c>
      <c r="V16">
        <f t="shared" ca="1" si="3"/>
        <v>1.2742000000000004</v>
      </c>
      <c r="W16">
        <f t="shared" ca="1" si="4"/>
        <v>1.7577999999999996</v>
      </c>
      <c r="X16">
        <f t="shared" ca="1" si="0"/>
        <v>-2.3604000000000003</v>
      </c>
    </row>
    <row r="17" spans="1:24">
      <c r="A17" t="s">
        <v>197</v>
      </c>
      <c r="B17" s="25" t="s">
        <v>196</v>
      </c>
      <c r="C17">
        <f ca="1">_xll.ciqfunctions.udf.CIQ($B17,"IQ_CDS_mid",C$2)</f>
        <v>13.246</v>
      </c>
      <c r="D17">
        <f ca="1">_xll.ciqfunctions.udf.CIQ($B17,"IQ_CDS_mid",D$2)</f>
        <v>13.246</v>
      </c>
      <c r="E17">
        <f ca="1">_xll.ciqfunctions.udf.CIQ($B17,"IQ_CDS_mid",E$2)</f>
        <v>13.333299999999999</v>
      </c>
      <c r="F17">
        <f ca="1">_xll.ciqfunctions.udf.CIQ($B17,"IQ_CDS_mid",F$2)</f>
        <v>13.333299999999999</v>
      </c>
      <c r="G17">
        <f ca="1">_xll.ciqfunctions.udf.CIQ($B17,"IQ_CDS_mid",G$2)</f>
        <v>13.333299999999999</v>
      </c>
      <c r="H17">
        <f ca="1">_xll.ciqfunctions.udf.CIQ($B17,"IQ_CDS_mid",H$2)</f>
        <v>13.875</v>
      </c>
      <c r="I17">
        <f ca="1">_xll.ciqfunctions.udf.CIQ($B17,"IQ_CDS_mid",I$2)</f>
        <v>12.75</v>
      </c>
      <c r="J17">
        <f ca="1">_xll.ciqfunctions.udf.CIQ($B17,"IQ_CDS_mid",J$2)</f>
        <v>13.25</v>
      </c>
      <c r="K17">
        <f ca="1">_xll.ciqfunctions.udf.CIQ($B17,"IQ_CDS_mid",K$2)</f>
        <v>12.775700000000001</v>
      </c>
      <c r="L17">
        <f ca="1">_xll.ciqfunctions.udf.CIQ($B17,"IQ_CDS_mid",L$2)</f>
        <v>13.120699999999999</v>
      </c>
      <c r="M17">
        <f ca="1">_xll.ciqfunctions.udf.CIQ($B17,"IQ_CDS_mid",M$2)</f>
        <v>13.120699999999999</v>
      </c>
      <c r="N17">
        <f ca="1">_xll.ciqfunctions.udf.CIQ($B17,"IQ_CDS_mid",N$2)</f>
        <v>13.120699999999999</v>
      </c>
      <c r="O17">
        <f ca="1">_xll.ciqfunctions.udf.CIQ($B17,"IQ_CDS_mid",O$2)</f>
        <v>12.2006</v>
      </c>
      <c r="P17">
        <f ca="1">_xll.ciqfunctions.udf.CIQ($B17,"IQ_CDS_mid",P$2)</f>
        <v>11.25</v>
      </c>
      <c r="Q17">
        <f ca="1">_xll.ciqfunctions.udf.CIQ($B17,"IQ_CDS_mid",Q$2)</f>
        <v>10.398400000000001</v>
      </c>
      <c r="R17">
        <f ca="1">_xll.ciqfunctions.udf.CIQ($B17,"IQ_CDS_mid",R$2)</f>
        <v>7.8</v>
      </c>
      <c r="S17">
        <f ca="1">_xll.ciqfunctions.udf.CIQ($B17,"IQ_CDS_mid",S$2)</f>
        <v>9</v>
      </c>
      <c r="T17">
        <f t="shared" ca="1" si="1"/>
        <v>-0.62899999999999956</v>
      </c>
      <c r="U17">
        <f t="shared" ca="1" si="2"/>
        <v>0.12530000000000108</v>
      </c>
      <c r="V17">
        <f t="shared" ca="1" si="3"/>
        <v>2.8475999999999999</v>
      </c>
      <c r="W17">
        <f t="shared" ca="1" si="4"/>
        <v>5.4460000000000006</v>
      </c>
      <c r="X17">
        <f t="shared" ca="1" si="0"/>
        <v>4.2460000000000004</v>
      </c>
    </row>
    <row r="18" spans="1:24">
      <c r="A18" t="s">
        <v>195</v>
      </c>
      <c r="B18" s="25" t="s">
        <v>194</v>
      </c>
      <c r="C18">
        <f ca="1">_xll.ciqfunctions.udf.CIQ($B18,"IQ_CDS_mid",C$2)</f>
        <v>23.75</v>
      </c>
      <c r="D18">
        <f ca="1">_xll.ciqfunctions.udf.CIQ($B18,"IQ_CDS_mid",D$2)</f>
        <v>23.75</v>
      </c>
      <c r="E18">
        <f ca="1">_xll.ciqfunctions.udf.CIQ($B18,"IQ_CDS_mid",E$2)</f>
        <v>23.6</v>
      </c>
      <c r="F18">
        <f ca="1">_xll.ciqfunctions.udf.CIQ($B18,"IQ_CDS_mid",F$2)</f>
        <v>23.6</v>
      </c>
      <c r="G18">
        <f ca="1">_xll.ciqfunctions.udf.CIQ($B18,"IQ_CDS_mid",G$2)</f>
        <v>23.6</v>
      </c>
      <c r="H18">
        <f ca="1">_xll.ciqfunctions.udf.CIQ($B18,"IQ_CDS_mid",H$2)</f>
        <v>23.8642</v>
      </c>
      <c r="I18">
        <f ca="1">_xll.ciqfunctions.udf.CIQ($B18,"IQ_CDS_mid",I$2)</f>
        <v>23.833300000000001</v>
      </c>
      <c r="J18">
        <f ca="1">_xll.ciqfunctions.udf.CIQ($B18,"IQ_CDS_mid",J$2)</f>
        <v>22.881699999999999</v>
      </c>
      <c r="K18">
        <f ca="1">_xll.ciqfunctions.udf.CIQ($B18,"IQ_CDS_mid",K$2)</f>
        <v>23.213999999999999</v>
      </c>
      <c r="L18">
        <f ca="1">_xll.ciqfunctions.udf.CIQ($B18,"IQ_CDS_mid",L$2)</f>
        <v>22.6326</v>
      </c>
      <c r="M18">
        <f ca="1">_xll.ciqfunctions.udf.CIQ($B18,"IQ_CDS_mid",M$2)</f>
        <v>22.6326</v>
      </c>
      <c r="N18">
        <f ca="1">_xll.ciqfunctions.udf.CIQ($B18,"IQ_CDS_mid",N$2)</f>
        <v>22.6326</v>
      </c>
      <c r="O18">
        <f ca="1">_xll.ciqfunctions.udf.CIQ($B18,"IQ_CDS_mid",O$2)</f>
        <v>19.6646</v>
      </c>
      <c r="P18">
        <f ca="1">_xll.ciqfunctions.udf.CIQ($B18,"IQ_CDS_mid",P$2)</f>
        <v>18.5</v>
      </c>
      <c r="Q18">
        <f ca="1">_xll.ciqfunctions.udf.CIQ($B18,"IQ_CDS_mid",Q$2)</f>
        <v>17.895700000000001</v>
      </c>
      <c r="R18">
        <f ca="1">_xll.ciqfunctions.udf.CIQ($B18,"IQ_CDS_mid",R$2)</f>
        <v>14.25</v>
      </c>
      <c r="S18">
        <f ca="1">_xll.ciqfunctions.udf.CIQ($B18,"IQ_CDS_mid",S$2)</f>
        <v>21.25</v>
      </c>
      <c r="T18">
        <f t="shared" ca="1" si="1"/>
        <v>-0.1142000000000003</v>
      </c>
      <c r="U18">
        <f t="shared" ca="1" si="2"/>
        <v>1.1173999999999999</v>
      </c>
      <c r="V18">
        <f t="shared" ca="1" si="3"/>
        <v>5.8542999999999985</v>
      </c>
      <c r="W18">
        <f t="shared" ca="1" si="4"/>
        <v>9.5</v>
      </c>
      <c r="X18">
        <f t="shared" ca="1" si="0"/>
        <v>2.5</v>
      </c>
    </row>
    <row r="19" spans="1:24">
      <c r="A19" t="s">
        <v>193</v>
      </c>
      <c r="B19" s="25" t="s">
        <v>192</v>
      </c>
      <c r="C19">
        <f ca="1">_xll.ciqfunctions.udf.CIQ($B19,"IQ_CDS_mid",C$2)</f>
        <v>44.527900000000002</v>
      </c>
      <c r="D19">
        <f ca="1">_xll.ciqfunctions.udf.CIQ($B19,"IQ_CDS_mid",D$2)</f>
        <v>44.527900000000002</v>
      </c>
      <c r="E19">
        <f ca="1">_xll.ciqfunctions.udf.CIQ($B19,"IQ_CDS_mid",E$2)</f>
        <v>44.516500000000001</v>
      </c>
      <c r="F19">
        <f ca="1">_xll.ciqfunctions.udf.CIQ($B19,"IQ_CDS_mid",F$2)</f>
        <v>44.516500000000001</v>
      </c>
      <c r="G19">
        <f ca="1">_xll.ciqfunctions.udf.CIQ($B19,"IQ_CDS_mid",G$2)</f>
        <v>44.516500000000001</v>
      </c>
      <c r="H19">
        <f ca="1">_xll.ciqfunctions.udf.CIQ($B19,"IQ_CDS_mid",H$2)</f>
        <v>44.481400000000001</v>
      </c>
      <c r="I19">
        <f ca="1">_xll.ciqfunctions.udf.CIQ($B19,"IQ_CDS_mid",I$2)</f>
        <v>44.421399999999998</v>
      </c>
      <c r="J19">
        <f ca="1">_xll.ciqfunctions.udf.CIQ($B19,"IQ_CDS_mid",J$2)</f>
        <v>44.243699999999997</v>
      </c>
      <c r="K19">
        <f ca="1">_xll.ciqfunctions.udf.CIQ($B19,"IQ_CDS_mid",K$2)</f>
        <v>44.244799999999998</v>
      </c>
      <c r="L19">
        <f ca="1">_xll.ciqfunctions.udf.CIQ($B19,"IQ_CDS_mid",L$2)</f>
        <v>44.139299999999999</v>
      </c>
      <c r="M19">
        <f ca="1">_xll.ciqfunctions.udf.CIQ($B19,"IQ_CDS_mid",M$2)</f>
        <v>44.139299999999999</v>
      </c>
      <c r="N19">
        <f ca="1">_xll.ciqfunctions.udf.CIQ($B19,"IQ_CDS_mid",N$2)</f>
        <v>44.139299999999999</v>
      </c>
      <c r="O19">
        <f ca="1">_xll.ciqfunctions.udf.CIQ($B19,"IQ_CDS_mid",O$2)</f>
        <v>43.684899999999999</v>
      </c>
      <c r="P19">
        <f ca="1">_xll.ciqfunctions.udf.CIQ($B19,"IQ_CDS_mid",P$2)</f>
        <v>43.3718</v>
      </c>
      <c r="Q19">
        <f ca="1">_xll.ciqfunctions.udf.CIQ($B19,"IQ_CDS_mid",Q$2)</f>
        <v>41.620699999999999</v>
      </c>
      <c r="R19">
        <f ca="1">_xll.ciqfunctions.udf.CIQ($B19,"IQ_CDS_mid",R$2)</f>
        <v>36.149299999999997</v>
      </c>
      <c r="S19">
        <f ca="1">_xll.ciqfunctions.udf.CIQ($B19,"IQ_CDS_mid",S$2)</f>
        <v>34.5779</v>
      </c>
      <c r="T19">
        <f t="shared" ca="1" si="1"/>
        <v>4.6500000000001762E-2</v>
      </c>
      <c r="U19">
        <f t="shared" ca="1" si="2"/>
        <v>0.38860000000000383</v>
      </c>
      <c r="V19">
        <f t="shared" ca="1" si="3"/>
        <v>2.9072000000000031</v>
      </c>
      <c r="W19">
        <f t="shared" ca="1" si="4"/>
        <v>8.3786000000000058</v>
      </c>
      <c r="X19">
        <f t="shared" ca="1" si="0"/>
        <v>9.9500000000000028</v>
      </c>
    </row>
    <row r="20" spans="1:24">
      <c r="A20" t="s">
        <v>191</v>
      </c>
      <c r="B20" s="25" t="s">
        <v>190</v>
      </c>
      <c r="C20">
        <f ca="1">_xll.ciqfunctions.udf.CIQ($B20,"IQ_CDS_mid",C$2)</f>
        <v>29.463899999999999</v>
      </c>
      <c r="D20">
        <f ca="1">_xll.ciqfunctions.udf.CIQ($B20,"IQ_CDS_mid",D$2)</f>
        <v>29.463899999999999</v>
      </c>
      <c r="E20">
        <f ca="1">_xll.ciqfunctions.udf.CIQ($B20,"IQ_CDS_mid",E$2)</f>
        <v>29.646599999999999</v>
      </c>
      <c r="F20">
        <f ca="1">_xll.ciqfunctions.udf.CIQ($B20,"IQ_CDS_mid",F$2)</f>
        <v>29.646599999999999</v>
      </c>
      <c r="G20">
        <f ca="1">_xll.ciqfunctions.udf.CIQ($B20,"IQ_CDS_mid",G$2)</f>
        <v>29.646599999999999</v>
      </c>
      <c r="H20">
        <f ca="1">_xll.ciqfunctions.udf.CIQ($B20,"IQ_CDS_mid",H$2)</f>
        <v>30.729800000000001</v>
      </c>
      <c r="I20">
        <f ca="1">_xll.ciqfunctions.udf.CIQ($B20,"IQ_CDS_mid",I$2)</f>
        <v>30.196300000000001</v>
      </c>
      <c r="J20">
        <f ca="1">_xll.ciqfunctions.udf.CIQ($B20,"IQ_CDS_mid",J$2)</f>
        <v>28.337</v>
      </c>
      <c r="K20">
        <f ca="1">_xll.ciqfunctions.udf.CIQ($B20,"IQ_CDS_mid",K$2)</f>
        <v>29.821899999999999</v>
      </c>
      <c r="L20">
        <f ca="1">_xll.ciqfunctions.udf.CIQ($B20,"IQ_CDS_mid",L$2)</f>
        <v>29.297499999999999</v>
      </c>
      <c r="M20">
        <f ca="1">_xll.ciqfunctions.udf.CIQ($B20,"IQ_CDS_mid",M$2)</f>
        <v>29.297499999999999</v>
      </c>
      <c r="N20">
        <f ca="1">_xll.ciqfunctions.udf.CIQ($B20,"IQ_CDS_mid",N$2)</f>
        <v>29.297499999999999</v>
      </c>
      <c r="O20">
        <f ca="1">_xll.ciqfunctions.udf.CIQ($B20,"IQ_CDS_mid",O$2)</f>
        <v>24.663399999999999</v>
      </c>
      <c r="P20">
        <f ca="1">_xll.ciqfunctions.udf.CIQ($B20,"IQ_CDS_mid",P$2)</f>
        <v>22.8</v>
      </c>
      <c r="Q20">
        <f ca="1">_xll.ciqfunctions.udf.CIQ($B20,"IQ_CDS_mid",Q$2)</f>
        <v>21.473400000000002</v>
      </c>
      <c r="R20">
        <f ca="1">_xll.ciqfunctions.udf.CIQ($B20,"IQ_CDS_mid",R$2)</f>
        <v>16.020600000000002</v>
      </c>
      <c r="S20">
        <f ca="1">_xll.ciqfunctions.udf.CIQ($B20,"IQ_CDS_mid",S$2)</f>
        <v>24.860499999999998</v>
      </c>
      <c r="T20">
        <f t="shared" ca="1" si="1"/>
        <v>-1.265900000000002</v>
      </c>
      <c r="U20">
        <f t="shared" ca="1" si="2"/>
        <v>0.16639999999999944</v>
      </c>
      <c r="V20">
        <f t="shared" ca="1" si="3"/>
        <v>7.9904999999999973</v>
      </c>
      <c r="W20">
        <f t="shared" ca="1" si="4"/>
        <v>13.443299999999997</v>
      </c>
      <c r="X20">
        <f t="shared" ca="1" si="0"/>
        <v>4.6034000000000006</v>
      </c>
    </row>
    <row r="21" spans="1:24">
      <c r="A21" s="16" t="s">
        <v>189</v>
      </c>
      <c r="X21">
        <f t="shared" si="0"/>
        <v>0</v>
      </c>
    </row>
    <row r="22" spans="1:24">
      <c r="A22" t="s">
        <v>188</v>
      </c>
      <c r="B22" s="25" t="s">
        <v>187</v>
      </c>
      <c r="C22">
        <f ca="1">_xll.ciqfunctions.udf.CIQ($B22,"IQ_CDS_mid",C$2)</f>
        <v>26.375</v>
      </c>
      <c r="D22">
        <f ca="1">_xll.ciqfunctions.udf.CIQ($B22,"IQ_CDS_mid",D$2)</f>
        <v>26.375</v>
      </c>
      <c r="E22">
        <f ca="1">_xll.ciqfunctions.udf.CIQ($B22,"IQ_CDS_mid",E$2)</f>
        <v>26.5916</v>
      </c>
      <c r="F22">
        <f ca="1">_xll.ciqfunctions.udf.CIQ($B22,"IQ_CDS_mid",F$2)</f>
        <v>26.5916</v>
      </c>
      <c r="G22">
        <f ca="1">_xll.ciqfunctions.udf.CIQ($B22,"IQ_CDS_mid",G$2)</f>
        <v>26.5916</v>
      </c>
      <c r="H22">
        <f ca="1">_xll.ciqfunctions.udf.CIQ($B22,"IQ_CDS_mid",H$2)</f>
        <v>26.9023</v>
      </c>
      <c r="I22">
        <f ca="1">_xll.ciqfunctions.udf.CIQ($B22,"IQ_CDS_mid",I$2)</f>
        <v>27</v>
      </c>
      <c r="J22">
        <f ca="1">_xll.ciqfunctions.udf.CIQ($B22,"IQ_CDS_mid",J$2)</f>
        <v>26.092700000000001</v>
      </c>
      <c r="K22">
        <f ca="1">_xll.ciqfunctions.udf.CIQ($B22,"IQ_CDS_mid",K$2)</f>
        <v>26.966200000000001</v>
      </c>
      <c r="L22">
        <f ca="1">_xll.ciqfunctions.udf.CIQ($B22,"IQ_CDS_mid",L$2)</f>
        <v>26.798300000000001</v>
      </c>
      <c r="M22">
        <f ca="1">_xll.ciqfunctions.udf.CIQ($B22,"IQ_CDS_mid",M$2)</f>
        <v>26.798300000000001</v>
      </c>
      <c r="N22">
        <f ca="1">_xll.ciqfunctions.udf.CIQ($B22,"IQ_CDS_mid",N$2)</f>
        <v>26.798300000000001</v>
      </c>
      <c r="O22">
        <f ca="1">_xll.ciqfunctions.udf.CIQ($B22,"IQ_CDS_mid",O$2)</f>
        <v>24.450299999999999</v>
      </c>
      <c r="P22">
        <f ca="1">_xll.ciqfunctions.udf.CIQ($B22,"IQ_CDS_mid",P$2)</f>
        <v>22.135000000000002</v>
      </c>
      <c r="Q22">
        <f ca="1">_xll.ciqfunctions.udf.CIQ($B22,"IQ_CDS_mid",Q$2)</f>
        <v>21.273499999999999</v>
      </c>
      <c r="R22">
        <f ca="1">_xll.ciqfunctions.udf.CIQ($B22,"IQ_CDS_mid",R$2)</f>
        <v>17.833300000000001</v>
      </c>
      <c r="S22">
        <f ca="1">_xll.ciqfunctions.udf.CIQ($B22,"IQ_CDS_mid",S$2)</f>
        <v>22.394500000000001</v>
      </c>
      <c r="T22">
        <f t="shared" ref="T22:T29" ca="1" si="5">C22-H22</f>
        <v>-0.52730000000000032</v>
      </c>
      <c r="U22">
        <f t="shared" ref="U22:U29" ca="1" si="6">C22-M22</f>
        <v>-0.42330000000000112</v>
      </c>
      <c r="V22">
        <f t="shared" ref="V22:V29" ca="1" si="7">C22-Q22</f>
        <v>5.1015000000000015</v>
      </c>
      <c r="W22">
        <f t="shared" ref="W22:W29" ca="1" si="8">C22-R22</f>
        <v>8.5416999999999987</v>
      </c>
      <c r="X22">
        <f t="shared" ca="1" si="0"/>
        <v>3.9804999999999993</v>
      </c>
    </row>
    <row r="23" spans="1:24">
      <c r="A23" t="s">
        <v>186</v>
      </c>
      <c r="B23" s="25" t="s">
        <v>185</v>
      </c>
      <c r="C23">
        <f ca="1">_xll.ciqfunctions.udf.CIQ($B23,"IQ_CDS_mid",C$2)</f>
        <v>34.938299999999998</v>
      </c>
      <c r="D23">
        <f ca="1">_xll.ciqfunctions.udf.CIQ($B23,"IQ_CDS_mid",D$2)</f>
        <v>34.938299999999998</v>
      </c>
      <c r="E23">
        <f ca="1">_xll.ciqfunctions.udf.CIQ($B23,"IQ_CDS_mid",E$2)</f>
        <v>34.896500000000003</v>
      </c>
      <c r="F23">
        <f ca="1">_xll.ciqfunctions.udf.CIQ($B23,"IQ_CDS_mid",F$2)</f>
        <v>34.896500000000003</v>
      </c>
      <c r="G23">
        <f ca="1">_xll.ciqfunctions.udf.CIQ($B23,"IQ_CDS_mid",G$2)</f>
        <v>34.896500000000003</v>
      </c>
      <c r="H23">
        <f ca="1">_xll.ciqfunctions.udf.CIQ($B23,"IQ_CDS_mid",H$2)</f>
        <v>34.848399999999998</v>
      </c>
      <c r="I23">
        <f ca="1">_xll.ciqfunctions.udf.CIQ($B23,"IQ_CDS_mid",I$2)</f>
        <v>34.703099999999999</v>
      </c>
      <c r="J23">
        <f ca="1">_xll.ciqfunctions.udf.CIQ($B23,"IQ_CDS_mid",J$2)</f>
        <v>34.486499999999999</v>
      </c>
      <c r="K23">
        <f ca="1">_xll.ciqfunctions.udf.CIQ($B23,"IQ_CDS_mid",K$2)</f>
        <v>34.279400000000003</v>
      </c>
      <c r="L23">
        <f ca="1">_xll.ciqfunctions.udf.CIQ($B23,"IQ_CDS_mid",L$2)</f>
        <v>33.479999999999997</v>
      </c>
      <c r="M23">
        <f ca="1">_xll.ciqfunctions.udf.CIQ($B23,"IQ_CDS_mid",M$2)</f>
        <v>33.479999999999997</v>
      </c>
      <c r="N23">
        <f ca="1">_xll.ciqfunctions.udf.CIQ($B23,"IQ_CDS_mid",N$2)</f>
        <v>33.479999999999997</v>
      </c>
      <c r="O23">
        <f ca="1">_xll.ciqfunctions.udf.CIQ($B23,"IQ_CDS_mid",O$2)</f>
        <v>32.997100000000003</v>
      </c>
      <c r="P23">
        <f ca="1">_xll.ciqfunctions.udf.CIQ($B23,"IQ_CDS_mid",P$2)</f>
        <v>33.490099999999998</v>
      </c>
      <c r="Q23">
        <f ca="1">_xll.ciqfunctions.udf.CIQ($B23,"IQ_CDS_mid",Q$2)</f>
        <v>33.307600000000001</v>
      </c>
      <c r="R23">
        <f ca="1">_xll.ciqfunctions.udf.CIQ($B23,"IQ_CDS_mid",R$2)</f>
        <v>28.9693</v>
      </c>
      <c r="S23">
        <f ca="1">_xll.ciqfunctions.udf.CIQ($B23,"IQ_CDS_mid",S$2)</f>
        <v>25.503299999999999</v>
      </c>
      <c r="T23">
        <f t="shared" ca="1" si="5"/>
        <v>8.9900000000000091E-2</v>
      </c>
      <c r="U23">
        <f t="shared" ca="1" si="6"/>
        <v>1.4583000000000013</v>
      </c>
      <c r="V23">
        <f t="shared" ca="1" si="7"/>
        <v>1.6306999999999974</v>
      </c>
      <c r="W23">
        <f t="shared" ca="1" si="8"/>
        <v>5.9689999999999976</v>
      </c>
      <c r="X23">
        <f t="shared" ca="1" si="0"/>
        <v>9.4349999999999987</v>
      </c>
    </row>
    <row r="24" spans="1:24">
      <c r="A24" t="s">
        <v>31</v>
      </c>
      <c r="B24" s="25" t="s">
        <v>184</v>
      </c>
      <c r="C24">
        <f ca="1">_xll.ciqfunctions.udf.CIQ($B24,"IQ_CDS_mid",C$2)</f>
        <v>9.4939999999999998</v>
      </c>
      <c r="D24">
        <f ca="1">_xll.ciqfunctions.udf.CIQ($B24,"IQ_CDS_mid",D$2)</f>
        <v>9.4939999999999998</v>
      </c>
      <c r="E24">
        <f ca="1">_xll.ciqfunctions.udf.CIQ($B24,"IQ_CDS_mid",E$2)</f>
        <v>9.6675000000000004</v>
      </c>
      <c r="F24">
        <f ca="1">_xll.ciqfunctions.udf.CIQ($B24,"IQ_CDS_mid",F$2)</f>
        <v>9.6675000000000004</v>
      </c>
      <c r="G24">
        <f ca="1">_xll.ciqfunctions.udf.CIQ($B24,"IQ_CDS_mid",G$2)</f>
        <v>9.6675000000000004</v>
      </c>
      <c r="H24">
        <f ca="1">_xll.ciqfunctions.udf.CIQ($B24,"IQ_CDS_mid",H$2)</f>
        <v>9.6479999999999997</v>
      </c>
      <c r="I24">
        <f ca="1">_xll.ciqfunctions.udf.CIQ($B24,"IQ_CDS_mid",I$2)</f>
        <v>9.6560000000000006</v>
      </c>
      <c r="J24">
        <f ca="1">_xll.ciqfunctions.udf.CIQ($B24,"IQ_CDS_mid",J$2)</f>
        <v>9.7100000000000009</v>
      </c>
      <c r="K24">
        <f ca="1">_xll.ciqfunctions.udf.CIQ($B24,"IQ_CDS_mid",K$2)</f>
        <v>9.8725000000000005</v>
      </c>
      <c r="L24">
        <f ca="1">_xll.ciqfunctions.udf.CIQ($B24,"IQ_CDS_mid",L$2)</f>
        <v>9.6908999999999992</v>
      </c>
      <c r="M24">
        <f ca="1">_xll.ciqfunctions.udf.CIQ($B24,"IQ_CDS_mid",M$2)</f>
        <v>9.6908999999999992</v>
      </c>
      <c r="N24">
        <f ca="1">_xll.ciqfunctions.udf.CIQ($B24,"IQ_CDS_mid",N$2)</f>
        <v>9.6908999999999992</v>
      </c>
      <c r="O24">
        <f ca="1">_xll.ciqfunctions.udf.CIQ($B24,"IQ_CDS_mid",O$2)</f>
        <v>9.1132000000000009</v>
      </c>
      <c r="P24">
        <f ca="1">_xll.ciqfunctions.udf.CIQ($B24,"IQ_CDS_mid",P$2)</f>
        <v>8.9821000000000009</v>
      </c>
      <c r="Q24">
        <f ca="1">_xll.ciqfunctions.udf.CIQ($B24,"IQ_CDS_mid",Q$2)</f>
        <v>8.9664000000000001</v>
      </c>
      <c r="R24">
        <f ca="1">_xll.ciqfunctions.udf.CIQ($B24,"IQ_CDS_mid",R$2)</f>
        <v>7.9127000000000001</v>
      </c>
      <c r="S24">
        <f ca="1">_xll.ciqfunctions.udf.CIQ($B24,"IQ_CDS_mid",S$2)</f>
        <v>9.4431999999999992</v>
      </c>
      <c r="T24">
        <f t="shared" ca="1" si="5"/>
        <v>-0.15399999999999991</v>
      </c>
      <c r="U24">
        <f t="shared" ca="1" si="6"/>
        <v>-0.19689999999999941</v>
      </c>
      <c r="V24">
        <f t="shared" ca="1" si="7"/>
        <v>0.52759999999999962</v>
      </c>
      <c r="W24">
        <f t="shared" ca="1" si="8"/>
        <v>1.5812999999999997</v>
      </c>
      <c r="X24">
        <f t="shared" ca="1" si="0"/>
        <v>5.0800000000000622E-2</v>
      </c>
    </row>
    <row r="25" spans="1:24">
      <c r="A25" t="s">
        <v>183</v>
      </c>
      <c r="B25" s="25" t="s">
        <v>182</v>
      </c>
      <c r="C25">
        <f ca="1">_xll.ciqfunctions.udf.CIQ($B25,"IQ_CDS_mid",C$2)</f>
        <v>7.3048000000000002</v>
      </c>
      <c r="D25">
        <f ca="1">_xll.ciqfunctions.udf.CIQ($B25,"IQ_CDS_mid",D$2)</f>
        <v>7.3048000000000002</v>
      </c>
      <c r="E25">
        <f ca="1">_xll.ciqfunctions.udf.CIQ($B25,"IQ_CDS_mid",E$2)</f>
        <v>7.3857999999999997</v>
      </c>
      <c r="F25">
        <f ca="1">_xll.ciqfunctions.udf.CIQ($B25,"IQ_CDS_mid",F$2)</f>
        <v>7.3857999999999997</v>
      </c>
      <c r="G25">
        <f ca="1">_xll.ciqfunctions.udf.CIQ($B25,"IQ_CDS_mid",G$2)</f>
        <v>7.3857999999999997</v>
      </c>
      <c r="H25">
        <f ca="1">_xll.ciqfunctions.udf.CIQ($B25,"IQ_CDS_mid",H$2)</f>
        <v>7.2881999999999998</v>
      </c>
      <c r="I25">
        <f ca="1">_xll.ciqfunctions.udf.CIQ($B25,"IQ_CDS_mid",I$2)</f>
        <v>7.4549000000000003</v>
      </c>
      <c r="J25">
        <f ca="1">_xll.ciqfunctions.udf.CIQ($B25,"IQ_CDS_mid",J$2)</f>
        <v>7.4482999999999997</v>
      </c>
      <c r="K25">
        <f ca="1">_xll.ciqfunctions.udf.CIQ($B25,"IQ_CDS_mid",K$2)</f>
        <v>7.6607000000000003</v>
      </c>
      <c r="L25">
        <f ca="1">_xll.ciqfunctions.udf.CIQ($B25,"IQ_CDS_mid",L$2)</f>
        <v>7.1974999999999998</v>
      </c>
      <c r="M25">
        <f ca="1">_xll.ciqfunctions.udf.CIQ($B25,"IQ_CDS_mid",M$2)</f>
        <v>7.1974999999999998</v>
      </c>
      <c r="N25">
        <f ca="1">_xll.ciqfunctions.udf.CIQ($B25,"IQ_CDS_mid",N$2)</f>
        <v>7.1974999999999998</v>
      </c>
      <c r="O25">
        <f ca="1">_xll.ciqfunctions.udf.CIQ($B25,"IQ_CDS_mid",O$2)</f>
        <v>6.6292999999999997</v>
      </c>
      <c r="P25">
        <f ca="1">_xll.ciqfunctions.udf.CIQ($B25,"IQ_CDS_mid",P$2)</f>
        <v>6.1106999999999996</v>
      </c>
      <c r="Q25">
        <f ca="1">_xll.ciqfunctions.udf.CIQ($B25,"IQ_CDS_mid",Q$2)</f>
        <v>5.6875999999999998</v>
      </c>
      <c r="R25">
        <f ca="1">_xll.ciqfunctions.udf.CIQ($B25,"IQ_CDS_mid",R$2)</f>
        <v>4.4958</v>
      </c>
      <c r="S25">
        <f ca="1">_xll.ciqfunctions.udf.CIQ($B25,"IQ_CDS_mid",S$2)</f>
        <v>6.6600999999999999</v>
      </c>
      <c r="T25">
        <f t="shared" ca="1" si="5"/>
        <v>1.6600000000000392E-2</v>
      </c>
      <c r="U25">
        <f t="shared" ca="1" si="6"/>
        <v>0.1073000000000004</v>
      </c>
      <c r="V25">
        <f t="shared" ca="1" si="7"/>
        <v>1.6172000000000004</v>
      </c>
      <c r="W25">
        <f t="shared" ca="1" si="8"/>
        <v>2.8090000000000002</v>
      </c>
      <c r="X25">
        <f t="shared" ca="1" si="0"/>
        <v>0.64470000000000027</v>
      </c>
    </row>
    <row r="26" spans="1:24">
      <c r="A26" t="s">
        <v>181</v>
      </c>
      <c r="B26" s="25" t="s">
        <v>180</v>
      </c>
      <c r="C26">
        <f ca="1">_xll.ciqfunctions.udf.CIQ($B26,"IQ_CDS_mid",C$2)</f>
        <v>55.874400000000001</v>
      </c>
      <c r="D26">
        <f ca="1">_xll.ciqfunctions.udf.CIQ($B26,"IQ_CDS_mid",D$2)</f>
        <v>55.874400000000001</v>
      </c>
      <c r="E26">
        <f ca="1">_xll.ciqfunctions.udf.CIQ($B26,"IQ_CDS_mid",E$2)</f>
        <v>56.2562</v>
      </c>
      <c r="F26">
        <f ca="1">_xll.ciqfunctions.udf.CIQ($B26,"IQ_CDS_mid",F$2)</f>
        <v>56.2562</v>
      </c>
      <c r="G26">
        <f ca="1">_xll.ciqfunctions.udf.CIQ($B26,"IQ_CDS_mid",G$2)</f>
        <v>56.2562</v>
      </c>
      <c r="H26">
        <f ca="1">_xll.ciqfunctions.udf.CIQ($B26,"IQ_CDS_mid",H$2)</f>
        <v>57.198799999999999</v>
      </c>
      <c r="I26">
        <f ca="1">_xll.ciqfunctions.udf.CIQ($B26,"IQ_CDS_mid",I$2)</f>
        <v>56.669499999999999</v>
      </c>
      <c r="J26">
        <f ca="1">_xll.ciqfunctions.udf.CIQ($B26,"IQ_CDS_mid",J$2)</f>
        <v>56.204900000000002</v>
      </c>
      <c r="K26">
        <f ca="1">_xll.ciqfunctions.udf.CIQ($B26,"IQ_CDS_mid",K$2)</f>
        <v>57.014400000000002</v>
      </c>
      <c r="L26">
        <f ca="1">_xll.ciqfunctions.udf.CIQ($B26,"IQ_CDS_mid",L$2)</f>
        <v>56.833799999999997</v>
      </c>
      <c r="M26">
        <f ca="1">_xll.ciqfunctions.udf.CIQ($B26,"IQ_CDS_mid",M$2)</f>
        <v>56.833799999999997</v>
      </c>
      <c r="N26">
        <f ca="1">_xll.ciqfunctions.udf.CIQ($B26,"IQ_CDS_mid",N$2)</f>
        <v>56.833799999999997</v>
      </c>
      <c r="O26">
        <f ca="1">_xll.ciqfunctions.udf.CIQ($B26,"IQ_CDS_mid",O$2)</f>
        <v>57.084099999999999</v>
      </c>
      <c r="P26">
        <f ca="1">_xll.ciqfunctions.udf.CIQ($B26,"IQ_CDS_mid",P$2)</f>
        <v>55.144500000000001</v>
      </c>
      <c r="Q26">
        <f ca="1">_xll.ciqfunctions.udf.CIQ($B26,"IQ_CDS_mid",Q$2)</f>
        <v>55.346499999999999</v>
      </c>
      <c r="R26">
        <f ca="1">_xll.ciqfunctions.udf.CIQ($B26,"IQ_CDS_mid",R$2)</f>
        <v>50.558</v>
      </c>
      <c r="S26">
        <f ca="1">_xll.ciqfunctions.udf.CIQ($B26,"IQ_CDS_mid",S$2)</f>
        <v>63.2241</v>
      </c>
      <c r="T26">
        <f t="shared" ca="1" si="5"/>
        <v>-1.3243999999999971</v>
      </c>
      <c r="U26">
        <f t="shared" ca="1" si="6"/>
        <v>-0.95939999999999515</v>
      </c>
      <c r="V26">
        <f t="shared" ca="1" si="7"/>
        <v>0.52790000000000248</v>
      </c>
      <c r="W26">
        <f t="shared" ca="1" si="8"/>
        <v>5.3164000000000016</v>
      </c>
      <c r="X26">
        <f t="shared" ca="1" si="0"/>
        <v>-7.3496999999999986</v>
      </c>
    </row>
    <row r="27" spans="1:24">
      <c r="A27" t="s">
        <v>179</v>
      </c>
      <c r="B27" s="25" t="s">
        <v>178</v>
      </c>
      <c r="C27">
        <f ca="1">_xll.ciqfunctions.udf.CIQ($B27,"IQ_CDS_mid",C$2)</f>
        <v>9.3880999999999997</v>
      </c>
      <c r="D27">
        <f ca="1">_xll.ciqfunctions.udf.CIQ($B27,"IQ_CDS_mid",D$2)</f>
        <v>9.3880999999999997</v>
      </c>
      <c r="E27">
        <f ca="1">_xll.ciqfunctions.udf.CIQ($B27,"IQ_CDS_mid",E$2)</f>
        <v>9.5132999999999992</v>
      </c>
      <c r="F27">
        <f ca="1">_xll.ciqfunctions.udf.CIQ($B27,"IQ_CDS_mid",F$2)</f>
        <v>9.5132999999999992</v>
      </c>
      <c r="G27">
        <f ca="1">_xll.ciqfunctions.udf.CIQ($B27,"IQ_CDS_mid",G$2)</f>
        <v>9.5132999999999992</v>
      </c>
      <c r="H27">
        <f ca="1">_xll.ciqfunctions.udf.CIQ($B27,"IQ_CDS_mid",H$2)</f>
        <v>9.51</v>
      </c>
      <c r="I27">
        <f ca="1">_xll.ciqfunctions.udf.CIQ($B27,"IQ_CDS_mid",I$2)</f>
        <v>9.5032999999999994</v>
      </c>
      <c r="J27">
        <f ca="1">_xll.ciqfunctions.udf.CIQ($B27,"IQ_CDS_mid",J$2)</f>
        <v>9.5533000000000001</v>
      </c>
      <c r="K27">
        <f ca="1">_xll.ciqfunctions.udf.CIQ($B27,"IQ_CDS_mid",K$2)</f>
        <v>9.8324999999999996</v>
      </c>
      <c r="L27">
        <f ca="1">_xll.ciqfunctions.udf.CIQ($B27,"IQ_CDS_mid",L$2)</f>
        <v>8.9749999999999996</v>
      </c>
      <c r="M27">
        <f ca="1">_xll.ciqfunctions.udf.CIQ($B27,"IQ_CDS_mid",M$2)</f>
        <v>8.9749999999999996</v>
      </c>
      <c r="N27">
        <f ca="1">_xll.ciqfunctions.udf.CIQ($B27,"IQ_CDS_mid",N$2)</f>
        <v>8.9749999999999996</v>
      </c>
      <c r="O27">
        <f ca="1">_xll.ciqfunctions.udf.CIQ($B27,"IQ_CDS_mid",O$2)</f>
        <v>8.625</v>
      </c>
      <c r="P27">
        <f ca="1">_xll.ciqfunctions.udf.CIQ($B27,"IQ_CDS_mid",P$2)</f>
        <v>8.25</v>
      </c>
      <c r="Q27">
        <f ca="1">_xll.ciqfunctions.udf.CIQ($B27,"IQ_CDS_mid",Q$2)</f>
        <v>8.0259999999999998</v>
      </c>
      <c r="R27">
        <f ca="1">_xll.ciqfunctions.udf.CIQ($B27,"IQ_CDS_mid",R$2)</f>
        <v>6.8292999999999999</v>
      </c>
      <c r="S27">
        <f ca="1">_xll.ciqfunctions.udf.CIQ($B27,"IQ_CDS_mid",S$2)</f>
        <v>9.6786999999999992</v>
      </c>
      <c r="T27">
        <f t="shared" ca="1" si="5"/>
        <v>-0.12190000000000012</v>
      </c>
      <c r="U27">
        <f t="shared" ca="1" si="6"/>
        <v>0.41310000000000002</v>
      </c>
      <c r="V27">
        <f t="shared" ca="1" si="7"/>
        <v>1.3620999999999999</v>
      </c>
      <c r="W27">
        <f t="shared" ca="1" si="8"/>
        <v>2.5587999999999997</v>
      </c>
      <c r="X27">
        <f t="shared" ca="1" si="0"/>
        <v>-0.29059999999999953</v>
      </c>
    </row>
    <row r="28" spans="1:24">
      <c r="A28" t="s">
        <v>21</v>
      </c>
      <c r="B28" s="25" t="s">
        <v>177</v>
      </c>
      <c r="C28">
        <f ca="1">_xll.ciqfunctions.udf.CIQ($B28,"IQ_CDS_mid",C$2)</f>
        <v>7.3787000000000003</v>
      </c>
      <c r="D28">
        <f ca="1">_xll.ciqfunctions.udf.CIQ($B28,"IQ_CDS_mid",D$2)</f>
        <v>7.3787000000000003</v>
      </c>
      <c r="E28">
        <f ca="1">_xll.ciqfunctions.udf.CIQ($B28,"IQ_CDS_mid",E$2)</f>
        <v>7.3461999999999996</v>
      </c>
      <c r="F28">
        <f ca="1">_xll.ciqfunctions.udf.CIQ($B28,"IQ_CDS_mid",F$2)</f>
        <v>7.3461999999999996</v>
      </c>
      <c r="G28">
        <f ca="1">_xll.ciqfunctions.udf.CIQ($B28,"IQ_CDS_mid",G$2)</f>
        <v>7.3461999999999996</v>
      </c>
      <c r="H28">
        <f ca="1">_xll.ciqfunctions.udf.CIQ($B28,"IQ_CDS_mid",H$2)</f>
        <v>7.3071000000000002</v>
      </c>
      <c r="I28">
        <f ca="1">_xll.ciqfunctions.udf.CIQ($B28,"IQ_CDS_mid",I$2)</f>
        <v>7.3960999999999997</v>
      </c>
      <c r="J28">
        <f ca="1">_xll.ciqfunctions.udf.CIQ($B28,"IQ_CDS_mid",J$2)</f>
        <v>7.3074000000000003</v>
      </c>
      <c r="K28">
        <f ca="1">_xll.ciqfunctions.udf.CIQ($B28,"IQ_CDS_mid",K$2)</f>
        <v>7.4061000000000003</v>
      </c>
      <c r="L28">
        <f ca="1">_xll.ciqfunctions.udf.CIQ($B28,"IQ_CDS_mid",L$2)</f>
        <v>7.2923999999999998</v>
      </c>
      <c r="M28">
        <f ca="1">_xll.ciqfunctions.udf.CIQ($B28,"IQ_CDS_mid",M$2)</f>
        <v>7.2923999999999998</v>
      </c>
      <c r="N28">
        <f ca="1">_xll.ciqfunctions.udf.CIQ($B28,"IQ_CDS_mid",N$2)</f>
        <v>7.2923999999999998</v>
      </c>
      <c r="O28">
        <f ca="1">_xll.ciqfunctions.udf.CIQ($B28,"IQ_CDS_mid",O$2)</f>
        <v>7.3906000000000001</v>
      </c>
      <c r="P28">
        <f ca="1">_xll.ciqfunctions.udf.CIQ($B28,"IQ_CDS_mid",P$2)</f>
        <v>7.2946999999999997</v>
      </c>
      <c r="Q28">
        <f ca="1">_xll.ciqfunctions.udf.CIQ($B28,"IQ_CDS_mid",Q$2)</f>
        <v>7.3739999999999997</v>
      </c>
      <c r="R28">
        <f ca="1">_xll.ciqfunctions.udf.CIQ($B28,"IQ_CDS_mid",R$2)</f>
        <v>7.2408000000000001</v>
      </c>
      <c r="S28">
        <f ca="1">_xll.ciqfunctions.udf.CIQ($B28,"IQ_CDS_mid",S$2)</f>
        <v>8.5020000000000007</v>
      </c>
      <c r="T28">
        <f t="shared" ca="1" si="5"/>
        <v>7.1600000000000108E-2</v>
      </c>
      <c r="U28">
        <f t="shared" ca="1" si="6"/>
        <v>8.6300000000000487E-2</v>
      </c>
      <c r="V28">
        <f t="shared" ca="1" si="7"/>
        <v>4.7000000000005926E-3</v>
      </c>
      <c r="W28">
        <f t="shared" ca="1" si="8"/>
        <v>0.13790000000000013</v>
      </c>
      <c r="X28">
        <f t="shared" ca="1" si="0"/>
        <v>-1.1233000000000004</v>
      </c>
    </row>
    <row r="29" spans="1:24">
      <c r="A29" t="s">
        <v>176</v>
      </c>
      <c r="B29" s="25" t="s">
        <v>175</v>
      </c>
      <c r="C29">
        <f ca="1">_xll.ciqfunctions.udf.CIQ($B29,"IQ_CDS_mid",C$2)</f>
        <v>775.15359999999998</v>
      </c>
      <c r="D29">
        <f ca="1">_xll.ciqfunctions.udf.CIQ($B29,"IQ_CDS_mid",D$2)</f>
        <v>775.15359999999998</v>
      </c>
      <c r="E29">
        <f ca="1">_xll.ciqfunctions.udf.CIQ($B29,"IQ_CDS_mid",E$2)</f>
        <v>755.08609999999999</v>
      </c>
      <c r="F29">
        <f ca="1">_xll.ciqfunctions.udf.CIQ($B29,"IQ_CDS_mid",F$2)</f>
        <v>755.08609999999999</v>
      </c>
      <c r="G29">
        <f ca="1">_xll.ciqfunctions.udf.CIQ($B29,"IQ_CDS_mid",G$2)</f>
        <v>755.08609999999999</v>
      </c>
      <c r="H29">
        <f ca="1">_xll.ciqfunctions.udf.CIQ($B29,"IQ_CDS_mid",H$2)</f>
        <v>755.47699999999998</v>
      </c>
      <c r="I29">
        <f ca="1">_xll.ciqfunctions.udf.CIQ($B29,"IQ_CDS_mid",I$2)</f>
        <v>755.56439999999998</v>
      </c>
      <c r="J29">
        <f ca="1">_xll.ciqfunctions.udf.CIQ($B29,"IQ_CDS_mid",J$2)</f>
        <v>755.6807</v>
      </c>
      <c r="K29">
        <f ca="1">_xll.ciqfunctions.udf.CIQ($B29,"IQ_CDS_mid",K$2)</f>
        <v>755.40020000000004</v>
      </c>
      <c r="L29">
        <f ca="1">_xll.ciqfunctions.udf.CIQ($B29,"IQ_CDS_mid",L$2)</f>
        <v>754.29169999999999</v>
      </c>
      <c r="M29">
        <f ca="1">_xll.ciqfunctions.udf.CIQ($B29,"IQ_CDS_mid",M$2)</f>
        <v>754.29169999999999</v>
      </c>
      <c r="N29">
        <f ca="1">_xll.ciqfunctions.udf.CIQ($B29,"IQ_CDS_mid",N$2)</f>
        <v>754.29169999999999</v>
      </c>
      <c r="O29">
        <f ca="1">_xll.ciqfunctions.udf.CIQ($B29,"IQ_CDS_mid",O$2)</f>
        <v>587.34119999999996</v>
      </c>
      <c r="P29">
        <f ca="1">_xll.ciqfunctions.udf.CIQ($B29,"IQ_CDS_mid",P$2)</f>
        <v>755.08569999999997</v>
      </c>
      <c r="Q29">
        <f ca="1">_xll.ciqfunctions.udf.CIQ($B29,"IQ_CDS_mid",Q$2)</f>
        <v>586.97630000000004</v>
      </c>
      <c r="R29">
        <f ca="1">_xll.ciqfunctions.udf.CIQ($B29,"IQ_CDS_mid",R$2)</f>
        <v>760.44730000000004</v>
      </c>
      <c r="S29">
        <f ca="1">_xll.ciqfunctions.udf.CIQ($B29,"IQ_CDS_mid",S$2)</f>
        <v>14787.329299999999</v>
      </c>
      <c r="T29">
        <f t="shared" ca="1" si="5"/>
        <v>19.676600000000008</v>
      </c>
      <c r="U29">
        <f t="shared" ca="1" si="6"/>
        <v>20.861899999999991</v>
      </c>
      <c r="V29">
        <f t="shared" ca="1" si="7"/>
        <v>188.17729999999995</v>
      </c>
      <c r="W29">
        <f t="shared" ca="1" si="8"/>
        <v>14.706299999999942</v>
      </c>
      <c r="X29">
        <f t="shared" ca="1" si="0"/>
        <v>-14012.1757</v>
      </c>
    </row>
    <row r="30" spans="1:24">
      <c r="A30" s="16" t="s">
        <v>174</v>
      </c>
      <c r="X30">
        <f t="shared" si="0"/>
        <v>0</v>
      </c>
    </row>
    <row r="31" spans="1:24">
      <c r="A31" t="s">
        <v>173</v>
      </c>
      <c r="B31" s="25" t="s">
        <v>172</v>
      </c>
      <c r="C31">
        <f ca="1">_xll.ciqfunctions.udf.CIQ($B31,"IQ_CDS_mid",C$2)</f>
        <v>15.8733</v>
      </c>
      <c r="D31">
        <f ca="1">_xll.ciqfunctions.udf.CIQ($B31,"IQ_CDS_mid",D$2)</f>
        <v>15.8733</v>
      </c>
      <c r="E31">
        <f ca="1">_xll.ciqfunctions.udf.CIQ($B31,"IQ_CDS_mid",E$2)</f>
        <v>15.904400000000001</v>
      </c>
      <c r="F31">
        <f ca="1">_xll.ciqfunctions.udf.CIQ($B31,"IQ_CDS_mid",F$2)</f>
        <v>15.904400000000001</v>
      </c>
      <c r="G31">
        <f ca="1">_xll.ciqfunctions.udf.CIQ($B31,"IQ_CDS_mid",G$2)</f>
        <v>15.904400000000001</v>
      </c>
      <c r="H31">
        <f ca="1">_xll.ciqfunctions.udf.CIQ($B31,"IQ_CDS_mid",H$2)</f>
        <v>15.8672</v>
      </c>
      <c r="I31">
        <f ca="1">_xll.ciqfunctions.udf.CIQ($B31,"IQ_CDS_mid",I$2)</f>
        <v>15.6945</v>
      </c>
      <c r="J31">
        <f ca="1">_xll.ciqfunctions.udf.CIQ($B31,"IQ_CDS_mid",J$2)</f>
        <v>15.7334</v>
      </c>
      <c r="K31">
        <f ca="1">_xll.ciqfunctions.udf.CIQ($B31,"IQ_CDS_mid",K$2)</f>
        <v>15.7668</v>
      </c>
      <c r="L31">
        <f ca="1">_xll.ciqfunctions.udf.CIQ($B31,"IQ_CDS_mid",L$2)</f>
        <v>15.8423</v>
      </c>
      <c r="M31">
        <f ca="1">_xll.ciqfunctions.udf.CIQ($B31,"IQ_CDS_mid",M$2)</f>
        <v>15.8423</v>
      </c>
      <c r="N31">
        <f ca="1">_xll.ciqfunctions.udf.CIQ($B31,"IQ_CDS_mid",N$2)</f>
        <v>15.8423</v>
      </c>
      <c r="O31">
        <f ca="1">_xll.ciqfunctions.udf.CIQ($B31,"IQ_CDS_mid",O$2)</f>
        <v>15.628299999999999</v>
      </c>
      <c r="P31">
        <f ca="1">_xll.ciqfunctions.udf.CIQ($B31,"IQ_CDS_mid",P$2)</f>
        <v>15.517099999999999</v>
      </c>
      <c r="Q31">
        <f ca="1">_xll.ciqfunctions.udf.CIQ($B31,"IQ_CDS_mid",Q$2)</f>
        <v>15.6296</v>
      </c>
      <c r="R31">
        <f ca="1">_xll.ciqfunctions.udf.CIQ($B31,"IQ_CDS_mid",R$2)</f>
        <v>13.9072</v>
      </c>
      <c r="S31">
        <f ca="1">_xll.ciqfunctions.udf.CIQ($B31,"IQ_CDS_mid",S$2)</f>
        <v>11.377599999999999</v>
      </c>
      <c r="T31">
        <f t="shared" ref="T31:T40" ca="1" si="9">C31-H31</f>
        <v>6.0999999999999943E-3</v>
      </c>
      <c r="U31">
        <f t="shared" ref="U31:U40" ca="1" si="10">C31-M31</f>
        <v>3.1000000000000583E-2</v>
      </c>
      <c r="V31">
        <f t="shared" ref="V31:V40" ca="1" si="11">C31-Q31</f>
        <v>0.24370000000000047</v>
      </c>
      <c r="W31">
        <f t="shared" ref="W31:W40" ca="1" si="12">C31-R31</f>
        <v>1.9661000000000008</v>
      </c>
      <c r="X31">
        <f t="shared" ca="1" si="0"/>
        <v>4.4957000000000011</v>
      </c>
    </row>
    <row r="32" spans="1:24">
      <c r="A32" t="s">
        <v>171</v>
      </c>
      <c r="B32" s="25" t="s">
        <v>170</v>
      </c>
      <c r="C32">
        <f ca="1">_xll.ciqfunctions.udf.CIQ($B32,"IQ_CDS_mid",C$2)</f>
        <v>36.223700000000001</v>
      </c>
      <c r="D32">
        <f ca="1">_xll.ciqfunctions.udf.CIQ($B32,"IQ_CDS_mid",D$2)</f>
        <v>36.223700000000001</v>
      </c>
      <c r="E32">
        <f ca="1">_xll.ciqfunctions.udf.CIQ($B32,"IQ_CDS_mid",E$2)</f>
        <v>36.432600000000001</v>
      </c>
      <c r="F32">
        <f ca="1">_xll.ciqfunctions.udf.CIQ($B32,"IQ_CDS_mid",F$2)</f>
        <v>36.432600000000001</v>
      </c>
      <c r="G32">
        <f ca="1">_xll.ciqfunctions.udf.CIQ($B32,"IQ_CDS_mid",G$2)</f>
        <v>36.432600000000001</v>
      </c>
      <c r="H32">
        <f ca="1">_xll.ciqfunctions.udf.CIQ($B32,"IQ_CDS_mid",H$2)</f>
        <v>36.613900000000001</v>
      </c>
      <c r="I32">
        <f ca="1">_xll.ciqfunctions.udf.CIQ($B32,"IQ_CDS_mid",I$2)</f>
        <v>36.056399999999996</v>
      </c>
      <c r="J32">
        <f ca="1">_xll.ciqfunctions.udf.CIQ($B32,"IQ_CDS_mid",J$2)</f>
        <v>36.433999999999997</v>
      </c>
      <c r="K32">
        <f ca="1">_xll.ciqfunctions.udf.CIQ($B32,"IQ_CDS_mid",K$2)</f>
        <v>36.931800000000003</v>
      </c>
      <c r="L32">
        <f ca="1">_xll.ciqfunctions.udf.CIQ($B32,"IQ_CDS_mid",L$2)</f>
        <v>36.872599999999998</v>
      </c>
      <c r="M32">
        <f ca="1">_xll.ciqfunctions.udf.CIQ($B32,"IQ_CDS_mid",M$2)</f>
        <v>36.872599999999998</v>
      </c>
      <c r="N32">
        <f ca="1">_xll.ciqfunctions.udf.CIQ($B32,"IQ_CDS_mid",N$2)</f>
        <v>36.872599999999998</v>
      </c>
      <c r="O32">
        <f ca="1">_xll.ciqfunctions.udf.CIQ($B32,"IQ_CDS_mid",O$2)</f>
        <v>35.258299999999998</v>
      </c>
      <c r="P32">
        <f ca="1">_xll.ciqfunctions.udf.CIQ($B32,"IQ_CDS_mid",P$2)</f>
        <v>35.182299999999998</v>
      </c>
      <c r="Q32">
        <f ca="1">_xll.ciqfunctions.udf.CIQ($B32,"IQ_CDS_mid",Q$2)</f>
        <v>35.068100000000001</v>
      </c>
      <c r="R32">
        <f ca="1">_xll.ciqfunctions.udf.CIQ($B32,"IQ_CDS_mid",R$2)</f>
        <v>37.398899999999998</v>
      </c>
      <c r="S32">
        <f ca="1">_xll.ciqfunctions.udf.CIQ($B32,"IQ_CDS_mid",S$2)</f>
        <v>44.720700000000001</v>
      </c>
      <c r="T32">
        <f t="shared" ca="1" si="9"/>
        <v>-0.3902000000000001</v>
      </c>
      <c r="U32">
        <f t="shared" ca="1" si="10"/>
        <v>-0.64889999999999759</v>
      </c>
      <c r="V32">
        <f t="shared" ca="1" si="11"/>
        <v>1.1555999999999997</v>
      </c>
      <c r="W32">
        <f t="shared" ca="1" si="12"/>
        <v>-1.1751999999999967</v>
      </c>
      <c r="X32">
        <f t="shared" ca="1" si="0"/>
        <v>-8.4969999999999999</v>
      </c>
    </row>
    <row r="33" spans="1:24">
      <c r="A33" t="s">
        <v>169</v>
      </c>
      <c r="B33" s="25" t="s">
        <v>168</v>
      </c>
      <c r="C33">
        <f ca="1">_xll.ciqfunctions.udf.CIQ($B33,"IQ_CDS_mid",C$2)</f>
        <v>22.172499999999999</v>
      </c>
      <c r="D33">
        <f ca="1">_xll.ciqfunctions.udf.CIQ($B33,"IQ_CDS_mid",D$2)</f>
        <v>22.172499999999999</v>
      </c>
      <c r="E33">
        <f ca="1">_xll.ciqfunctions.udf.CIQ($B33,"IQ_CDS_mid",E$2)</f>
        <v>22.164100000000001</v>
      </c>
      <c r="F33">
        <f ca="1">_xll.ciqfunctions.udf.CIQ($B33,"IQ_CDS_mid",F$2)</f>
        <v>22.164100000000001</v>
      </c>
      <c r="G33">
        <f ca="1">_xll.ciqfunctions.udf.CIQ($B33,"IQ_CDS_mid",G$2)</f>
        <v>22.164100000000001</v>
      </c>
      <c r="H33">
        <f ca="1">_xll.ciqfunctions.udf.CIQ($B33,"IQ_CDS_mid",H$2)</f>
        <v>22.105799999999999</v>
      </c>
      <c r="I33">
        <f ca="1">_xll.ciqfunctions.udf.CIQ($B33,"IQ_CDS_mid",I$2)</f>
        <v>22.056899999999999</v>
      </c>
      <c r="J33">
        <f ca="1">_xll.ciqfunctions.udf.CIQ($B33,"IQ_CDS_mid",J$2)</f>
        <v>22.001000000000001</v>
      </c>
      <c r="K33">
        <f ca="1">_xll.ciqfunctions.udf.CIQ($B33,"IQ_CDS_mid",K$2)</f>
        <v>21.952400000000001</v>
      </c>
      <c r="L33">
        <f ca="1">_xll.ciqfunctions.udf.CIQ($B33,"IQ_CDS_mid",L$2)</f>
        <v>21.9391</v>
      </c>
      <c r="M33">
        <f ca="1">_xll.ciqfunctions.udf.CIQ($B33,"IQ_CDS_mid",M$2)</f>
        <v>21.9391</v>
      </c>
      <c r="N33">
        <f ca="1">_xll.ciqfunctions.udf.CIQ($B33,"IQ_CDS_mid",N$2)</f>
        <v>21.9391</v>
      </c>
      <c r="O33">
        <f ca="1">_xll.ciqfunctions.udf.CIQ($B33,"IQ_CDS_mid",O$2)</f>
        <v>21.9438</v>
      </c>
      <c r="P33">
        <f ca="1">_xll.ciqfunctions.udf.CIQ($B33,"IQ_CDS_mid",P$2)</f>
        <v>21.398499999999999</v>
      </c>
      <c r="Q33">
        <f ca="1">_xll.ciqfunctions.udf.CIQ($B33,"IQ_CDS_mid",Q$2)</f>
        <v>21.317299999999999</v>
      </c>
      <c r="R33">
        <f ca="1">_xll.ciqfunctions.udf.CIQ($B33,"IQ_CDS_mid",R$2)</f>
        <v>24.878</v>
      </c>
      <c r="S33">
        <f ca="1">_xll.ciqfunctions.udf.CIQ($B33,"IQ_CDS_mid",S$2)</f>
        <v>30.334700000000002</v>
      </c>
      <c r="T33">
        <f t="shared" ca="1" si="9"/>
        <v>6.670000000000087E-2</v>
      </c>
      <c r="U33">
        <f t="shared" ca="1" si="10"/>
        <v>0.23339999999999961</v>
      </c>
      <c r="V33">
        <f t="shared" ca="1" si="11"/>
        <v>0.85519999999999996</v>
      </c>
      <c r="W33">
        <f t="shared" ca="1" si="12"/>
        <v>-2.7055000000000007</v>
      </c>
      <c r="X33">
        <f t="shared" ca="1" si="0"/>
        <v>-8.1622000000000021</v>
      </c>
    </row>
    <row r="34" spans="1:24">
      <c r="A34" t="s">
        <v>167</v>
      </c>
      <c r="B34" s="25" t="s">
        <v>166</v>
      </c>
      <c r="C34">
        <f ca="1">_xll.ciqfunctions.udf.CIQ($B34,"IQ_CDS_mid",C$2)</f>
        <v>0</v>
      </c>
      <c r="D34">
        <f ca="1">_xll.ciqfunctions.udf.CIQ($B34,"IQ_CDS_mid",D$2)</f>
        <v>0</v>
      </c>
      <c r="E34">
        <f ca="1">_xll.ciqfunctions.udf.CIQ($B34,"IQ_CDS_mid",E$2)</f>
        <v>0</v>
      </c>
      <c r="F34">
        <f ca="1">_xll.ciqfunctions.udf.CIQ($B34,"IQ_CDS_mid",F$2)</f>
        <v>0</v>
      </c>
      <c r="G34">
        <f ca="1">_xll.ciqfunctions.udf.CIQ($B34,"IQ_CDS_mid",G$2)</f>
        <v>0</v>
      </c>
      <c r="H34">
        <f ca="1">_xll.ciqfunctions.udf.CIQ($B34,"IQ_CDS_mid",H$2)</f>
        <v>0</v>
      </c>
      <c r="I34">
        <f ca="1">_xll.ciqfunctions.udf.CIQ($B34,"IQ_CDS_mid",I$2)</f>
        <v>0</v>
      </c>
      <c r="J34">
        <f ca="1">_xll.ciqfunctions.udf.CIQ($B34,"IQ_CDS_mid",J$2)</f>
        <v>0</v>
      </c>
      <c r="K34">
        <f ca="1">_xll.ciqfunctions.udf.CIQ($B34,"IQ_CDS_mid",K$2)</f>
        <v>0</v>
      </c>
      <c r="L34">
        <f ca="1">_xll.ciqfunctions.udf.CIQ($B34,"IQ_CDS_mid",L$2)</f>
        <v>0</v>
      </c>
      <c r="M34">
        <f ca="1">_xll.ciqfunctions.udf.CIQ($B34,"IQ_CDS_mid",M$2)</f>
        <v>0</v>
      </c>
      <c r="N34">
        <f ca="1">_xll.ciqfunctions.udf.CIQ($B34,"IQ_CDS_mid",N$2)</f>
        <v>0</v>
      </c>
      <c r="O34">
        <f ca="1">_xll.ciqfunctions.udf.CIQ($B34,"IQ_CDS_mid",O$2)</f>
        <v>0</v>
      </c>
      <c r="P34">
        <f ca="1">_xll.ciqfunctions.udf.CIQ($B34,"IQ_CDS_mid",P$2)</f>
        <v>0</v>
      </c>
      <c r="Q34">
        <f ca="1">_xll.ciqfunctions.udf.CIQ($B34,"IQ_CDS_mid",Q$2)</f>
        <v>0</v>
      </c>
      <c r="R34">
        <f ca="1">_xll.ciqfunctions.udf.CIQ($B34,"IQ_CDS_mid",R$2)</f>
        <v>0</v>
      </c>
      <c r="S34">
        <f ca="1">_xll.ciqfunctions.udf.CIQ($B34,"IQ_CDS_mid",S$2)</f>
        <v>43.195500000000003</v>
      </c>
      <c r="T34">
        <f t="shared" ca="1" si="9"/>
        <v>0</v>
      </c>
      <c r="U34">
        <f t="shared" ca="1" si="10"/>
        <v>0</v>
      </c>
      <c r="V34">
        <f t="shared" ca="1" si="11"/>
        <v>0</v>
      </c>
      <c r="W34">
        <f t="shared" ca="1" si="12"/>
        <v>0</v>
      </c>
      <c r="X34">
        <f t="shared" ca="1" si="0"/>
        <v>-43.195500000000003</v>
      </c>
    </row>
    <row r="35" spans="1:24">
      <c r="A35" t="s">
        <v>33</v>
      </c>
      <c r="B35" s="25" t="s">
        <v>165</v>
      </c>
      <c r="C35">
        <f ca="1">_xll.ciqfunctions.udf.CIQ($B35,"IQ_CDS_mid",C$2)</f>
        <v>29.6297</v>
      </c>
      <c r="D35">
        <f ca="1">_xll.ciqfunctions.udf.CIQ($B35,"IQ_CDS_mid",D$2)</f>
        <v>29.6297</v>
      </c>
      <c r="E35">
        <f ca="1">_xll.ciqfunctions.udf.CIQ($B35,"IQ_CDS_mid",E$2)</f>
        <v>29.622199999999999</v>
      </c>
      <c r="F35">
        <f ca="1">_xll.ciqfunctions.udf.CIQ($B35,"IQ_CDS_mid",F$2)</f>
        <v>29.622199999999999</v>
      </c>
      <c r="G35">
        <f ca="1">_xll.ciqfunctions.udf.CIQ($B35,"IQ_CDS_mid",G$2)</f>
        <v>29.622199999999999</v>
      </c>
      <c r="H35">
        <f ca="1">_xll.ciqfunctions.udf.CIQ($B35,"IQ_CDS_mid",H$2)</f>
        <v>29.378499999999999</v>
      </c>
      <c r="I35">
        <f ca="1">_xll.ciqfunctions.udf.CIQ($B35,"IQ_CDS_mid",I$2)</f>
        <v>29.235299999999999</v>
      </c>
      <c r="J35">
        <f ca="1">_xll.ciqfunctions.udf.CIQ($B35,"IQ_CDS_mid",J$2)</f>
        <v>29.2483</v>
      </c>
      <c r="K35">
        <f ca="1">_xll.ciqfunctions.udf.CIQ($B35,"IQ_CDS_mid",K$2)</f>
        <v>29.367000000000001</v>
      </c>
      <c r="L35">
        <f ca="1">_xll.ciqfunctions.udf.CIQ($B35,"IQ_CDS_mid",L$2)</f>
        <v>28.938600000000001</v>
      </c>
      <c r="M35">
        <f ca="1">_xll.ciqfunctions.udf.CIQ($B35,"IQ_CDS_mid",M$2)</f>
        <v>28.938600000000001</v>
      </c>
      <c r="N35">
        <f ca="1">_xll.ciqfunctions.udf.CIQ($B35,"IQ_CDS_mid",N$2)</f>
        <v>28.938600000000001</v>
      </c>
      <c r="O35">
        <f ca="1">_xll.ciqfunctions.udf.CIQ($B35,"IQ_CDS_mid",O$2)</f>
        <v>27.612400000000001</v>
      </c>
      <c r="P35">
        <f ca="1">_xll.ciqfunctions.udf.CIQ($B35,"IQ_CDS_mid",P$2)</f>
        <v>26.231999999999999</v>
      </c>
      <c r="Q35">
        <f ca="1">_xll.ciqfunctions.udf.CIQ($B35,"IQ_CDS_mid",Q$2)</f>
        <v>26.252700000000001</v>
      </c>
      <c r="R35">
        <f ca="1">_xll.ciqfunctions.udf.CIQ($B35,"IQ_CDS_mid",R$2)</f>
        <v>26.679099999999998</v>
      </c>
      <c r="S35">
        <f ca="1">_xll.ciqfunctions.udf.CIQ($B35,"IQ_CDS_mid",S$2)</f>
        <v>20.064900000000002</v>
      </c>
      <c r="T35">
        <f t="shared" ca="1" si="9"/>
        <v>0.25120000000000076</v>
      </c>
      <c r="U35">
        <f t="shared" ca="1" si="10"/>
        <v>0.69109999999999872</v>
      </c>
      <c r="V35">
        <f t="shared" ca="1" si="11"/>
        <v>3.3769999999999989</v>
      </c>
      <c r="W35">
        <f t="shared" ca="1" si="12"/>
        <v>2.9506000000000014</v>
      </c>
      <c r="X35">
        <f t="shared" ca="1" si="0"/>
        <v>9.5647999999999982</v>
      </c>
    </row>
    <row r="36" spans="1:24">
      <c r="A36" t="s">
        <v>164</v>
      </c>
      <c r="B36" s="25" t="s">
        <v>163</v>
      </c>
      <c r="C36">
        <f ca="1">_xll.ciqfunctions.udf.CIQ($B36,"IQ_CDS_mid",C$2)</f>
        <v>34.968000000000004</v>
      </c>
      <c r="D36">
        <f ca="1">_xll.ciqfunctions.udf.CIQ($B36,"IQ_CDS_mid",D$2)</f>
        <v>34.968000000000004</v>
      </c>
      <c r="E36">
        <f ca="1">_xll.ciqfunctions.udf.CIQ($B36,"IQ_CDS_mid",E$2)</f>
        <v>35.222499999999997</v>
      </c>
      <c r="F36">
        <f ca="1">_xll.ciqfunctions.udf.CIQ($B36,"IQ_CDS_mid",F$2)</f>
        <v>35.222499999999997</v>
      </c>
      <c r="G36">
        <f ca="1">_xll.ciqfunctions.udf.CIQ($B36,"IQ_CDS_mid",G$2)</f>
        <v>35.222499999999997</v>
      </c>
      <c r="H36">
        <f ca="1">_xll.ciqfunctions.udf.CIQ($B36,"IQ_CDS_mid",H$2)</f>
        <v>35.297400000000003</v>
      </c>
      <c r="I36">
        <f ca="1">_xll.ciqfunctions.udf.CIQ($B36,"IQ_CDS_mid",I$2)</f>
        <v>34.312399999999997</v>
      </c>
      <c r="J36">
        <f ca="1">_xll.ciqfunctions.udf.CIQ($B36,"IQ_CDS_mid",J$2)</f>
        <v>34.2819</v>
      </c>
      <c r="K36">
        <f ca="1">_xll.ciqfunctions.udf.CIQ($B36,"IQ_CDS_mid",K$2)</f>
        <v>34.8429</v>
      </c>
      <c r="L36">
        <f ca="1">_xll.ciqfunctions.udf.CIQ($B36,"IQ_CDS_mid",L$2)</f>
        <v>35.4587</v>
      </c>
      <c r="M36">
        <f ca="1">_xll.ciqfunctions.udf.CIQ($B36,"IQ_CDS_mid",M$2)</f>
        <v>35.4587</v>
      </c>
      <c r="N36">
        <f ca="1">_xll.ciqfunctions.udf.CIQ($B36,"IQ_CDS_mid",N$2)</f>
        <v>35.4587</v>
      </c>
      <c r="O36">
        <f ca="1">_xll.ciqfunctions.udf.CIQ($B36,"IQ_CDS_mid",O$2)</f>
        <v>36.427599999999998</v>
      </c>
      <c r="P36">
        <f ca="1">_xll.ciqfunctions.udf.CIQ($B36,"IQ_CDS_mid",P$2)</f>
        <v>34.6494</v>
      </c>
      <c r="Q36">
        <f ca="1">_xll.ciqfunctions.udf.CIQ($B36,"IQ_CDS_mid",Q$2)</f>
        <v>35.3874</v>
      </c>
      <c r="R36">
        <f ca="1">_xll.ciqfunctions.udf.CIQ($B36,"IQ_CDS_mid",R$2)</f>
        <v>36.887300000000003</v>
      </c>
      <c r="S36">
        <f ca="1">_xll.ciqfunctions.udf.CIQ($B36,"IQ_CDS_mid",S$2)</f>
        <v>42.7121</v>
      </c>
      <c r="T36">
        <f t="shared" ca="1" si="9"/>
        <v>-0.32939999999999969</v>
      </c>
      <c r="U36">
        <f t="shared" ca="1" si="10"/>
        <v>-0.49069999999999681</v>
      </c>
      <c r="V36">
        <f t="shared" ca="1" si="11"/>
        <v>-0.419399999999996</v>
      </c>
      <c r="W36">
        <f t="shared" ca="1" si="12"/>
        <v>-1.9192999999999998</v>
      </c>
      <c r="X36">
        <f t="shared" ca="1" si="0"/>
        <v>-7.744099999999996</v>
      </c>
    </row>
    <row r="37" spans="1:24">
      <c r="A37" t="s">
        <v>162</v>
      </c>
      <c r="B37" s="25" t="s">
        <v>161</v>
      </c>
      <c r="C37">
        <f ca="1">_xll.ciqfunctions.udf.CIQ($B37,"IQ_CDS_mid",C$2)</f>
        <v>16.202000000000002</v>
      </c>
      <c r="D37">
        <f ca="1">_xll.ciqfunctions.udf.CIQ($B37,"IQ_CDS_mid",D$2)</f>
        <v>16.202000000000002</v>
      </c>
      <c r="E37">
        <f ca="1">_xll.ciqfunctions.udf.CIQ($B37,"IQ_CDS_mid",E$2)</f>
        <v>16.183499999999999</v>
      </c>
      <c r="F37">
        <f ca="1">_xll.ciqfunctions.udf.CIQ($B37,"IQ_CDS_mid",F$2)</f>
        <v>16.183499999999999</v>
      </c>
      <c r="G37">
        <f ca="1">_xll.ciqfunctions.udf.CIQ($B37,"IQ_CDS_mid",G$2)</f>
        <v>16.183499999999999</v>
      </c>
      <c r="H37">
        <f ca="1">_xll.ciqfunctions.udf.CIQ($B37,"IQ_CDS_mid",H$2)</f>
        <v>16.0975</v>
      </c>
      <c r="I37">
        <f ca="1">_xll.ciqfunctions.udf.CIQ($B37,"IQ_CDS_mid",I$2)</f>
        <v>16.116499999999998</v>
      </c>
      <c r="J37">
        <f ca="1">_xll.ciqfunctions.udf.CIQ($B37,"IQ_CDS_mid",J$2)</f>
        <v>16.133500000000002</v>
      </c>
      <c r="K37">
        <f ca="1">_xll.ciqfunctions.udf.CIQ($B37,"IQ_CDS_mid",K$2)</f>
        <v>16.170999999999999</v>
      </c>
      <c r="L37">
        <f ca="1">_xll.ciqfunctions.udf.CIQ($B37,"IQ_CDS_mid",L$2)</f>
        <v>16.064</v>
      </c>
      <c r="M37">
        <f ca="1">_xll.ciqfunctions.udf.CIQ($B37,"IQ_CDS_mid",M$2)</f>
        <v>16.064</v>
      </c>
      <c r="N37">
        <f ca="1">_xll.ciqfunctions.udf.CIQ($B37,"IQ_CDS_mid",N$2)</f>
        <v>16.064</v>
      </c>
      <c r="O37">
        <f ca="1">_xll.ciqfunctions.udf.CIQ($B37,"IQ_CDS_mid",O$2)</f>
        <v>16.008500000000002</v>
      </c>
      <c r="P37">
        <f ca="1">_xll.ciqfunctions.udf.CIQ($B37,"IQ_CDS_mid",P$2)</f>
        <v>16.065000000000001</v>
      </c>
      <c r="Q37">
        <f ca="1">_xll.ciqfunctions.udf.CIQ($B37,"IQ_CDS_mid",Q$2)</f>
        <v>15.781499999999999</v>
      </c>
      <c r="R37">
        <f ca="1">_xll.ciqfunctions.udf.CIQ($B37,"IQ_CDS_mid",R$2)</f>
        <v>14.973000000000001</v>
      </c>
      <c r="S37">
        <f ca="1">_xll.ciqfunctions.udf.CIQ($B37,"IQ_CDS_mid",S$2)</f>
        <v>13.7545</v>
      </c>
      <c r="T37">
        <f t="shared" ca="1" si="9"/>
        <v>0.10450000000000159</v>
      </c>
      <c r="U37">
        <f t="shared" ca="1" si="10"/>
        <v>0.13800000000000168</v>
      </c>
      <c r="V37">
        <f t="shared" ca="1" si="11"/>
        <v>0.42050000000000232</v>
      </c>
      <c r="W37">
        <f t="shared" ca="1" si="12"/>
        <v>1.229000000000001</v>
      </c>
      <c r="X37">
        <f t="shared" ca="1" si="0"/>
        <v>2.4475000000000016</v>
      </c>
    </row>
    <row r="38" spans="1:24">
      <c r="A38" t="s">
        <v>160</v>
      </c>
      <c r="B38" s="25" t="s">
        <v>159</v>
      </c>
      <c r="C38">
        <f ca="1">_xll.ciqfunctions.udf.CIQ($B38,"IQ_CDS_mid",C$2)</f>
        <v>0</v>
      </c>
      <c r="D38">
        <f ca="1">_xll.ciqfunctions.udf.CIQ($B38,"IQ_CDS_mid",D$2)</f>
        <v>0</v>
      </c>
      <c r="E38">
        <f ca="1">_xll.ciqfunctions.udf.CIQ($B38,"IQ_CDS_mid",E$2)</f>
        <v>0</v>
      </c>
      <c r="F38">
        <f ca="1">_xll.ciqfunctions.udf.CIQ($B38,"IQ_CDS_mid",F$2)</f>
        <v>0</v>
      </c>
      <c r="G38">
        <f ca="1">_xll.ciqfunctions.udf.CIQ($B38,"IQ_CDS_mid",G$2)</f>
        <v>0</v>
      </c>
      <c r="H38">
        <f ca="1">_xll.ciqfunctions.udf.CIQ($B38,"IQ_CDS_mid",H$2)</f>
        <v>0</v>
      </c>
      <c r="I38">
        <f ca="1">_xll.ciqfunctions.udf.CIQ($B38,"IQ_CDS_mid",I$2)</f>
        <v>0</v>
      </c>
      <c r="J38">
        <f ca="1">_xll.ciqfunctions.udf.CIQ($B38,"IQ_CDS_mid",J$2)</f>
        <v>0</v>
      </c>
      <c r="K38">
        <f ca="1">_xll.ciqfunctions.udf.CIQ($B38,"IQ_CDS_mid",K$2)</f>
        <v>0</v>
      </c>
      <c r="L38">
        <f ca="1">_xll.ciqfunctions.udf.CIQ($B38,"IQ_CDS_mid",L$2)</f>
        <v>0</v>
      </c>
      <c r="M38">
        <f ca="1">_xll.ciqfunctions.udf.CIQ($B38,"IQ_CDS_mid",M$2)</f>
        <v>0</v>
      </c>
      <c r="N38">
        <f ca="1">_xll.ciqfunctions.udf.CIQ($B38,"IQ_CDS_mid",N$2)</f>
        <v>0</v>
      </c>
      <c r="O38">
        <f ca="1">_xll.ciqfunctions.udf.CIQ($B38,"IQ_CDS_mid",O$2)</f>
        <v>0</v>
      </c>
      <c r="P38">
        <f ca="1">_xll.ciqfunctions.udf.CIQ($B38,"IQ_CDS_mid",P$2)</f>
        <v>0</v>
      </c>
      <c r="Q38">
        <f ca="1">_xll.ciqfunctions.udf.CIQ($B38,"IQ_CDS_mid",Q$2)</f>
        <v>0</v>
      </c>
      <c r="R38">
        <f ca="1">_xll.ciqfunctions.udf.CIQ($B38,"IQ_CDS_mid",R$2)</f>
        <v>0</v>
      </c>
      <c r="S38">
        <f ca="1">_xll.ciqfunctions.udf.CIQ($B38,"IQ_CDS_mid",S$2)</f>
        <v>0</v>
      </c>
      <c r="T38">
        <f t="shared" ca="1" si="9"/>
        <v>0</v>
      </c>
      <c r="U38">
        <f t="shared" ca="1" si="10"/>
        <v>0</v>
      </c>
      <c r="V38">
        <f t="shared" ca="1" si="11"/>
        <v>0</v>
      </c>
      <c r="W38">
        <f t="shared" ca="1" si="12"/>
        <v>0</v>
      </c>
      <c r="X38">
        <f t="shared" ca="1" si="0"/>
        <v>0</v>
      </c>
    </row>
    <row r="39" spans="1:24">
      <c r="A39" t="s">
        <v>158</v>
      </c>
      <c r="B39" s="25" t="s">
        <v>157</v>
      </c>
      <c r="C39">
        <f ca="1">_xll.ciqfunctions.udf.CIQ($B39,"IQ_CDS_mid",C$2)</f>
        <v>2.2938999999999998</v>
      </c>
      <c r="D39">
        <f ca="1">_xll.ciqfunctions.udf.CIQ($B39,"IQ_CDS_mid",D$2)</f>
        <v>2.2938999999999998</v>
      </c>
      <c r="E39">
        <f ca="1">_xll.ciqfunctions.udf.CIQ($B39,"IQ_CDS_mid",E$2)</f>
        <v>2.2938999999999998</v>
      </c>
      <c r="F39">
        <f ca="1">_xll.ciqfunctions.udf.CIQ($B39,"IQ_CDS_mid",F$2)</f>
        <v>2.2938999999999998</v>
      </c>
      <c r="G39">
        <f ca="1">_xll.ciqfunctions.udf.CIQ($B39,"IQ_CDS_mid",G$2)</f>
        <v>2.2938999999999998</v>
      </c>
      <c r="H39">
        <f ca="1">_xll.ciqfunctions.udf.CIQ($B39,"IQ_CDS_mid",H$2)</f>
        <v>2.2938999999999998</v>
      </c>
      <c r="I39">
        <f ca="1">_xll.ciqfunctions.udf.CIQ($B39,"IQ_CDS_mid",I$2)</f>
        <v>2.2938999999999998</v>
      </c>
      <c r="J39">
        <f ca="1">_xll.ciqfunctions.udf.CIQ($B39,"IQ_CDS_mid",J$2)</f>
        <v>2.2938999999999998</v>
      </c>
      <c r="K39">
        <f ca="1">_xll.ciqfunctions.udf.CIQ($B39,"IQ_CDS_mid",K$2)</f>
        <v>2.2938999999999998</v>
      </c>
      <c r="L39">
        <f ca="1">_xll.ciqfunctions.udf.CIQ($B39,"IQ_CDS_mid",L$2)</f>
        <v>2.2938999999999998</v>
      </c>
      <c r="M39">
        <f ca="1">_xll.ciqfunctions.udf.CIQ($B39,"IQ_CDS_mid",M$2)</f>
        <v>2.2938999999999998</v>
      </c>
      <c r="N39">
        <f ca="1">_xll.ciqfunctions.udf.CIQ($B39,"IQ_CDS_mid",N$2)</f>
        <v>2.2938999999999998</v>
      </c>
      <c r="O39">
        <f ca="1">_xll.ciqfunctions.udf.CIQ($B39,"IQ_CDS_mid",O$2)</f>
        <v>2.2938999999999998</v>
      </c>
      <c r="P39">
        <f ca="1">_xll.ciqfunctions.udf.CIQ($B39,"IQ_CDS_mid",P$2)</f>
        <v>2.2938999999999998</v>
      </c>
      <c r="Q39">
        <f ca="1">_xll.ciqfunctions.udf.CIQ($B39,"IQ_CDS_mid",Q$2)</f>
        <v>2.2938999999999998</v>
      </c>
      <c r="R39">
        <f ca="1">_xll.ciqfunctions.udf.CIQ($B39,"IQ_CDS_mid",R$2)</f>
        <v>2.3334000000000001</v>
      </c>
      <c r="S39">
        <f ca="1">_xll.ciqfunctions.udf.CIQ($B39,"IQ_CDS_mid",S$2)</f>
        <v>3.2726000000000002</v>
      </c>
      <c r="T39">
        <f t="shared" ca="1" si="9"/>
        <v>0</v>
      </c>
      <c r="U39">
        <f t="shared" ca="1" si="10"/>
        <v>0</v>
      </c>
      <c r="V39">
        <f t="shared" ca="1" si="11"/>
        <v>0</v>
      </c>
      <c r="W39">
        <f t="shared" ca="1" si="12"/>
        <v>-3.9500000000000313E-2</v>
      </c>
      <c r="X39">
        <f t="shared" ca="1" si="0"/>
        <v>-0.97870000000000035</v>
      </c>
    </row>
    <row r="40" spans="1:24">
      <c r="A40" t="s">
        <v>156</v>
      </c>
      <c r="B40" s="25" t="s">
        <v>155</v>
      </c>
      <c r="C40">
        <f ca="1">_xll.ciqfunctions.udf.CIQ($B40,"IQ_CDS_mid",C$2)</f>
        <v>23.524999999999999</v>
      </c>
      <c r="D40">
        <f ca="1">_xll.ciqfunctions.udf.CIQ($B40,"IQ_CDS_mid",D$2)</f>
        <v>23.524999999999999</v>
      </c>
      <c r="E40">
        <f ca="1">_xll.ciqfunctions.udf.CIQ($B40,"IQ_CDS_mid",E$2)</f>
        <v>23.531300000000002</v>
      </c>
      <c r="F40">
        <f ca="1">_xll.ciqfunctions.udf.CIQ($B40,"IQ_CDS_mid",F$2)</f>
        <v>23.531300000000002</v>
      </c>
      <c r="G40">
        <f ca="1">_xll.ciqfunctions.udf.CIQ($B40,"IQ_CDS_mid",G$2)</f>
        <v>23.531300000000002</v>
      </c>
      <c r="H40">
        <f ca="1">_xll.ciqfunctions.udf.CIQ($B40,"IQ_CDS_mid",H$2)</f>
        <v>23.701000000000001</v>
      </c>
      <c r="I40">
        <f ca="1">_xll.ciqfunctions.udf.CIQ($B40,"IQ_CDS_mid",I$2)</f>
        <v>23.651399999999999</v>
      </c>
      <c r="J40">
        <f ca="1">_xll.ciqfunctions.udf.CIQ($B40,"IQ_CDS_mid",J$2)</f>
        <v>24.031199999999998</v>
      </c>
      <c r="K40">
        <f ca="1">_xll.ciqfunctions.udf.CIQ($B40,"IQ_CDS_mid",K$2)</f>
        <v>24.154900000000001</v>
      </c>
      <c r="L40">
        <f ca="1">_xll.ciqfunctions.udf.CIQ($B40,"IQ_CDS_mid",L$2)</f>
        <v>24.2516</v>
      </c>
      <c r="M40">
        <f ca="1">_xll.ciqfunctions.udf.CIQ($B40,"IQ_CDS_mid",M$2)</f>
        <v>24.2516</v>
      </c>
      <c r="N40">
        <f ca="1">_xll.ciqfunctions.udf.CIQ($B40,"IQ_CDS_mid",N$2)</f>
        <v>24.2516</v>
      </c>
      <c r="O40">
        <f ca="1">_xll.ciqfunctions.udf.CIQ($B40,"IQ_CDS_mid",O$2)</f>
        <v>23.591200000000001</v>
      </c>
      <c r="P40">
        <f ca="1">_xll.ciqfunctions.udf.CIQ($B40,"IQ_CDS_mid",P$2)</f>
        <v>23.400200000000002</v>
      </c>
      <c r="Q40">
        <f ca="1">_xll.ciqfunctions.udf.CIQ($B40,"IQ_CDS_mid",Q$2)</f>
        <v>23.625</v>
      </c>
      <c r="R40">
        <f ca="1">_xll.ciqfunctions.udf.CIQ($B40,"IQ_CDS_mid",R$2)</f>
        <v>22.773399999999999</v>
      </c>
      <c r="S40">
        <f ca="1">_xll.ciqfunctions.udf.CIQ($B40,"IQ_CDS_mid",S$2)</f>
        <v>24.6812</v>
      </c>
      <c r="T40">
        <f t="shared" ca="1" si="9"/>
        <v>-0.17600000000000193</v>
      </c>
      <c r="U40">
        <f t="shared" ca="1" si="10"/>
        <v>-0.72660000000000124</v>
      </c>
      <c r="V40">
        <f t="shared" ca="1" si="11"/>
        <v>-0.10000000000000142</v>
      </c>
      <c r="W40">
        <f t="shared" ca="1" si="12"/>
        <v>0.75159999999999982</v>
      </c>
      <c r="X40">
        <f t="shared" ca="1" si="0"/>
        <v>-1.1562000000000019</v>
      </c>
    </row>
    <row r="41" spans="1:24">
      <c r="A41" t="s">
        <v>154</v>
      </c>
      <c r="B41" s="25"/>
    </row>
    <row r="42" spans="1:24">
      <c r="A42" t="s">
        <v>153</v>
      </c>
      <c r="B42" s="25" t="s">
        <v>152</v>
      </c>
      <c r="C42">
        <f ca="1">_xll.ciqfunctions.udf.CIQ($B42,"IQ_CDS_mid",C$2)</f>
        <v>39.916699999999999</v>
      </c>
      <c r="D42">
        <f ca="1">_xll.ciqfunctions.udf.CIQ($B42,"IQ_CDS_mid",D$2)</f>
        <v>39.916699999999999</v>
      </c>
      <c r="E42">
        <f ca="1">_xll.ciqfunctions.udf.CIQ($B42,"IQ_CDS_mid",E$2)</f>
        <v>39.623399999999997</v>
      </c>
      <c r="F42">
        <f ca="1">_xll.ciqfunctions.udf.CIQ($B42,"IQ_CDS_mid",F$2)</f>
        <v>39.623399999999997</v>
      </c>
      <c r="G42">
        <f ca="1">_xll.ciqfunctions.udf.CIQ($B42,"IQ_CDS_mid",G$2)</f>
        <v>39.623399999999997</v>
      </c>
      <c r="H42">
        <f ca="1">_xll.ciqfunctions.udf.CIQ($B42,"IQ_CDS_mid",H$2)</f>
        <v>40.127899999999997</v>
      </c>
      <c r="I42">
        <f ca="1">_xll.ciqfunctions.udf.CIQ($B42,"IQ_CDS_mid",I$2)</f>
        <v>39.505499999999998</v>
      </c>
      <c r="J42">
        <f ca="1">_xll.ciqfunctions.udf.CIQ($B42,"IQ_CDS_mid",J$2)</f>
        <v>40.274799999999999</v>
      </c>
      <c r="K42">
        <f ca="1">_xll.ciqfunctions.udf.CIQ($B42,"IQ_CDS_mid",K$2)</f>
        <v>40.997</v>
      </c>
      <c r="L42">
        <f ca="1">_xll.ciqfunctions.udf.CIQ($B42,"IQ_CDS_mid",L$2)</f>
        <v>41.491999999999997</v>
      </c>
      <c r="M42">
        <f ca="1">_xll.ciqfunctions.udf.CIQ($B42,"IQ_CDS_mid",M$2)</f>
        <v>41.491999999999997</v>
      </c>
      <c r="N42">
        <f ca="1">_xll.ciqfunctions.udf.CIQ($B42,"IQ_CDS_mid",N$2)</f>
        <v>41.491999999999997</v>
      </c>
      <c r="O42">
        <f ca="1">_xll.ciqfunctions.udf.CIQ($B42,"IQ_CDS_mid",O$2)</f>
        <v>40.505299999999998</v>
      </c>
      <c r="P42">
        <f ca="1">_xll.ciqfunctions.udf.CIQ($B42,"IQ_CDS_mid",P$2)</f>
        <v>40.031300000000002</v>
      </c>
      <c r="Q42">
        <f ca="1">_xll.ciqfunctions.udf.CIQ($B42,"IQ_CDS_mid",Q$2)</f>
        <v>40.5</v>
      </c>
      <c r="R42">
        <f ca="1">_xll.ciqfunctions.udf.CIQ($B42,"IQ_CDS_mid",R$2)</f>
        <v>41.367800000000003</v>
      </c>
      <c r="S42">
        <f ca="1">_xll.ciqfunctions.udf.CIQ($B42,"IQ_CDS_mid",S$2)</f>
        <v>41.981099999999998</v>
      </c>
      <c r="T42">
        <f ca="1">C42-H42</f>
        <v>-0.21119999999999806</v>
      </c>
      <c r="U42">
        <f ca="1">C42-M42</f>
        <v>-1.5752999999999986</v>
      </c>
      <c r="V42">
        <f ca="1">C42-Q42</f>
        <v>-0.58330000000000126</v>
      </c>
      <c r="W42">
        <f ca="1">C42-R42</f>
        <v>-1.4511000000000038</v>
      </c>
      <c r="X42">
        <f t="shared" ref="X42:X84" ca="1" si="13">C42-S42</f>
        <v>-2.0643999999999991</v>
      </c>
    </row>
    <row r="43" spans="1:24">
      <c r="A43" s="16" t="s">
        <v>151</v>
      </c>
      <c r="X43">
        <f t="shared" si="13"/>
        <v>0</v>
      </c>
    </row>
    <row r="44" spans="1:24">
      <c r="A44" t="s">
        <v>150</v>
      </c>
      <c r="B44" t="s">
        <v>149</v>
      </c>
      <c r="C44">
        <f ca="1">_xll.ciqfunctions.udf.CIQ($B44,"IQ_CDS_mid",C$2)</f>
        <v>134.959</v>
      </c>
      <c r="D44">
        <f ca="1">_xll.ciqfunctions.udf.CIQ($B44,"IQ_CDS_mid",D$2)</f>
        <v>134.959</v>
      </c>
      <c r="E44">
        <f ca="1">_xll.ciqfunctions.udf.CIQ($B44,"IQ_CDS_mid",E$2)</f>
        <v>135.1773</v>
      </c>
      <c r="F44">
        <f ca="1">_xll.ciqfunctions.udf.CIQ($B44,"IQ_CDS_mid",F$2)</f>
        <v>135.1773</v>
      </c>
      <c r="G44">
        <f ca="1">_xll.ciqfunctions.udf.CIQ($B44,"IQ_CDS_mid",G$2)</f>
        <v>135.1773</v>
      </c>
      <c r="H44">
        <f ca="1">_xll.ciqfunctions.udf.CIQ($B44,"IQ_CDS_mid",H$2)</f>
        <v>138.571</v>
      </c>
      <c r="I44">
        <f ca="1">_xll.ciqfunctions.udf.CIQ($B44,"IQ_CDS_mid",I$2)</f>
        <v>137.4487</v>
      </c>
      <c r="J44">
        <f ca="1">_xll.ciqfunctions.udf.CIQ($B44,"IQ_CDS_mid",J$2)</f>
        <v>135.55600000000001</v>
      </c>
      <c r="K44">
        <f ca="1">_xll.ciqfunctions.udf.CIQ($B44,"IQ_CDS_mid",K$2)</f>
        <v>142.8982</v>
      </c>
      <c r="L44">
        <f ca="1">_xll.ciqfunctions.udf.CIQ($B44,"IQ_CDS_mid",L$2)</f>
        <v>143.6773</v>
      </c>
      <c r="M44">
        <f ca="1">_xll.ciqfunctions.udf.CIQ($B44,"IQ_CDS_mid",M$2)</f>
        <v>143.6773</v>
      </c>
      <c r="N44">
        <f ca="1">_xll.ciqfunctions.udf.CIQ($B44,"IQ_CDS_mid",N$2)</f>
        <v>143.6773</v>
      </c>
      <c r="O44">
        <f ca="1">_xll.ciqfunctions.udf.CIQ($B44,"IQ_CDS_mid",O$2)</f>
        <v>141.98939999999999</v>
      </c>
      <c r="P44">
        <f ca="1">_xll.ciqfunctions.udf.CIQ($B44,"IQ_CDS_mid",P$2)</f>
        <v>134.04509999999999</v>
      </c>
      <c r="Q44">
        <f ca="1">_xll.ciqfunctions.udf.CIQ($B44,"IQ_CDS_mid",Q$2)</f>
        <v>132.26740000000001</v>
      </c>
      <c r="R44">
        <f ca="1">_xll.ciqfunctions.udf.CIQ($B44,"IQ_CDS_mid",R$2)</f>
        <v>124.38160000000001</v>
      </c>
      <c r="S44">
        <f ca="1">_xll.ciqfunctions.udf.CIQ($B44,"IQ_CDS_mid",S$2)</f>
        <v>172.7561</v>
      </c>
      <c r="T44">
        <f ca="1">C44-H44</f>
        <v>-3.6119999999999948</v>
      </c>
      <c r="U44">
        <f ca="1">C44-M44</f>
        <v>-8.7182999999999993</v>
      </c>
      <c r="V44">
        <f ca="1">C44-Q44</f>
        <v>2.691599999999994</v>
      </c>
      <c r="W44">
        <f ca="1">C44-R44</f>
        <v>10.577399999999997</v>
      </c>
      <c r="X44">
        <f t="shared" ca="1" si="13"/>
        <v>-37.7971</v>
      </c>
    </row>
    <row r="45" spans="1:24">
      <c r="X45">
        <f t="shared" si="13"/>
        <v>0</v>
      </c>
    </row>
    <row r="46" spans="1:24">
      <c r="X46">
        <f t="shared" si="13"/>
        <v>0</v>
      </c>
    </row>
    <row r="47" spans="1:24" ht="15.5">
      <c r="A47" s="28" t="s">
        <v>8</v>
      </c>
      <c r="X47">
        <f t="shared" si="13"/>
        <v>0</v>
      </c>
    </row>
    <row r="48" spans="1:24" ht="15.5">
      <c r="A48" s="27" t="s">
        <v>10</v>
      </c>
      <c r="B48" s="25" t="s">
        <v>148</v>
      </c>
      <c r="C48">
        <f ca="1">_xll.ciqfunctions.udf.CIQ($B48,"IQ_CDS_mid",C$2)</f>
        <v>61.5976</v>
      </c>
      <c r="D48">
        <f ca="1">_xll.ciqfunctions.udf.CIQ($B48,"IQ_CDS_mid",D$2)</f>
        <v>61.5976</v>
      </c>
      <c r="E48">
        <f ca="1">_xll.ciqfunctions.udf.CIQ($B48,"IQ_CDS_mid",E$2)</f>
        <v>61.457099999999997</v>
      </c>
      <c r="F48">
        <f ca="1">_xll.ciqfunctions.udf.CIQ($B48,"IQ_CDS_mid",F$2)</f>
        <v>61.457099999999997</v>
      </c>
      <c r="G48">
        <f ca="1">_xll.ciqfunctions.udf.CIQ($B48,"IQ_CDS_mid",G$2)</f>
        <v>61.457099999999997</v>
      </c>
      <c r="H48">
        <f ca="1">_xll.ciqfunctions.udf.CIQ($B48,"IQ_CDS_mid",H$2)</f>
        <v>62.2149</v>
      </c>
      <c r="I48">
        <f ca="1">_xll.ciqfunctions.udf.CIQ($B48,"IQ_CDS_mid",I$2)</f>
        <v>61.679600000000001</v>
      </c>
      <c r="J48">
        <f ca="1">_xll.ciqfunctions.udf.CIQ($B48,"IQ_CDS_mid",J$2)</f>
        <v>60.761000000000003</v>
      </c>
      <c r="K48">
        <f ca="1">_xll.ciqfunctions.udf.CIQ($B48,"IQ_CDS_mid",K$2)</f>
        <v>61.866799999999998</v>
      </c>
      <c r="L48">
        <f ca="1">_xll.ciqfunctions.udf.CIQ($B48,"IQ_CDS_mid",L$2)</f>
        <v>61.857100000000003</v>
      </c>
      <c r="M48">
        <f ca="1">_xll.ciqfunctions.udf.CIQ($B48,"IQ_CDS_mid",M$2)</f>
        <v>61.857100000000003</v>
      </c>
      <c r="N48">
        <f ca="1">_xll.ciqfunctions.udf.CIQ($B48,"IQ_CDS_mid",N$2)</f>
        <v>61.857100000000003</v>
      </c>
      <c r="O48">
        <f ca="1">_xll.ciqfunctions.udf.CIQ($B48,"IQ_CDS_mid",O$2)</f>
        <v>62.357500000000002</v>
      </c>
      <c r="P48">
        <f ca="1">_xll.ciqfunctions.udf.CIQ($B48,"IQ_CDS_mid",P$2)</f>
        <v>61.367800000000003</v>
      </c>
      <c r="Q48">
        <f ca="1">_xll.ciqfunctions.udf.CIQ($B48,"IQ_CDS_mid",Q$2)</f>
        <v>61.381999999999998</v>
      </c>
      <c r="R48">
        <f ca="1">_xll.ciqfunctions.udf.CIQ($B48,"IQ_CDS_mid",R$2)</f>
        <v>52.052100000000003</v>
      </c>
      <c r="S48">
        <f ca="1">_xll.ciqfunctions.udf.CIQ($B48,"IQ_CDS_mid",S$2)</f>
        <v>59.295999999999999</v>
      </c>
      <c r="T48">
        <f t="shared" ref="T48:T54" ca="1" si="14">C48-H48</f>
        <v>-0.61730000000000018</v>
      </c>
      <c r="U48">
        <f t="shared" ref="U48:U54" ca="1" si="15">C48-M48</f>
        <v>-0.25950000000000273</v>
      </c>
      <c r="V48">
        <f t="shared" ref="V48:V54" ca="1" si="16">C48-Q48</f>
        <v>0.21560000000000201</v>
      </c>
      <c r="W48">
        <f t="shared" ref="W48:W54" ca="1" si="17">C48-R48</f>
        <v>9.545499999999997</v>
      </c>
      <c r="X48">
        <f t="shared" ca="1" si="13"/>
        <v>2.3016000000000005</v>
      </c>
    </row>
    <row r="49" spans="1:24" ht="15.5">
      <c r="A49" s="27" t="s">
        <v>11</v>
      </c>
      <c r="B49" s="25" t="s">
        <v>147</v>
      </c>
      <c r="C49">
        <f ca="1">_xll.ciqfunctions.udf.CIQ($B49,"IQ_CDS_mid",C$2)</f>
        <v>62.620600000000003</v>
      </c>
      <c r="D49">
        <f ca="1">_xll.ciqfunctions.udf.CIQ($B49,"IQ_CDS_mid",D$2)</f>
        <v>62.620600000000003</v>
      </c>
      <c r="E49">
        <f ca="1">_xll.ciqfunctions.udf.CIQ($B49,"IQ_CDS_mid",E$2)</f>
        <v>62.536099999999998</v>
      </c>
      <c r="F49">
        <f ca="1">_xll.ciqfunctions.udf.CIQ($B49,"IQ_CDS_mid",F$2)</f>
        <v>62.536099999999998</v>
      </c>
      <c r="G49">
        <f ca="1">_xll.ciqfunctions.udf.CIQ($B49,"IQ_CDS_mid",G$2)</f>
        <v>62.536099999999998</v>
      </c>
      <c r="H49">
        <f ca="1">_xll.ciqfunctions.udf.CIQ($B49,"IQ_CDS_mid",H$2)</f>
        <v>63.335999999999999</v>
      </c>
      <c r="I49">
        <f ca="1">_xll.ciqfunctions.udf.CIQ($B49,"IQ_CDS_mid",I$2)</f>
        <v>62.738100000000003</v>
      </c>
      <c r="J49">
        <f ca="1">_xll.ciqfunctions.udf.CIQ($B49,"IQ_CDS_mid",J$2)</f>
        <v>62.201500000000003</v>
      </c>
      <c r="K49">
        <f ca="1">_xll.ciqfunctions.udf.CIQ($B49,"IQ_CDS_mid",K$2)</f>
        <v>63.225999999999999</v>
      </c>
      <c r="L49">
        <f ca="1">_xll.ciqfunctions.udf.CIQ($B49,"IQ_CDS_mid",L$2)</f>
        <v>63.862099999999998</v>
      </c>
      <c r="M49">
        <f ca="1">_xll.ciqfunctions.udf.CIQ($B49,"IQ_CDS_mid",M$2)</f>
        <v>63.862099999999998</v>
      </c>
      <c r="N49">
        <f ca="1">_xll.ciqfunctions.udf.CIQ($B49,"IQ_CDS_mid",N$2)</f>
        <v>63.862099999999998</v>
      </c>
      <c r="O49">
        <f ca="1">_xll.ciqfunctions.udf.CIQ($B49,"IQ_CDS_mid",O$2)</f>
        <v>63.587600000000002</v>
      </c>
      <c r="P49">
        <f ca="1">_xll.ciqfunctions.udf.CIQ($B49,"IQ_CDS_mid",P$2)</f>
        <v>62.316299999999998</v>
      </c>
      <c r="Q49">
        <f ca="1">_xll.ciqfunctions.udf.CIQ($B49,"IQ_CDS_mid",Q$2)</f>
        <v>61.984000000000002</v>
      </c>
      <c r="R49">
        <f ca="1">_xll.ciqfunctions.udf.CIQ($B49,"IQ_CDS_mid",R$2)</f>
        <v>54.226500000000001</v>
      </c>
      <c r="S49">
        <f ca="1">_xll.ciqfunctions.udf.CIQ($B49,"IQ_CDS_mid",S$2)</f>
        <v>59.342100000000002</v>
      </c>
      <c r="T49">
        <f t="shared" ca="1" si="14"/>
        <v>-0.71539999999999537</v>
      </c>
      <c r="U49">
        <f t="shared" ca="1" si="15"/>
        <v>-1.2414999999999949</v>
      </c>
      <c r="V49">
        <f t="shared" ca="1" si="16"/>
        <v>0.63660000000000139</v>
      </c>
      <c r="W49">
        <f t="shared" ca="1" si="17"/>
        <v>8.3941000000000017</v>
      </c>
      <c r="X49">
        <f t="shared" ca="1" si="13"/>
        <v>3.2785000000000011</v>
      </c>
    </row>
    <row r="50" spans="1:24" ht="15.5">
      <c r="A50" s="27" t="s">
        <v>146</v>
      </c>
      <c r="B50" s="25" t="s">
        <v>145</v>
      </c>
      <c r="C50">
        <f ca="1">_xll.ciqfunctions.udf.CIQ($B50,"IQ_CDS_mid",C$2)</f>
        <v>44.201599999999999</v>
      </c>
      <c r="D50">
        <f ca="1">_xll.ciqfunctions.udf.CIQ($B50,"IQ_CDS_mid",D$2)</f>
        <v>44.201599999999999</v>
      </c>
      <c r="E50">
        <f ca="1">_xll.ciqfunctions.udf.CIQ($B50,"IQ_CDS_mid",E$2)</f>
        <v>44.099499999999999</v>
      </c>
      <c r="F50">
        <f ca="1">_xll.ciqfunctions.udf.CIQ($B50,"IQ_CDS_mid",F$2)</f>
        <v>44.099499999999999</v>
      </c>
      <c r="G50">
        <f ca="1">_xll.ciqfunctions.udf.CIQ($B50,"IQ_CDS_mid",G$2)</f>
        <v>44.099499999999999</v>
      </c>
      <c r="H50">
        <f ca="1">_xll.ciqfunctions.udf.CIQ($B50,"IQ_CDS_mid",H$2)</f>
        <v>44.410299999999999</v>
      </c>
      <c r="I50">
        <f ca="1">_xll.ciqfunctions.udf.CIQ($B50,"IQ_CDS_mid",I$2)</f>
        <v>44.386600000000001</v>
      </c>
      <c r="J50">
        <f ca="1">_xll.ciqfunctions.udf.CIQ($B50,"IQ_CDS_mid",J$2)</f>
        <v>43.485900000000001</v>
      </c>
      <c r="K50">
        <f ca="1">_xll.ciqfunctions.udf.CIQ($B50,"IQ_CDS_mid",K$2)</f>
        <v>44.206899999999997</v>
      </c>
      <c r="L50">
        <f ca="1">_xll.ciqfunctions.udf.CIQ($B50,"IQ_CDS_mid",L$2)</f>
        <v>44.132100000000001</v>
      </c>
      <c r="M50">
        <f ca="1">_xll.ciqfunctions.udf.CIQ($B50,"IQ_CDS_mid",M$2)</f>
        <v>44.132100000000001</v>
      </c>
      <c r="N50">
        <f ca="1">_xll.ciqfunctions.udf.CIQ($B50,"IQ_CDS_mid",N$2)</f>
        <v>44.132100000000001</v>
      </c>
      <c r="O50">
        <f ca="1">_xll.ciqfunctions.udf.CIQ($B50,"IQ_CDS_mid",O$2)</f>
        <v>43.822000000000003</v>
      </c>
      <c r="P50">
        <f ca="1">_xll.ciqfunctions.udf.CIQ($B50,"IQ_CDS_mid",P$2)</f>
        <v>42.909300000000002</v>
      </c>
      <c r="Q50">
        <f ca="1">_xll.ciqfunctions.udf.CIQ($B50,"IQ_CDS_mid",Q$2)</f>
        <v>43.069699999999997</v>
      </c>
      <c r="R50">
        <f ca="1">_xll.ciqfunctions.udf.CIQ($B50,"IQ_CDS_mid",R$2)</f>
        <v>40.046799999999998</v>
      </c>
      <c r="S50">
        <f ca="1">_xll.ciqfunctions.udf.CIQ($B50,"IQ_CDS_mid",S$2)</f>
        <v>46.463500000000003</v>
      </c>
      <c r="T50">
        <f t="shared" ca="1" si="14"/>
        <v>-0.20870000000000033</v>
      </c>
      <c r="U50">
        <f t="shared" ca="1" si="15"/>
        <v>6.9499999999997897E-2</v>
      </c>
      <c r="V50">
        <f t="shared" ca="1" si="16"/>
        <v>1.1319000000000017</v>
      </c>
      <c r="W50">
        <f t="shared" ca="1" si="17"/>
        <v>4.1548000000000016</v>
      </c>
      <c r="X50">
        <f t="shared" ca="1" si="13"/>
        <v>-2.2619000000000042</v>
      </c>
    </row>
    <row r="51" spans="1:24" ht="15.5">
      <c r="A51" s="27" t="s">
        <v>144</v>
      </c>
      <c r="B51" s="25" t="s">
        <v>143</v>
      </c>
      <c r="C51">
        <f ca="1">_xll.ciqfunctions.udf.CIQ($B51,"IQ_CDS_mid",C$2)</f>
        <v>62.452800000000003</v>
      </c>
      <c r="D51">
        <f ca="1">_xll.ciqfunctions.udf.CIQ($B51,"IQ_CDS_mid",D$2)</f>
        <v>62.452800000000003</v>
      </c>
      <c r="E51">
        <f ca="1">_xll.ciqfunctions.udf.CIQ($B51,"IQ_CDS_mid",E$2)</f>
        <v>62.559800000000003</v>
      </c>
      <c r="F51">
        <f ca="1">_xll.ciqfunctions.udf.CIQ($B51,"IQ_CDS_mid",F$2)</f>
        <v>62.559800000000003</v>
      </c>
      <c r="G51">
        <f ca="1">_xll.ciqfunctions.udf.CIQ($B51,"IQ_CDS_mid",G$2)</f>
        <v>62.559800000000003</v>
      </c>
      <c r="H51">
        <f ca="1">_xll.ciqfunctions.udf.CIQ($B51,"IQ_CDS_mid",H$2)</f>
        <v>62.697000000000003</v>
      </c>
      <c r="I51">
        <f ca="1">_xll.ciqfunctions.udf.CIQ($B51,"IQ_CDS_mid",I$2)</f>
        <v>62.359299999999998</v>
      </c>
      <c r="J51">
        <f ca="1">_xll.ciqfunctions.udf.CIQ($B51,"IQ_CDS_mid",J$2)</f>
        <v>61.213799999999999</v>
      </c>
      <c r="K51">
        <f ca="1">_xll.ciqfunctions.udf.CIQ($B51,"IQ_CDS_mid",K$2)</f>
        <v>62.1875</v>
      </c>
      <c r="L51">
        <f ca="1">_xll.ciqfunctions.udf.CIQ($B51,"IQ_CDS_mid",L$2)</f>
        <v>62.0871</v>
      </c>
      <c r="M51">
        <f ca="1">_xll.ciqfunctions.udf.CIQ($B51,"IQ_CDS_mid",M$2)</f>
        <v>62.0871</v>
      </c>
      <c r="N51">
        <f ca="1">_xll.ciqfunctions.udf.CIQ($B51,"IQ_CDS_mid",N$2)</f>
        <v>62.0871</v>
      </c>
      <c r="O51">
        <f ca="1">_xll.ciqfunctions.udf.CIQ($B51,"IQ_CDS_mid",O$2)</f>
        <v>62.341200000000001</v>
      </c>
      <c r="P51">
        <f ca="1">_xll.ciqfunctions.udf.CIQ($B51,"IQ_CDS_mid",P$2)</f>
        <v>61.427199999999999</v>
      </c>
      <c r="Q51">
        <f ca="1">_xll.ciqfunctions.udf.CIQ($B51,"IQ_CDS_mid",Q$2)</f>
        <v>61.068800000000003</v>
      </c>
      <c r="R51">
        <f ca="1">_xll.ciqfunctions.udf.CIQ($B51,"IQ_CDS_mid",R$2)</f>
        <v>54.126199999999997</v>
      </c>
      <c r="S51">
        <f ca="1">_xll.ciqfunctions.udf.CIQ($B51,"IQ_CDS_mid",S$2)</f>
        <v>62.712899999999998</v>
      </c>
      <c r="T51">
        <f t="shared" ca="1" si="14"/>
        <v>-0.24419999999999931</v>
      </c>
      <c r="U51">
        <f t="shared" ca="1" si="15"/>
        <v>0.36570000000000391</v>
      </c>
      <c r="V51">
        <f t="shared" ca="1" si="16"/>
        <v>1.3840000000000003</v>
      </c>
      <c r="W51">
        <f t="shared" ca="1" si="17"/>
        <v>8.3266000000000062</v>
      </c>
      <c r="X51">
        <f t="shared" ca="1" si="13"/>
        <v>-0.26009999999999422</v>
      </c>
    </row>
    <row r="52" spans="1:24" ht="15.5">
      <c r="A52" s="27" t="s">
        <v>14</v>
      </c>
      <c r="B52" s="25" t="s">
        <v>142</v>
      </c>
      <c r="C52">
        <f ca="1">_xll.ciqfunctions.udf.CIQ($B52,"IQ_CDS_mid",C$2)</f>
        <v>64.000299999999996</v>
      </c>
      <c r="D52">
        <f ca="1">_xll.ciqfunctions.udf.CIQ($B52,"IQ_CDS_mid",D$2)</f>
        <v>64.000299999999996</v>
      </c>
      <c r="E52">
        <f ca="1">_xll.ciqfunctions.udf.CIQ($B52,"IQ_CDS_mid",E$2)</f>
        <v>64.062299999999993</v>
      </c>
      <c r="F52">
        <f ca="1">_xll.ciqfunctions.udf.CIQ($B52,"IQ_CDS_mid",F$2)</f>
        <v>64.062299999999993</v>
      </c>
      <c r="G52">
        <f ca="1">_xll.ciqfunctions.udf.CIQ($B52,"IQ_CDS_mid",G$2)</f>
        <v>64.062299999999993</v>
      </c>
      <c r="H52">
        <f ca="1">_xll.ciqfunctions.udf.CIQ($B52,"IQ_CDS_mid",H$2)</f>
        <v>64.511300000000006</v>
      </c>
      <c r="I52">
        <f ca="1">_xll.ciqfunctions.udf.CIQ($B52,"IQ_CDS_mid",I$2)</f>
        <v>64.116699999999994</v>
      </c>
      <c r="J52">
        <f ca="1">_xll.ciqfunctions.udf.CIQ($B52,"IQ_CDS_mid",J$2)</f>
        <v>63.359900000000003</v>
      </c>
      <c r="K52">
        <f ca="1">_xll.ciqfunctions.udf.CIQ($B52,"IQ_CDS_mid",K$2)</f>
        <v>64.071799999999996</v>
      </c>
      <c r="L52">
        <f ca="1">_xll.ciqfunctions.udf.CIQ($B52,"IQ_CDS_mid",L$2)</f>
        <v>64.267499999999998</v>
      </c>
      <c r="M52">
        <f ca="1">_xll.ciqfunctions.udf.CIQ($B52,"IQ_CDS_mid",M$2)</f>
        <v>64.267499999999998</v>
      </c>
      <c r="N52">
        <f ca="1">_xll.ciqfunctions.udf.CIQ($B52,"IQ_CDS_mid",N$2)</f>
        <v>64.267499999999998</v>
      </c>
      <c r="O52">
        <f ca="1">_xll.ciqfunctions.udf.CIQ($B52,"IQ_CDS_mid",O$2)</f>
        <v>64.857299999999995</v>
      </c>
      <c r="P52">
        <f ca="1">_xll.ciqfunctions.udf.CIQ($B52,"IQ_CDS_mid",P$2)</f>
        <v>63.8005</v>
      </c>
      <c r="Q52">
        <f ca="1">_xll.ciqfunctions.udf.CIQ($B52,"IQ_CDS_mid",Q$2)</f>
        <v>63.848700000000001</v>
      </c>
      <c r="R52">
        <f ca="1">_xll.ciqfunctions.udf.CIQ($B52,"IQ_CDS_mid",R$2)</f>
        <v>55.769300000000001</v>
      </c>
      <c r="S52">
        <f ca="1">_xll.ciqfunctions.udf.CIQ($B52,"IQ_CDS_mid",S$2)</f>
        <v>58.326900000000002</v>
      </c>
      <c r="T52">
        <f t="shared" ca="1" si="14"/>
        <v>-0.51100000000000989</v>
      </c>
      <c r="U52">
        <f t="shared" ca="1" si="15"/>
        <v>-0.26720000000000255</v>
      </c>
      <c r="V52">
        <f t="shared" ca="1" si="16"/>
        <v>0.15159999999999485</v>
      </c>
      <c r="W52">
        <f t="shared" ca="1" si="17"/>
        <v>8.2309999999999945</v>
      </c>
      <c r="X52">
        <f t="shared" ca="1" si="13"/>
        <v>5.6733999999999938</v>
      </c>
    </row>
    <row r="53" spans="1:24" ht="15.5">
      <c r="A53" s="27" t="s">
        <v>15</v>
      </c>
      <c r="B53" s="25" t="s">
        <v>141</v>
      </c>
      <c r="C53">
        <f ca="1">_xll.ciqfunctions.udf.CIQ($B53,"IQ_CDS_mid",C$2)</f>
        <v>56.645899999999997</v>
      </c>
      <c r="D53">
        <f ca="1">_xll.ciqfunctions.udf.CIQ($B53,"IQ_CDS_mid",D$2)</f>
        <v>56.645899999999997</v>
      </c>
      <c r="E53">
        <f ca="1">_xll.ciqfunctions.udf.CIQ($B53,"IQ_CDS_mid",E$2)</f>
        <v>56.534199999999998</v>
      </c>
      <c r="F53">
        <f ca="1">_xll.ciqfunctions.udf.CIQ($B53,"IQ_CDS_mid",F$2)</f>
        <v>56.534199999999998</v>
      </c>
      <c r="G53">
        <f ca="1">_xll.ciqfunctions.udf.CIQ($B53,"IQ_CDS_mid",G$2)</f>
        <v>56.534199999999998</v>
      </c>
      <c r="H53">
        <f ca="1">_xll.ciqfunctions.udf.CIQ($B53,"IQ_CDS_mid",H$2)</f>
        <v>57.125700000000002</v>
      </c>
      <c r="I53">
        <f ca="1">_xll.ciqfunctions.udf.CIQ($B53,"IQ_CDS_mid",I$2)</f>
        <v>57.044899999999998</v>
      </c>
      <c r="J53">
        <f ca="1">_xll.ciqfunctions.udf.CIQ($B53,"IQ_CDS_mid",J$2)</f>
        <v>56.039099999999998</v>
      </c>
      <c r="K53">
        <f ca="1">_xll.ciqfunctions.udf.CIQ($B53,"IQ_CDS_mid",K$2)</f>
        <v>56.973799999999997</v>
      </c>
      <c r="L53">
        <f ca="1">_xll.ciqfunctions.udf.CIQ($B53,"IQ_CDS_mid",L$2)</f>
        <v>56.6584</v>
      </c>
      <c r="M53">
        <f ca="1">_xll.ciqfunctions.udf.CIQ($B53,"IQ_CDS_mid",M$2)</f>
        <v>56.6584</v>
      </c>
      <c r="N53">
        <f ca="1">_xll.ciqfunctions.udf.CIQ($B53,"IQ_CDS_mid",N$2)</f>
        <v>56.6584</v>
      </c>
      <c r="O53">
        <f ca="1">_xll.ciqfunctions.udf.CIQ($B53,"IQ_CDS_mid",O$2)</f>
        <v>57.1496</v>
      </c>
      <c r="P53">
        <f ca="1">_xll.ciqfunctions.udf.CIQ($B53,"IQ_CDS_mid",P$2)</f>
        <v>56.0959</v>
      </c>
      <c r="Q53">
        <f ca="1">_xll.ciqfunctions.udf.CIQ($B53,"IQ_CDS_mid",Q$2)</f>
        <v>55.847700000000003</v>
      </c>
      <c r="R53">
        <f ca="1">_xll.ciqfunctions.udf.CIQ($B53,"IQ_CDS_mid",R$2)</f>
        <v>49.295900000000003</v>
      </c>
      <c r="S53">
        <f ca="1">_xll.ciqfunctions.udf.CIQ($B53,"IQ_CDS_mid",S$2)</f>
        <v>53.297800000000002</v>
      </c>
      <c r="T53">
        <f t="shared" ca="1" si="14"/>
        <v>-0.47980000000000445</v>
      </c>
      <c r="U53">
        <f t="shared" ca="1" si="15"/>
        <v>-1.2500000000002842E-2</v>
      </c>
      <c r="V53">
        <f t="shared" ca="1" si="16"/>
        <v>0.79819999999999425</v>
      </c>
      <c r="W53">
        <f t="shared" ca="1" si="17"/>
        <v>7.3499999999999943</v>
      </c>
      <c r="X53">
        <f t="shared" ca="1" si="13"/>
        <v>3.3480999999999952</v>
      </c>
    </row>
    <row r="54" spans="1:24" ht="15.5">
      <c r="A54" s="27" t="s">
        <v>140</v>
      </c>
      <c r="B54" s="25" t="s">
        <v>139</v>
      </c>
      <c r="C54">
        <f ca="1">_xll.ciqfunctions.udf.CIQ($B54,"IQ_CDS_mid",C$2)</f>
        <v>55.540700000000001</v>
      </c>
      <c r="D54">
        <f ca="1">_xll.ciqfunctions.udf.CIQ($B54,"IQ_CDS_mid",D$2)</f>
        <v>55.540700000000001</v>
      </c>
      <c r="E54">
        <f ca="1">_xll.ciqfunctions.udf.CIQ($B54,"IQ_CDS_mid",E$2)</f>
        <v>55.389899999999997</v>
      </c>
      <c r="F54">
        <f ca="1">_xll.ciqfunctions.udf.CIQ($B54,"IQ_CDS_mid",F$2)</f>
        <v>55.389899999999997</v>
      </c>
      <c r="G54">
        <f ca="1">_xll.ciqfunctions.udf.CIQ($B54,"IQ_CDS_mid",G$2)</f>
        <v>55.389899999999997</v>
      </c>
      <c r="H54">
        <f ca="1">_xll.ciqfunctions.udf.CIQ($B54,"IQ_CDS_mid",H$2)</f>
        <v>55.322400000000002</v>
      </c>
      <c r="I54">
        <f ca="1">_xll.ciqfunctions.udf.CIQ($B54,"IQ_CDS_mid",I$2)</f>
        <v>55.201099999999997</v>
      </c>
      <c r="J54">
        <f ca="1">_xll.ciqfunctions.udf.CIQ($B54,"IQ_CDS_mid",J$2)</f>
        <v>55.241900000000001</v>
      </c>
      <c r="K54">
        <f ca="1">_xll.ciqfunctions.udf.CIQ($B54,"IQ_CDS_mid",K$2)</f>
        <v>57.348300000000002</v>
      </c>
      <c r="L54">
        <f ca="1">_xll.ciqfunctions.udf.CIQ($B54,"IQ_CDS_mid",L$2)</f>
        <v>58.5214</v>
      </c>
      <c r="M54">
        <f ca="1">_xll.ciqfunctions.udf.CIQ($B54,"IQ_CDS_mid",M$2)</f>
        <v>58.5214</v>
      </c>
      <c r="N54">
        <f ca="1">_xll.ciqfunctions.udf.CIQ($B54,"IQ_CDS_mid",N$2)</f>
        <v>58.5214</v>
      </c>
      <c r="O54">
        <f ca="1">_xll.ciqfunctions.udf.CIQ($B54,"IQ_CDS_mid",O$2)</f>
        <v>58.897500000000001</v>
      </c>
      <c r="P54">
        <f ca="1">_xll.ciqfunctions.udf.CIQ($B54,"IQ_CDS_mid",P$2)</f>
        <v>57.358699999999999</v>
      </c>
      <c r="Q54">
        <f ca="1">_xll.ciqfunctions.udf.CIQ($B54,"IQ_CDS_mid",Q$2)</f>
        <v>57.470599999999997</v>
      </c>
      <c r="R54">
        <f ca="1">_xll.ciqfunctions.udf.CIQ($B54,"IQ_CDS_mid",R$2)</f>
        <v>52.8553</v>
      </c>
      <c r="S54">
        <f ca="1">_xll.ciqfunctions.udf.CIQ($B54,"IQ_CDS_mid",S$2)</f>
        <v>53.892800000000001</v>
      </c>
      <c r="T54">
        <f t="shared" ca="1" si="14"/>
        <v>0.21829999999999927</v>
      </c>
      <c r="U54">
        <f t="shared" ca="1" si="15"/>
        <v>-2.9806999999999988</v>
      </c>
      <c r="V54">
        <f t="shared" ca="1" si="16"/>
        <v>-1.9298999999999964</v>
      </c>
      <c r="W54">
        <f t="shared" ca="1" si="17"/>
        <v>2.6854000000000013</v>
      </c>
      <c r="X54">
        <f t="shared" ca="1" si="13"/>
        <v>1.6478999999999999</v>
      </c>
    </row>
    <row r="55" spans="1:24" ht="15.5">
      <c r="A55" s="28" t="s">
        <v>17</v>
      </c>
      <c r="X55">
        <f t="shared" si="13"/>
        <v>0</v>
      </c>
    </row>
    <row r="56" spans="1:24" ht="15.5">
      <c r="A56" s="27" t="s">
        <v>18</v>
      </c>
      <c r="B56" s="25" t="s">
        <v>138</v>
      </c>
      <c r="C56">
        <f ca="1">_xll.ciqfunctions.udf.CIQ($B56,"IQ_CDS_mid",C$2)</f>
        <v>63.9636</v>
      </c>
      <c r="D56">
        <f ca="1">_xll.ciqfunctions.udf.CIQ($B56,"IQ_CDS_mid",D$2)</f>
        <v>63.9636</v>
      </c>
      <c r="E56">
        <f ca="1">_xll.ciqfunctions.udf.CIQ($B56,"IQ_CDS_mid",E$2)</f>
        <v>62.700400000000002</v>
      </c>
      <c r="F56">
        <f ca="1">_xll.ciqfunctions.udf.CIQ($B56,"IQ_CDS_mid",F$2)</f>
        <v>62.700400000000002</v>
      </c>
      <c r="G56">
        <f ca="1">_xll.ciqfunctions.udf.CIQ($B56,"IQ_CDS_mid",G$2)</f>
        <v>62.700400000000002</v>
      </c>
      <c r="H56">
        <f ca="1">_xll.ciqfunctions.udf.CIQ($B56,"IQ_CDS_mid",H$2)</f>
        <v>63.996899999999997</v>
      </c>
      <c r="I56">
        <f ca="1">_xll.ciqfunctions.udf.CIQ($B56,"IQ_CDS_mid",I$2)</f>
        <v>64.4071</v>
      </c>
      <c r="J56">
        <f ca="1">_xll.ciqfunctions.udf.CIQ($B56,"IQ_CDS_mid",J$2)</f>
        <v>62.284199999999998</v>
      </c>
      <c r="K56">
        <f ca="1">_xll.ciqfunctions.udf.CIQ($B56,"IQ_CDS_mid",K$2)</f>
        <v>67.056299999999993</v>
      </c>
      <c r="L56">
        <f ca="1">_xll.ciqfunctions.udf.CIQ($B56,"IQ_CDS_mid",L$2)</f>
        <v>67.209800000000001</v>
      </c>
      <c r="M56">
        <f ca="1">_xll.ciqfunctions.udf.CIQ($B56,"IQ_CDS_mid",M$2)</f>
        <v>67.209800000000001</v>
      </c>
      <c r="N56">
        <f ca="1">_xll.ciqfunctions.udf.CIQ($B56,"IQ_CDS_mid",N$2)</f>
        <v>67.209800000000001</v>
      </c>
      <c r="O56">
        <f ca="1">_xll.ciqfunctions.udf.CIQ($B56,"IQ_CDS_mid",O$2)</f>
        <v>64.640199999999993</v>
      </c>
      <c r="P56">
        <f ca="1">_xll.ciqfunctions.udf.CIQ($B56,"IQ_CDS_mid",P$2)</f>
        <v>61.835299999999997</v>
      </c>
      <c r="Q56">
        <f ca="1">_xll.ciqfunctions.udf.CIQ($B56,"IQ_CDS_mid",Q$2)</f>
        <v>58.8172</v>
      </c>
      <c r="R56">
        <f ca="1">_xll.ciqfunctions.udf.CIQ($B56,"IQ_CDS_mid",R$2)</f>
        <v>41.708199999999998</v>
      </c>
      <c r="S56">
        <f ca="1">_xll.ciqfunctions.udf.CIQ($B56,"IQ_CDS_mid",S$2)</f>
        <v>48.326599999999999</v>
      </c>
      <c r="T56">
        <f ca="1">C56-H56</f>
        <v>-3.3299999999996999E-2</v>
      </c>
      <c r="U56">
        <f ca="1">C56-M56</f>
        <v>-3.2462000000000018</v>
      </c>
      <c r="V56">
        <f ca="1">C56-Q56</f>
        <v>5.1463999999999999</v>
      </c>
      <c r="W56">
        <f ca="1">C56-R56</f>
        <v>22.255400000000002</v>
      </c>
      <c r="X56">
        <f t="shared" ca="1" si="13"/>
        <v>15.637</v>
      </c>
    </row>
    <row r="57" spans="1:24" ht="15.5">
      <c r="A57" s="27" t="s">
        <v>19</v>
      </c>
      <c r="B57" s="25" t="s">
        <v>137</v>
      </c>
      <c r="C57">
        <f ca="1">_xll.ciqfunctions.udf.CIQ($B57,"IQ_CDS_mid",C$2)</f>
        <v>59.2271</v>
      </c>
      <c r="D57">
        <f ca="1">_xll.ciqfunctions.udf.CIQ($B57,"IQ_CDS_mid",D$2)</f>
        <v>59.2271</v>
      </c>
      <c r="E57">
        <f ca="1">_xll.ciqfunctions.udf.CIQ($B57,"IQ_CDS_mid",E$2)</f>
        <v>58.558199999999999</v>
      </c>
      <c r="F57">
        <f ca="1">_xll.ciqfunctions.udf.CIQ($B57,"IQ_CDS_mid",F$2)</f>
        <v>58.558199999999999</v>
      </c>
      <c r="G57">
        <f ca="1">_xll.ciqfunctions.udf.CIQ($B57,"IQ_CDS_mid",G$2)</f>
        <v>58.558199999999999</v>
      </c>
      <c r="H57">
        <f ca="1">_xll.ciqfunctions.udf.CIQ($B57,"IQ_CDS_mid",H$2)</f>
        <v>59.084000000000003</v>
      </c>
      <c r="I57">
        <f ca="1">_xll.ciqfunctions.udf.CIQ($B57,"IQ_CDS_mid",I$2)</f>
        <v>59.88</v>
      </c>
      <c r="J57">
        <f ca="1">_xll.ciqfunctions.udf.CIQ($B57,"IQ_CDS_mid",J$2)</f>
        <v>57.011400000000002</v>
      </c>
      <c r="K57">
        <f ca="1">_xll.ciqfunctions.udf.CIQ($B57,"IQ_CDS_mid",K$2)</f>
        <v>62.397199999999998</v>
      </c>
      <c r="L57">
        <f ca="1">_xll.ciqfunctions.udf.CIQ($B57,"IQ_CDS_mid",L$2)</f>
        <v>62.359099999999998</v>
      </c>
      <c r="M57">
        <f ca="1">_xll.ciqfunctions.udf.CIQ($B57,"IQ_CDS_mid",M$2)</f>
        <v>62.359099999999998</v>
      </c>
      <c r="N57">
        <f ca="1">_xll.ciqfunctions.udf.CIQ($B57,"IQ_CDS_mid",N$2)</f>
        <v>62.359099999999998</v>
      </c>
      <c r="O57">
        <f ca="1">_xll.ciqfunctions.udf.CIQ($B57,"IQ_CDS_mid",O$2)</f>
        <v>60.209800000000001</v>
      </c>
      <c r="P57">
        <f ca="1">_xll.ciqfunctions.udf.CIQ($B57,"IQ_CDS_mid",P$2)</f>
        <v>56.609400000000001</v>
      </c>
      <c r="Q57">
        <f ca="1">_xll.ciqfunctions.udf.CIQ($B57,"IQ_CDS_mid",Q$2)</f>
        <v>53.242400000000004</v>
      </c>
      <c r="R57">
        <f ca="1">_xll.ciqfunctions.udf.CIQ($B57,"IQ_CDS_mid",R$2)</f>
        <v>33.725000000000001</v>
      </c>
      <c r="S57">
        <f ca="1">_xll.ciqfunctions.udf.CIQ($B57,"IQ_CDS_mid",S$2)</f>
        <v>46.198700000000002</v>
      </c>
      <c r="T57">
        <f ca="1">C57-H57</f>
        <v>0.1430999999999969</v>
      </c>
      <c r="U57">
        <f ca="1">C57-M57</f>
        <v>-3.1319999999999979</v>
      </c>
      <c r="V57">
        <f ca="1">C57-Q57</f>
        <v>5.9846999999999966</v>
      </c>
      <c r="W57">
        <f ca="1">C57-R57</f>
        <v>25.502099999999999</v>
      </c>
      <c r="X57">
        <f t="shared" ca="1" si="13"/>
        <v>13.028399999999998</v>
      </c>
    </row>
    <row r="58" spans="1:24" ht="15.5">
      <c r="A58" s="27" t="s">
        <v>136</v>
      </c>
      <c r="B58" s="25" t="s">
        <v>135</v>
      </c>
      <c r="C58">
        <f ca="1">_xll.ciqfunctions.udf.CIQ($B58,"IQ_CDS_mid",C$2)</f>
        <v>68.150000000000006</v>
      </c>
      <c r="D58">
        <f ca="1">_xll.ciqfunctions.udf.CIQ($B58,"IQ_CDS_mid",D$2)</f>
        <v>68.150000000000006</v>
      </c>
      <c r="E58">
        <f ca="1">_xll.ciqfunctions.udf.CIQ($B58,"IQ_CDS_mid",E$2)</f>
        <v>67.2761</v>
      </c>
      <c r="F58">
        <f ca="1">_xll.ciqfunctions.udf.CIQ($B58,"IQ_CDS_mid",F$2)</f>
        <v>67.2761</v>
      </c>
      <c r="G58">
        <f ca="1">_xll.ciqfunctions.udf.CIQ($B58,"IQ_CDS_mid",G$2)</f>
        <v>67.2761</v>
      </c>
      <c r="H58">
        <f ca="1">_xll.ciqfunctions.udf.CIQ($B58,"IQ_CDS_mid",H$2)</f>
        <v>68.489999999999995</v>
      </c>
      <c r="I58">
        <f ca="1">_xll.ciqfunctions.udf.CIQ($B58,"IQ_CDS_mid",I$2)</f>
        <v>68.854799999999997</v>
      </c>
      <c r="J58">
        <f ca="1">_xll.ciqfunctions.udf.CIQ($B58,"IQ_CDS_mid",J$2)</f>
        <v>64.693899999999999</v>
      </c>
      <c r="K58">
        <f ca="1">_xll.ciqfunctions.udf.CIQ($B58,"IQ_CDS_mid",K$2)</f>
        <v>69.925600000000003</v>
      </c>
      <c r="L58">
        <f ca="1">_xll.ciqfunctions.udf.CIQ($B58,"IQ_CDS_mid",L$2)</f>
        <v>69.680899999999994</v>
      </c>
      <c r="M58">
        <f ca="1">_xll.ciqfunctions.udf.CIQ($B58,"IQ_CDS_mid",M$2)</f>
        <v>69.680899999999994</v>
      </c>
      <c r="N58">
        <f ca="1">_xll.ciqfunctions.udf.CIQ($B58,"IQ_CDS_mid",N$2)</f>
        <v>69.680899999999994</v>
      </c>
      <c r="O58">
        <f ca="1">_xll.ciqfunctions.udf.CIQ($B58,"IQ_CDS_mid",O$2)</f>
        <v>66.876800000000003</v>
      </c>
      <c r="P58">
        <f ca="1">_xll.ciqfunctions.udf.CIQ($B58,"IQ_CDS_mid",P$2)</f>
        <v>63.639200000000002</v>
      </c>
      <c r="Q58">
        <f ca="1">_xll.ciqfunctions.udf.CIQ($B58,"IQ_CDS_mid",Q$2)</f>
        <v>60.211500000000001</v>
      </c>
      <c r="R58">
        <f ca="1">_xll.ciqfunctions.udf.CIQ($B58,"IQ_CDS_mid",R$2)</f>
        <v>41.86</v>
      </c>
      <c r="S58">
        <f ca="1">_xll.ciqfunctions.udf.CIQ($B58,"IQ_CDS_mid",S$2)</f>
        <v>56.5779</v>
      </c>
      <c r="T58">
        <f ca="1">C58-H58</f>
        <v>-0.3399999999999892</v>
      </c>
      <c r="U58">
        <f ca="1">C58-M58</f>
        <v>-1.5308999999999884</v>
      </c>
      <c r="V58">
        <f ca="1">C58-Q58</f>
        <v>7.9385000000000048</v>
      </c>
      <c r="W58">
        <f ca="1">C58-R58</f>
        <v>26.290000000000006</v>
      </c>
      <c r="X58">
        <f t="shared" ca="1" si="13"/>
        <v>11.572100000000006</v>
      </c>
    </row>
    <row r="59" spans="1:24" ht="15.5">
      <c r="A59" s="28" t="s">
        <v>21</v>
      </c>
      <c r="X59">
        <f t="shared" si="13"/>
        <v>0</v>
      </c>
    </row>
    <row r="60" spans="1:24" ht="15.5">
      <c r="A60" s="27" t="s">
        <v>134</v>
      </c>
      <c r="B60" s="25" t="s">
        <v>133</v>
      </c>
      <c r="C60">
        <f ca="1">_xll.ciqfunctions.udf.CIQ($B60,"IQ_CDS_mid",C$2)</f>
        <v>57.6526</v>
      </c>
      <c r="D60">
        <f ca="1">_xll.ciqfunctions.udf.CIQ($B60,"IQ_CDS_mid",D$2)</f>
        <v>57.6526</v>
      </c>
      <c r="E60">
        <f ca="1">_xll.ciqfunctions.udf.CIQ($B60,"IQ_CDS_mid",E$2)</f>
        <v>57.247799999999998</v>
      </c>
      <c r="F60">
        <f ca="1">_xll.ciqfunctions.udf.CIQ($B60,"IQ_CDS_mid",F$2)</f>
        <v>57.247799999999998</v>
      </c>
      <c r="G60">
        <f ca="1">_xll.ciqfunctions.udf.CIQ($B60,"IQ_CDS_mid",G$2)</f>
        <v>57.247799999999998</v>
      </c>
      <c r="H60">
        <f ca="1">_xll.ciqfunctions.udf.CIQ($B60,"IQ_CDS_mid",H$2)</f>
        <v>57.660800000000002</v>
      </c>
      <c r="I60">
        <f ca="1">_xll.ciqfunctions.udf.CIQ($B60,"IQ_CDS_mid",I$2)</f>
        <v>56.984299999999998</v>
      </c>
      <c r="J60">
        <f ca="1">_xll.ciqfunctions.udf.CIQ($B60,"IQ_CDS_mid",J$2)</f>
        <v>55.388199999999998</v>
      </c>
      <c r="K60">
        <f ca="1">_xll.ciqfunctions.udf.CIQ($B60,"IQ_CDS_mid",K$2)</f>
        <v>58.063200000000002</v>
      </c>
      <c r="L60">
        <f ca="1">_xll.ciqfunctions.udf.CIQ($B60,"IQ_CDS_mid",L$2)</f>
        <v>57.523899999999998</v>
      </c>
      <c r="M60">
        <f ca="1">_xll.ciqfunctions.udf.CIQ($B60,"IQ_CDS_mid",M$2)</f>
        <v>57.523899999999998</v>
      </c>
      <c r="N60">
        <f ca="1">_xll.ciqfunctions.udf.CIQ($B60,"IQ_CDS_mid",N$2)</f>
        <v>57.523899999999998</v>
      </c>
      <c r="O60">
        <f ca="1">_xll.ciqfunctions.udf.CIQ($B60,"IQ_CDS_mid",O$2)</f>
        <v>56.662399999999998</v>
      </c>
      <c r="P60">
        <f ca="1">_xll.ciqfunctions.udf.CIQ($B60,"IQ_CDS_mid",P$2)</f>
        <v>54.859400000000001</v>
      </c>
      <c r="Q60">
        <f ca="1">_xll.ciqfunctions.udf.CIQ($B60,"IQ_CDS_mid",Q$2)</f>
        <v>54.014400000000002</v>
      </c>
      <c r="R60">
        <f ca="1">_xll.ciqfunctions.udf.CIQ($B60,"IQ_CDS_mid",R$2)</f>
        <v>46.8643</v>
      </c>
      <c r="S60">
        <f ca="1">_xll.ciqfunctions.udf.CIQ($B60,"IQ_CDS_mid",S$2)</f>
        <v>53.014200000000002</v>
      </c>
      <c r="T60">
        <f ca="1">C60-H60</f>
        <v>-8.2000000000022055E-3</v>
      </c>
      <c r="U60">
        <f ca="1">C60-M60</f>
        <v>0.12870000000000203</v>
      </c>
      <c r="V60">
        <f ca="1">C60-Q60</f>
        <v>3.6381999999999977</v>
      </c>
      <c r="W60">
        <f ca="1">C60-R60</f>
        <v>10.7883</v>
      </c>
      <c r="X60">
        <f t="shared" ca="1" si="13"/>
        <v>4.6383999999999972</v>
      </c>
    </row>
    <row r="61" spans="1:24" ht="15.5">
      <c r="A61" s="27" t="s">
        <v>132</v>
      </c>
      <c r="B61" s="25" t="s">
        <v>131</v>
      </c>
      <c r="C61">
        <f ca="1">_xll.ciqfunctions.udf.CIQ($B61,"IQ_CDS_mid",C$2)</f>
        <v>0</v>
      </c>
      <c r="D61">
        <f ca="1">_xll.ciqfunctions.udf.CIQ($B61,"IQ_CDS_mid",D$2)</f>
        <v>0</v>
      </c>
      <c r="E61">
        <f ca="1">_xll.ciqfunctions.udf.CIQ($B61,"IQ_CDS_mid",E$2)</f>
        <v>0</v>
      </c>
      <c r="F61">
        <f ca="1">_xll.ciqfunctions.udf.CIQ($B61,"IQ_CDS_mid",F$2)</f>
        <v>0</v>
      </c>
      <c r="G61">
        <f ca="1">_xll.ciqfunctions.udf.CIQ($B61,"IQ_CDS_mid",G$2)</f>
        <v>0</v>
      </c>
      <c r="H61">
        <f ca="1">_xll.ciqfunctions.udf.CIQ($B61,"IQ_CDS_mid",H$2)</f>
        <v>0</v>
      </c>
      <c r="I61">
        <f ca="1">_xll.ciqfunctions.udf.CIQ($B61,"IQ_CDS_mid",I$2)</f>
        <v>0</v>
      </c>
      <c r="J61">
        <f ca="1">_xll.ciqfunctions.udf.CIQ($B61,"IQ_CDS_mid",J$2)</f>
        <v>0</v>
      </c>
      <c r="K61">
        <f ca="1">_xll.ciqfunctions.udf.CIQ($B61,"IQ_CDS_mid",K$2)</f>
        <v>0</v>
      </c>
      <c r="L61">
        <f ca="1">_xll.ciqfunctions.udf.CIQ($B61,"IQ_CDS_mid",L$2)</f>
        <v>0</v>
      </c>
      <c r="M61">
        <f ca="1">_xll.ciqfunctions.udf.CIQ($B61,"IQ_CDS_mid",M$2)</f>
        <v>0</v>
      </c>
      <c r="N61">
        <f ca="1">_xll.ciqfunctions.udf.CIQ($B61,"IQ_CDS_mid",N$2)</f>
        <v>0</v>
      </c>
      <c r="O61">
        <f ca="1">_xll.ciqfunctions.udf.CIQ($B61,"IQ_CDS_mid",O$2)</f>
        <v>0</v>
      </c>
      <c r="P61">
        <f ca="1">_xll.ciqfunctions.udf.CIQ($B61,"IQ_CDS_mid",P$2)</f>
        <v>0</v>
      </c>
      <c r="Q61">
        <f ca="1">_xll.ciqfunctions.udf.CIQ($B61,"IQ_CDS_mid",Q$2)</f>
        <v>0</v>
      </c>
      <c r="R61">
        <f ca="1">_xll.ciqfunctions.udf.CIQ($B61,"IQ_CDS_mid",R$2)</f>
        <v>0</v>
      </c>
      <c r="S61">
        <f ca="1">_xll.ciqfunctions.udf.CIQ($B61,"IQ_CDS_mid",S$2)</f>
        <v>0</v>
      </c>
      <c r="T61">
        <f ca="1">C61-H61</f>
        <v>0</v>
      </c>
      <c r="U61">
        <f ca="1">C61-M61</f>
        <v>0</v>
      </c>
      <c r="V61">
        <f ca="1">C61-Q61</f>
        <v>0</v>
      </c>
      <c r="W61">
        <f ca="1">C61-R61</f>
        <v>0</v>
      </c>
      <c r="X61">
        <f t="shared" ca="1" si="13"/>
        <v>0</v>
      </c>
    </row>
    <row r="62" spans="1:24" ht="15.5">
      <c r="A62" s="28" t="s">
        <v>23</v>
      </c>
      <c r="X62">
        <f t="shared" si="13"/>
        <v>0</v>
      </c>
    </row>
    <row r="63" spans="1:24" ht="15.5">
      <c r="A63" s="27" t="s">
        <v>24</v>
      </c>
      <c r="B63" s="25" t="s">
        <v>130</v>
      </c>
      <c r="C63">
        <f ca="1">_xll.ciqfunctions.udf.CIQ($B63,"IQ_CDS_mid",C$2)</f>
        <v>72.951400000000007</v>
      </c>
      <c r="D63">
        <f ca="1">_xll.ciqfunctions.udf.CIQ($B63,"IQ_CDS_mid",D$2)</f>
        <v>72.951400000000007</v>
      </c>
      <c r="E63">
        <f ca="1">_xll.ciqfunctions.udf.CIQ($B63,"IQ_CDS_mid",E$2)</f>
        <v>72.472499999999997</v>
      </c>
      <c r="F63">
        <f ca="1">_xll.ciqfunctions.udf.CIQ($B63,"IQ_CDS_mid",F$2)</f>
        <v>72.472499999999997</v>
      </c>
      <c r="G63">
        <f ca="1">_xll.ciqfunctions.udf.CIQ($B63,"IQ_CDS_mid",G$2)</f>
        <v>72.472499999999997</v>
      </c>
      <c r="H63">
        <f ca="1">_xll.ciqfunctions.udf.CIQ($B63,"IQ_CDS_mid",H$2)</f>
        <v>73.2012</v>
      </c>
      <c r="I63">
        <f ca="1">_xll.ciqfunctions.udf.CIQ($B63,"IQ_CDS_mid",I$2)</f>
        <v>72.950800000000001</v>
      </c>
      <c r="J63">
        <f ca="1">_xll.ciqfunctions.udf.CIQ($B63,"IQ_CDS_mid",J$2)</f>
        <v>70.619399999999999</v>
      </c>
      <c r="K63">
        <f ca="1">_xll.ciqfunctions.udf.CIQ($B63,"IQ_CDS_mid",K$2)</f>
        <v>74.304299999999998</v>
      </c>
      <c r="L63">
        <f ca="1">_xll.ciqfunctions.udf.CIQ($B63,"IQ_CDS_mid",L$2)</f>
        <v>73.325699999999998</v>
      </c>
      <c r="M63">
        <f ca="1">_xll.ciqfunctions.udf.CIQ($B63,"IQ_CDS_mid",M$2)</f>
        <v>73.325699999999998</v>
      </c>
      <c r="N63">
        <f ca="1">_xll.ciqfunctions.udf.CIQ($B63,"IQ_CDS_mid",N$2)</f>
        <v>73.325699999999998</v>
      </c>
      <c r="O63">
        <f ca="1">_xll.ciqfunctions.udf.CIQ($B63,"IQ_CDS_mid",O$2)</f>
        <v>72.549700000000001</v>
      </c>
      <c r="P63">
        <f ca="1">_xll.ciqfunctions.udf.CIQ($B63,"IQ_CDS_mid",P$2)</f>
        <v>68.306399999999996</v>
      </c>
      <c r="Q63">
        <f ca="1">_xll.ciqfunctions.udf.CIQ($B63,"IQ_CDS_mid",Q$2)</f>
        <v>67.442899999999995</v>
      </c>
      <c r="R63">
        <f ca="1">_xll.ciqfunctions.udf.CIQ($B63,"IQ_CDS_mid",R$2)</f>
        <v>60.703299999999999</v>
      </c>
      <c r="S63">
        <f ca="1">_xll.ciqfunctions.udf.CIQ($B63,"IQ_CDS_mid",S$2)</f>
        <v>72.000900000000001</v>
      </c>
      <c r="T63">
        <f ca="1">C63-H63</f>
        <v>-0.24979999999999336</v>
      </c>
      <c r="U63">
        <f ca="1">C63-M63</f>
        <v>-0.37429999999999097</v>
      </c>
      <c r="V63">
        <f ca="1">C63-Q63</f>
        <v>5.5085000000000122</v>
      </c>
      <c r="W63">
        <f ca="1">C63-R63</f>
        <v>12.248100000000008</v>
      </c>
      <c r="X63">
        <f t="shared" ca="1" si="13"/>
        <v>0.95050000000000523</v>
      </c>
    </row>
    <row r="64" spans="1:24" ht="15.5">
      <c r="A64" s="27" t="s">
        <v>25</v>
      </c>
      <c r="B64" s="25" t="s">
        <v>129</v>
      </c>
      <c r="C64">
        <f ca="1">_xll.ciqfunctions.udf.CIQ($B64,"IQ_CDS_mid",C$2)</f>
        <v>49.028199999999998</v>
      </c>
      <c r="D64">
        <f ca="1">_xll.ciqfunctions.udf.CIQ($B64,"IQ_CDS_mid",D$2)</f>
        <v>49.028199999999998</v>
      </c>
      <c r="E64">
        <f ca="1">_xll.ciqfunctions.udf.CIQ($B64,"IQ_CDS_mid",E$2)</f>
        <v>48.435600000000001</v>
      </c>
      <c r="F64">
        <f ca="1">_xll.ciqfunctions.udf.CIQ($B64,"IQ_CDS_mid",F$2)</f>
        <v>48.435600000000001</v>
      </c>
      <c r="G64">
        <f ca="1">_xll.ciqfunctions.udf.CIQ($B64,"IQ_CDS_mid",G$2)</f>
        <v>48.435600000000001</v>
      </c>
      <c r="H64">
        <f ca="1">_xll.ciqfunctions.udf.CIQ($B64,"IQ_CDS_mid",H$2)</f>
        <v>49.2744</v>
      </c>
      <c r="I64">
        <f ca="1">_xll.ciqfunctions.udf.CIQ($B64,"IQ_CDS_mid",I$2)</f>
        <v>49.392299999999999</v>
      </c>
      <c r="J64">
        <f ca="1">_xll.ciqfunctions.udf.CIQ($B64,"IQ_CDS_mid",J$2)</f>
        <v>47.525799999999997</v>
      </c>
      <c r="K64">
        <f ca="1">_xll.ciqfunctions.udf.CIQ($B64,"IQ_CDS_mid",K$2)</f>
        <v>50.078200000000002</v>
      </c>
      <c r="L64">
        <f ca="1">_xll.ciqfunctions.udf.CIQ($B64,"IQ_CDS_mid",L$2)</f>
        <v>49.660699999999999</v>
      </c>
      <c r="M64">
        <f ca="1">_xll.ciqfunctions.udf.CIQ($B64,"IQ_CDS_mid",M$2)</f>
        <v>49.660699999999999</v>
      </c>
      <c r="N64">
        <f ca="1">_xll.ciqfunctions.udf.CIQ($B64,"IQ_CDS_mid",N$2)</f>
        <v>49.660699999999999</v>
      </c>
      <c r="O64">
        <f ca="1">_xll.ciqfunctions.udf.CIQ($B64,"IQ_CDS_mid",O$2)</f>
        <v>48.6813</v>
      </c>
      <c r="P64">
        <f ca="1">_xll.ciqfunctions.udf.CIQ($B64,"IQ_CDS_mid",P$2)</f>
        <v>46.420699999999997</v>
      </c>
      <c r="Q64">
        <f ca="1">_xll.ciqfunctions.udf.CIQ($B64,"IQ_CDS_mid",Q$2)</f>
        <v>45.795699999999997</v>
      </c>
      <c r="R64">
        <f ca="1">_xll.ciqfunctions.udf.CIQ($B64,"IQ_CDS_mid",R$2)</f>
        <v>38.46</v>
      </c>
      <c r="S64">
        <f ca="1">_xll.ciqfunctions.udf.CIQ($B64,"IQ_CDS_mid",S$2)</f>
        <v>53.385800000000003</v>
      </c>
      <c r="T64">
        <f ca="1">C64-H64</f>
        <v>-0.24620000000000175</v>
      </c>
      <c r="U64">
        <f ca="1">C64-M64</f>
        <v>-0.63250000000000028</v>
      </c>
      <c r="V64">
        <f ca="1">C64-Q64</f>
        <v>3.2325000000000017</v>
      </c>
      <c r="W64">
        <f ca="1">C64-R64</f>
        <v>10.568199999999997</v>
      </c>
      <c r="X64">
        <f t="shared" ca="1" si="13"/>
        <v>-4.357600000000005</v>
      </c>
    </row>
    <row r="65" spans="1:24" ht="15.5">
      <c r="A65" s="27" t="s">
        <v>26</v>
      </c>
      <c r="B65" s="25" t="s">
        <v>128</v>
      </c>
      <c r="C65">
        <f ca="1">_xll.ciqfunctions.udf.CIQ($B65,"IQ_CDS_mid",C$2)</f>
        <v>67.557299999999998</v>
      </c>
      <c r="D65">
        <f ca="1">_xll.ciqfunctions.udf.CIQ($B65,"IQ_CDS_mid",D$2)</f>
        <v>67.557299999999998</v>
      </c>
      <c r="E65">
        <f ca="1">_xll.ciqfunctions.udf.CIQ($B65,"IQ_CDS_mid",E$2)</f>
        <v>67.412800000000004</v>
      </c>
      <c r="F65">
        <f ca="1">_xll.ciqfunctions.udf.CIQ($B65,"IQ_CDS_mid",F$2)</f>
        <v>67.412800000000004</v>
      </c>
      <c r="G65">
        <f ca="1">_xll.ciqfunctions.udf.CIQ($B65,"IQ_CDS_mid",G$2)</f>
        <v>67.412800000000004</v>
      </c>
      <c r="H65">
        <f ca="1">_xll.ciqfunctions.udf.CIQ($B65,"IQ_CDS_mid",H$2)</f>
        <v>68.284000000000006</v>
      </c>
      <c r="I65">
        <f ca="1">_xll.ciqfunctions.udf.CIQ($B65,"IQ_CDS_mid",I$2)</f>
        <v>67.638099999999994</v>
      </c>
      <c r="J65">
        <f ca="1">_xll.ciqfunctions.udf.CIQ($B65,"IQ_CDS_mid",J$2)</f>
        <v>65.612200000000001</v>
      </c>
      <c r="K65">
        <f ca="1">_xll.ciqfunctions.udf.CIQ($B65,"IQ_CDS_mid",K$2)</f>
        <v>68.699100000000001</v>
      </c>
      <c r="L65">
        <f ca="1">_xll.ciqfunctions.udf.CIQ($B65,"IQ_CDS_mid",L$2)</f>
        <v>68.110100000000003</v>
      </c>
      <c r="M65">
        <f ca="1">_xll.ciqfunctions.udf.CIQ($B65,"IQ_CDS_mid",M$2)</f>
        <v>68.110100000000003</v>
      </c>
      <c r="N65">
        <f ca="1">_xll.ciqfunctions.udf.CIQ($B65,"IQ_CDS_mid",N$2)</f>
        <v>68.110100000000003</v>
      </c>
      <c r="O65">
        <f ca="1">_xll.ciqfunctions.udf.CIQ($B65,"IQ_CDS_mid",O$2)</f>
        <v>67.746300000000005</v>
      </c>
      <c r="P65">
        <f ca="1">_xll.ciqfunctions.udf.CIQ($B65,"IQ_CDS_mid",P$2)</f>
        <v>65.467799999999997</v>
      </c>
      <c r="Q65">
        <f ca="1">_xll.ciqfunctions.udf.CIQ($B65,"IQ_CDS_mid",Q$2)</f>
        <v>64.661500000000004</v>
      </c>
      <c r="R65">
        <f ca="1">_xll.ciqfunctions.udf.CIQ($B65,"IQ_CDS_mid",R$2)</f>
        <v>55.329700000000003</v>
      </c>
      <c r="S65">
        <f ca="1">_xll.ciqfunctions.udf.CIQ($B65,"IQ_CDS_mid",S$2)</f>
        <v>63.309699999999999</v>
      </c>
      <c r="T65">
        <f ca="1">C65-H65</f>
        <v>-0.72670000000000812</v>
      </c>
      <c r="U65">
        <f ca="1">C65-M65</f>
        <v>-0.55280000000000484</v>
      </c>
      <c r="V65">
        <f ca="1">C65-Q65</f>
        <v>2.8957999999999942</v>
      </c>
      <c r="W65">
        <f ca="1">C65-R65</f>
        <v>12.227599999999995</v>
      </c>
      <c r="X65">
        <f t="shared" ca="1" si="13"/>
        <v>4.2475999999999985</v>
      </c>
    </row>
    <row r="66" spans="1:24" ht="15.5">
      <c r="A66" s="27" t="s">
        <v>127</v>
      </c>
      <c r="B66" s="25" t="s">
        <v>126</v>
      </c>
      <c r="C66">
        <f ca="1">_xll.ciqfunctions.udf.CIQ($B66,"IQ_CDS_mid",C$2)</f>
        <v>53.816699999999997</v>
      </c>
      <c r="D66">
        <f ca="1">_xll.ciqfunctions.udf.CIQ($B66,"IQ_CDS_mid",D$2)</f>
        <v>53.816699999999997</v>
      </c>
      <c r="E66">
        <f ca="1">_xll.ciqfunctions.udf.CIQ($B66,"IQ_CDS_mid",E$2)</f>
        <v>52.8262</v>
      </c>
      <c r="F66">
        <f ca="1">_xll.ciqfunctions.udf.CIQ($B66,"IQ_CDS_mid",F$2)</f>
        <v>52.8262</v>
      </c>
      <c r="G66">
        <f ca="1">_xll.ciqfunctions.udf.CIQ($B66,"IQ_CDS_mid",G$2)</f>
        <v>52.8262</v>
      </c>
      <c r="H66">
        <f ca="1">_xll.ciqfunctions.udf.CIQ($B66,"IQ_CDS_mid",H$2)</f>
        <v>53.595300000000002</v>
      </c>
      <c r="I66">
        <f ca="1">_xll.ciqfunctions.udf.CIQ($B66,"IQ_CDS_mid",I$2)</f>
        <v>53.323500000000003</v>
      </c>
      <c r="J66">
        <f ca="1">_xll.ciqfunctions.udf.CIQ($B66,"IQ_CDS_mid",J$2)</f>
        <v>51.280999999999999</v>
      </c>
      <c r="K66">
        <f ca="1">_xll.ciqfunctions.udf.CIQ($B66,"IQ_CDS_mid",K$2)</f>
        <v>54.209600000000002</v>
      </c>
      <c r="L66">
        <f ca="1">_xll.ciqfunctions.udf.CIQ($B66,"IQ_CDS_mid",L$2)</f>
        <v>54.000700000000002</v>
      </c>
      <c r="M66">
        <f ca="1">_xll.ciqfunctions.udf.CIQ($B66,"IQ_CDS_mid",M$2)</f>
        <v>54.000700000000002</v>
      </c>
      <c r="N66">
        <f ca="1">_xll.ciqfunctions.udf.CIQ($B66,"IQ_CDS_mid",N$2)</f>
        <v>54.000700000000002</v>
      </c>
      <c r="O66">
        <f ca="1">_xll.ciqfunctions.udf.CIQ($B66,"IQ_CDS_mid",O$2)</f>
        <v>53.248199999999997</v>
      </c>
      <c r="P66">
        <f ca="1">_xll.ciqfunctions.udf.CIQ($B66,"IQ_CDS_mid",P$2)</f>
        <v>50.311599999999999</v>
      </c>
      <c r="Q66">
        <f ca="1">_xll.ciqfunctions.udf.CIQ($B66,"IQ_CDS_mid",Q$2)</f>
        <v>49.483199999999997</v>
      </c>
      <c r="R66">
        <f ca="1">_xll.ciqfunctions.udf.CIQ($B66,"IQ_CDS_mid",R$2)</f>
        <v>43.1</v>
      </c>
      <c r="S66">
        <f ca="1">_xll.ciqfunctions.udf.CIQ($B66,"IQ_CDS_mid",S$2)</f>
        <v>58.746899999999997</v>
      </c>
      <c r="T66">
        <f ca="1">C66-H66</f>
        <v>0.2213999999999956</v>
      </c>
      <c r="U66">
        <f ca="1">C66-M66</f>
        <v>-0.1840000000000046</v>
      </c>
      <c r="V66">
        <f ca="1">C66-Q66</f>
        <v>4.3335000000000008</v>
      </c>
      <c r="W66">
        <f ca="1">C66-R66</f>
        <v>10.716699999999996</v>
      </c>
      <c r="X66">
        <f t="shared" ca="1" si="13"/>
        <v>-4.9301999999999992</v>
      </c>
    </row>
    <row r="67" spans="1:24" ht="15.5">
      <c r="A67" s="28" t="s">
        <v>28</v>
      </c>
      <c r="X67">
        <f t="shared" si="13"/>
        <v>0</v>
      </c>
    </row>
    <row r="68" spans="1:24" ht="15.5">
      <c r="A68" s="27" t="s">
        <v>125</v>
      </c>
      <c r="B68" s="25" t="s">
        <v>124</v>
      </c>
      <c r="C68">
        <f ca="1">_xll.ciqfunctions.udf.CIQ($B68,"IQ_CDS_mid",C$2)</f>
        <v>57.75</v>
      </c>
      <c r="D68">
        <f ca="1">_xll.ciqfunctions.udf.CIQ($B68,"IQ_CDS_mid",D$2)</f>
        <v>57.75</v>
      </c>
      <c r="E68">
        <f ca="1">_xll.ciqfunctions.udf.CIQ($B68,"IQ_CDS_mid",E$2)</f>
        <v>56.533299999999997</v>
      </c>
      <c r="F68">
        <f ca="1">_xll.ciqfunctions.udf.CIQ($B68,"IQ_CDS_mid",F$2)</f>
        <v>56.533299999999997</v>
      </c>
      <c r="G68">
        <f ca="1">_xll.ciqfunctions.udf.CIQ($B68,"IQ_CDS_mid",G$2)</f>
        <v>56.533299999999997</v>
      </c>
      <c r="H68">
        <f ca="1">_xll.ciqfunctions.udf.CIQ($B68,"IQ_CDS_mid",H$2)</f>
        <v>57.493499999999997</v>
      </c>
      <c r="I68">
        <f ca="1">_xll.ciqfunctions.udf.CIQ($B68,"IQ_CDS_mid",I$2)</f>
        <v>56.689100000000003</v>
      </c>
      <c r="J68">
        <f ca="1">_xll.ciqfunctions.udf.CIQ($B68,"IQ_CDS_mid",J$2)</f>
        <v>54.712600000000002</v>
      </c>
      <c r="K68">
        <f ca="1">_xll.ciqfunctions.udf.CIQ($B68,"IQ_CDS_mid",K$2)</f>
        <v>58.16</v>
      </c>
      <c r="L68">
        <f ca="1">_xll.ciqfunctions.udf.CIQ($B68,"IQ_CDS_mid",L$2)</f>
        <v>56.89</v>
      </c>
      <c r="M68">
        <f ca="1">_xll.ciqfunctions.udf.CIQ($B68,"IQ_CDS_mid",M$2)</f>
        <v>56.89</v>
      </c>
      <c r="N68">
        <f ca="1">_xll.ciqfunctions.udf.CIQ($B68,"IQ_CDS_mid",N$2)</f>
        <v>56.89</v>
      </c>
      <c r="O68">
        <f ca="1">_xll.ciqfunctions.udf.CIQ($B68,"IQ_CDS_mid",O$2)</f>
        <v>56.518300000000004</v>
      </c>
      <c r="P68">
        <f ca="1">_xll.ciqfunctions.udf.CIQ($B68,"IQ_CDS_mid",P$2)</f>
        <v>54.765300000000003</v>
      </c>
      <c r="Q68">
        <f ca="1">_xll.ciqfunctions.udf.CIQ($B68,"IQ_CDS_mid",Q$2)</f>
        <v>53.830300000000001</v>
      </c>
      <c r="R68">
        <f ca="1">_xll.ciqfunctions.udf.CIQ($B68,"IQ_CDS_mid",R$2)</f>
        <v>46.432499999999997</v>
      </c>
      <c r="S68">
        <f ca="1">_xll.ciqfunctions.udf.CIQ($B68,"IQ_CDS_mid",S$2)</f>
        <v>57.707700000000003</v>
      </c>
      <c r="T68">
        <f ca="1">C68-H68</f>
        <v>0.25650000000000261</v>
      </c>
      <c r="U68">
        <f ca="1">C68-M68</f>
        <v>0.85999999999999943</v>
      </c>
      <c r="V68">
        <f ca="1">C68-Q68</f>
        <v>3.9196999999999989</v>
      </c>
      <c r="W68">
        <f ca="1">C68-R68</f>
        <v>11.317500000000003</v>
      </c>
      <c r="X68">
        <f t="shared" ca="1" si="13"/>
        <v>4.229999999999734E-2</v>
      </c>
    </row>
    <row r="69" spans="1:24" ht="15.5">
      <c r="A69" s="29" t="s">
        <v>30</v>
      </c>
      <c r="B69" s="25" t="s">
        <v>123</v>
      </c>
      <c r="C69">
        <f ca="1">_xll.ciqfunctions.udf.CIQ($B69,"IQ_CDS_mid",C$2)</f>
        <v>44.243499999999997</v>
      </c>
      <c r="D69">
        <f ca="1">_xll.ciqfunctions.udf.CIQ($B69,"IQ_CDS_mid",D$2)</f>
        <v>44.243499999999997</v>
      </c>
      <c r="E69">
        <f ca="1">_xll.ciqfunctions.udf.CIQ($B69,"IQ_CDS_mid",E$2)</f>
        <v>44.140099999999997</v>
      </c>
      <c r="F69">
        <f ca="1">_xll.ciqfunctions.udf.CIQ($B69,"IQ_CDS_mid",F$2)</f>
        <v>44.140099999999997</v>
      </c>
      <c r="G69">
        <f ca="1">_xll.ciqfunctions.udf.CIQ($B69,"IQ_CDS_mid",G$2)</f>
        <v>44.140099999999997</v>
      </c>
      <c r="H69">
        <f ca="1">_xll.ciqfunctions.udf.CIQ($B69,"IQ_CDS_mid",H$2)</f>
        <v>44.625</v>
      </c>
      <c r="I69">
        <f ca="1">_xll.ciqfunctions.udf.CIQ($B69,"IQ_CDS_mid",I$2)</f>
        <v>44.271999999999998</v>
      </c>
      <c r="J69">
        <f ca="1">_xll.ciqfunctions.udf.CIQ($B69,"IQ_CDS_mid",J$2)</f>
        <v>42.3249</v>
      </c>
      <c r="K69">
        <f ca="1">_xll.ciqfunctions.udf.CIQ($B69,"IQ_CDS_mid",K$2)</f>
        <v>44.5</v>
      </c>
      <c r="L69">
        <f ca="1">_xll.ciqfunctions.udf.CIQ($B69,"IQ_CDS_mid",L$2)</f>
        <v>43.887300000000003</v>
      </c>
      <c r="M69">
        <f ca="1">_xll.ciqfunctions.udf.CIQ($B69,"IQ_CDS_mid",M$2)</f>
        <v>43.887300000000003</v>
      </c>
      <c r="N69">
        <f ca="1">_xll.ciqfunctions.udf.CIQ($B69,"IQ_CDS_mid",N$2)</f>
        <v>43.887300000000003</v>
      </c>
      <c r="O69">
        <f ca="1">_xll.ciqfunctions.udf.CIQ($B69,"IQ_CDS_mid",O$2)</f>
        <v>43.590200000000003</v>
      </c>
      <c r="P69">
        <f ca="1">_xll.ciqfunctions.udf.CIQ($B69,"IQ_CDS_mid",P$2)</f>
        <v>41.477600000000002</v>
      </c>
      <c r="Q69">
        <f ca="1">_xll.ciqfunctions.udf.CIQ($B69,"IQ_CDS_mid",Q$2)</f>
        <v>40.688499999999998</v>
      </c>
      <c r="R69">
        <f ca="1">_xll.ciqfunctions.udf.CIQ($B69,"IQ_CDS_mid",R$2)</f>
        <v>37.375999999999998</v>
      </c>
      <c r="S69">
        <f ca="1">_xll.ciqfunctions.udf.CIQ($B69,"IQ_CDS_mid",S$2)</f>
        <v>44.714300000000001</v>
      </c>
      <c r="T69">
        <f ca="1">C69-H69</f>
        <v>-0.38150000000000261</v>
      </c>
      <c r="U69">
        <f ca="1">C69-M69</f>
        <v>0.35619999999999408</v>
      </c>
      <c r="V69">
        <f ca="1">C69-Q69</f>
        <v>3.5549999999999997</v>
      </c>
      <c r="W69">
        <f ca="1">C69-R69</f>
        <v>6.8674999999999997</v>
      </c>
      <c r="X69">
        <f t="shared" ca="1" si="13"/>
        <v>-0.4708000000000041</v>
      </c>
    </row>
    <row r="70" spans="1:24" ht="15.5">
      <c r="A70" s="28" t="s">
        <v>31</v>
      </c>
      <c r="B70" s="25"/>
      <c r="X70">
        <f t="shared" si="13"/>
        <v>0</v>
      </c>
    </row>
    <row r="71" spans="1:24" ht="15.5">
      <c r="A71" s="29" t="s">
        <v>32</v>
      </c>
      <c r="B71" s="25" t="s">
        <v>122</v>
      </c>
      <c r="C71">
        <f ca="1">_xll.ciqfunctions.udf.CIQ($B71,"IQ_CDS_mid",C$2)</f>
        <v>30.75</v>
      </c>
      <c r="D71">
        <f ca="1">_xll.ciqfunctions.udf.CIQ($B71,"IQ_CDS_mid",D$2)</f>
        <v>30.75</v>
      </c>
      <c r="E71">
        <f ca="1">_xll.ciqfunctions.udf.CIQ($B71,"IQ_CDS_mid",E$2)</f>
        <v>30.458300000000001</v>
      </c>
      <c r="F71">
        <f ca="1">_xll.ciqfunctions.udf.CIQ($B71,"IQ_CDS_mid",F$2)</f>
        <v>30.458300000000001</v>
      </c>
      <c r="G71">
        <f ca="1">_xll.ciqfunctions.udf.CIQ($B71,"IQ_CDS_mid",G$2)</f>
        <v>30.458300000000001</v>
      </c>
      <c r="H71">
        <f ca="1">_xll.ciqfunctions.udf.CIQ($B71,"IQ_CDS_mid",H$2)</f>
        <v>30.8813</v>
      </c>
      <c r="I71">
        <f ca="1">_xll.ciqfunctions.udf.CIQ($B71,"IQ_CDS_mid",I$2)</f>
        <v>30.699300000000001</v>
      </c>
      <c r="J71">
        <f ca="1">_xll.ciqfunctions.udf.CIQ($B71,"IQ_CDS_mid",J$2)</f>
        <v>29.6312</v>
      </c>
      <c r="K71">
        <f ca="1">_xll.ciqfunctions.udf.CIQ($B71,"IQ_CDS_mid",K$2)</f>
        <v>30.912500000000001</v>
      </c>
      <c r="L71">
        <f ca="1">_xll.ciqfunctions.udf.CIQ($B71,"IQ_CDS_mid",L$2)</f>
        <v>30.3842</v>
      </c>
      <c r="M71">
        <f ca="1">_xll.ciqfunctions.udf.CIQ($B71,"IQ_CDS_mid",M$2)</f>
        <v>30.3842</v>
      </c>
      <c r="N71">
        <f ca="1">_xll.ciqfunctions.udf.CIQ($B71,"IQ_CDS_mid",N$2)</f>
        <v>30.3842</v>
      </c>
      <c r="O71">
        <f ca="1">_xll.ciqfunctions.udf.CIQ($B71,"IQ_CDS_mid",O$2)</f>
        <v>29.7818</v>
      </c>
      <c r="P71">
        <f ca="1">_xll.ciqfunctions.udf.CIQ($B71,"IQ_CDS_mid",P$2)</f>
        <v>28.125</v>
      </c>
      <c r="Q71">
        <f ca="1">_xll.ciqfunctions.udf.CIQ($B71,"IQ_CDS_mid",Q$2)</f>
        <v>28.258299999999998</v>
      </c>
      <c r="R71">
        <f ca="1">_xll.ciqfunctions.udf.CIQ($B71,"IQ_CDS_mid",R$2)</f>
        <v>24.98</v>
      </c>
      <c r="S71">
        <f ca="1">_xll.ciqfunctions.udf.CIQ($B71,"IQ_CDS_mid",S$2)</f>
        <v>36.550400000000003</v>
      </c>
      <c r="T71">
        <f ca="1">C71-H71</f>
        <v>-0.13129999999999953</v>
      </c>
      <c r="U71">
        <f ca="1">C71-M71</f>
        <v>0.36580000000000013</v>
      </c>
      <c r="V71">
        <f ca="1">C71-Q71</f>
        <v>2.4917000000000016</v>
      </c>
      <c r="W71">
        <f ca="1">C71-R71</f>
        <v>5.77</v>
      </c>
      <c r="X71">
        <f t="shared" ca="1" si="13"/>
        <v>-5.8004000000000033</v>
      </c>
    </row>
    <row r="72" spans="1:24" ht="15.5">
      <c r="A72" s="28" t="s">
        <v>33</v>
      </c>
      <c r="X72">
        <f t="shared" si="13"/>
        <v>0</v>
      </c>
    </row>
    <row r="73" spans="1:24" ht="15.5">
      <c r="A73" s="27" t="s">
        <v>35</v>
      </c>
      <c r="B73" s="25" t="s">
        <v>121</v>
      </c>
      <c r="C73">
        <f ca="1">_xll.ciqfunctions.udf.CIQ($B73,"IQ_CDS_mid",C$2)</f>
        <v>43.317799999999998</v>
      </c>
      <c r="D73">
        <f ca="1">_xll.ciqfunctions.udf.CIQ($B73,"IQ_CDS_mid",D$2)</f>
        <v>43.317799999999998</v>
      </c>
      <c r="E73">
        <f ca="1">_xll.ciqfunctions.udf.CIQ($B73,"IQ_CDS_mid",E$2)</f>
        <v>43.5764</v>
      </c>
      <c r="F73">
        <f ca="1">_xll.ciqfunctions.udf.CIQ($B73,"IQ_CDS_mid",F$2)</f>
        <v>43.5764</v>
      </c>
      <c r="G73">
        <f ca="1">_xll.ciqfunctions.udf.CIQ($B73,"IQ_CDS_mid",G$2)</f>
        <v>43.5764</v>
      </c>
      <c r="H73">
        <f ca="1">_xll.ciqfunctions.udf.CIQ($B73,"IQ_CDS_mid",H$2)</f>
        <v>43.268900000000002</v>
      </c>
      <c r="I73">
        <f ca="1">_xll.ciqfunctions.udf.CIQ($B73,"IQ_CDS_mid",I$2)</f>
        <v>43.155099999999997</v>
      </c>
      <c r="J73">
        <f ca="1">_xll.ciqfunctions.udf.CIQ($B73,"IQ_CDS_mid",J$2)</f>
        <v>42.980499999999999</v>
      </c>
      <c r="K73">
        <f ca="1">_xll.ciqfunctions.udf.CIQ($B73,"IQ_CDS_mid",K$2)</f>
        <v>42.95</v>
      </c>
      <c r="L73">
        <f ca="1">_xll.ciqfunctions.udf.CIQ($B73,"IQ_CDS_mid",L$2)</f>
        <v>43.013500000000001</v>
      </c>
      <c r="M73">
        <f ca="1">_xll.ciqfunctions.udf.CIQ($B73,"IQ_CDS_mid",M$2)</f>
        <v>43.013500000000001</v>
      </c>
      <c r="N73">
        <f ca="1">_xll.ciqfunctions.udf.CIQ($B73,"IQ_CDS_mid",N$2)</f>
        <v>43.013500000000001</v>
      </c>
      <c r="O73">
        <f ca="1">_xll.ciqfunctions.udf.CIQ($B73,"IQ_CDS_mid",O$2)</f>
        <v>43.088299999999997</v>
      </c>
      <c r="P73">
        <f ca="1">_xll.ciqfunctions.udf.CIQ($B73,"IQ_CDS_mid",P$2)</f>
        <v>43.187100000000001</v>
      </c>
      <c r="Q73">
        <f ca="1">_xll.ciqfunctions.udf.CIQ($B73,"IQ_CDS_mid",Q$2)</f>
        <v>43.343699999999998</v>
      </c>
      <c r="R73">
        <f ca="1">_xll.ciqfunctions.udf.CIQ($B73,"IQ_CDS_mid",R$2)</f>
        <v>41.173699999999997</v>
      </c>
      <c r="S73">
        <f ca="1">_xll.ciqfunctions.udf.CIQ($B73,"IQ_CDS_mid",S$2)</f>
        <v>34.163800000000002</v>
      </c>
      <c r="T73">
        <f ca="1">C73-H73</f>
        <v>4.8899999999996169E-2</v>
      </c>
      <c r="U73">
        <f ca="1">C73-M73</f>
        <v>0.30429999999999779</v>
      </c>
      <c r="V73">
        <f ca="1">C73-Q73</f>
        <v>-2.5900000000000034E-2</v>
      </c>
      <c r="W73">
        <f ca="1">C73-R73</f>
        <v>2.1441000000000017</v>
      </c>
      <c r="X73">
        <f t="shared" ca="1" si="13"/>
        <v>9.1539999999999964</v>
      </c>
    </row>
    <row r="74" spans="1:24" ht="15.5">
      <c r="A74" s="27" t="s">
        <v>36</v>
      </c>
      <c r="B74" s="25" t="s">
        <v>120</v>
      </c>
      <c r="C74">
        <f ca="1">_xll.ciqfunctions.udf.CIQ($B74,"IQ_CDS_mid",C$2)</f>
        <v>44.923099999999998</v>
      </c>
      <c r="D74">
        <f ca="1">_xll.ciqfunctions.udf.CIQ($B74,"IQ_CDS_mid",D$2)</f>
        <v>44.923099999999998</v>
      </c>
      <c r="E74">
        <f ca="1">_xll.ciqfunctions.udf.CIQ($B74,"IQ_CDS_mid",E$2)</f>
        <v>45.039299999999997</v>
      </c>
      <c r="F74">
        <f ca="1">_xll.ciqfunctions.udf.CIQ($B74,"IQ_CDS_mid",F$2)</f>
        <v>45.039299999999997</v>
      </c>
      <c r="G74">
        <f ca="1">_xll.ciqfunctions.udf.CIQ($B74,"IQ_CDS_mid",G$2)</f>
        <v>45.039299999999997</v>
      </c>
      <c r="H74">
        <f ca="1">_xll.ciqfunctions.udf.CIQ($B74,"IQ_CDS_mid",H$2)</f>
        <v>45.627899999999997</v>
      </c>
      <c r="I74">
        <f ca="1">_xll.ciqfunctions.udf.CIQ($B74,"IQ_CDS_mid",I$2)</f>
        <v>45.118400000000001</v>
      </c>
      <c r="J74">
        <f ca="1">_xll.ciqfunctions.udf.CIQ($B74,"IQ_CDS_mid",J$2)</f>
        <v>45.420900000000003</v>
      </c>
      <c r="K74">
        <f ca="1">_xll.ciqfunctions.udf.CIQ($B74,"IQ_CDS_mid",K$2)</f>
        <v>43.551299999999998</v>
      </c>
      <c r="L74">
        <f ca="1">_xll.ciqfunctions.udf.CIQ($B74,"IQ_CDS_mid",L$2)</f>
        <v>45.280500000000004</v>
      </c>
      <c r="M74">
        <f ca="1">_xll.ciqfunctions.udf.CIQ($B74,"IQ_CDS_mid",M$2)</f>
        <v>45.280500000000004</v>
      </c>
      <c r="N74">
        <f ca="1">_xll.ciqfunctions.udf.CIQ($B74,"IQ_CDS_mid",N$2)</f>
        <v>45.280500000000004</v>
      </c>
      <c r="O74">
        <f ca="1">_xll.ciqfunctions.udf.CIQ($B74,"IQ_CDS_mid",O$2)</f>
        <v>44</v>
      </c>
      <c r="P74">
        <f ca="1">_xll.ciqfunctions.udf.CIQ($B74,"IQ_CDS_mid",P$2)</f>
        <v>43.7547</v>
      </c>
      <c r="Q74">
        <f ca="1">_xll.ciqfunctions.udf.CIQ($B74,"IQ_CDS_mid",Q$2)</f>
        <v>44.125799999999998</v>
      </c>
      <c r="R74">
        <f ca="1">_xll.ciqfunctions.udf.CIQ($B74,"IQ_CDS_mid",R$2)</f>
        <v>41.251800000000003</v>
      </c>
      <c r="S74">
        <f ca="1">_xll.ciqfunctions.udf.CIQ($B74,"IQ_CDS_mid",S$2)</f>
        <v>29.707799999999999</v>
      </c>
      <c r="T74">
        <f ca="1">C74-H74</f>
        <v>-0.70479999999999876</v>
      </c>
      <c r="U74">
        <f ca="1">C74-M74</f>
        <v>-0.35740000000000549</v>
      </c>
      <c r="V74">
        <f ca="1">C74-Q74</f>
        <v>0.7972999999999999</v>
      </c>
      <c r="W74">
        <f ca="1">C74-R74</f>
        <v>3.6712999999999951</v>
      </c>
      <c r="X74">
        <f t="shared" ca="1" si="13"/>
        <v>15.215299999999999</v>
      </c>
    </row>
    <row r="75" spans="1:24" ht="15.5">
      <c r="A75" s="27" t="s">
        <v>37</v>
      </c>
      <c r="B75" s="25" t="s">
        <v>119</v>
      </c>
      <c r="C75">
        <f ca="1">_xll.ciqfunctions.udf.CIQ($B75,"IQ_CDS_mid",C$2)</f>
        <v>56.517899999999997</v>
      </c>
      <c r="D75">
        <f ca="1">_xll.ciqfunctions.udf.CIQ($B75,"IQ_CDS_mid",D$2)</f>
        <v>56.517899999999997</v>
      </c>
      <c r="E75">
        <f ca="1">_xll.ciqfunctions.udf.CIQ($B75,"IQ_CDS_mid",E$2)</f>
        <v>56.542999999999999</v>
      </c>
      <c r="F75">
        <f ca="1">_xll.ciqfunctions.udf.CIQ($B75,"IQ_CDS_mid",F$2)</f>
        <v>56.542999999999999</v>
      </c>
      <c r="G75">
        <f ca="1">_xll.ciqfunctions.udf.CIQ($B75,"IQ_CDS_mid",G$2)</f>
        <v>56.542999999999999</v>
      </c>
      <c r="H75">
        <f ca="1">_xll.ciqfunctions.udf.CIQ($B75,"IQ_CDS_mid",H$2)</f>
        <v>56.520299999999999</v>
      </c>
      <c r="I75">
        <f ca="1">_xll.ciqfunctions.udf.CIQ($B75,"IQ_CDS_mid",I$2)</f>
        <v>56.505800000000001</v>
      </c>
      <c r="J75">
        <f ca="1">_xll.ciqfunctions.udf.CIQ($B75,"IQ_CDS_mid",J$2)</f>
        <v>56.517400000000002</v>
      </c>
      <c r="K75">
        <f ca="1">_xll.ciqfunctions.udf.CIQ($B75,"IQ_CDS_mid",K$2)</f>
        <v>56.491399999999999</v>
      </c>
      <c r="L75">
        <f ca="1">_xll.ciqfunctions.udf.CIQ($B75,"IQ_CDS_mid",L$2)</f>
        <v>56.4983</v>
      </c>
      <c r="M75">
        <f ca="1">_xll.ciqfunctions.udf.CIQ($B75,"IQ_CDS_mid",M$2)</f>
        <v>56.4983</v>
      </c>
      <c r="N75">
        <f ca="1">_xll.ciqfunctions.udf.CIQ($B75,"IQ_CDS_mid",N$2)</f>
        <v>56.4983</v>
      </c>
      <c r="O75">
        <f ca="1">_xll.ciqfunctions.udf.CIQ($B75,"IQ_CDS_mid",O$2)</f>
        <v>56.182899999999997</v>
      </c>
      <c r="P75">
        <f ca="1">_xll.ciqfunctions.udf.CIQ($B75,"IQ_CDS_mid",P$2)</f>
        <v>56.139600000000002</v>
      </c>
      <c r="Q75">
        <f ca="1">_xll.ciqfunctions.udf.CIQ($B75,"IQ_CDS_mid",Q$2)</f>
        <v>56.594200000000001</v>
      </c>
      <c r="R75">
        <f ca="1">_xll.ciqfunctions.udf.CIQ($B75,"IQ_CDS_mid",R$2)</f>
        <v>41.148099999999999</v>
      </c>
      <c r="S75">
        <f ca="1">_xll.ciqfunctions.udf.CIQ($B75,"IQ_CDS_mid",S$2)</f>
        <v>55.781500000000001</v>
      </c>
      <c r="T75">
        <f ca="1">C75-H75</f>
        <v>-2.400000000001512E-3</v>
      </c>
      <c r="U75">
        <f ca="1">C75-M75</f>
        <v>1.9599999999996953E-2</v>
      </c>
      <c r="V75">
        <f ca="1">C75-Q75</f>
        <v>-7.6300000000003365E-2</v>
      </c>
      <c r="W75">
        <f ca="1">C75-R75</f>
        <v>15.369799999999998</v>
      </c>
      <c r="X75">
        <f t="shared" ca="1" si="13"/>
        <v>0.73639999999999617</v>
      </c>
    </row>
    <row r="76" spans="1:24" ht="15.5">
      <c r="A76" s="29" t="s">
        <v>38</v>
      </c>
      <c r="B76" s="25" t="s">
        <v>118</v>
      </c>
      <c r="C76">
        <f ca="1">_xll.ciqfunctions.udf.CIQ($B76,"IQ_CDS_mid",C$2)</f>
        <v>69.413300000000007</v>
      </c>
      <c r="D76">
        <f ca="1">_xll.ciqfunctions.udf.CIQ($B76,"IQ_CDS_mid",D$2)</f>
        <v>69.413300000000007</v>
      </c>
      <c r="E76">
        <f ca="1">_xll.ciqfunctions.udf.CIQ($B76,"IQ_CDS_mid",E$2)</f>
        <v>69.949100000000001</v>
      </c>
      <c r="F76">
        <f ca="1">_xll.ciqfunctions.udf.CIQ($B76,"IQ_CDS_mid",F$2)</f>
        <v>69.949100000000001</v>
      </c>
      <c r="G76">
        <f ca="1">_xll.ciqfunctions.udf.CIQ($B76,"IQ_CDS_mid",G$2)</f>
        <v>69.949100000000001</v>
      </c>
      <c r="H76">
        <f ca="1">_xll.ciqfunctions.udf.CIQ($B76,"IQ_CDS_mid",H$2)</f>
        <v>70.468299999999999</v>
      </c>
      <c r="I76">
        <f ca="1">_xll.ciqfunctions.udf.CIQ($B76,"IQ_CDS_mid",I$2)</f>
        <v>70.020899999999997</v>
      </c>
      <c r="J76">
        <f ca="1">_xll.ciqfunctions.udf.CIQ($B76,"IQ_CDS_mid",J$2)</f>
        <v>70.249700000000004</v>
      </c>
      <c r="K76">
        <f ca="1">_xll.ciqfunctions.udf.CIQ($B76,"IQ_CDS_mid",K$2)</f>
        <v>69.669399999999996</v>
      </c>
      <c r="L76">
        <f ca="1">_xll.ciqfunctions.udf.CIQ($B76,"IQ_CDS_mid",L$2)</f>
        <v>70.204599999999999</v>
      </c>
      <c r="M76">
        <f ca="1">_xll.ciqfunctions.udf.CIQ($B76,"IQ_CDS_mid",M$2)</f>
        <v>70.204599999999999</v>
      </c>
      <c r="N76">
        <f ca="1">_xll.ciqfunctions.udf.CIQ($B76,"IQ_CDS_mid",N$2)</f>
        <v>70.204599999999999</v>
      </c>
      <c r="O76">
        <f ca="1">_xll.ciqfunctions.udf.CIQ($B76,"IQ_CDS_mid",O$2)</f>
        <v>69.983099999999993</v>
      </c>
      <c r="P76">
        <f ca="1">_xll.ciqfunctions.udf.CIQ($B76,"IQ_CDS_mid",P$2)</f>
        <v>69.819400000000002</v>
      </c>
      <c r="Q76">
        <f ca="1">_xll.ciqfunctions.udf.CIQ($B76,"IQ_CDS_mid",Q$2)</f>
        <v>69.361500000000007</v>
      </c>
      <c r="R76">
        <f ca="1">_xll.ciqfunctions.udf.CIQ($B76,"IQ_CDS_mid",R$2)</f>
        <v>64.544399999999996</v>
      </c>
      <c r="S76">
        <f ca="1">_xll.ciqfunctions.udf.CIQ($B76,"IQ_CDS_mid",S$2)</f>
        <v>71.386099999999999</v>
      </c>
      <c r="T76">
        <f ca="1">C76-H76</f>
        <v>-1.0549999999999926</v>
      </c>
      <c r="U76">
        <f ca="1">C76-M76</f>
        <v>-0.79129999999999256</v>
      </c>
      <c r="V76">
        <f ca="1">C76-Q76</f>
        <v>5.1800000000000068E-2</v>
      </c>
      <c r="W76">
        <f ca="1">C76-R76</f>
        <v>4.8689000000000107</v>
      </c>
      <c r="X76">
        <f t="shared" ca="1" si="13"/>
        <v>-1.9727999999999923</v>
      </c>
    </row>
    <row r="77" spans="1:24" ht="15.5">
      <c r="A77" s="29" t="s">
        <v>39</v>
      </c>
      <c r="B77" s="25" t="s">
        <v>117</v>
      </c>
      <c r="C77">
        <f ca="1">_xll.ciqfunctions.udf.CIQ($B77,"IQ_CDS_mid",C$2)</f>
        <v>72.176000000000002</v>
      </c>
      <c r="D77">
        <f ca="1">_xll.ciqfunctions.udf.CIQ($B77,"IQ_CDS_mid",D$2)</f>
        <v>72.176000000000002</v>
      </c>
      <c r="E77">
        <f ca="1">_xll.ciqfunctions.udf.CIQ($B77,"IQ_CDS_mid",E$2)</f>
        <v>74.756900000000002</v>
      </c>
      <c r="F77">
        <f ca="1">_xll.ciqfunctions.udf.CIQ($B77,"IQ_CDS_mid",F$2)</f>
        <v>74.756900000000002</v>
      </c>
      <c r="G77">
        <f ca="1">_xll.ciqfunctions.udf.CIQ($B77,"IQ_CDS_mid",G$2)</f>
        <v>74.756900000000002</v>
      </c>
      <c r="H77">
        <f ca="1">_xll.ciqfunctions.udf.CIQ($B77,"IQ_CDS_mid",H$2)</f>
        <v>74.764799999999994</v>
      </c>
      <c r="I77">
        <f ca="1">_xll.ciqfunctions.udf.CIQ($B77,"IQ_CDS_mid",I$2)</f>
        <v>74.753</v>
      </c>
      <c r="J77">
        <f ca="1">_xll.ciqfunctions.udf.CIQ($B77,"IQ_CDS_mid",J$2)</f>
        <v>74.756799999999998</v>
      </c>
      <c r="K77">
        <f ca="1">_xll.ciqfunctions.udf.CIQ($B77,"IQ_CDS_mid",K$2)</f>
        <v>74.762200000000007</v>
      </c>
      <c r="L77">
        <f ca="1">_xll.ciqfunctions.udf.CIQ($B77,"IQ_CDS_mid",L$2)</f>
        <v>74.756299999999996</v>
      </c>
      <c r="M77">
        <f ca="1">_xll.ciqfunctions.udf.CIQ($B77,"IQ_CDS_mid",M$2)</f>
        <v>74.756299999999996</v>
      </c>
      <c r="N77">
        <f ca="1">_xll.ciqfunctions.udf.CIQ($B77,"IQ_CDS_mid",N$2)</f>
        <v>74.756299999999996</v>
      </c>
      <c r="O77">
        <f ca="1">_xll.ciqfunctions.udf.CIQ($B77,"IQ_CDS_mid",O$2)</f>
        <v>74.755399999999995</v>
      </c>
      <c r="P77">
        <f ca="1">_xll.ciqfunctions.udf.CIQ($B77,"IQ_CDS_mid",P$2)</f>
        <v>74.749499999999998</v>
      </c>
      <c r="Q77">
        <f ca="1">_xll.ciqfunctions.udf.CIQ($B77,"IQ_CDS_mid",Q$2)</f>
        <v>74.757099999999994</v>
      </c>
      <c r="R77">
        <f ca="1">_xll.ciqfunctions.udf.CIQ($B77,"IQ_CDS_mid",R$2)</f>
        <v>75.213800000000006</v>
      </c>
      <c r="S77">
        <f ca="1">_xll.ciqfunctions.udf.CIQ($B77,"IQ_CDS_mid",S$2)</f>
        <v>71.191000000000003</v>
      </c>
      <c r="T77">
        <f ca="1">C77-H77</f>
        <v>-2.588799999999992</v>
      </c>
      <c r="U77">
        <f ca="1">C77-M77</f>
        <v>-2.580299999999994</v>
      </c>
      <c r="V77">
        <f ca="1">C77-Q77</f>
        <v>-2.5810999999999922</v>
      </c>
      <c r="W77">
        <f ca="1">C77-R77</f>
        <v>-3.0378000000000043</v>
      </c>
      <c r="X77">
        <f t="shared" ca="1" si="13"/>
        <v>0.98499999999999943</v>
      </c>
    </row>
    <row r="78" spans="1:24" ht="15.5">
      <c r="A78" s="28" t="s">
        <v>40</v>
      </c>
      <c r="X78">
        <f t="shared" si="13"/>
        <v>0</v>
      </c>
    </row>
    <row r="79" spans="1:24" ht="15.5">
      <c r="A79" s="27" t="s">
        <v>42</v>
      </c>
      <c r="B79" s="25" t="s">
        <v>116</v>
      </c>
      <c r="C79">
        <f ca="1">_xll.ciqfunctions.udf.CIQ($B79,"IQ_CDS_mid",C$2)</f>
        <v>63.751600000000003</v>
      </c>
      <c r="D79">
        <f ca="1">_xll.ciqfunctions.udf.CIQ($B79,"IQ_CDS_mid",D$2)</f>
        <v>63.751600000000003</v>
      </c>
      <c r="E79">
        <f ca="1">_xll.ciqfunctions.udf.CIQ($B79,"IQ_CDS_mid",E$2)</f>
        <v>62.76</v>
      </c>
      <c r="F79">
        <f ca="1">_xll.ciqfunctions.udf.CIQ($B79,"IQ_CDS_mid",F$2)</f>
        <v>62.76</v>
      </c>
      <c r="G79">
        <f ca="1">_xll.ciqfunctions.udf.CIQ($B79,"IQ_CDS_mid",G$2)</f>
        <v>62.76</v>
      </c>
      <c r="H79">
        <f ca="1">_xll.ciqfunctions.udf.CIQ($B79,"IQ_CDS_mid",H$2)</f>
        <v>63.201999999999998</v>
      </c>
      <c r="I79">
        <f ca="1">_xll.ciqfunctions.udf.CIQ($B79,"IQ_CDS_mid",I$2)</f>
        <v>63.015000000000001</v>
      </c>
      <c r="J79">
        <f ca="1">_xll.ciqfunctions.udf.CIQ($B79,"IQ_CDS_mid",J$2)</f>
        <v>62.9375</v>
      </c>
      <c r="K79">
        <f ca="1">_xll.ciqfunctions.udf.CIQ($B79,"IQ_CDS_mid",K$2)</f>
        <v>63.384999999999998</v>
      </c>
      <c r="L79">
        <f ca="1">_xll.ciqfunctions.udf.CIQ($B79,"IQ_CDS_mid",L$2)</f>
        <v>64.386700000000005</v>
      </c>
      <c r="M79">
        <f ca="1">_xll.ciqfunctions.udf.CIQ($B79,"IQ_CDS_mid",M$2)</f>
        <v>64.386700000000005</v>
      </c>
      <c r="N79">
        <f ca="1">_xll.ciqfunctions.udf.CIQ($B79,"IQ_CDS_mid",N$2)</f>
        <v>64.386700000000005</v>
      </c>
      <c r="O79">
        <f ca="1">_xll.ciqfunctions.udf.CIQ($B79,"IQ_CDS_mid",O$2)</f>
        <v>64.739999999999995</v>
      </c>
      <c r="P79">
        <f ca="1">_xll.ciqfunctions.udf.CIQ($B79,"IQ_CDS_mid",P$2)</f>
        <v>64.332300000000004</v>
      </c>
      <c r="Q79">
        <f ca="1">_xll.ciqfunctions.udf.CIQ($B79,"IQ_CDS_mid",Q$2)</f>
        <v>64.649699999999996</v>
      </c>
      <c r="R79">
        <f ca="1">_xll.ciqfunctions.udf.CIQ($B79,"IQ_CDS_mid",R$2)</f>
        <v>61.5</v>
      </c>
      <c r="S79">
        <f ca="1">_xll.ciqfunctions.udf.CIQ($B79,"IQ_CDS_mid",S$2)</f>
        <v>48.0867</v>
      </c>
      <c r="T79">
        <f t="shared" ref="T79:T84" ca="1" si="18">C79-H79</f>
        <v>0.5496000000000052</v>
      </c>
      <c r="U79">
        <f t="shared" ref="U79:U84" ca="1" si="19">C79-M79</f>
        <v>-0.63510000000000133</v>
      </c>
      <c r="V79">
        <f t="shared" ref="V79:V84" ca="1" si="20">C79-Q79</f>
        <v>-0.89809999999999235</v>
      </c>
      <c r="W79">
        <f t="shared" ref="W79:W84" ca="1" si="21">C79-R79</f>
        <v>2.2516000000000034</v>
      </c>
      <c r="X79">
        <f t="shared" ca="1" si="13"/>
        <v>15.664900000000003</v>
      </c>
    </row>
    <row r="80" spans="1:24" ht="15.5">
      <c r="A80" s="27" t="s">
        <v>43</v>
      </c>
      <c r="B80" s="25" t="s">
        <v>115</v>
      </c>
      <c r="C80">
        <f ca="1">_xll.ciqfunctions.udf.CIQ($B80,"IQ_CDS_mid",C$2)</f>
        <v>55.890300000000003</v>
      </c>
      <c r="D80">
        <f ca="1">_xll.ciqfunctions.udf.CIQ($B80,"IQ_CDS_mid",D$2)</f>
        <v>55.890300000000003</v>
      </c>
      <c r="E80">
        <f ca="1">_xll.ciqfunctions.udf.CIQ($B80,"IQ_CDS_mid",E$2)</f>
        <v>54.4191</v>
      </c>
      <c r="F80">
        <f ca="1">_xll.ciqfunctions.udf.CIQ($B80,"IQ_CDS_mid",F$2)</f>
        <v>54.4191</v>
      </c>
      <c r="G80">
        <f ca="1">_xll.ciqfunctions.udf.CIQ($B80,"IQ_CDS_mid",G$2)</f>
        <v>54.4191</v>
      </c>
      <c r="H80">
        <f ca="1">_xll.ciqfunctions.udf.CIQ($B80,"IQ_CDS_mid",H$2)</f>
        <v>56.225700000000003</v>
      </c>
      <c r="I80">
        <f ca="1">_xll.ciqfunctions.udf.CIQ($B80,"IQ_CDS_mid",I$2)</f>
        <v>55.839199999999998</v>
      </c>
      <c r="J80">
        <f ca="1">_xll.ciqfunctions.udf.CIQ($B80,"IQ_CDS_mid",J$2)</f>
        <v>55.839700000000001</v>
      </c>
      <c r="K80">
        <f ca="1">_xll.ciqfunctions.udf.CIQ($B80,"IQ_CDS_mid",K$2)</f>
        <v>55.840499999999999</v>
      </c>
      <c r="L80">
        <f ca="1">_xll.ciqfunctions.udf.CIQ($B80,"IQ_CDS_mid",L$2)</f>
        <v>53.895699999999998</v>
      </c>
      <c r="M80">
        <f ca="1">_xll.ciqfunctions.udf.CIQ($B80,"IQ_CDS_mid",M$2)</f>
        <v>53.895699999999998</v>
      </c>
      <c r="N80">
        <f ca="1">_xll.ciqfunctions.udf.CIQ($B80,"IQ_CDS_mid",N$2)</f>
        <v>53.895699999999998</v>
      </c>
      <c r="O80">
        <f ca="1">_xll.ciqfunctions.udf.CIQ($B80,"IQ_CDS_mid",O$2)</f>
        <v>55.843200000000003</v>
      </c>
      <c r="P80">
        <f ca="1">_xll.ciqfunctions.udf.CIQ($B80,"IQ_CDS_mid",P$2)</f>
        <v>55.871699999999997</v>
      </c>
      <c r="Q80">
        <f ca="1">_xll.ciqfunctions.udf.CIQ($B80,"IQ_CDS_mid",Q$2)</f>
        <v>55.543199999999999</v>
      </c>
      <c r="R80">
        <f ca="1">_xll.ciqfunctions.udf.CIQ($B80,"IQ_CDS_mid",R$2)</f>
        <v>56.5</v>
      </c>
      <c r="S80">
        <f ca="1">_xll.ciqfunctions.udf.CIQ($B80,"IQ_CDS_mid",S$2)</f>
        <v>52.008400000000002</v>
      </c>
      <c r="T80">
        <f t="shared" ca="1" si="18"/>
        <v>-0.33539999999999992</v>
      </c>
      <c r="U80">
        <f t="shared" ca="1" si="19"/>
        <v>1.9946000000000055</v>
      </c>
      <c r="V80">
        <f t="shared" ca="1" si="20"/>
        <v>0.34710000000000463</v>
      </c>
      <c r="W80">
        <f t="shared" ca="1" si="21"/>
        <v>-0.60969999999999658</v>
      </c>
      <c r="X80">
        <f t="shared" ca="1" si="13"/>
        <v>3.8819000000000017</v>
      </c>
    </row>
    <row r="81" spans="1:24" ht="15.5">
      <c r="A81" s="27" t="s">
        <v>44</v>
      </c>
      <c r="B81" t="s">
        <v>114</v>
      </c>
      <c r="C81">
        <f ca="1">_xll.ciqfunctions.udf.CIQ($B81,"IQ_CDS_mid",C$2)</f>
        <v>62.737200000000001</v>
      </c>
      <c r="D81">
        <f ca="1">_xll.ciqfunctions.udf.CIQ($B81,"IQ_CDS_mid",D$2)</f>
        <v>62.737200000000001</v>
      </c>
      <c r="E81">
        <f ca="1">_xll.ciqfunctions.udf.CIQ($B81,"IQ_CDS_mid",E$2)</f>
        <v>63.170900000000003</v>
      </c>
      <c r="F81">
        <f ca="1">_xll.ciqfunctions.udf.CIQ($B81,"IQ_CDS_mid",F$2)</f>
        <v>63.170900000000003</v>
      </c>
      <c r="G81">
        <f ca="1">_xll.ciqfunctions.udf.CIQ($B81,"IQ_CDS_mid",G$2)</f>
        <v>63.170900000000003</v>
      </c>
      <c r="H81">
        <f ca="1">_xll.ciqfunctions.udf.CIQ($B81,"IQ_CDS_mid",H$2)</f>
        <v>63.5</v>
      </c>
      <c r="I81">
        <f ca="1">_xll.ciqfunctions.udf.CIQ($B81,"IQ_CDS_mid",I$2)</f>
        <v>64.1691</v>
      </c>
      <c r="J81">
        <f ca="1">_xll.ciqfunctions.udf.CIQ($B81,"IQ_CDS_mid",J$2)</f>
        <v>62.628799999999998</v>
      </c>
      <c r="K81">
        <f ca="1">_xll.ciqfunctions.udf.CIQ($B81,"IQ_CDS_mid",K$2)</f>
        <v>63.625</v>
      </c>
      <c r="L81">
        <f ca="1">_xll.ciqfunctions.udf.CIQ($B81,"IQ_CDS_mid",L$2)</f>
        <v>63.878999999999998</v>
      </c>
      <c r="M81">
        <f ca="1">_xll.ciqfunctions.udf.CIQ($B81,"IQ_CDS_mid",M$2)</f>
        <v>63.878999999999998</v>
      </c>
      <c r="N81">
        <f ca="1">_xll.ciqfunctions.udf.CIQ($B81,"IQ_CDS_mid",N$2)</f>
        <v>63.878999999999998</v>
      </c>
      <c r="O81">
        <f ca="1">_xll.ciqfunctions.udf.CIQ($B81,"IQ_CDS_mid",O$2)</f>
        <v>63.756900000000002</v>
      </c>
      <c r="P81">
        <f ca="1">_xll.ciqfunctions.udf.CIQ($B81,"IQ_CDS_mid",P$2)</f>
        <v>63.6295</v>
      </c>
      <c r="Q81">
        <f ca="1">_xll.ciqfunctions.udf.CIQ($B81,"IQ_CDS_mid",Q$2)</f>
        <v>63.877299999999998</v>
      </c>
      <c r="R81">
        <f ca="1">_xll.ciqfunctions.udf.CIQ($B81,"IQ_CDS_mid",R$2)</f>
        <v>62.333300000000001</v>
      </c>
      <c r="S81">
        <f ca="1">_xll.ciqfunctions.udf.CIQ($B81,"IQ_CDS_mid",S$2)</f>
        <v>48.802399999999999</v>
      </c>
      <c r="T81">
        <f t="shared" ca="1" si="18"/>
        <v>-0.76279999999999859</v>
      </c>
      <c r="U81">
        <f t="shared" ca="1" si="19"/>
        <v>-1.1417999999999964</v>
      </c>
      <c r="V81">
        <f t="shared" ca="1" si="20"/>
        <v>-1.1400999999999968</v>
      </c>
      <c r="W81">
        <f t="shared" ca="1" si="21"/>
        <v>0.40390000000000015</v>
      </c>
      <c r="X81">
        <f t="shared" ca="1" si="13"/>
        <v>13.934800000000003</v>
      </c>
    </row>
    <row r="82" spans="1:24" ht="15.5">
      <c r="A82" s="27" t="s">
        <v>45</v>
      </c>
      <c r="B82" s="25" t="s">
        <v>113</v>
      </c>
      <c r="C82">
        <f ca="1">_xll.ciqfunctions.udf.CIQ($B82,"IQ_CDS_mid",C$2)</f>
        <v>60.332599999999999</v>
      </c>
      <c r="D82">
        <f ca="1">_xll.ciqfunctions.udf.CIQ($B82,"IQ_CDS_mid",D$2)</f>
        <v>60.332599999999999</v>
      </c>
      <c r="E82">
        <f ca="1">_xll.ciqfunctions.udf.CIQ($B82,"IQ_CDS_mid",E$2)</f>
        <v>60.333300000000001</v>
      </c>
      <c r="F82">
        <f ca="1">_xll.ciqfunctions.udf.CIQ($B82,"IQ_CDS_mid",F$2)</f>
        <v>60.333300000000001</v>
      </c>
      <c r="G82">
        <f ca="1">_xll.ciqfunctions.udf.CIQ($B82,"IQ_CDS_mid",G$2)</f>
        <v>60.333300000000001</v>
      </c>
      <c r="H82">
        <f ca="1">_xll.ciqfunctions.udf.CIQ($B82,"IQ_CDS_mid",H$2)</f>
        <v>61</v>
      </c>
      <c r="I82">
        <f ca="1">_xll.ciqfunctions.udf.CIQ($B82,"IQ_CDS_mid",I$2)</f>
        <v>60.5</v>
      </c>
      <c r="J82">
        <f ca="1">_xll.ciqfunctions.udf.CIQ($B82,"IQ_CDS_mid",J$2)</f>
        <v>60.5</v>
      </c>
      <c r="K82">
        <f ca="1">_xll.ciqfunctions.udf.CIQ($B82,"IQ_CDS_mid",K$2)</f>
        <v>60.5</v>
      </c>
      <c r="L82">
        <f ca="1">_xll.ciqfunctions.udf.CIQ($B82,"IQ_CDS_mid",L$2)</f>
        <v>60.5</v>
      </c>
      <c r="M82">
        <f ca="1">_xll.ciqfunctions.udf.CIQ($B82,"IQ_CDS_mid",M$2)</f>
        <v>60.5</v>
      </c>
      <c r="N82">
        <f ca="1">_xll.ciqfunctions.udf.CIQ($B82,"IQ_CDS_mid",N$2)</f>
        <v>60.5</v>
      </c>
      <c r="O82">
        <f ca="1">_xll.ciqfunctions.udf.CIQ($B82,"IQ_CDS_mid",O$2)</f>
        <v>60.5</v>
      </c>
      <c r="P82">
        <f ca="1">_xll.ciqfunctions.udf.CIQ($B82,"IQ_CDS_mid",P$2)</f>
        <v>60.5</v>
      </c>
      <c r="Q82">
        <f ca="1">_xll.ciqfunctions.udf.CIQ($B82,"IQ_CDS_mid",Q$2)</f>
        <v>60.5</v>
      </c>
      <c r="R82">
        <f ca="1">_xll.ciqfunctions.udf.CIQ($B82,"IQ_CDS_mid",R$2)</f>
        <v>56.5</v>
      </c>
      <c r="S82">
        <f ca="1">_xll.ciqfunctions.udf.CIQ($B82,"IQ_CDS_mid",S$2)</f>
        <v>42.923200000000001</v>
      </c>
      <c r="T82">
        <f t="shared" ca="1" si="18"/>
        <v>-0.66740000000000066</v>
      </c>
      <c r="U82">
        <f t="shared" ca="1" si="19"/>
        <v>-0.16740000000000066</v>
      </c>
      <c r="V82">
        <f t="shared" ca="1" si="20"/>
        <v>-0.16740000000000066</v>
      </c>
      <c r="W82">
        <f t="shared" ca="1" si="21"/>
        <v>3.8325999999999993</v>
      </c>
      <c r="X82">
        <f t="shared" ca="1" si="13"/>
        <v>17.409399999999998</v>
      </c>
    </row>
    <row r="83" spans="1:24" ht="15.5">
      <c r="A83" s="27" t="s">
        <v>46</v>
      </c>
      <c r="B83" s="25" t="s">
        <v>112</v>
      </c>
      <c r="C83">
        <f ca="1">_xll.ciqfunctions.udf.CIQ($B83,"IQ_CDS_mid",C$2)</f>
        <v>61.699199999999998</v>
      </c>
      <c r="D83">
        <f ca="1">_xll.ciqfunctions.udf.CIQ($B83,"IQ_CDS_mid",D$2)</f>
        <v>61.699199999999998</v>
      </c>
      <c r="E83">
        <f ca="1">_xll.ciqfunctions.udf.CIQ($B83,"IQ_CDS_mid",E$2)</f>
        <v>61.968899999999998</v>
      </c>
      <c r="F83">
        <f ca="1">_xll.ciqfunctions.udf.CIQ($B83,"IQ_CDS_mid",F$2)</f>
        <v>61.968899999999998</v>
      </c>
      <c r="G83">
        <f ca="1">_xll.ciqfunctions.udf.CIQ($B83,"IQ_CDS_mid",G$2)</f>
        <v>61.968899999999998</v>
      </c>
      <c r="H83">
        <f ca="1">_xll.ciqfunctions.udf.CIQ($B83,"IQ_CDS_mid",H$2)</f>
        <v>62.3855</v>
      </c>
      <c r="I83">
        <f ca="1">_xll.ciqfunctions.udf.CIQ($B83,"IQ_CDS_mid",I$2)</f>
        <v>62.140700000000002</v>
      </c>
      <c r="J83">
        <f ca="1">_xll.ciqfunctions.udf.CIQ($B83,"IQ_CDS_mid",J$2)</f>
        <v>62.005499999999998</v>
      </c>
      <c r="K83">
        <f ca="1">_xll.ciqfunctions.udf.CIQ($B83,"IQ_CDS_mid",K$2)</f>
        <v>61.801200000000001</v>
      </c>
      <c r="L83">
        <f ca="1">_xll.ciqfunctions.udf.CIQ($B83,"IQ_CDS_mid",L$2)</f>
        <v>61.484200000000001</v>
      </c>
      <c r="M83">
        <f ca="1">_xll.ciqfunctions.udf.CIQ($B83,"IQ_CDS_mid",M$2)</f>
        <v>61.484200000000001</v>
      </c>
      <c r="N83">
        <f ca="1">_xll.ciqfunctions.udf.CIQ($B83,"IQ_CDS_mid",N$2)</f>
        <v>61.484200000000001</v>
      </c>
      <c r="O83">
        <f ca="1">_xll.ciqfunctions.udf.CIQ($B83,"IQ_CDS_mid",O$2)</f>
        <v>60.696100000000001</v>
      </c>
      <c r="P83">
        <f ca="1">_xll.ciqfunctions.udf.CIQ($B83,"IQ_CDS_mid",P$2)</f>
        <v>62.709699999999998</v>
      </c>
      <c r="Q83">
        <f ca="1">_xll.ciqfunctions.udf.CIQ($B83,"IQ_CDS_mid",Q$2)</f>
        <v>62.736499999999999</v>
      </c>
      <c r="R83">
        <f ca="1">_xll.ciqfunctions.udf.CIQ($B83,"IQ_CDS_mid",R$2)</f>
        <v>60.502299999999998</v>
      </c>
      <c r="S83">
        <f ca="1">_xll.ciqfunctions.udf.CIQ($B83,"IQ_CDS_mid",S$2)</f>
        <v>50.950800000000001</v>
      </c>
      <c r="T83">
        <f t="shared" ca="1" si="18"/>
        <v>-0.6863000000000028</v>
      </c>
      <c r="U83">
        <f t="shared" ca="1" si="19"/>
        <v>0.21499999999999631</v>
      </c>
      <c r="V83">
        <f t="shared" ca="1" si="20"/>
        <v>-1.0373000000000019</v>
      </c>
      <c r="W83">
        <f t="shared" ca="1" si="21"/>
        <v>1.1968999999999994</v>
      </c>
      <c r="X83">
        <f t="shared" ca="1" si="13"/>
        <v>10.748399999999997</v>
      </c>
    </row>
    <row r="84" spans="1:24" ht="15.5">
      <c r="A84" s="27" t="s">
        <v>47</v>
      </c>
      <c r="B84" t="s">
        <v>111</v>
      </c>
      <c r="C84">
        <f ca="1">_xll.ciqfunctions.udf.CIQ($B84,"IQ_CDS_mid",C$2)</f>
        <v>55.878700000000002</v>
      </c>
      <c r="D84">
        <f ca="1">_xll.ciqfunctions.udf.CIQ($B84,"IQ_CDS_mid",D$2)</f>
        <v>55.878700000000002</v>
      </c>
      <c r="E84">
        <f ca="1">_xll.ciqfunctions.udf.CIQ($B84,"IQ_CDS_mid",E$2)</f>
        <v>54.490400000000001</v>
      </c>
      <c r="F84">
        <f ca="1">_xll.ciqfunctions.udf.CIQ($B84,"IQ_CDS_mid",F$2)</f>
        <v>54.490400000000001</v>
      </c>
      <c r="G84">
        <f ca="1">_xll.ciqfunctions.udf.CIQ($B84,"IQ_CDS_mid",G$2)</f>
        <v>54.490400000000001</v>
      </c>
      <c r="H84">
        <f ca="1">_xll.ciqfunctions.udf.CIQ($B84,"IQ_CDS_mid",H$2)</f>
        <v>56.027200000000001</v>
      </c>
      <c r="I84">
        <f ca="1">_xll.ciqfunctions.udf.CIQ($B84,"IQ_CDS_mid",I$2)</f>
        <v>55.719099999999997</v>
      </c>
      <c r="J84">
        <f ca="1">_xll.ciqfunctions.udf.CIQ($B84,"IQ_CDS_mid",J$2)</f>
        <v>55.254600000000003</v>
      </c>
      <c r="K84">
        <f ca="1">_xll.ciqfunctions.udf.CIQ($B84,"IQ_CDS_mid",K$2)</f>
        <v>55.589500000000001</v>
      </c>
      <c r="L84">
        <f ca="1">_xll.ciqfunctions.udf.CIQ($B84,"IQ_CDS_mid",L$2)</f>
        <v>54.808500000000002</v>
      </c>
      <c r="M84">
        <f ca="1">_xll.ciqfunctions.udf.CIQ($B84,"IQ_CDS_mid",M$2)</f>
        <v>54.808500000000002</v>
      </c>
      <c r="N84">
        <f ca="1">_xll.ciqfunctions.udf.CIQ($B84,"IQ_CDS_mid",N$2)</f>
        <v>54.808500000000002</v>
      </c>
      <c r="O84">
        <f ca="1">_xll.ciqfunctions.udf.CIQ($B84,"IQ_CDS_mid",O$2)</f>
        <v>55.798400000000001</v>
      </c>
      <c r="P84">
        <f ca="1">_xll.ciqfunctions.udf.CIQ($B84,"IQ_CDS_mid",P$2)</f>
        <v>55.922699999999999</v>
      </c>
      <c r="Q84">
        <f ca="1">_xll.ciqfunctions.udf.CIQ($B84,"IQ_CDS_mid",Q$2)</f>
        <v>55.928400000000003</v>
      </c>
      <c r="R84">
        <f ca="1">_xll.ciqfunctions.udf.CIQ($B84,"IQ_CDS_mid",R$2)</f>
        <v>60.4801</v>
      </c>
      <c r="S84">
        <f ca="1">_xll.ciqfunctions.udf.CIQ($B84,"IQ_CDS_mid",S$2)</f>
        <v>52.631599999999999</v>
      </c>
      <c r="T84">
        <f t="shared" ca="1" si="18"/>
        <v>-0.14849999999999852</v>
      </c>
      <c r="U84">
        <f t="shared" ca="1" si="19"/>
        <v>1.0701999999999998</v>
      </c>
      <c r="V84">
        <f t="shared" ca="1" si="20"/>
        <v>-4.970000000000141E-2</v>
      </c>
      <c r="W84">
        <f t="shared" ca="1" si="21"/>
        <v>-4.6013999999999982</v>
      </c>
      <c r="X84">
        <f t="shared" ca="1" si="13"/>
        <v>3.2471000000000032</v>
      </c>
    </row>
    <row r="85" spans="1:24" ht="15.5">
      <c r="A85" s="26" t="s">
        <v>48</v>
      </c>
      <c r="B85" s="25"/>
    </row>
  </sheetData>
  <conditionalFormatting sqref="O3:S6 C3:N15 O8:S15 C16:S16 O17:S20 C17:N44 O22:S29 O31:S42 O44:S44 C45:C52 D48:S52 C53:S84">
    <cfRule type="cellIs" dxfId="1" priority="2" operator="greaterThan">
      <formula>150</formula>
    </cfRule>
    <cfRule type="cellIs" priority="3" operator="greaterThan">
      <formula>150</formula>
    </cfRule>
  </conditionalFormatting>
  <conditionalFormatting sqref="T3:U84">
    <cfRule type="cellIs" dxfId="0" priority="1" operator="greaterThan">
      <formula>10</formula>
    </cfRule>
  </conditionalFormatting>
  <pageMargins left="0.7" right="0.7" top="0.75" bottom="0.75" header="0.3" footer="0.3"/>
  <headerFooter>
    <oddHeader>&amp;R&amp;"Aptos"&amp;10&amp;K000000 Category/Catégorie: Non-Sensitive/Non-Délicat&amp;1#_x000D_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Risk Score Model</vt:lpstr>
      <vt:lpstr>CDS from CapitalIQ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Evangelista</dc:creator>
  <cp:lastModifiedBy>Josh Evangelista</cp:lastModifiedBy>
  <dcterms:created xsi:type="dcterms:W3CDTF">2026-06-08T17:51:02Z</dcterms:created>
  <dcterms:modified xsi:type="dcterms:W3CDTF">2026-10-13T14:47:42Z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acc78-dcc9-4733-835b-33704aeb5fb9_Enabled">
    <vt:lpwstr>true</vt:lpwstr>
  </property>
  <property fmtid="{D5CDD505-2E9C-101B-9397-08002B2CF9AE}" pid="3" name="MSIP_Label_aebacc78-dcc9-4733-835b-33704aeb5fb9_SetDate">
    <vt:lpwstr>2026-07-20T17:11:27Z</vt:lpwstr>
  </property>
  <property fmtid="{D5CDD505-2E9C-101B-9397-08002B2CF9AE}" pid="4" name="MSIP_Label_aebacc78-dcc9-4733-835b-33704aeb5fb9_Method">
    <vt:lpwstr>Privileged</vt:lpwstr>
  </property>
  <property fmtid="{D5CDD505-2E9C-101B-9397-08002B2CF9AE}" pid="5" name="MSIP_Label_aebacc78-dcc9-4733-835b-33704aeb5fb9_Name">
    <vt:lpwstr>Non-Sensitive - Non-Délicat</vt:lpwstr>
  </property>
  <property fmtid="{D5CDD505-2E9C-101B-9397-08002B2CF9AE}" pid="6" name="MSIP_Label_aebacc78-dcc9-4733-835b-33704aeb5fb9_SiteId">
    <vt:lpwstr>164f988b-a2f4-4584-aeaa-21bd4a0234bc</vt:lpwstr>
  </property>
  <property fmtid="{D5CDD505-2E9C-101B-9397-08002B2CF9AE}" pid="7" name="MSIP_Label_aebacc78-dcc9-4733-835b-33704aeb5fb9_ActionId">
    <vt:lpwstr>01940038-6609-4fb7-8904-5c361468ad28</vt:lpwstr>
  </property>
  <property fmtid="{D5CDD505-2E9C-101B-9397-08002B2CF9AE}" pid="8" name="MSIP_Label_aebacc78-dcc9-4733-835b-33704aeb5fb9_ContentBits">
    <vt:lpwstr>1</vt:lpwstr>
  </property>
  <property fmtid="{D5CDD505-2E9C-101B-9397-08002B2CF9AE}" pid="9" name="MSIP_Label_aebacc78-dcc9-4733-835b-33704aeb5fb9_Tag">
    <vt:lpwstr>10, 0, 1, 1</vt:lpwstr>
  </property>
</Properties>
</file>