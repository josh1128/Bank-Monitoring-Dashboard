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9336" documentId="8_{CDDB89CF-5CE4-4A65-99F7-7EF0C0A12C4C}" xr6:coauthVersionLast="47" xr6:coauthVersionMax="47" xr10:uidLastSave="{24CF2941-FF93-47E0-A86C-A6E2C55F058C}"/>
  <bookViews>
    <workbookView xWindow="-110" yWindow="-110" windowWidth="19420" windowHeight="11500" firstSheet="1" activeTab="1" xr2:uid="{A93B9CC2-92A3-4946-B0CF-93E1751ADFB7}"/>
  </bookViews>
  <sheets>
    <sheet name="_CIQHiddenCacheSheet" sheetId="495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"ece7197f-0f3d-4f9b-b42f-c42eb6de9b55"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M2" i="1" a="1"/>
  <c r="T84" i="3" l="1"/>
  <c r="U84" i="3"/>
  <c r="V84" i="3"/>
  <c r="W84" i="3"/>
  <c r="X84" i="3"/>
  <c r="X83" i="3"/>
  <c r="T83" i="3"/>
  <c r="V83" i="3"/>
  <c r="W83" i="3"/>
  <c r="U83" i="3"/>
  <c r="X82" i="3"/>
  <c r="U82" i="3"/>
  <c r="T82" i="3"/>
  <c r="V82" i="3"/>
  <c r="W82" i="3"/>
  <c r="W81" i="3"/>
  <c r="X81" i="3"/>
  <c r="U81" i="3"/>
  <c r="T81" i="3"/>
  <c r="V81" i="3"/>
  <c r="T80" i="3"/>
  <c r="V80" i="3"/>
  <c r="U80" i="3"/>
  <c r="W80" i="3"/>
  <c r="X80" i="3"/>
  <c r="X79" i="3"/>
  <c r="T79" i="3"/>
  <c r="V79" i="3"/>
  <c r="W79" i="3"/>
  <c r="U79" i="3"/>
  <c r="T77" i="3"/>
  <c r="U77" i="3"/>
  <c r="W77" i="3"/>
  <c r="X77" i="3"/>
  <c r="V77" i="3"/>
  <c r="T76" i="3"/>
  <c r="V76" i="3"/>
  <c r="X76" i="3"/>
  <c r="U76" i="3"/>
  <c r="W76" i="3"/>
  <c r="T75" i="3"/>
  <c r="U75" i="3"/>
  <c r="V75" i="3"/>
  <c r="W75" i="3"/>
  <c r="X75" i="3"/>
  <c r="T74" i="3"/>
  <c r="U74" i="3"/>
  <c r="W74" i="3"/>
  <c r="V74" i="3"/>
  <c r="X74" i="3"/>
  <c r="V73" i="3"/>
  <c r="U73" i="3"/>
  <c r="T73" i="3"/>
  <c r="X73" i="3"/>
  <c r="W73" i="3"/>
  <c r="V71" i="3"/>
  <c r="W71" i="3"/>
  <c r="T71" i="3"/>
  <c r="U71" i="3"/>
  <c r="X71" i="3"/>
  <c r="V69" i="3"/>
  <c r="W69" i="3"/>
  <c r="X69" i="3"/>
  <c r="T69" i="3"/>
  <c r="U69" i="3"/>
  <c r="T68" i="3"/>
  <c r="W68" i="3"/>
  <c r="U68" i="3"/>
  <c r="V68" i="3"/>
  <c r="X68" i="3"/>
  <c r="W66" i="3"/>
  <c r="V66" i="3"/>
  <c r="T66" i="3"/>
  <c r="X66" i="3"/>
  <c r="U66" i="3"/>
  <c r="T65" i="3"/>
  <c r="U65" i="3"/>
  <c r="X65" i="3"/>
  <c r="V65" i="3"/>
  <c r="W65" i="3"/>
  <c r="W64" i="3"/>
  <c r="X64" i="3"/>
  <c r="U64" i="3"/>
  <c r="V64" i="3"/>
  <c r="T64" i="3"/>
  <c r="T63" i="3"/>
  <c r="W63" i="3"/>
  <c r="V63" i="3"/>
  <c r="U63" i="3"/>
  <c r="X63" i="3"/>
  <c r="X61" i="3"/>
  <c r="U61" i="3"/>
  <c r="T61" i="3"/>
  <c r="V61" i="3"/>
  <c r="W61" i="3"/>
  <c r="T60" i="3"/>
  <c r="V60" i="3"/>
  <c r="U60" i="3"/>
  <c r="W60" i="3"/>
  <c r="X60" i="3"/>
  <c r="T58" i="3"/>
  <c r="U58" i="3"/>
  <c r="V58" i="3"/>
  <c r="W58" i="3"/>
  <c r="X58" i="3"/>
  <c r="V57" i="3"/>
  <c r="T57" i="3"/>
  <c r="U57" i="3"/>
  <c r="W57" i="3"/>
  <c r="X57" i="3"/>
  <c r="T56" i="3"/>
  <c r="U56" i="3"/>
  <c r="V56" i="3"/>
  <c r="W56" i="3"/>
  <c r="X56" i="3"/>
  <c r="U54" i="3"/>
  <c r="V54" i="3"/>
  <c r="W54" i="3"/>
  <c r="X54" i="3"/>
  <c r="T54" i="3"/>
  <c r="V53" i="3"/>
  <c r="U53" i="3"/>
  <c r="T53" i="3"/>
  <c r="W53" i="3"/>
  <c r="X53" i="3"/>
  <c r="U52" i="3"/>
  <c r="W52" i="3"/>
  <c r="V52" i="3"/>
  <c r="X52" i="3"/>
  <c r="T52" i="3"/>
  <c r="W51" i="3"/>
  <c r="T51" i="3"/>
  <c r="U51" i="3"/>
  <c r="V51" i="3"/>
  <c r="X51" i="3"/>
  <c r="U50" i="3"/>
  <c r="V50" i="3"/>
  <c r="X50" i="3"/>
  <c r="W50" i="3"/>
  <c r="T50" i="3"/>
  <c r="U49" i="3"/>
  <c r="T49" i="3"/>
  <c r="V49" i="3"/>
  <c r="W49" i="3"/>
  <c r="X49" i="3"/>
  <c r="V48" i="3"/>
  <c r="W48" i="3"/>
  <c r="U48" i="3"/>
  <c r="X48" i="3"/>
  <c r="T48" i="3"/>
  <c r="T44" i="3"/>
  <c r="U44" i="3"/>
  <c r="V44" i="3"/>
  <c r="W44" i="3"/>
  <c r="X44" i="3"/>
  <c r="U42" i="3"/>
  <c r="T42" i="3"/>
  <c r="V42" i="3"/>
  <c r="W42" i="3"/>
  <c r="X42" i="3"/>
  <c r="W40" i="3"/>
  <c r="U40" i="3"/>
  <c r="T40" i="3"/>
  <c r="V40" i="3"/>
  <c r="X40" i="3"/>
  <c r="T39" i="3"/>
  <c r="V39" i="3"/>
  <c r="U39" i="3"/>
  <c r="W39" i="3"/>
  <c r="X39" i="3"/>
  <c r="T38" i="3"/>
  <c r="U38" i="3"/>
  <c r="W38" i="3"/>
  <c r="V38" i="3"/>
  <c r="X38" i="3"/>
  <c r="U37" i="3"/>
  <c r="T37" i="3"/>
  <c r="W37" i="3"/>
  <c r="X37" i="3"/>
  <c r="V37" i="3"/>
  <c r="V36" i="3"/>
  <c r="T36" i="3"/>
  <c r="U36" i="3"/>
  <c r="X36" i="3"/>
  <c r="W36" i="3"/>
  <c r="T35" i="3"/>
  <c r="V35" i="3"/>
  <c r="U35" i="3"/>
  <c r="W35" i="3"/>
  <c r="X35" i="3"/>
  <c r="T34" i="3"/>
  <c r="U34" i="3"/>
  <c r="V34" i="3"/>
  <c r="W34" i="3"/>
  <c r="X34" i="3"/>
  <c r="U33" i="3"/>
  <c r="T33" i="3"/>
  <c r="V33" i="3"/>
  <c r="W33" i="3"/>
  <c r="X33" i="3"/>
  <c r="V32" i="3"/>
  <c r="T32" i="3"/>
  <c r="U32" i="3"/>
  <c r="W32" i="3"/>
  <c r="X32" i="3"/>
  <c r="T31" i="3"/>
  <c r="V31" i="3"/>
  <c r="U31" i="3"/>
  <c r="W31" i="3"/>
  <c r="X31" i="3"/>
  <c r="U29" i="3"/>
  <c r="V29" i="3"/>
  <c r="W29" i="3"/>
  <c r="X29" i="3"/>
  <c r="T29" i="3"/>
  <c r="T28" i="3"/>
  <c r="V28" i="3"/>
  <c r="W28" i="3"/>
  <c r="U28" i="3"/>
  <c r="X28" i="3"/>
  <c r="X27" i="3"/>
  <c r="V27" i="3"/>
  <c r="W27" i="3"/>
  <c r="T27" i="3"/>
  <c r="U27" i="3"/>
  <c r="T26" i="3"/>
  <c r="U26" i="3"/>
  <c r="V26" i="3"/>
  <c r="W26" i="3"/>
  <c r="X26" i="3"/>
  <c r="U25" i="3"/>
  <c r="V25" i="3"/>
  <c r="W25" i="3"/>
  <c r="X25" i="3"/>
  <c r="T25" i="3"/>
  <c r="V24" i="3"/>
  <c r="W24" i="3"/>
  <c r="T24" i="3"/>
  <c r="U24" i="3"/>
  <c r="X24" i="3"/>
  <c r="W23" i="3"/>
  <c r="V23" i="3"/>
  <c r="U23" i="3"/>
  <c r="X23" i="3"/>
  <c r="T23" i="3"/>
  <c r="T22" i="3"/>
  <c r="W22" i="3"/>
  <c r="U22" i="3"/>
  <c r="V22" i="3"/>
  <c r="X22" i="3"/>
  <c r="V20" i="3"/>
  <c r="W20" i="3"/>
  <c r="X20" i="3"/>
  <c r="T20" i="3"/>
  <c r="U20" i="3"/>
  <c r="T19" i="3"/>
  <c r="W19" i="3"/>
  <c r="V19" i="3"/>
  <c r="X19" i="3"/>
  <c r="U19" i="3"/>
  <c r="V18" i="3"/>
  <c r="X18" i="3"/>
  <c r="T18" i="3"/>
  <c r="U18" i="3"/>
  <c r="W18" i="3"/>
  <c r="T17" i="3"/>
  <c r="U17" i="3"/>
  <c r="V17" i="3"/>
  <c r="X17" i="3"/>
  <c r="W17" i="3"/>
  <c r="V16" i="3"/>
  <c r="W16" i="3"/>
  <c r="X16" i="3"/>
  <c r="U16" i="3"/>
  <c r="T16" i="3"/>
  <c r="U15" i="3"/>
  <c r="V15" i="3"/>
  <c r="W15" i="3"/>
  <c r="X15" i="3"/>
  <c r="T15" i="3"/>
  <c r="W14" i="3"/>
  <c r="X14" i="3"/>
  <c r="V14" i="3"/>
  <c r="T14" i="3"/>
  <c r="U14" i="3"/>
  <c r="T13" i="3"/>
  <c r="U13" i="3"/>
  <c r="V13" i="3"/>
  <c r="X13" i="3"/>
  <c r="W13" i="3"/>
  <c r="V12" i="3"/>
  <c r="W12" i="3"/>
  <c r="X12" i="3"/>
  <c r="T12" i="3"/>
  <c r="U12" i="3"/>
  <c r="V11" i="3"/>
  <c r="X11" i="3"/>
  <c r="T11" i="3"/>
  <c r="W11" i="3"/>
  <c r="U11" i="3"/>
  <c r="V10" i="3"/>
  <c r="W10" i="3"/>
  <c r="X10" i="3"/>
  <c r="T10" i="3"/>
  <c r="U10" i="3"/>
  <c r="T9" i="3"/>
  <c r="X9" i="3"/>
  <c r="U9" i="3"/>
  <c r="V9" i="3"/>
  <c r="W9" i="3"/>
  <c r="V8" i="3"/>
  <c r="W8" i="3"/>
  <c r="X8" i="3"/>
  <c r="T8" i="3"/>
  <c r="U8" i="3"/>
  <c r="V6" i="3"/>
  <c r="W6" i="3"/>
  <c r="X6" i="3"/>
  <c r="U6" i="3"/>
  <c r="T6" i="3"/>
  <c r="W5" i="3"/>
  <c r="X5" i="3"/>
  <c r="T5" i="3"/>
  <c r="U5" i="3"/>
  <c r="V5" i="3"/>
  <c r="T4" i="3"/>
  <c r="U4" i="3"/>
  <c r="V4" i="3"/>
  <c r="W4" i="3"/>
  <c r="X4" i="3"/>
  <c r="W3" i="3"/>
  <c r="X3" i="3"/>
  <c r="T3" i="3"/>
  <c r="V3" i="3"/>
  <c r="U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2" i="466"/>
  <c r="E11" i="466"/>
  <c r="E9" i="466"/>
  <c r="E10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2" i="466"/>
  <c r="G12" i="466" s="1"/>
  <c r="H12" i="466" s="1"/>
  <c r="F11" i="466"/>
  <c r="G11" i="466" s="1"/>
  <c r="H11" i="466" s="1"/>
  <c r="F9" i="466"/>
  <c r="G9" i="466" s="1"/>
  <c r="H9" i="466" s="1"/>
  <c r="F10" i="466"/>
  <c r="G10" i="466" s="1"/>
  <c r="H10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3" i="466"/>
  <c r="E22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3" i="466"/>
  <c r="G23" i="466" s="1"/>
  <c r="H23" i="466" s="1"/>
  <c r="F22" i="466"/>
  <c r="G22" i="466" s="1"/>
  <c r="H22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4" i="466"/>
  <c r="E32" i="466"/>
  <c r="E33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2" i="466"/>
  <c r="G32" i="466" s="1"/>
  <c r="H32" i="466" s="1"/>
  <c r="F34" i="466"/>
  <c r="G34" i="466" s="1"/>
  <c r="H34" i="466" s="1"/>
  <c r="F33" i="466"/>
  <c r="G33" i="466" s="1"/>
  <c r="H33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1" i="466"/>
  <c r="E39" i="466"/>
  <c r="E44" i="466"/>
  <c r="G44" i="466" s="1"/>
  <c r="H44" i="466" s="1"/>
  <c r="E40" i="466"/>
  <c r="E38" i="466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41" i="466"/>
  <c r="G41" i="466" s="1"/>
  <c r="H41" i="466" s="1"/>
  <c r="F38" i="466"/>
  <c r="G38" i="466" s="1"/>
  <c r="H38" i="466" s="1"/>
  <c r="F39" i="466"/>
  <c r="G39" i="466" s="1"/>
  <c r="H39" i="466" s="1"/>
  <c r="F40" i="466"/>
  <c r="G40" i="466" s="1"/>
  <c r="H40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K46" i="1" s="1"/>
  <c r="H46" i="1"/>
  <c r="I46" i="1"/>
  <c r="J46" i="1"/>
  <c r="H47" i="1"/>
  <c r="I47" i="1"/>
  <c r="J47" i="1"/>
  <c r="K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<sst xmlns="http://schemas.openxmlformats.org/spreadsheetml/2006/main" count="540" uniqueCount="372">
  <si>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</si>
  <si>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</si>
  <si>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</si>
  <si>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</si>
  <si>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</si>
  <si>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</si>
  <si>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</si>
  <si>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</si>
  <si>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</si>
  <si>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</si>
  <si>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</si>
  <si>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</si>
  <si>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</si>
  <si>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</si>
  <si>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</si>
  <si>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</si>
  <si>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</si>
  <si>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</si>
  <si>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</si>
  <si>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</si>
  <si>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</si>
  <si>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</si>
  <si>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</si>
  <si>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</si>
  <si>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</si>
  <si>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</si>
  <si>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</si>
  <si>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</si>
  <si>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</si>
  <si>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</si>
  <si>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</si>
  <si>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</si>
  <si>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</si>
  <si>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</si>
  <si>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</si>
  <si>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</si>
  <si>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</si>
  <si>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</si>
  <si>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</si>
  <si>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</si>
  <si>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</si>
  <si>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</si>
  <si>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</si>
  <si>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</si>
  <si>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</si>
  <si>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</si>
  <si>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</si>
  <si>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</si>
  <si>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</si>
  <si>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</si>
  <si>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</si>
  <si>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</si>
  <si>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</si>
  <si>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</si>
  <si>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</si>
  <si>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</si>
  <si>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</si>
  <si>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</si>
  <si>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</si>
  <si>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</si>
  <si>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</si>
  <si>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</si>
  <si>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</si>
  <si>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</si>
  <si>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</si>
  <si>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</si>
  <si>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</si>
  <si>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</si>
  <si>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</si>
  <si>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</si>
  <si>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</si>
  <si>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</si>
  <si>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</si>
  <si>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</si>
  <si>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</si>
  <si>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</si>
  <si>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</si>
  <si>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</si>
  <si>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</si>
  <si>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</si>
  <si>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</si>
  <si>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</si>
  <si>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</si>
  <si>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</si>
  <si>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</si>
  <si>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</si>
  <si>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</si>
  <si>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</si>
  <si>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</si>
  <si>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</si>
  <si>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</si>
  <si>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</si>
  <si>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</si>
  <si>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</si>
  <si>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</si>
  <si>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</si>
  <si>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</si>
  <si>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</si>
  <si>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</si>
  <si>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</si>
  <si>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</si>
  <si>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</si>
  <si>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</si>
  <si>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</si>
  <si>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</si>
  <si>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</si>
  <si>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</si>
  <si>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</si>
  <si>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</si>
  <si>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</si>
  <si>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</si>
  <si>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</si>
  <si>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</si>
  <si>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</si>
  <si>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</si>
  <si>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</si>
  <si>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</si>
  <si>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</si>
  <si>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</si>
  <si>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</si>
  <si>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</si>
  <si>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</si>
  <si>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</si>
  <si>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</si>
  <si>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</si>
  <si>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</si>
  <si>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</si>
  <si>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</si>
  <si>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</si>
  <si>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</si>
  <si>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</si>
  <si>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</si>
  <si>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</si>
  <si>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</si>
  <si>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</si>
  <si>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</si>
  <si>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</si>
  <si>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</si>
  <si>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</si>
  <si>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</si>
  <si>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</si>
  <si>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</si>
  <si>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</si>
  <si>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</si>
  <si>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</si>
  <si>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</si>
  <si>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</si>
  <si>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</si>
  <si>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</si>
  <si>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</si>
  <si>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</si>
  <si>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</si>
  <si>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</si>
  <si>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</si>
  <si>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</si>
  <si>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</si>
  <si>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</si>
  <si>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</si>
  <si>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</si>
  <si>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</si>
  <si>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</si>
  <si>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</si>
  <si>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</si>
  <si>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</si>
  <si>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</si>
  <si>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</si>
  <si>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</si>
  <si>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</si>
  <si>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</si>
  <si>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</si>
  <si>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</si>
  <si>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</si>
  <si>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</si>
  <si>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</si>
  <si>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</si>
  <si>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</si>
  <si>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</si>
  <si>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</si>
  <si>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</si>
  <si>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</si>
  <si>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</si>
  <si>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</si>
  <si>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</si>
  <si>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</si>
  <si>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</si>
  <si>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</si>
  <si>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</si>
  <si>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</si>
  <si>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</si>
  <si>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</si>
  <si>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</si>
  <si>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</si>
  <si>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</si>
  <si>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</si>
  <si>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</si>
  <si>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</si>
  <si>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</si>
  <si>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</si>
  <si>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</si>
  <si>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</si>
  <si>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</si>
  <si>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</si>
  <si>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</si>
  <si>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</si>
  <si>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</si>
  <si>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</si>
  <si>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</si>
  <si>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</si>
  <si>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</si>
  <si>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</si>
  <si>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</si>
  <si>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</si>
  <si>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</si>
  <si>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</si>
  <si>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</si>
  <si>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</si>
  <si>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</si>
  <si>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</si>
  <si>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</si>
  <si>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</si>
  <si>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</si>
  <si>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</si>
  <si>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</si>
  <si>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</si>
  <si>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</si>
  <si>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</si>
  <si>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</si>
  <si>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</si>
  <si>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</si>
  <si>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</si>
  <si>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</si>
  <si>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</si>
  <si>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</si>
  <si>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</si>
  <si>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</si>
  <si>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</si>
  <si>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</si>
  <si>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</si>
  <si>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</si>
  <si>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</si>
  <si>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</si>
  <si>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</si>
  <si>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</si>
  <si>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</si>
  <si>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</si>
  <si>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</si>
  <si>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</si>
  <si>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</si>
  <si>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</si>
  <si>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</si>
  <si>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</si>
  <si>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</si>
  <si>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</si>
  <si>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</si>
  <si>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</si>
  <si>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</si>
  <si>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</si>
  <si>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</si>
  <si>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</si>
  <si>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</si>
  <si>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</si>
  <si>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</si>
  <si>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</si>
  <si>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</si>
  <si>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</si>
  <si>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</si>
  <si>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</si>
  <si>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1QMAACNDSVEuSVFUNjAzODk1MTYuSVFfQ0RTX01JRC4yMi8wNC8yNgEAAACl8MMBAgAAAAY3Ljg5NDgAyTB0E/fn3gh8XaMv9+feCCRDSVEuSVFUMzIzNjgwMTMwLklRX0NEU19NSUQuMjIvMDQvMjYBAAAAceECAAIAAAAHNTQuMjk2NgDJMHQT9+feCN0ipC/3594IJENJUS5JUVQzMTMzMTU0MjkuSVFfQ0RTX01JRC4yMi8wNC8yNgEAAAA55wUAAgAAAAc2MS44MzA5AG0GJxP3594Ix4mkL/fn3ggjQ0lRLklRVDQ2MjA2Nzc5LklRX0NEU19NSUQuMTIvMDcvMjYBAAAA/O82AAIAAAAHMTYuMTY2NwDJMHQT9+feCOnEmy/3594II0NJUS5JUVQ0NjIxODY3NC5JUV9DRFNfTUlELjEyLzA3LzI2AQAAAFfKNgACAAAACDEyMy4zMzc4AMkwdBP3594I6cSbL/fn3ggjQ0lRLklRVDQ2MjI1NzE1LklRX0NEU19NSUQuMTIvMDcvMjYBAAAAt+UEAAIAAAAHNDAuMjc2NgDJMHQT9+feCChOnS/3594II0NJUS5JUVQ0NjIxMDU2MC5JUV9DRFNfTUlELjE2LzA3LzI2AQAAAPYaNwACAAAABzg2LjEwMDMAyTB0E/fn3ggPq6Uv9+feCCNDSVEuSVFUNDYyMjM2NDYuSVFfQ0RTX01JRC4xNi8wNy8yNgEAAAAbeAQAAgAAAAc0OS42OTc2AMkwdBP3594IzvKmL/fn3ggkQ0lRLklRVDMxMzMxNDk3Ni5JUV9DRFNfTUlELjE2LzA3LzI2AQAAAG1KAAACAAAABjU3LjgzNwBtBicT9+feCM7ypi/3594I</t>
  </si>
  <si>
    <t>I0NJUS5JUVQ0NjIxODUxNi5JUV9DRFNfTUlELjIxLzA3LzI2AQAAAKZVowECAAAABzM1LjI0ODIAyTB0E/fn3ghUrpgv9+feCCNDSVEuSVFUNDYyMjA4MDMuSVFfQ0RTX01JRC4yMS8wNy8yNgEAAADWyTYAAgAAAAc0Mi42MzI2AMkwdBP3594IRDuaL/fn3ggjQ0lRLklRVDQ2MjAwMzY0LklRX0NEU19NSUQuMjEvMDcvMjYBAAAAV4YIAAIAAAAGMjUuMDc1AMkwdBP3594IRDuaL/fn3ggjQ0lRLklRVDQ2MjA0MzAwLklRX0NEU19NSUQuMjAvMDcvMjYBAAAA9iV9AAIAAAAGNy4xMDAyAMkwdBP3594IEtqaL/fn3ggjQ0lRLklRVDYwMzg4MDU3LklRX0NEU19NSUQuMjAvMDcvMjYBAAAA38l9AQMAAAAAAMkwdBP3594IEtqaL/fn3ggjQ0lRLklRVDQ2MTk5ODQxLklRX0NEU19NSUQuMjAvMDcvMjYBAAAA6zAGAAMAAAAAAMkwdBP3594I6cSbL/fn3ggkQ0lRLklRVDMxMzMxMDE4NC5JUV9DRFNfTUlELjE5LzA3LzI2AQAAAGBEPgACAAAABzExLjA5ODcAyTB0E/fn3ghUV6Av9+feCCNDSVEuSVFUNDYyMTQ4NzkuSVFfQ0RTX01JRC4xOS8wNy8yNgEAAAD1GjcAAgAAAAc1MC45MTM0AMkwdBP3594IVFegL/fn3ggjQ0lRLklRVDQ2NDcwODc3LklRX0NEU19NSUQuMTkvMDcvMjYBAAAAQjcHAAIAAAAGNTguMzE0AMkwdBP3594IVFegL/fn3ggkQ0lRLklRVDMxMzMxMDg1NC5JUV9DRFNfTUlELjE5LzA3LzI2AQAA</t>
  </si>
  <si>
    <t>AK9UDQACAAAABzYxLjE2NjcAbQYnE/fn3ggR5aEv9+feCCNDSVEuSVFUNDYyMTQ5NTQuSVFfQ0RTX01JRC4xOC8wNy8yNgEAAAA6PTkBAgAAAAQxNC40AMkwdBP3594IyiCiL/fn3ggjQ0lRLklRVDQ2MjA4NjM0LklRX0NEU19NSUQuMTgvMDcvMjYBAAAAAx/CAAIAAAAGMjIuODI1AMkwdBP3594IyiCiL/fn3ggjQ0lRLklRVDQ2MjAzNzE0LklRX0NEU19NSUQuMTcvMDcvMjYBAAAAXwU1AAIAAAAFMzEuNDUAyTB0E/fn3ggj9aQv9+feCCNDSVEuSVFUNzk2Mzk5NTMuSVFfQ0RTX01JRC4xNy8wNy8yNgEAAAA0m1YBAgAAAAcyNC45NDI4AMkwdBP3594II/WkL/fn3ggkQ0lRLklRVDUyODkzNjgxMi5JUV9DRFNfTUlELjE3LzA3LzI2AQAAAGxbBgACAAAABzQ3Ljk1OTQAyTB0E/fn3ggPq6Uv9+feCCNDSVEuSVFUNDYxOTcxMzguSVFfQ0RTX01JRC4xMS8wNy8yNgEAAADulDgBAgAAAAgxMjMuNjYwNwDJMHQT9+feCChOnS/3594II0NJUS5JUVQ1MTAyMzQ4MC5JUV9DRFNfTUlELjExLzA3LzI2AQAAAMJF8QECAAAABjQuNDk5NgDJMHQT9+feCJteni/3594II0NJUS5JUVQ0NjIwNDk1Ny5JUV9DRFNfTUlELjExLzA3LzI2AQAAACEVBgACAAAABzUzLjg2MjcAyTB0E/fn3ggKYZ4v9+feCCNDSVEuSVFUNDYyMDA0MTIuSVFfQ0RTX01JRC4xMC8wNy8yNgEAAABjQwYAAgAAAAc0NS44NTYxAMkwdBP3594In9OX</t>
  </si>
  <si>
    <t>L/fn3ggjQ0lRLklRVDQ2MjAzMzMyLklRX0NEU19NSUQuMDkvMDcvMjYBAAAAXx43AAIAAAAFMTEuMjUAyTB0E/fn3gi+IZgv9+feCCNDSVEuSVFUNDYyMTUxMTEuSVFfQ0RTX01JRC4wOS8wNy8yNgEAAACgS7IBAgAAAAczNi45MjkzAMkwdBP3594IVK6YL/fn3ggjQ0lRLklRVDQ2MjI2MTMyLklRX0NEU19NSUQuMDkvMDcvMjYBAAAA3VkAAAIAAAAHNDEuNjM3NQDJMHQT9+feCFSumC/3594II0NJUS5JUVQ3OTYzOTkxMy5JUV9DRFNfTUlELjE0LzA3LzI2AQAAACBjHAICAAAAATgAyTB0E/fn3ggMcqkv9+feCCNDSVEuSVFUNDYyMDc4NzIuSVFfQ0RTX01JRC4xNC8wNy8yNgEAAABYDQoAAgAAAAc0MC41ODQyAMkwdBP3594IDHKpL/fn3ggjQ0lRLklRVDQ2MjAwMzE3LklRX0NEU19NSUQuMTQvMDcvMjYBAAAA/lQNAAIAAAAHNjQuMTMxMwBtBicT9+feCD48qi/3594IJENJUS5JUVQ2NDQ3MDE3OTcuSVFfQ0RTX01JRC4wOC8wNy8yNgEAAABTP30BAgAAAAY5Ljk0OTgAyTB0E/fn3giz2J4v9+feCCRDSVEuSVFUMjU0OTU1MjMzLklRX0NEU19NSUQuMDgvMDcvMjYBAAAAOVYKAAIAAAAGNDMuMzY1AMkwdBP3594IVFegL/fn3ggkQ0lRLklRVDI2MzIxMzEzMi5JUV9DRFNfTUlELjIyLzA3LzI1AQAAAOGaCAACAAAABTU2Ljg1AMkwdBP3594IdsCoL/fn3ggjQ0lRLklRVDQ2MjIyMjkyLklRX0NEU19NSUQu</t>
  </si>
  <si>
    <t>MjIvMDQvMjYBAAAA0ZGbAQIAAAAINjc2LjExMDMAyTB0E/fn3gh8XaMv9+feCCNDSVEuSVFUNDYyMjUwMDYuSVFfQ0RTX01JRC4yMi8wNC8yNgEAAAD4VQ0AAgAAAAc0MC4yNTM4AMkwdBP3594I3SKkL/fn3ggjQ0lRLklRVDQ2MjYyMzc4LklRX0NEU19NSUQuMTIvMDcvMjYBAAAAQNKJAQIAAAAHMTcuODMzMwDJMHQT9+feCOnEmy/3594II0NJUS5JUVQ2MjI3MDEwNy5JUV9DRFNfTUlELjEyLzA3LzI2AQAAABVZAAACAAAABzQxLjUyMjYAyTB0E/fn3ggoTp0v9+feCCNDSVEuSVFUNjAzODgwNTcuSVFfQ0RTX01JRC4xNy8wNy8yNgEAAADfyX0BAwAAAAAAyTB0E/fn3ggj9aQv9+feCCNDSVEuSVFUNDYxOTk4NDEuSVFfQ0RTX01JRC4xNy8wNy8yNgEAAADrMAYAAwAAAAAAyTB0E/fn3ggPq6Uv9+feCCRDSVEuSVFUMzEzMzEwMTg0LklRX0NEU19NSUQuMTEvMDcvMjYBAAAAYEQ+AAIAAAAHMTEuMjI3OQDJMHQT9+feCChOnS/3594II0NJUS5JUVQ0NjIxNDg3OS5JUV9DRFNfTUlELjExLzA3LzI2AQAAAPUaNwACAAAABzUwLjU0NjIAyTB0E/fn3ggKYZ4v9+feCCNDSVEuSVFUNDY0NzA4NzcuSVFfQ0RTX01JRC4xMS8wNy8yNgEAAABCNwcAAgAAAAc1NS45NzQ5AMkwdBP3594ICmGeL/fn3ggkQ0lRLklRVDMxMzMxMDg1NC5JUV9DRFNfTUlELjExLzA3LzI2AQAAAK9UDQACAAAABDYxLjUAbQYnE/fn3giz</t>
  </si>
  <si>
    <t>2J4v9+feCCNDSVEuSVFUNDYyMDg2MzQuSVFfQ0RTX01JRC4xMC8wNy8yNgEAAAADH8IAAgAAAAcyMi4xMDY2AMkwdBP3594IYF6XL/fn3ggjQ0lRLklRVDQ2MjI1MDgzLklRX0NEU19NSUQuMTAvMDcvMjYBAAAAVkQGAAIAAAAHMzYuODcwNQDJMHQT9+feCJ/Tly/3594II0NJUS5JUVQ0NjIwMzcxNC5JUV9DRFNfTUlELjA5LzA3LzI2AQAAAF8FNQACAAAABzMwLjY5MTYAyTB0E/fn3gjCSJgv9+feCCNDSVEuSVFUNzk2Mzk5NTMuSVFfQ0RTX01JRC4wOS8wNy8yNgEAAAA0m1YBAgAAAAcyNC44NTE5AMkwdBP3594IVK6YL/fn3ggkQ0lRLklRVDUyODkzNjgxMi5JUV9DRFNfTUlELjA5LzA3LzI2AQAAAGxbBgACAAAABzQ2LjkyMDkAyTB0E/fn3ghUrpgv9+feCCNDSVEuSVFUNDYxOTcxMzguSVFfQ0RTX01JRC4xNC8wNy8yNgEAAADulDgBAgAAAAgxMjMuNjExOADJMHQT9+feCHbAqC/3594II0NJUS5JUVQ1MTAyMzQ4MC5JUV9DRFNfTUlELjE0LzA3LzI2AQAAAMJF8QECAAAABjQuNTA2NwDJMHQT9+feCAxyqS/3594II0NJUS5JUVQ0NjIwNDk1Ny5JUV9DRFNfTUlELjE0LzA3LzI2AQAAACEVBgACAAAABzU0LjQzMTIAyTB0E/fn3ggMcqkv9+feCCNDSVEuSVFUNjIyNzAxMDYuSVFfQ0RTX01JRC4xNC8wNy8yNgEAAACtd4MAAgAAAAc3NC42MzE4AG0GJxP3594IPjyqL/fn3ggjQ0lRLklRVDQ2MjA3ODcy</t>
  </si>
  <si>
    <t>LklRX0NEU19NSUQuMTMvMDcvMjYBAAAAWA0KAAIAAAAHNDAuMDQ2OADJMHQT9+feCCkCqy/3594II0NJUS5JUVQ0NjIwMDMxNy5JUV9DRFNfTUlELjEzLzA3LzI2AQAAAP5UDQACAAAABzY0LjU0NDQAbQYnE/fn3ggpAqsv9+feCCRDSVEuSVFUNjQ0NzAxNzk3LklRX0NEU19NSUQuMjIvMDcvMjUBAAAAUz99AQIAAAAHMTUuNzgzOADJMHQT9+feCNH3py/3594II0NJUS5JUVQ0NjIxNjk4Ni5JUV9DRFNfTUlELjIyLzA3LzI1AQAAAM5EOAEDAAAAAADJMHQT9+feCNH3py/3594IJENJUS5JUVQyNTQ5NTUyMzMuSVFfQ0RTX01JRC4yMi8wNy8yNQEAAAA5VgoAAgAAAAc1Ni41NDE3AMkwdBP3594IdsCoL/fn3ggjQ0lRLklRVDQ2MTk2MjI1LklRX0NEU19NSUQuMjIvMDQvMjYBAAAAvlWjAQIAAAAFMTcuOTUAyTB0E/fn3gh8XaMv9+feCCNDSVEuSVFUNTEwMjMyNjAuSVFfQ0RTX01JRC4yMi8wNC8yNgEAAACxEX8BAgAAAAcxNC4wOTg0AMkwdBP3594IfF2jL/fn3ggjQ0lRLklRVDQ2MjI0NzQwLklRX0NEU19NSUQuMjIvMDQvMjYBAAAA03IIAAIAAAAHMzQuOTk3NQDJMHQT9+feCN0ipC/3594IJENJUS5JUVQzMTMzMTczNDQuSVFfQ0RTX01JRC4yMi8wNC8yNgEAAADxrAEAAgAAAAc1Ni4xNTg0AG0GJxP3594Ix4mkL/fn3ggjQ0lRLklRVDQ2MjAwMjc2LklRX0NEU19NSUQuMTIvMDcvMjYBAAAAlnd8AQIA</t>
  </si>
  <si>
    <t>AAAHMjguMDI5MgDJMHQT9+feCOnEmy/3594II0NJUS5JUVQ0NjE5NTQ5MS5JUV9DRFNfTUlELjEyLzA3LzI2AQAAAGlKAAACAAAABzU0LjI5OTYAyTB0E/fn3gjpxJsv9+feCCNDSVEuSVFUNzk2MzQ5MDEuSVFfQ0RTX01JRC4xMi8wNy8yNgEAAACcBhAAAgAAAAc0MS4yOTMxAMkwdBP3594IKE6dL/fn3ggjQ0lRLklRVDQ2MjIyMjkyLklRX0NEU19NSUQuMjAvMDcvMjYBAAAA0ZGbAQIAAAAHNzYxLjE0MwDJMHQT9+feCBLami/3594II0NJUS5JUVQ2MDM4OTUxNi5JUV9DRFNfTUlELjE3LzA3LzI2AQAAAKXwwwECAAAABjcuMjQ3NwDJMHQT9+feCCP1pC/3594II0NJUS5JUVQ0NjIxOTkyMi5JUV9DRFNfTUlELjA5LzA3LzI2AQAAANZHOQECAAAABjcuMzMzMwDJMHQT9+feCF5zmC/3594IJENJUS5JUVQyODYwOTYxMzEuSVFfQ0RTX01JRC4wOC8wNy8yNgEAAAA78QQAAgAAAAc2MS4wODA3AMkwdBP3594IVFegL/fn3ggjQ0lRLklRVDQ2MjI1MDgzLklRX0NEU19NSUQuMTMvMDcvMjYBAAAAVkQGAAIAAAAGMzcuMzc2AMkwdBP3594IKQKrL/fn3ggjQ0lRLklRVDQ2MjI1MDA2LklRX0NEU19NSUQuMjIvMDcvMjUBAAAA+FUNAAIAAAAHNDMuMDgzMwDJMHQT9+feCNH3py/3594II0NJUS5JUVQ0NjIxODY3NC5JUV9DRFNfTUlELjIyLzA0LzI2AQAAAFfKNgACAAAABzE1MC45MzIAyTB0E/fn3gjdIqQv9+fe</t>
  </si>
  <si>
    <t>CCNDSVEuSVFUNTEwMjMyNjAuSVFfQ0RTX01JRC4xMi8wNy8yNgEAAACxEX8BAgAAAAcxMy45NDU5AMkwdBP3594I6cSbL/fn3ggjQ0lRLklRVDQ2MjA3ODcyLklRX0NEU19NSUQuMjAvMDcvMjYBAAAAWA0KAAIAAAAHNDAuODAwNgDJMHQT9+feCBLami/3594II0NJUS5JUVQ0NjE5NTQ5MS5JUV9DRFNfTUlELjE3LzA3LzI2AQAAAGlKAAACAAAABzU1LjYxNzYAyTB0E/fn3ggPq6Uv9+feCCNDSVEuSVFUNDYxOTc2OTQuSVFfQ0RTX01JRC4wOS8wNy8yNgEAAAAH+gUAAgAAAAU1MS43MwDJMHQT9+feCFSumC/3594IJENJUS5JUVQzMTMzMTQ5NzYuSVFfQ0RTX01JRC4wOC8wNy8yNgEAAABtSgAAAgAAAAQ1Ni41AG0GJxP3594IVFegL/fn3ggjQ0lRLklRVDQ2MjAwMzY0LklRX0NEU19NSUQuMTMvMDcvMjYBAAAAV4YIAAIAAAAFMjQuOTgAyTB0E/fn3ggpAqsv9+feCCRDSVEuSVFUNTI4OTM2ODEyLklRX0NEU19NSUQuMjIvMDcvMjUBAAAAbFsGAAIAAAAHNDcuODc2NwDJMHQT9+feCNH3py/3594II0NJUS5JUVQ0NjIyNTAwNi5JUV9DRFNfTUlELjIwLzA3LzI2AQAAAPhVDQACAAAABjQzLjg2NgDJMHQT9+feCOnEmy/3594IJENJUS5JUVQzMjM2ODAxMzAuSVFfQ0RTX01JRC4xNy8wNy8yNgEAAABx4QIAAgAAAAc1MS40NDc4AMkwdBP3594ID6ulL/fn3ggjQ0lRLklRVDQ2MjIzNjQ2LklRX0NEU19NSUQu</t>
  </si>
  <si>
    <t>MDkvMDcvMjYBAAAAG3gEAAIAAAAHNDguMjk5MgDJMHQT9+feCFSumC/3594IJENJUS5JUVQzMTMzMTU0MjkuSVFfQ0RTX01JRC4wOC8wNy8yNgEAAAA55wUAAgAAAAc2Mi42NDAyAG0GJxP3594IVFegL/fn3ggjQ0lRLklRVDQ2MjAzNzE0LklRX0NEU19NSUQuMTMvMDcvMjYBAAAAXwU1AAIAAAAHMzAuODU4MQDJMHQT9+feCD48qi/3594II0NJUS5JUVQ0NjE5NzEzOC5JUV9DRFNfTUlELjIyLzA3LzI1AQAAAO6UOAECAAAACDE0OC4yMzQ4AMkwdBP3594IzvKmL/fn3ggjQ0lRLklRVDQ2MTk5ODQxLklRX0NEU19NSUQuMjIvMDcvMjUBAAAA6zAGAAMAAAAAAMkwdBP3594I0fenL/fn3ggjQ0lRLklRVDQ2MjA0OTU3LklRX0NEU19NSUQuMjIvMDQvMjYBAAAAIRUGAAIAAAAHNTguMTI4MwDJMHQT9+feCN0ipC/3594II0NJUS5JUVQ0NjIwMDMxNy5JUV9DRFNfTUlELjIwLzA3LzI2AQAAAP5UDQACAAAABzYyLjE2NTgAbQYnE/fn3gjpxJsv9+feCCNDSVEuSVFUNzk2MzQ5MDEuSVFfQ0RTX01JRC4xNy8wNy8yNgEAAACcBhAAAgAAAAc0MS4wNDI1AMkwdBP3594ID6ulL/fn3ggjQ0lRLklRVDYyMjcwMTA3LklRX0NEU19NSUQuMDkvMDcvMjYBAAAAFVkAAAIAAAAHNDAuMzA4OADJMHQT9+feCFSumC/3594II0NJUS5JUVQ0NjIwNDMwMC5JUV9DRFNfTUlELjEzLzA3LzI2AQAAAPYlfQACAAAABjcuMDAwNQDJ</t>
  </si>
  <si>
    <t>MHQT9+feCD48qi/3594IJENJUS5JUVQzMTMzMTAxODQuSVFfQ0RTX01JRC4yMi8wNy8yNQEAAABgRD4AAgAAAAcxNS44MTY4AMkwdBP3594IzvKmL/fn3ggjQ0lRLklRVDYyMjcwMTA2LklRX0NEU19NSUQuMjIvMDcvMjUBAAAArXeDAAIAAAAHNzguNTI0NABtBicT9+feCHbAqC/3594II0NJUS5JUVQ0NjQ3MDg3Ny5JUV9DRFNfTUlELjIyLzA0LzI2AQAAAEI3BwACAAAABzU5LjE0ODkAyTB0E/fn3gjdIqQv9+feCCNDSVEuSVFUNjAzODgwNTcuSVFfQ0RTX01JRC4xMi8wNy8yNgEAAADfyX0BAwAAAAAAyTB0E/fn3gjpxJsv9+feCCNDSVEuSVFUNDYyMDc3ODkuSVFfQ0RTX01JRC4xMi8wNy8yNgEAAAAqWKMBAgAAAAcyNi41MTYzAMkwdBP3594I6cSbL/fn3ggjQ0lRLklRVDQ2MTk3MTM4LklRX0NEU19NSUQuMjIvMDQvMjYBAAAA7pQ4AQIAAAAIMTI0LjIxNDgAyTB0E/fn3gh8XaMv9+feCCNDSVEuSVFUNDYyMjAzMjkuSVFfQ0RTX01JRC4yMC8wNy8yNgEAAADbWwAAAgAAAAI1NgBtBicT9+feCOnEmy/3594IJENJUS5JUVQzMTMzMTU0MjkuSVFfQ0RTX01JRC4xNy8wNy8yNgEAAAA55wUAAgAAAAc2Mi4xMjg2AG0GJxP3594ID6ulL/fn3ggkQ0lRLklRVDMxMzMxNDk3Ni5JUV9DRFNfTUlELjA5LzA3LzI2AQAAAG1KAAACAAAABDU2LjUAbQYnE/fn3ghUrpgv9+feCCNDSVEuSVFUNDYyMDQ4ODQuSVFf</t>
  </si>
  <si>
    <t>Q0RTX01JRC4xMy8wNy8yNgEAAACBUcABAgAAAAcyOS4xODI3AMkwdBP3594IPjyqL/fn3ggjQ0lRLklRVDQ2MjEwNTYwLklRX0NEU19NSUQuMjIvMDcvMjUBAAAA9ho3AAIAAAAIMTE0LjYwOTQAyTB0E/fn3gjO8qYv9+feCCRDSVEuSVFUMzEzMzEwODU0LklRX0NEU19NSUQuMjIvMDcvMjUBAAAAr1QNAAIAAAAHNDAuODc1NQBtBicT9+feCHbAqC/3594II0NJUS5JUVQ0NjIwMDQxMi5JUV9DRFNfTUlELjIyLzA0LzI2AQAAAGNDBgACAAAABzU2LjgwNzMAyTB0E/fn3gjHiaQv9+feCCNDSVEuSVFUNjIyNzAxMDcuSVFfQ0RTX01JRC4yMi8wNC8yNgEAAAAVWQAAAgAAAAczOS4zMTk1AMkwdBP3594Ix4mkL/fn3ggjQ0lRLklRVDc5NjQwMDI0LklRX0NEU19NSUQuMTYvMDcvMjYBAAAANY+bAQIAAAAGNy44OTY3AMkwdBP3594I13emL/fn3ggkQ0lRLklRVDY0NDcwMTc5Ny5JUV9DRFNfTUlELjE5LzA3LzI2AQAAAFM/fQECAAAABzEwLjM4MTcAyTB0E/fn3ghUV6Av9+feCCNDSVEuSVFUNDYyMDc1NzEuSVFfQ0RTX01JRC4xMS8wNy8yNgEAAABt7zUAAgAAAAYyOS4zMDUAyTB0E/fn3ggoTp0v9+feCCNDSVEuSVFUNDYyMDczMDguSVFfQ0RTX01JRC4xNC8wNy8yNgEAAAA5iXoBAgAAAAQxNC41AMkwdBP3594IdsCoL/fn3ggjQ0lRLklRVDQ2MjA3NTcxLklRX0NEU19NSUQuMTMvMDcvMjYBAAAAbe81AAIA</t>
  </si>
  <si>
    <t>AAAHMjkuMTUyNwDJMHQT9+feCD48qi/3594II0NJUS5JUVQ0OTc1MTE5Ni5JUV9DRFNfTUlELjIyLzA3LzI1AQAAAM2ZvQACAAAABzQwLjE2NjcAyTB0E/fn3gjO8qYv9+feCCRDSVEuSVFUMzEzMzE0OTc2LklRX0NEU19NSUQuMjIvMDcvMjUBAAAAbUoAAAIAAAAHNDIuMzU4NABtBicT9+feCHbAqC/3594II0NJUS5JUVQ0NjIyNTA4My5JUV9DRFNfTUlELjIyLzA0LzI2AQAAAFZEBgACAAAABTQ0Ljc1AMkwdBP3594Ix4mkL/fn3ggjQ0lRLklRVDQ2MjEwMDMyLklRX0NEU19NSUQuMTIvMDcvMjYBAAAAj1WjAQIAAAAHMzYuNTU3MgDJMHQT9+feCOnEmy/3594II0NJUS5JUVQ0NjIxODUxNi5JUV9DRFNfTUlELjE0LzA3LzI2AQAAAKZVowECAAAABzM1Ljg4MTYAyTB0E/fn3ggxXqkv9+feCCNDSVEuSVFUNDYxOTQ5OTUuSVFfQ0RTX01JRC4yMi8wNy8yNQEAAABuEDEAAgAAAAcxNC44MzMzAMkwdBP3594IzvKmL/fn3ggjQ0lRLklRVDQ2MjAwMzY0LklRX0NEU19NSUQuMjIvMDQvMjYBAAAAV4YIAAIAAAAGMjguNjI1AMkwdBP3594Ix4mkL/fn3ggjQ0lRLklRVDQ2MjE4NTE2LklRX0NEU19NSUQuMTMvMDcvMjYBAAAAplWjAQIAAAAHMzYuMTQ5MwDJMHQT9+feCD48qi/3594II0NJUS5JUVQ0NjIyMDMyOS5JUV9DRFNfTUlELjIyLzA3LzI1AQAAANtbAAACAAAABzQ2LjAyOTgAbQYnE/fn3gh2wKgv9+fe</t>
  </si>
  <si>
    <t>CCNDSVEuSVFUNDYyMDQzMDAuSVFfQ0RTX01JRC4yMi8wNy8yNQEAAAD2JX0AAgAAAAY4LjY2NjcAyTB0E/fn3gjO8qYv9+feCCNDSVEuSVFUNDYyMDc4NzIuSVFfQ0RTX01JRC4xMi8wNy8yNgEAAABYDQoAAgAAAAc0MC40MzAzAMkwdBP3594I6cSbL/fn3ggkQ0lRLklRVDMxMzMxMDE4NC5JUV9DRFNfTUlELjIyLzA0LzI2AQAAAGBEPgACAAAABjEyLjQxNQDJMHQT9+feCHxdoy/3594II0NJUS5JUVQ0NjIyNjEzMi5JUV9DRFNfTUlELjEyLzA3LzI2AQAAAN1ZAAACAAAABzQxLjY3NzYAyTB0E/fn3ggoTp0v9+feCCNDSVEuSVFUNDYyMTQ5NTQuSVFfQ0RTX01JRC4yMi8wNC8yNgEAAAA6PTkBAgAAAAYxNi40NzIAyTB0E/fn3gh8XaMv9+feCCNDSVEuSVFUNjAzODk1MTYuSVFfQ0RTX01JRC4wOC8wNy8yNgEAAACl8MMBAgAAAAY3LjI0MTkAyTB0E/fn3gj3uJ8v9+feCCNDSVEuSVFUNDYyMDA0MTIuSVFfQ0RTX01JRC4xMi8wNy8yNgEAAABjQwYAAgAAAAc0NS44NTYxAMkwdBP3594IKE6dL/fn3ggjQ0lRLklRVDQ2MjI1Mzc0LklRX0NEU19NSUQuMTgvMDcvMjYBAAAAtdYFAAIAAAAHMzkuMDM2NwDJMHQT9+feCMogoi/3594II0NJUS5JUVQ0NjE5OTg0MS5JUV9DRFNfTUlELjEzLzA3LzI2AQAAAOswBgADAAAAAADJMHQT9+feCCkCqy/3594IJENJUS5JUVQzMTMzMTczNDQuSVFfQ0RTX01JRC4xOC8w</t>
  </si>
  <si>
    <t>Ny8yNgEAAADxrAEAAgAAAAc2MC44MTIzAG0GJxP3594IfF2jL/fn3ggkQ0lRLklRVDMxMzMwNTg3OS5JUV9DRFNfTUlELjIyLzA0LzI2AQAAAITW3AECAAAABjIuMzMzNADJMHQT9+feCN0ipC/3594II0NJUS5JUVQ0NjIwODYzNC5JUV9DRFNfTUlELjIyLzA0LzI2AQAAAAMfwgACAAAABDI5LjEAyTB0E/fn3gjdIqQv9+feCCNDSVEuSVFUNDYyMDAyNzYuSVFfQ0RTX01JRC4xNi8wNy8yNgEAAACWd3wBAgAAAAcyOS44Mjg4AMkwdBP3594I13emL/fn3ggjQ0lRLklRVDQ2MjYyMzc4LklRX0NEU19NSUQuMTkvMDcvMjYBAAAAQNKJAQIAAAAGMTguMzc1AMkwdBP3594IVFegL/fn3ggjQ0lRLklRVDQ2MjA2Nzc5LklRX0NEU19NSUQuMTEvMDcvMjYBAAAA/O82AAIAAAAHMTYuMTY2NwDJMHQT9+feCChOnS/3594II0NJUS5JUVQ0NjIxNDk1NC5JUV9DRFNfTUlELjEzLzA3LzI2AQAAADo9OQECAAAABTE0LjI1AMkwdBP3594IPjyqL/fn3ggkQ0lRLklRVDMxMzMxNTQyOS5JUV9DRFNfTUlELjIyLzA3LzI1AQAAADnnBQACAAAABzQzLjE4NTQAbQYnE/fn3gh2wKgv9+feCCRDSVEuSVFUMzEzMzA1ODc5LklRX0NEU19NSUQuMTIvMDcvMjYBAAAAhNbcAQMAAAAAAMkwdBP3594I6cSbL/fn3ggjQ0lRLklRVDQ2MjAzNzE0LklRX0NEU19NSUQuMjIvMDcvMjUBAAAAXwU1AAIAAAAHMzIuOTAyMgDJMHQT9+feCM7y</t>
  </si>
  <si>
    <t>pi/3594II0NJUS5JUVQ0NjIyNTcxNS5JUV9DRFNfTUlELjIyLzA0LzI2AQAAALflBAACAAAABzQyLjgyNzIAyTB0E/fn3gjHiaQv9+feCCNDSVEuSVFUNzk2Mzk5NTMuSVFfQ0RTX01JRC4xMy8wNy8yNgEAAAA0m1YBAgAAAAYyNC44NzgAyTB0E/fn3ggpAqsv9+feCCNDSVEuSVFUNDYyMjQ3NDAuSVFfQ0RTX01JRC4xMi8wNy8yNgEAAADTcggAAgAAAAczMy42MDY2AMkwdBP3594IKE6dL/fn3ggjQ0lRLklRVDQ2MjI1NzE1LklRX0NEU19NSUQuMTQvMDcvMjYBAAAAt+UEAAIAAAAHNDMuMTk3MQDJMHQT9+feCD48qi/3594IJENJUS5JUVQ1Mjg5MzY4MTIuSVFfQ0RTX01JRC4xMi8wNy8yNgEAAABsWwYAAgAAAAY0Ni43MjcAyTB0E/fn3ggoTp0v9+feCCNDSVEuSVFUNDYxOTk4NDEuSVFfQ0RTX01JRC4xMi8wNy8yNgEAAADrMAYAAwAAAAAAyTB0E/fn3ggoTp0v9+feCCRDSVEuSVFUMjg2MDk2MTMxLklRX0NEU19NSUQuMTIvMDcvMjYBAAAAO/EEAAIAAAAHNjAuMTg5NADJMHQT9+feCChOnS/3594II0NJUS5JUVQ1MTAyMzQ4MC5JUV9DRFNfTUlELjIyLzA0LzI2AQAAAMJF8QECAAAABjUuNTA2OADJMHQT9+feCHxdoy/3594II0NJUS5JUVQ0NjIwNDg4NC5JUV9DRFNfTUlELjEyLzA3LzI2AQAAAIFRwAECAAAABzI5LjE4NzUAyTB0E/fn3gjpxJsv9+feCCNDSVEuSVFUNjAzODgwNTcuSVFfQ0RTX01J</t>
  </si>
  <si>
    <t>RC4wOC8wNy8yNgEAAADfyX0BAwAAAAAAyTB0E/fn3gj3uJ8v9+feCCNDSVEuSVFUNDYyMTQ4NzkuSVFfQ0RTX01JRC4yMi8wNC8yNgEAAAD1GjcAAgAAAAc1Mi4zMzMzAMkwdBP3594IfF2jL/fn3ggjQ0lRLklRVDQ2MjI1MDgzLklRX0NEU19NSUQuMTIvMDcvMjYBAAAAVkQGAAIAAAAHMzYuODcwNQDJMHQT9+feCChOnS/3594II0NJUS5JUVQ0NjIyMDMyOS5JUV9DRFNfTUlELjEwLzA3LzI2AQAAANtbAAACAAAABDU2LjUAbQYnE/fn3giJ+pcv9+feCCNDSVEuSVFUNzk2NDAwMjQuSVFfQ0RTX01JRC4xMi8wNy8yNgEAAAA1j5sBAgAAAAY3LjY3MTkAyTB0E/fn3gjpxJsv9+feCCNDSVEuSVFUNDYyMTUxMTEuSVFfQ0RTX01JRC4xMi8wNy8yNgEAAACgS7IBAgAAAAczNi42OTU0AMkwdBP3594I6cSbL/fn3ggkQ0lRLklRVDMxMzMwNTg3OS5JUV9DRFNfTUlELjE2LzA3LzI2AQAAAITW3AEDAAAAAADJMHQT9+feCM7ypi/3594II0NJUS5JUVQ0NjIxNjk4Ni5JUV9DRFNfTUlELjE5LzA3LzI2AQAAAM5EOAEDAAAAAADJMHQT9+feCFRXoC/3594II0NJUS5JUVQ0NjIxMzQ3Mi5JUV9DRFNfTUlELjExLzA3LzI2AQAAALlaOAACAAAABzE1LjAwMDUAyTB0E/fn3ggKYZ4v9+feCCNDSVEuSVFUNDYyMTAwMzIuSVFfQ0RTX01JRC4xNC8wNy8yNgEAAACPVaMBAgAAAAUzNy4wNQDJMHQT9+feCAxyqS/3594II0NJ</t>
  </si>
  <si>
    <t>US5JUVQ0NjIwODYzNC5JUV9DRFNfTUlELjEyLzA3LzI2AQAAAAMfwgACAAAABzIyLjEwNjYAyTB0E/fn3gjpxJsv9+feCCNDSVEuSVFUNTEwMjM0ODAuSVFfQ0RTX01JRC4yMi8wNy8yNQEAAADCRfEBAgAAAAY4LjQ4NDgAyTB0E/fn3gjR96cv9+feCCNDSVEuSVFUNjIyNzAxMDYuSVFfQ0RTX01JRC4yMi8wNC8yNgEAAACtd4MAAgAAAAc3NC4xMzU1AG0GJxP3594Ix4mkL/fn3ggjQ0lRLklRVDQ2MTk2MjI1LklRX0NEU19NSUQuMTgvMDcvMjYBAAAAvlWjAQIAAAAGMTcuMzc1AMkwdBP3594IyiCiL/fn3ggjQ0lRLklRVDQ5NzUxMTk2LklRX0NEU19NSUQuMDgvMDcvMjYBAAAAzZm9AAIAAAAHNDEuOTQ4MQDJMHQT9+feCLPYni/3594II0NJUS5JUVQ0NjIxODUxNi5JUV9DRFNfTUlELjIyLzA0LzI2AQAAAKZVowECAAAABzM5LjI1NjgAyTB0E/fn3gh8XaMv9+feCCNDSVEuSVFUNDYyMDM3MTQuSVFfQ0RTX01JRC4xMi8wNy8yNgEAAABfBTUAAgAAAAczMC43MDM5AMkwdBP3594I6cSbL/fn3ggjQ0lRLklRVDQ2MjA0MzAwLklRX0NEU19NSUQuMTIvMDcvMjYBAAAA9iV9AAIAAAAFNy4wMDIAyTB0E/fn3gjpxJsv9+feCCRDSVEuSVFUNTI4OTM2ODEyLklRX0NEU19NSUQuMTMvMDcvMjYBAAAAbFsGAAIAAAAHNDYuODY0MwDJMHQT9+feCCkCqy/3594IJENJUS5JUVQyNjMyMTMxMzIuSVFfQ0RTX01JRC4y</t>
  </si>
  <si>
    <t>MS8wNy8yNgEAAADhmggAAgAAAAY1NS4xMjUAyTB0E/fn3ghEO5ov9+feCCNDSVEuSVFUNDYyMDQ5NTcuSVFfQ0RTX01JRC4yMi8wNy8yNQEAAAAhFQYAAgAAAAc1Ny44NzA1AMkwdBP3594I0fenL/fn3ggjQ0lRLklRVDQ2MjA3MzA4LklRX0NEU19NSUQuMTIvMDcvMjYBAAAAOYl6AQIAAAAHMTQuMzMzMwDJMHQT9+feCOnEmy/3594IJENJUS5JUVQzMTMzMTM1MjQuSVFfQ0RTX01JRC4yMS8wNy8yNgEAAADvVQ0AAgAAAAc1OS45NjkzAG0GJxP3594IEtqaL/fn3ggkQ0lRLklRVDI4NjA5NjEzMS5JUV9DRFNfTUlELjEzLzA3LzI2AQAAADvxBAACAAAABzYwLjcwMzMAyTB0E/fn3ggpAqsv9+feCCNDSVEuSVFUNzk2Mzk5MTMuSVFfQ0RTX01JRC4yMC8wNy8yNgEAAAAgYxwCAgAAAAU4LjEyNQDJMHQT9+feCBLami/3594IJENJUS5JUVQzMTMzMTM1MjQuSVFfQ0RTX01JRC4xMi8wNy8yNgEAAADvVQ0AAgAAAAc2MC41MTQ5AG0GJxP3594IKE6dL/fn3ggjQ0lRLklRVDQ2MTk3Njk0LklRX0NEU19NSUQuMjIvMDQvMjYBAAAAB/oFAAIAAAAHNTcuODgxOQDJMHQT9+feCN0ipC/3594II0NJUS5JUVQ0NjE5NTQ5MS5JUV9DRFNfTUlELjE2LzA3LzI2AQAAAGlKAAACAAAABzU0LjkzMzQAyTB0E/fn3gjO8qYv9+feCCNDSVEuSVFUNDYxOTc2OTQuSVFfQ0RTX01JRC4xOS8wNy8yNgEAAAAH+gUAAgAAAAc1My42</t>
  </si>
  <si>
    <t>NjkyAMkwdBP3594IVFegL/fn3ggjQ0lRLklRVDQ2MjE4Njc0LklRX0NEU19NSUQuMTEvMDcvMjYBAAAAV8o2AAIAAAAIMTIzLjMzNzgAyTB0E/fn3ggKYZ4v9+feCCNDSVEuSVFUNDYyMjA4MDMuSVFfQ0RTX01JRC4xNC8wNy8yNgEAAADWyTYAAgAAAAc0MS45OTg3AMkwdBP3594IDHKpL/fn3ggjQ0lRLklRVDYwMzg4MDU3LklRX0NEU19NSUQuMTMvMDcvMjYBAAAA38l9AQMAAAAAAMkwdBP3594IKQKrL/fn3ggjQ0lRLklRVDQ2MjEwMDMyLklRX0NEU19NSUQuMTMvMDcvMjYBAAAAj1WjAQIAAAAHMzYuODg3MwDJMHQT9+feCCkCqy/3594II0NJUS5JUVQ2MDM4OTUxNi5JUV9DRFNfTUlELjIyLzA3LzI1AQAAAKXwwwECAAAABjguMTY2NwDJMHQT9+feCNH3py/3594II0NJUS5JUVQ0NjIwMDMxNy5JUV9DRFNfTUlELjEyLzA3LzI2AQAAAP5UDQACAAAABzY1LjQ2MTcAbQYnE/fn3ggoTp0v9+feCCNDSVEuSVFUNDYyMjM2NDYuSVFfQ0RTX01JRC4yMi8wNy8yNQEAAAAbeAQAAgAAAAc0OC40OTgzAMkwdBP3594I0fenL/fn3ggjQ0lRLklRVDQ2MjYyMzc4LklRX0NEU19NSUQuMDkvMDcvMjYBAAAAQNKJAQIAAAAHMTcuOTM3NQDJMHQT9+feCF5zmC/3594II0NJUS5JUVQ3OTYzOTkxMy5JUV9DRFNfTUlELjEyLzA3LzI2AQAAACBjHAICAAAABjcuOTE2MwDJMHQT9+feCOnEmy/3594II0NJUS5JUVQ3OTYz</t>
  </si>
  <si>
    <t>OTk1My5JUV9DRFNfTUlELjEyLzA3LzI2AQAAADSbVgECAAAABzI0LjkxOTEAyTB0E/fn3gjpxJsv9+feCCNDSVEuSVFUNDYyMDA0MTIuSVFfQ0RTX01JRC4xNi8wNy8yNgEAAABjQwYAAgAAAAc0NS4zNTU1AMkwdBP3594IzvKmL/fn3ggkQ0lRLklRVDI1NDk1NTIzMy5JUV9DRFNfTUlELjE5LzA3LzI2AQAAADlWCgACAAAABzQzLjMzODYAyTB0E/fn3ghUV6Av9+feCCRDSVEuSVFUMjYzMjEzMTMyLklRX0NEU19NSUQuMTEvMDcvMjYBAAAA4ZoIAAIAAAAHNTQuOTk0NADJMHQT9+feCLPYni/3594II0NJUS5JUVQ0NjIyNTM3NC5JUV9DRFNfTUlELjE0LzA3LzI2AQAAALXWBQACAAAABzM4Ljc2NTYAyTB0E/fn3ggMcqkv9+feCCNDSVEuSVFUNzk2MzQ5MDEuSVFfQ0RTX01JRC4xNi8wNy8yNgEAAACcBhAAAgAAAAc0MS4wNTI1AMkwdBP3594IzvKmL/fn3ggjQ0lRLklRVDYyMjcwMTA3LklRX0NEU19NSUQuMTkvMDcvMjYBAAAAFVkAAAIAAAAHNDEuMzEyNQDJMHQT9+feCBHloS/3594II0NJUS5JUVQ0NjIyNTcxNS5JUV9DRFNfTUlELjExLzA3LzI2AQAAALflBAACAAAABzQwLjI3NjYAyTB0E/fn3giz2J4v9+feCCNDSVEuSVFUNDYyMDAzNjQuSVFfQ0RTX01JRC4xNC8wNy8yNgEAAABXhggAAgAAAAUyNS4wMgDJMHQT9+feCD48qi/3594II0NJUS5JUVQ0NjIwNzc4OS5JUV9DRFNfTUlELjEzLzA3LzI2</t>
  </si>
  <si>
    <t>AQAAACpYowECAAAABzI2LjY3OTEAyTB0E/fn3ggpAqsv9+feCCNDSVEuSVFUNDYyMTQ4NzkuSVFfQ0RTX01JRC4yMi8wNy8yNQEAAAD1GjcAAgAAAAc2Ni40MDAzAMkwdBP3594I0fenL/fn3ggjQ0lRLklRVDc5NjQwMDI0LklRX0NEU19NSUQuMjIvMDQvMjYBAAAANY+bAQIAAAAGOC45MjI1AMkwdBP3594IfF2jL/fn3ggkQ0lRLklRVDMxMzMxMDg1NC5JUV9DRFNfTUlELjIyLzA0LzI2AQAAAK9UDQACAAAABDYzLjUAbQYnE/fn3gjHiaQv9+feCCNDSVEuSVFUNDYyMTk5MjIuSVFfQ0RTX01JRC4yMi8wNy8yNQEAAADWRzkBAgAAAAY5LjY4MzcAyTB0E/fn3gjR96cv9+feCCNDSVEuSVFUNDYxOTYyMjUuSVFfQ0RTX01JRC4xMi8wNy8yNgEAAAC+VaMBAgAAAAcxNy40Mjc0AMkwdBP3594I6cSbL/fn3ggjQ0lRLklRVDQ2MjEzNDcyLklRX0NEU19NSUQuMTMvMDcvMjYBAAAAuVo4AAIAAAAGMTQuOTczAMkwdBP3594IKQKrL/fn3ggjQ0lRLklRVDQ2MjAzMzMyLklRX0NEU19NSUQuMTIvMDcvMjYBAAAAXx43AAIAAAAFMTEuMjUAyTB0E/fn3gjpxJsv9+feCCNDSVEuSVFUNDYyMjUzNzQuSVFfQ0RTX01JRC4xMi8wNy8yNgEAAAC11gUAAgAAAAczOC4wMzQ5AMkwdBP3594IKE6dL/fn3ggjQ0lRLklRVDYwMzg4MDU3LklRX0NEU19NSUQuMjIvMDcvMjUBAAAA38l9AQIAAAAHNDYuNDg2NQDJMHQT9+feCNH3</t>
  </si>
  <si>
    <t>py/3594IJENJUS5JUVQyODYwOTYxMzEuSVFfQ0RTX01JRC4xMC8wNy8yNgEAAAA78QQAAgAAAAc2MC4xODk0AMkwdBP3594IfKyXL/fn3ggjQ0lRLklRVDQ2MjA3Nzg5LklRX0NEU19NSUQuMDgvMDcvMjYBAAAAKlijAQIAAAAHMjYuNzU4NwDJMHQT9+feCPe4ny/3594II0NJUS5JUVQ0NjQ3MDg3Ny5JUV9DRFNfTUlELjIyLzA3LzI1AQAAAEI3BwACAAAABzU2LjA0OTgAyTB0E/fn3gjR96cv9+feCCRDSVEuSVFUMzEzMzE3MzQ0LklRX0NEU19NSUQuMTIvMDcvMjYBAAAA8awBAAIAAAAHNjAuNTAwMwBtBicT9+feCChOnS/3594II0NJUS5JUVQ0NjE5OTg0MS5JUV9DRFNfTUlELjA4LzA3LzI2AQAAAOswBgADAAAAAADJMHQT9+feCFRXoC/3594II0NJUS5JUVQ0NjIyMDgwMy5JUV9DRFNfTUlELjIyLzA0LzI2AQAAANbJNgACAAAABzQ5Ljk4MTkAyTB0E/fn3gjdIqQv9+feCCNDSVEuSVFUNDYyMDMzMzIuSVFfQ0RTX01JRC4yMS8wNy8yNgEAAABfHjcAAgAAAAcxMS4xNjY3AMkwdBP3594IVK6YL/fn3ggjQ0lRLklRVDQ2MjI1Mzc0LklRX0NEU19NSUQuMTMvMDcvMjYBAAAAtdYFAAIAAAAFMzguNDYAyTB0E/fn3ggpAqsv9+feCCNDSVEuSVFUNDYyMTQ5NTQuSVFfQ0RTX01JRC4xMi8wNy8yNgEAAAA6PTkBAgAAAAYxNC4xMjUAyTB0E/fn3gjpxJsv9+feCCRDSVEuSVFUMzIzNjgwMTMwLklRX0NEU19N</t>
  </si>
  <si>
    <t>SUQuMjIvMDcvMjUBAAAAceECAAIAAAAHNTAuMTQxNwDJMHQT9+feCNH3py/3594II0NJUS5JUVQ0NjIwNzU3MS5JUV9DRFNfTUlELjIxLzA3LzI2AQAAAG3vNQACAAAABzMwLjAwMTgAyTB0E/fn3ghUrpgv9+feCCNDSVEuSVFUNDYyMDczMDguSVFfQ0RTX01JRC4xOC8wNy8yNgEAAAA5iXoBAgAAAAcxNC41NjI1AMkwdBP3594IyiCiL/fn3ggjQ0lRLklRVDQ2MjE1MTExLklRX0NEU19NSUQuMjEvMDcvMjYBAAAAoEuyAQIAAAAHMzcuMzM5MwDJMHQT9+feCFSumC/3594II0NJUS5JUVQ1MTAyMzI2MC5JUV9DRFNfTUlELjE4LzA3LzI2AQAAALERfwECAAAABzE0LjA0NTgAyTB0E/fn3gjKIKIv9+feCCNDSVEuSVFUNDYyMjIyOTIuSVFfQ0RTX01JRC4xMC8wNy8yNgEAAADRkZsBAgAAAAg3NTkuODU1NwDJMHQT9+feCA4xly/3594II0NJUS5JUVQ0NjIwNDMwMC5JUV9DRFNfTUlELjA4LzA3LzI2AQAAAPYlfQACAAAABjcuMDMxNQDJMHQT9+feCLPYni/3594II0NJUS5JUVQ0NjIwODYzNC5JUV9DRFNfTUlELjEzLzA3LzI2AQAAAAMfwgACAAAABzIyLjc3MzQAyTB0E/fn3ggpAqsv9+feCCNDSVEuSVFUNDYyMjIyOTIuSVFfQ0RTX01JRC4yMi8wNy8yNQEAAADRkZsBAgAAAAoxNDc4Ny4zMjkzAMkwdBP3594I0fenL/fn3ggjQ0lRLklRVDQ2MjA2Nzc5LklRX0NEU19NSUQuMjIvMDQvMjYBAAAA/O82AAIA</t>
  </si>
  <si>
    <t>AAAHMTYuODEyNQDJMHQT9+feCHxdoy/3594II0NJUS5JUVQ0NjIxMzQ3Mi5JUV9DRFNfTUlELjIxLzA3LzI2AQAAALlaOAACAAAABzE1LjAzMTUAyTB0E/fn3ghUrpgv9+feCCNDSVEuSVFUNDYyMTAwMzIuSVFfQ0RTX01JRC4xOC8wNy8yNgEAAACPVaMBAgAAAAczNy4zMDUxAMkwdBP3594IyiCiL/fn3ggjQ0lRLklRVDQ2MjA3Nzg5LklRX0NEU19NSUQuMTAvMDcvMjYBAAAAKlijAQIAAAAHMjYuNTE2MwDJMHQT9+feCA4xly/3594II0NJUS5JUVQ0NjIwNDg4NC5JUV9DRFNfTUlELjA4LzA3LzI2AQAAAIFRwAECAAAABDI5LjUAyTB0E/fn3giz2J4v9+feCCNDSVEuSVFUNDYyMjA4MDMuSVFfQ0RTX01JRC4xMy8wNy8yNgEAAADWyTYAAgAAAAc0MS4zNjc4AMkwdBP3594IKQKrL/fn3ggjQ0lRLklRVDc5NjM5OTUzLklRX0NEU19NSUQuMjIvMDcvMjUBAAAANJtWAQIAAAAHMzQuMzIwNQDJMHQT9+feCNH3py/3594II0NJUS5JUVQ0NjI2MjM3OC5JUV9DRFNfTUlELjIyLzA0LzI2AQAAAEDSiQECAAAABzE4LjQzNzUAyTB0E/fn3gh8XaMv9+feCCNDSVEuSVFUNDYyMjYxMzIuSVFfQ0RTX01JRC4yMS8wNy8yNgEAAADdWQAAAgAAAAU0NC43NADJMHQT9+feCEQ7mi/3594II0NJUS5JUVQ0NjIyNDc0MC5JUV9DRFNfTUlELjE4LzA3LzI2AQAAANNyCAACAAAABzM1LjIzMzcAyTB0E/fn3gjKIKIv9+feCCND</t>
  </si>
  <si>
    <t>SVEuSVFUNDYyMjUwMDYuSVFfQ0RTX01JRC4xMC8wNy8yNgEAAAD4VQ0AAgAAAAc0MS40MTkxAMkwdBP3594Ic4WXL/fn3ggjQ0lRLklRVDQ2MTk0OTk1LklRX0NEU19NSUQuMjAvMDcvMjYBAAAAbhAxAAIAAAAGMTAuOTk1AMkwdBP3594IEtqaL/fn3ggjQ0lRLklRVDQ5NzUxMTk2LklRX0NEU19NSUQuMTcvMDcvMjYBAAAAzZm9AAIAAAAHNDEuODMzMwDJMHQT9+feCCP1pC/3594II0NJUS5JUVQ0NjIxMDU2MC5JUV9DRFNfTUlELjA5LzA3LzI2AQAAAPYaNwACAAAABzg1LjExMTUAyTB0E/fn3gi+IZgv9+feCCRDSVEuSVFUMzIzNjgwMTMwLklRX0NEU19NSUQuMDgvMDcvMjYBAAAAceECAAIAAAAHNTIuNTYyNADJMHQT9+feCPe4ny/3594II0NJUS5JUVQ0NjIwMDI3Ni5JUV9DRFNfTUlELjE3LzA3LzI2AQAAAJZ3fAECAAAABzI5LjUxMDMAyTB0E/fn3ggj9aQv9+feCCRDSVEuSVFUMjYzMjEzMTMyLklRX0NEU19NSUQuMTMvMDcvMjYBAAAA4ZoIAAIAAAAHNTUuMzI5NwDJMHQT9+feCCkCqy/3594II0NJUS5JUVQ0OTc1MTE5Ni5JUV9DRFNfTUlELjIyLzA0LzI2AQAAAM2ZvQACAAAABzM3LjkxNjcAyTB0E/fn3gh8XaMv9+feCCNDSVEuSVFUNDk3NTExOTYuSVFfQ0RTX01JRC4xNi8wNy8yNgEAAADNmb0AAgAAAAc0MS45MzgzAMkwdBP3594ID6ulL/fn3ggjQ0lRLklRVDYwMzg5NTE2LklRX0NEU19N</t>
  </si>
  <si>
    <t>SUQuMTYvMDcvMjYBAAAApfDDAQIAAAAGNy4yNDg4AMkwdBP3594I13emL/fn3ggkQ0lRLklRVDMyMzY4MDEzMC5JUV9DRFNfTUlELjE2LzA3LzI2AQAAAHHhAgACAAAABzUxLjQzNjQAyTB0E/fn3gjO8qYv9+feCCRDSVEuSVFUMzEzMzE1NDI5LklRX0NEU19NSUQuMTYvMDcvMjYBAAAAOecFAAIAAAAHNjIuMTY2NgBtBicT9+feCM7ypi/3594II0NJUS5JUVQ0NjIwNjc3OS5JUV9DRFNfTUlELjIxLzA3LzI2AQAAAPzvNgACAAAABzE2LjA2MjUAyTB0E/fn3ghUrpgv9+feCCNDSVEuSVFUNDYyMTg2NzQuSVFfQ0RTX01JRC4yMS8wNy8yNgEAAABXyjYAAgAAAAgxMjkuNjQ3NwDJMHQT9+feCEQ7mi/3594II0NJUS5JUVQ0NjIyNTcxNS5JUV9DRFNfTUlELjIxLzA3LzI2AQAAALflBAACAAAABzQzLjM5MzEAyTB0E/fn3ghEO5ov9+feCCNDSVEuSVFUNDYyMDQ4ODQuSVFfQ0RTX01JRC4yMC8wNy8yNgEAAACBUcABAgAAAAYyOS42MjUAyTB0E/fn3ggS2pov9+feCCNDSVEuSVFUNDYyMDc3ODkuSVFfQ0RTX01JRC4yMC8wNy8yNgEAAAAqWKMBAgAAAAYyNi44MzgAyTB0E/fn3ggS2pov9+feCCRDSVEuSVFUMjg2MDk2MTMxLklRX0NEU19NSUQuMjAvMDcvMjYBAAAAO/EEAAIAAAAFNjAuMjUAyTB0E/fn3gjpxJsv9+feCCNDSVEuSVFUNDYyMTA1NjAuSVFfQ0RTX01JRC4xOS8wNy8yNgEAAAD2GjcAAgAAAAc4</t>
  </si>
  <si>
    <t>Ni45NTQxAMkwdBP3594IVFegL/fn3ggjQ0lRLklRVDQ2MjE5OTIyLklRX0NEU19NSUQuMTkvMDcvMjYBAAAA1kc5AQIAAAAENy4yNQDJMHQT9+feCFRXoC/3594II0NJUS5JUVQ0NjIyMzY0Ni5JUV9DRFNfTUlELjE5LzA3LzI2AQAAABt4BAACAAAABzQ5Ljc2NjQAyTB0E/fn3ghUV6Av9+feCCRDSVEuSVFUMzEzMzE0OTc2LklRX0NEU19NSUQuMTkvMDcvMjYBAAAAbUoAAAIAAAAHNTcuODM2NABtBicT9+feCBHloS/3594II0NJUS5JUVQ0NjIxODUxNi5JUV9DRFNfTUlELjE4LzA3LzI2AQAAAKZVowECAAAABzM1LjQxNzIAyTB0E/fn3gjKIKIv9+feCCNDSVEuSVFUNDYyMjA4MDMuSVFfQ0RTX01JRC4xOC8wNy8yNgEAAADWyTYAAgAAAAc0Mi41MDA1AMkwdBP3594IyiCiL/fn3ggjQ0lRLklRVDQ2MjAwMzY0LklRX0NEU19NSUQuMTgvMDcvMjYBAAAAV4YIAAIAAAAFMjUuMTYAyTB0E/fn3gjKIKIv9+feCCNDSVEuSVFUNDYxOTQ5OTUuSVFfQ0RTX01JRC4xNi8wNy8yNgEAAABuEDEAAgAAAAQxMC45AMkwdBP3594ID6ulL/fn3ggjQ0lRLklRVDQ2MjIyMjkyLklRX0NEU19NSUQuMTYvMDcvMjYBAAAA0ZGbAQIAAAAINzYwLjU3MjMAyTB0E/fn3gjXd6Yv9+feCCNDSVEuSVFUNDYyMjUwMDYuSVFfQ0RTX01JRC4xNi8wNy8yNgEAAAD4VQ0AAgAAAAc0Mi41NDM4AMkwdBP3594IzvKmL/fn3ggjQ0lRLklR</t>
  </si>
  <si>
    <t>VDQ2MjIwMzI5LklRX0NEU19NSUQuMTYvMDcvMjYBAAAA21sAAAIAAAACNTYAbQYnE/fn3gjO8qYv9+feCCNDSVEuSVFUNDYyNjIzNzguSVFfQ0RTX01JRC4yMS8wNy8yNgEAAABA0okBAgAAAAYxOC4wNjYAyTB0E/fn3ghUrpgv9+feCCNDSVEuSVFUNDYxOTc2OTQuSVFfQ0RTX01JRC4yMS8wNy8yNgEAAAAH+gUAAgAAAAc1Mi4xMjg0AMkwdBP3594IRDuaL/fn3ggjQ0lRLklRVDYyMjcwMTA3LklRX0NEU19NSUQuMjEvMDcvMjYBAAAAFVkAAAIAAAAHNDEuMzM5NQDJMHQT9+feCEQ7mi/3594II0NJUS5JUVQ0NjIwNzMwOC5JUV9DRFNfTUlELjIwLzA3LzI2AQAAADmJegECAAAABDE0LjUAyTB0E/fn3ggS2pov9+feCCNDSVEuSVFUNDYyMTAwMzIuSVFfQ0RTX01JRC4yMC8wNy8yNgEAAACPVaMBAgAAAAczNi42NjY5AMkwdBP3594IEtqaL/fn3ggjQ0lRLklRVDQ2MjI1Mzc0LklRX0NEU19NSUQuMjAvMDcvMjYBAAAAtdYFAAIAAAAHMzkuMDc3NwDJMHQT9+feCOnEmy/3594II0NJUS5JUVQ0OTc1MTE5Ni5JUV9DRFNfTUlELjE5LzA3LzI2AQAAAM2ZvQACAAAABzQxLjgzMzMAyTB0E/fn3ghUV6Av9+feCCNDSVEuSVFUNjAzODk1MTYuSVFfQ0RTX01JRC4xOS8wNy8yNgEAAACl8MMBAgAAAAY3LjI0NzcAyTB0E/fn3ghUV6Av9+feCCRDSVEuSVFUMzIzNjgwMTMwLklRX0NEU19NSUQuMTkvMDcvMjYBAAAA</t>
  </si>
  <si>
    <t>ceECAAIAAAAHNTEuNDQ3OADJMHQT9+feCFRXoC/3594IJENJUS5JUVQzMTMzMTU0MjkuSVFfQ0RTX01JRC4xOS8wNy8yNgEAAAA55wUAAgAAAAc2Mi4xMjg2AG0GJxP3594IEeWhL/fn3ggjQ0lRLklRVDQ2MjA2Nzc5LklRX0NEU19NSUQuMTgvMDcvMjYBAAAA/O82AAIAAAAEMTYuNQDJMHQT9+feCMogoi/3594II0NJUS5JUVQ0NjIxODY3NC5JUV9DRFNfTUlELjE4LzA3LzI2AQAAAFfKNgACAAAACDEyOS4yNzg1AMkwdBP3594IyiCiL/fn3ggjQ0lRLklRVDQ2MjI1NzE1LklRX0NEU19NSUQuMTgvMDcvMjYBAAAAt+UEAAIAAAAHNDMuNDMzOQDJMHQT9+feCMogoi/3594II0NJUS5JUVQ0NjIwNDg4NC5JUV9DRFNfTUlELjE3LzA3LzI2AQAAAIFRwAECAAAABjI5LjYyNQDJMHQT9+feCCP1pC/3594II0NJUS5JUVQ0NjIwNzc4OS5JUV9DRFNfTUlELjE3LzA3LzI2AQAAACpYowECAAAABzI2LjY4NzkAyTB0E/fn3ggj9aQv9+feCCRDSVEuSVFUMjg2MDk2MTMxLklRX0NEU19NSUQuMTcvMDcvMjYBAAAAO/EEAAIAAAAHNjAuNjY2NwDJMHQT9+feCA+rpS/3594II0NJUS5JUVQ0NjIxMDU2MC5JUV9DRFNfTUlELjExLzA3LzI2AQAAAPYaNwACAAAABzg0LjY1NDcAyTB0E/fn3ggoTp0v9+feCCNDSVEuSVFUNDYyMTk5MjIuSVFfQ0RTX01JRC4xMS8wNy8yNgEAAADWRzkBAgAAAAY2LjcyNzYAyTB0E/fn3ggK</t>
  </si>
  <si>
    <t>YZ4v9+feCCNDSVEuSVFUNDYyMjM2NDYuSVFfQ0RTX01JRC4xMS8wNy8yNgEAAAAbeAQAAgAAAAc0OS40MzExAMkwdBP3594ICmGeL/fn3ggkQ0lRLklRVDMxMzMxNDk3Ni5JUV9DRFNfTUlELjExLzA3LzI2AQAAAG1KAAACAAAABDU2LjUAbQYnE/fn3giz2J4v9+feCCNDSVEuSVFUNDYyMjA4MDMuSVFfQ0RTX01JRC4xMC8wNy8yNgEAAADWyTYAAgAAAAc0MS4xMDY0AMkwdBP3594IYF6XL/fn3ggjQ0lRLklRVDQ2MjAwMzY0LklRX0NEU19NSUQuMTAvMDcvMjYBAAAAV4YIAAIAAAAFMjQuODYAyTB0E/fn3gif05cv9+feCCNDSVEuSVFUNDYyMDQzMDAuSVFfQ0RTX01JRC4wOS8wNy8yNgEAAAD2JX0AAgAAAAY3LjAwNzkAyTB0E/fn3gjCSJgv9+feCCNDSVEuSVFUNjAzODgwNTcuSVFfQ0RTX01JRC4wOS8wNy8yNgEAAADfyX0BAwAAAAAAyTB0E/fn3ghUrpgv9+feCCNDSVEuSVFUNDYxOTk4NDEuSVFfQ0RTX01JRC4wOS8wNy8yNgEAAADrMAYAAwAAAAAAyTB0E/fn3ghUrpgv9+feCCRDSVEuSVFUMzEzMzEwMTg0LklRX0NEU19NSUQuMTQvMDcvMjYBAAAAYEQ+AAIAAAAHMTEuMjEwMQDJMHQT9+feCHbAqC/3594II0NJUS5JUVQ0NjIxNDg3OS5JUV9DRFNfTUlELjE0LzA3LzI2AQAAAPUaNwACAAAABzUwLjUzNjYAyTB0E/fn3ggMcqkv9+feCCNDSVEuSVFUNDY0NzA4NzcuSVFfQ0RTX01JRC4xNC8wNy8y</t>
  </si>
  <si>
    <t>NgEAAABCNwcAAgAAAAc1Ni43NDExAMkwdBP3594IDHKpL/fn3ggkQ0lRLklRVDMxMzMxMDg1NC5JUV9DRFNfTUlELjE0LzA3LzI2AQAAAK9UDQACAAAABDYxLjUAbQYnE/fn3gg+PKov9+feCCNDSVEuSVFUNDYyMTQ5NTQuSVFfQ0RTX01JRC4wOC8wNy8yNgEAAAA6PTkBAgAAAAcxNC4zMTI1AMkwdBP3594Is9ieL/fn3ggjQ0lRLklRVDQ2MjA4NjM0LklRX0NEU19NSUQuMDgvMDcvMjYBAAAAAx/CAAIAAAAHMjIuNDY4OADJMHQT9+feCPe4ny/3594II0NJUS5JUVQ0NjIyNTA4My5JUV9DRFNfTUlELjA4LzA3LzI2AQAAAFZEBgACAAAABDM3LjIAyTB0E/fn3ghUV6Av9+feCCNDSVEuSVFUNDYxOTcxMzguSVFfQ0RTX01JRC4xMy8wNy8yNgEAAADulDgBAgAAAAcxMjQuNzMyAMkwdBP3594IPjyqL/fn3ggjQ0lRLklRVDUxMDIzNDgwLklRX0NEU19NSUQuMTMvMDcvMjYBAAAAwkXxAQIAAAAGNC40OTU4AMkwdBP3594IPjyqL/fn3ggjQ0lRLklRVDQ2MjA0OTU3LklRX0NEU19NSUQuMTMvMDcvMjYBAAAAIRUGAAIAAAAHNTQuMTI2MgDJMHQT9+feCCkCqy/3594II0NJUS5JUVQ2MjI3MDEwNi5JUV9DRFNfTUlELjEzLzA3LzI2AQAAAK13gwACAAAABzc1LjIxMzgAbQYnE/fn3ggpAqsv9+feCCNDSVEuSVFUNzk2NDAwMjQuSVFfQ0RTX01JRC4yMi8wNy8yNQEAAAA1j5sBAgAAAAYxMC40NzUAyTB0E/fn3gjR</t>
  </si>
  <si>
    <t>96cv9+feCCRDSVEuSVFUMzEzMzA1ODc5LklRX0NEU19NSUQuMjIvMDcvMjUBAAAAhNbcAQIAAAAGMy4yNzI1AMkwdBP3594I0fenL/fn3ggjQ0lRLklRVDQ2MjAwNDEyLklRX0NEU19NSUQuMjIvMDcvMjUBAAAAY0MGAAIAAAAFNTMuNzUAyTB0E/fn3gh2wKgv9+feCCNDSVEuSVFUNDYyMDMzMzIuSVFfQ0RTX01JRC4yMi8wNC8yNgEAAABfHjcAAgAAAAUxMi43NQDJMHQT9+feCHxdoy/3594II0NJUS5JUVQ0NjIxNTExMS5JUV9DRFNfTUlELjIyLzA0LzI2AQAAAKBLsgECAAAABzQzLjE5NDMAyTB0E/fn3gh8XaMv9+feCCNDSVEuSVFUNDYyMjYxMzIuSVFfQ0RTX01JRC4yMi8wNC8yNgEAAADdWQAAAgAAAAc0NC4wMzI1AMkwdBP3594I3SKkL/fn3ggkQ0lRLklRVDMxMzMxMzUyNC5JUV9DRFNfTUlELjIyLzA0LzI2AQAAAO9VDQACAAAABzU0LjIwMDkAbQYnE/fn3gjHiaQv9+feCCNDSVEuSVFUNDYxOTYyMjUuSVFfQ0RTX01JRC4xNi8wNy8yNgEAAAC+VaMBAgAAAAYxNy4zNzUAyTB0E/fn3ggPq6Uv9+feCCNDSVEuSVFUNTEwMjMyNjAuSVFfQ0RTX01JRC4xNi8wNy8yNgEAAACxEX8BAgAAAAIxNADJMHQT9+feCNd3pi/3594II0NJUS5JUVQ0NjIyNDc0MC5JUV9DRFNfTUlELjE2LzA3LzI2AQAAANNyCAACAAAABTM1LjA2AMkwdBP3594IzvKmL/fn3ggkQ0lRLklRVDMxMzMxNzM0NC5JUV9DRFNfTUlE</t>
  </si>
  <si>
    <t>LjE2LzA3LzI2AQAAAPGsAQACAAAABzYwLjIxOTUAbQYnE/fn3gjO8qYv9+feCCNDSVEuSVFUNDYyMDAyNzYuSVFfQ0RTX01JRC4yMS8wNy8yNgEAAACWd3wBAgAAAAcyOS4zNDkzAMkwdBP3594IVK6YL/fn3ggjQ0lRLklRVDQ2MTk1NDkxLklRX0NEU19NSUQuMjEvMDcvMjYBAAAAaUoAAAIAAAAHNTUuMzcxNADJMHQT9+feCEQ7mi/3594II0NJUS5JUVQ3OTYzNDkwMS5JUV9DRFNfTUlELjIxLzA3LzI2AQAAAJwGEAACAAAABzQxLjAwODQAyTB0E/fn3ghEO5ov9+feCCNDSVEuSVFUNDYyMDc1NzEuSVFfQ0RTX01JRC4yMC8wNy8yNgEAAABt7zUAAgAAAAQzMC4zAMkwdBP3594IEtqaL/fn3ggjQ0lRLklRVDQ2MjEzNDcyLklRX0NEU19NSUQuMjAvMDcvMjYBAAAAuVo4AAIAAAAGMTUuMDIzAMkwdBP3594IEtqaL/fn3ggkQ0lRLklRVDI2MzIxMzEzMi5JUV9DRFNfTUlELjIwLzA3LzI2AQAAAOGaCAACAAAABzU1LjY4ODgAyTB0E/fn3gjpxJsv9+feCCNDSVEuSVFUNDYxOTQ5OTUuSVFfQ0RTX01JRC4xOS8wNy8yNgEAAABuEDEAAgAAAAUxMC45OADJMHQT9+feCFRXoC/3594II0NJUS5JUVQ0NjIyMjI5Mi5JUV9DRFNfTUlELjE5LzA3LzI2AQAAANGRmwECAAAACDc2MC44MTQ4AMkwdBP3594IVFegL/fn3ggjQ0lRLklRVDQ2MjI1MDA2LklRX0NEU19NSUQuMTkvMDcvMjYBAAAA+FUNAAIAAAAHNDMuNTQ4</t>
  </si>
  <si>
    <t>OADJMHQT9+feCFRXoC/3594II0NJUS5JUVQ0NjIyMDMyOS5JUV9DRFNfTUlELjE5LzA3LzI2AQAAANtbAAACAAAAAjU2AG0GJxP3594IEeWhL/fn3ggjQ0lRLklRVDQ2MjYyMzc4LklRX0NEU19NSUQuMTgvMDcvMjYBAAAAQNKJAQIAAAAGMTguMzc1AMkwdBP3594IyiCiL/fn3ggjQ0lRLklRVDQ2MTk3Njk0LklRX0NEU19NSUQuMTgvMDcvMjYBAAAAB/oFAAIAAAAHNTMuNjY5MgDJMHQT9+feCMogoi/3594II0NJUS5JUVQ2MjI3MDEwNy5JUV9DRFNfTUlELjE4LzA3LzI2AQAAABVZAAACAAAABzQxLjMxMjUAyTB0E/fn3gjKIKIv9+feCCNDSVEuSVFUNDYyMDczMDguSVFfQ0RTX01JRC4xNy8wNy8yNgEAAAA5iXoBAgAAAAcxNC41NjI1AMkwdBP3594II/WkL/fn3ggjQ0lRLklRVDQ2MjEwMDMyLklRX0NEU19NSUQuMTcvMDcvMjYBAAAAj1WjAQIAAAAHMzcuMzA1MQDJMHQT9+feCCP1pC/3594II0NJUS5JUVQ0NjIyNTM3NC5JUV9DRFNfTUlELjE3LzA3LzI2AQAAALXWBQACAAAABzM5LjAzNjcAyTB0E/fn3ggPq6Uv9+feCCNDSVEuSVFUNDk3NTExOTYuSVFfQ0RTX01JRC4xMS8wNy8yNgEAAADNmb0AAgAAAAc0MS44MzMzAMkwdBP3594IKE6dL/fn3ggjQ0lRLklRVDYwMzg5NTE2LklRX0NEU19NSUQuMTEvMDcvMjYBAAAApfDDAQIAAAAGNy4yNDMzAMkwdBP3594ICmGeL/fn3ggkQ0lRLklRVDMyMzY4</t>
  </si>
  <si>
    <t>MDEzMC5JUV9DRFNfTUlELjExLzA3LzI2AQAAAHHhAgACAAAABzUyLjUzMzUAyTB0E/fn3giz2J4v9+feCCRDSVEuSVFUMzEzMzE1NDI5LklRX0NEU19NSUQuMTEvMDcvMjYBAAAAOecFAAIAAAAHNjIuMTAwOQBtBicT9+feCLPYni/3594II0NJUS5JUVQ0NjIxODY3NC5JUV9DRFNfTUlELjEwLzA3LzI2AQAAAFfKNgACAAAACDEyMy4zMzc4AMkwdBP3594IYF6XL/fn3ggjQ0lRLklRVDQ2MjI1NzE1LklRX0NEU19NSUQuMTAvMDcvMjYBAAAAt+UEAAIAAAAHNDAuMjc2NgDJMHQT9+feCJ/Tly/3594II0NJUS5JUVQ0NjIwNDg4NC5JUV9DRFNfTUlELjA5LzA3LzI2AQAAAIFRwAECAAAABzI5LjQ0ODQAyTB0E/fn3gjCSJgv9+feCCNDSVEuSVFUNDYyMDc3ODkuSVFfQ0RTX01JRC4wOS8wNy8yNgEAAAAqWKMBAgAAAAcyNi41ODMzAMkwdBP3594IVK6YL/fn3ggkQ0lRLklRVDI4NjA5NjEzMS5JUV9DRFNfTUlELjA5LzA3LzI2AQAAADvxBAACAAAABzYwLjgzNzcAyTB0E/fn3ghUrpgv9+feCCNDSVEuSVFUNDYyMTA1NjAuSVFfQ0RTX01JRC4xNC8wNy8yNgEAAAD2GjcAAgAAAAc4NS40NDM1AMkwdBP3594IdsCoL/fn3ggjQ0lRLklRVDQ2MjE5OTIyLklRX0NEU19NSUQuMTQvMDcvMjYBAAAA1kc5AQIAAAAENy4yNQDJMHQT9+feCAxyqS/3594II0NJUS5JUVQ0NjIyMzY0Ni5JUV9DRFNfTUlELjE0LzA3LzI2</t>
  </si>
  <si>
    <t>AQAAABt4BAACAAAABzQ5Ljg1MDIAyTB0E/fn3ggMcqkv9+feCCRDSVEuSVFUMzEzMzE0OTc2LklRX0NEU19NSUQuMTQvMDcvMjYBAAAAbUoAAAIAAAAENTYuNQBtBicT9+feCD48qi/3594II0NJUS5JUVQ0NjIxODUxNi5JUV9DRFNfTUlELjA4LzA3LzI2AQAAAKZVowECAAAABzM3LjE4NzMAyTB0E/fn3giz2J4v9+feCCNDSVEuSVFUNDYyMjA4MDMuSVFfQ0RTX01JRC4wOC8wNy8yNgEAAADWyTYAAgAAAAc0MS43MjU3AMkwdBP3594I97ifL/fn3ggjQ0lRLklRVDQ2MjAwMzY0LklRX0NEU19NSUQuMDgvMDcvMjYBAAAAV4YIAAIAAAACMjUAyTB0E/fn3ghUV6Av9+feCCRDSVEuSVFUMzEzMzEwMTg0LklRX0NEU19NSUQuMTMvMDcvMjYBAAAAYEQ+AAIAAAAHMTEuMjAwOADJMHQT9+feCD48qi/3594II0NJUS5JUVQ0NjIxNDg3OS5JUV9DRFNfTUlELjEzLzA3LzI2AQAAAPUaNwACAAAABjUwLjU1OADJMHQT9+feCD48qi/3594II0NJUS5JUVQ0NjQ3MDg3Ny5JUV9DRFNfTUlELjEzLzA3LzI2AQAAAEI3BwACAAAABzU1Ljc2OTMAyTB0E/fn3ggpAqsv9+feCCRDSVEuSVFUMzEzMzEwODU0LklRX0NEU19NSUQuMTMvMDcvMjYBAAAAr1QNAAIAAAAENjEuNQBtBicT9+feCCkCqy/3594II0NJUS5JUVQ0NjIxNDk1NC5JUV9DRFNfTUlELjIyLzA3LzI1AQAAADo9OQECAAAABzIzLjE2NjcAyTB0E/fn3gjR96cv</t>
  </si>
  <si>
    <t>9+feCCNDSVEuSVFUNDYyMDg2MzQuSVFfQ0RTX01JRC4yMi8wNy8yNQEAAAADH8IAAgAAAAcyMy42MTQzAMkwdBP3594I0fenL/fn3ggjQ0lRLklRVDQ2MjI1MDgzLklRX0NEU19NSUQuMjIvMDcvMjUBAAAAVkQGAAIAAAAHNDMuNTQxNwDJMHQT9+feCHbAqC/3594II0NJUS5JUVQ0NjIwMzcxNC5JUV9DRFNfTUlELjIyLzA0LzI2AQAAAF8FNQACAAAABzI3LjE2MzUAyTB0E/fn3gh8XaMv9+feCCNDSVEuSVFUNzk2Mzk5NTMuSVFfQ0RTX01JRC4yMi8wNC8yNgEAAAA0m1YBAgAAAAcyNS45OTE2AMkwdBP3594IfF2jL/fn3ggkQ0lRLklRVDUyODkzNjgxMi5JUV9DRFNfTUlELjIyLzA0LzI2AQAAAGxbBgACAAAABzU2LjA1MTMAyTB0E/fn3gjHiaQv9+feCCNDSVEuSVFUNDYxOTcxMzguSVFfQ0RTX01JRC4xMi8wNy8yNgEAAADulDgBAgAAAAgxMjMuNjYwNwDJMHQT9+feCOnEmy/3594II0NJUS5JUVQ1MTAyMzQ4MC5JUV9DRFNfTUlELjEyLzA3LzI2AQAAAMJF8QECAAAABjQuNDk5NgDJMHQT9+feCOnEmy/3594II0NJUS5JUVQ0NjIwNDk1Ny5JUV9DRFNfTUlELjEyLzA3LzI2AQAAACEVBgACAAAABzUzLjg2MjcAyTB0E/fn3gicSZ0v9+feCCNDSVEuSVFUNjIyNzAxMDYuSVFfQ0RTX01JRC4xMi8wNy8yNgEAAACtd4MAAgAAAAc3NC44ODc5AG0GJxP3594IKE6dL/fn3ggjQ0lRLklRVDQ2MjI1NzE1LklR</t>
  </si>
  <si>
    <t>X0NEU19NSUQuMDgvMDcvMjYBAAAAt+UEAAIAAAAHNDAuNTE2MQDJMHQT9+feCFRXoC/3594II0NJUS5JUVQ0NjIxODUxNi5JUV9DRFNfTUlELjIyLzA3LzI1AQAAAKZVowECAAAABzI5LjQyMjQAyTB0E/fn3gjR96cv9+feCCNDSVEuSVFUNDYyMDAzNjQuSVFfQ0RTX01JRC4yMi8wNy8yNQEAAABXhggAAgAAAAczOC4xNjY3AMkwdBP3594IdsCoL/fn3ggkQ0lRLklRVDMxMzMxMDE4NC5JUV9DRFNfTUlELjEyLzA3LzI2AQAAAGBEPgACAAAABzExLjIyNzkAyTB0E/fn3gjpxJsv9+feCCNDSVEuSVFUNDY0NzA4NzcuSVFfQ0RTX01JRC4xMi8wNy8yNgEAAABCNwcAAgAAAAc1NS45NzQ5AMkwdBP3594IKE6dL/fn3ggjQ0lRLklRVDQ2MjI1MDA2LklRX0NEU19NSUQuMTQvMDcvMjYBAAAA+FUNAAIAAAAHNDIuMTYyMQDJMHQT9+feCAxyqS/3594II0NJUS5JUVQ0NjI2MjM3OC5JUV9DRFNfTUlELjA4LzA3LzI2AQAAAEDSiQECAAAABDE4LjEAyTB0E/fn3giz2J4v9+feCCRDSVEuSVFUMzIzNjgwMTMwLklRX0NEU19NSUQuMTMvMDcvMjYBAAAAceECAAIAAAAHNTIuODU1MwDJMHQT9+feCCkCqy/3594IJENJUS5JUVQzMTMzMTU0MjkuSVFfQ0RTX01JRC4xMy8wNy8yNgEAAAA55wUAAgAAAAc2Mi4zMzMzAG0GJxP3594IKQKrL/fn3ggjQ0lRLklRVDQ2MjE4Njc0LklRX0NEU19NSUQuMjIvMDcvMjUBAAAAV8o2</t>
  </si>
  <si>
    <t>AAIAAAAIMTg4LjQ1MzIAyTB0E/fn3gjR96cv9+feCCNDSVEuSVFUNDYyMjM2NDYuSVFfQ0RTX01JRC4yMS8wNy8yNgEAAAAbeAQAAgAAAAY0OS4wMDMAyTB0E/fn3ghEO5ov9+feCCNDSVEuSVFUNDYyMDQzMDAuSVFfQ0RTX01JRC4xOS8wNy8yNgEAAAD2JX0AAgAAAAY3LjEwMDkAyTB0E/fn3ghUV6Av9+feCCNDSVEuSVFUNDY0NzA4NzcuSVFfQ0RTX01JRC4xOC8wNy8yNgEAAABCNwcAAgAAAAY1OC4zMTQAyTB0E/fn3gjKIKIv9+feCCRDSVEuSVFUMzEzMzEwODU0LklRX0NEU19NSUQuMTgvMDcvMjYBAAAAr1QNAAIAAAAHNjEuMTY2NwBtBicT9+feCHxdoy/3594II0NJUS5JUVQ0NjIwMzcxNC5JUV9DRFNfTUlELjExLzA3LzI2AQAAAF8FNQACAAAABzMwLjcwMzkAyTB0E/fn3ggoTp0v9+feCCRDSVEuSVFUNTI4OTM2ODEyLklRX0NEU19NSUQuMTEvMDcvMjYBAAAAbFsGAAIAAAAGNDYuNzI3AMkwdBP3594Is9ieL/fn3ggjQ0lRLklRVDYyMjcwMTA2LklRX0NEU19NSUQuMTAvMDcvMjYBAAAArXeDAAIAAAAHNzQuODg3OQBtBicT9+feCIn6ly/3594II0NJUS5JUVQ0NjIwMDQxMi5JUV9DRFNfTUlELjA5LzA3LzI2AQAAAGNDBgACAAAABzQ2Ljc0NTgAyTB0E/fn3ghUrpgv9+feCCNDSVEuSVFUNDYyMTUxMTEuSVFfQ0RTX01JRC4xNC8wNy8yNgEAAACgS7IBAgAAAAczNi45NzU5AMkwdBP3594IDHKp</t>
  </si>
  <si>
    <t>L/fn3ggjQ0lRLklRVDc5NjM5OTEzLklRX0NEU19NSUQuMDgvMDcvMjYBAAAAIGMcAgIAAAAGNy44MzMzAMkwdBP3594I97ifL/fn3ggjQ0lRLklRVDQ2MjA3ODcyLklRX0NEU19NSUQuMDgvMDcvMjYBAAAAWA0KAAIAAAAHMzkuNzY0MQDJMHQT9+feCPe4ny/3594II0NJUS5JUVQ0NjE5NjIyNS5JUV9DRFNfTUlELjEzLzA3LzI2AQAAAL5VowECAAAABzE3LjMzMzMAyTB0E/fn3gg+PKov9+feCCRDSVEuSVFUMzEzMzE3MzQ0LklRX0NEU19NSUQuMTMvMDcvMjYBAAAA8awBAAIAAAAHNjAuNTAyMwBtBicT9+feCNzFqy/3594II0NJUS5JUVQ0NjE5NTQ5MS5JUV9DRFNfTUlELjIyLzA3LzI1AQAAAGlKAAACAAAABzUzLjY2MTUAyTB0E/fn3gjR96cv9+feCCNDSVEuSVFUNDYyMDc1NzEuSVFfQ0RTX01JRC4yMi8wNC8yNgEAAABt7zUAAgAAAAczMC4wMjg0AMkwdBP3594IfF2jL/fn3ggjQ0lRLklRVDQ2MjAzMzMyLklRX0NEU19NSUQuMTYvMDcvMjYBAAAAXx43AAIAAAAHMTEuMzkzOADJMHQT9+feCA+rpS/3594II0NJUS5JUVQ0NjIxNTExMS5JUV9DRFNfTUlELjE2LzA3LzI2AQAAAKBLsgECAAAABzM3LjA3MjkAyTB0E/fn3gjXd6Yv9+feCCNDSVEuSVFUNDYyMjYxMzIuSVFfQ0RTX01JRC4xNi8wNy8yNgEAAADdWQAAAgAAAAc0My4xNDIyAMkwdBP3594IzvKmL/fn3ggkQ0lRLklRVDMxMzMxMzUyNC5J</t>
  </si>
  <si>
    <t>UV9DRFNfTUlELjE2LzA3LzI2AQAAAO9VDQACAAAABzYwLjA2ODIAbQYnE/fn3gjO8qYv9+feCCNDSVEuSVFUNzk2Mzk5MTMuSVFfQ0RTX01JRC4yMS8wNy8yNgEAAAAgYxwCAgAAAAU4LjEyNQDJMHQT9+feCFSumC/3594II0NJUS5JUVQ0NjIwNzg3Mi5JUV9DRFNfTUlELjIxLzA3LzI2AQAAAFgNCgACAAAABzQwLjg1OTUAyTB0E/fn3ghEO5ov9+feCCNDSVEuSVFUNDYyMDAzMTcuSVFfQ0RTX01JRC4yMS8wNy8yNgEAAAD+VA0AAgAAAAc2Mi4yMDc4AG0GJxP3594IRDuaL/fn3ggkQ0lRLklRVDY0NDcwMTc5Ny5JUV9DRFNfTUlELjIwLzA3LzI2AQAAAFM/fQECAAAABzEwLjUwNzMAyTB0E/fn3ggS2pov9+feCCNDSVEuSVFUNDYyMTY5ODYuSVFfQ0RTX01JRC4yMC8wNy8yNgEAAADORDgBAwAAAAAAyTB0E/fn3ggS2pov9+feCCRDSVEuSVFUMjU0OTU1MjMzLklRX0NEU19NSUQuMjAvMDcvMjYBAAAAOVYKAAIAAAAHNDMuMjAwOADJMHQT9+feCOnEmy/3594II0NJUS5JUVQ0NjE5NjIyNS5JUV9DRFNfTUlELjE5LzA3LzI2AQAAAL5VowECAAAABjE3LjM3NQDJMHQT9+feCFRXoC/3594II0NJUS5JUVQ1MTAyMzI2MC5JUV9DRFNfTUlELjE5LzA3LzI2AQAAALERfwECAAAABzE0LjA0NTgAyTB0E/fn3ghUV6Av9+feCCNDSVEuSVFUNDYyMjQ3NDAuSVFfQ0RTX01JRC4xOS8wNy8yNgEAAADTcggAAgAAAAcz</t>
  </si>
  <si>
    <t>NS4yMzM3AMkwdBP3594IVFegL/fn3ggkQ0lRLklRVDMxMzMxNzM0NC5JUV9DRFNfTUlELjE5LzA3LzI2AQAAAPGsAQACAAAABzYwLjgxMjMAbQYnE/fn3ggR5aEv9+feCCNDSVEuSVFUNDYyMDAyNzYuSVFfQ0RTX01JRC4xOC8wNy8yNgEAAACWd3wBAgAAAAcyOS41MTAzAMkwdBP3594IyiCiL/fn3ggjQ0lRLklRVDQ2MTk1NDkxLklRX0NEU19NSUQuMTgvMDcvMjYBAAAAaUoAAAIAAAAHNTUuNjE3NgDJMHQT9+feCMogoi/3594II0NJUS5JUVQ3OTYzNDkwMS5JUV9DRFNfTUlELjE4LzA3LzI2AQAAAJwGEAACAAAABzQxLjA0MjUAyTB0E/fn3gh8XaMv9+feCCNDSVEuSVFUNDYyMDc1NzEuSVFfQ0RTX01JRC4xNy8wNy8yNgEAAABt7zUAAgAAAAczMC4yOTE3AMkwdBP3594II/WkL/fn3ggjQ0lRLklRVDQ2MjEzNDcyLklRX0NEU19NSUQuMTcvMDcvMjYBAAAAuVo4AAIAAAACMTUAyTB0E/fn3ggj9aQv9+feCCRDSVEuSVFUMjYzMjEzMTMyLklRX0NEU19NSUQuMTcvMDcvMjYBAAAA4ZoIAAIAAAAHNTUuODc5NADJMHQT9+feCA+rpS/3594II0NJUS5JUVQ0NjE5NDk5NS5JUV9DRFNfTUlELjExLzA3LzI2AQAAAG4QMQACAAAABjEwLjk5OQDJMHQT9+feCChOnS/3594II0NJUS5JUVQ0NjIyMjI5Mi5JUV9DRFNfTUlELjExLzA3LzI2AQAAANGRmwECAAAACDc1OS44NTU3AMkwdBP3594ICmGeL/fn3ggjQ0lR</t>
  </si>
  <si>
    <t>LklRVDQ2MjI1MDA2LklRX0NEU19NSUQuMTEvMDcvMjYBAAAA+FUNAAIAAAAHNDEuNDE5MQDJMHQT9+feCLPYni/3594II0NJUS5JUVQ0NjIyMDMyOS5JUV9DRFNfTUlELjExLzA3LzI2AQAAANtbAAACAAAABDU2LjUAbQYnE/fn3giz2J4v9+feCCNDSVEuSVFUNDYxOTc2OTQuSVFfQ0RTX01JRC4xMC8wNy8yNgEAAAAH+gUAAgAAAAc1MS42NTYzAMkwdBP3594IYF6XL/fn3ggjQ0lRLklRVDYyMjcwMTA3LklRX0NEU19NSUQuMTAvMDcvMjYBAAAAFVkAAAIAAAAHNDEuNTIyNgDJMHQT9+feCJ/Tly/3594II0NJUS5JUVQ0NjIwNzMwOC5JUV9DRFNfTUlELjA5LzA3LzI2AQAAADmJegECAAAABzE0LjMzMzMAyTB0E/fn3gjCSJgv9+feCCNDSVEuSVFUNDYyMTAwMzIuSVFfQ0RTX01JRC4wOS8wNy8yNgEAAACPVaMBAgAAAAczNi45Njc4AMkwdBP3594IVK6YL/fn3ggjQ0lRLklRVDQ2MjI1Mzc0LklRX0NEU19NSUQuMDkvMDcvMjYBAAAAtdYFAAIAAAAHMzguMjg1NADJMHQT9+feCFSumC/3594II0NJUS5JUVQ0OTc1MTE5Ni5JUV9DRFNfTUlELjE0LzA3LzI2AQAAAM2ZvQACAAAABTQxLjc1AMkwdBP3594IdsCoL/fn3ggjQ0lRLklRVDYwMzg5NTE2LklRX0NEU19NSUQuMTQvMDcvMjYBAAAApfDDAQIAAAAGNy4yNDkxAMkwdBP3594IDHKpL/fn3ggkQ0lRLklRVDMyMzY4MDEzMC5JUV9DRFNfTUlELjE0LzA3</t>
  </si>
  <si>
    <t>LzI2AQAAAHHhAgACAAAABzUyLjQ5NTMAyTB0E/fn3ggMcqkv9+feCCRDSVEuSVFUMzEzMzE1NDI5LklRX0NEU19NSUQuMTQvMDcvMjYBAAAAOecFAAIAAAAHNjIuNTAxMwBtBicT9+feCD48qi/3594II0NJUS5JUVQ0NjIwNjc3OS5JUV9DRFNfTUlELjA4LzA3LzI2AQAAAPzvNgACAAAABzE2LjAyMDQAyTB0E/fn3giz2J4v9+feCCNDSVEuSVFUNDYyMTg2NzQuSVFfQ0RTX01JRC4wOC8wNy8yNgEAAABXyjYAAgAAAAgxMjUuMjUzNwDJMHQT9+feCPe4ny/3594II0NJUS5JUVQ0NjIxMDU2MC5JUV9DRFNfTUlELjEzLzA3LzI2AQAAAPYaNwACAAAABzg1Ljg0ODUAyTB0E/fn3gg+PKov9+feCCNDSVEuSVFUNDYyMTk5MjIuSVFfQ0RTX01JRC4xMy8wNy8yNgEAAADWRzkBAgAAAAY2LjgyOTMAyTB0E/fn3gg+PKov9+feCCNDSVEuSVFUNDYyMjM2NDYuSVFfQ0RTX01JRC4xMy8wNy8yNgEAAAAbeAQAAgAAAAc0OS4yOTU5AMkwdBP3594IKQKrL/fn3ggkQ0lRLklRVDMxMzMxNDk3Ni5JUV9DRFNfTUlELjEzLzA3LzI2AQAAAG1KAAACAAAABDU2LjUAbQYnE/fn3ggpAqsv9+feCCNDSVEuSVFUNDYyMjA4MDMuSVFfQ0RTX01JRC4yMi8wNy8yNQEAAADWyTYAAgAAAAc0MS44NDkyAMkwdBP3594I0fenL/fn3ggjQ0lRLklRVDQ2MjA0MzAwLklRX0NEU19NSUQuMjIvMDQvMjYBAAAA9iV9AAIAAAAGOC44MzMzAMkw</t>
  </si>
  <si>
    <t>dBP3594IfF2jL/fn3ggjQ0lRLklRVDYwMzg4MDU3LklRX0NEU19NSUQuMjIvMDQvMjYBAAAA38l9AQMAAAAAAMkwdBP3594IfF2jL/fn3ggjQ0lRLklRVDQ2MTk5ODQxLklRX0NEU19NSUQuMjIvMDQvMjYBAAAA6zAGAAMAAAAAAMkwdBP3594Ix4mkL/fn3ggjQ0lRLklRVDQ2MjE0ODc5LklRX0NEU19NSUQuMTIvMDcvMjYBAAAA9Ro3AAIAAAAHNTAuNTQ2MgDJMHQT9+feCOnEmy/3594IJENJUS5JUVQzMTMzMTA4NTQuSVFfQ0RTX01JRC4xMi8wNy8yNgEAAACvVA0AAgAAAAQ2MS41AG0GJxP3594IKE6dL/fn3ggjQ0lRLklRVDQ5NzUxMTk2LklRX0NEU19NSUQuMTMvMDcvMjYBAAAAzZm9AAIAAAAFNDEuNzUAyTB0E/fn3gg+PKov9+feCCNDSVEuSVFUNDYyMDQ4ODQuSVFfQ0RTX01JRC4yMi8wNC8yNgEAAACBUcABAgAAAAQzMS4yAMkwdBP3594IfF2jL/fn3ggkQ0lRLklRVDI4NjA5NjEzMS5JUV9DRFNfTUlELjIyLzA0LzI2AQAAADvxBAACAAAABTY4Ljk3AMkwdBP3594Ix4mkL/fn3ggjQ0lRLklRVDQ2MjE5OTIyLklRX0NEU19NSUQuMTIvMDcvMjYBAAAA1kc5AQIAAAAGNi43Mjc2AMkwdBP3594I6cSbL/fn3ggkQ0lRLklRVDI4NjA5NjEzMS5JUV9DRFNfTUlELjE2LzA3LzI2AQAAADvxBAACAAAABzU5Ljc5OTIAyTB0E/fn3gjO8qYv9+feCCNDSVEuSVFUNDYyMDM3MTQuSVFfQ0RTX01JRC4xNi8w</t>
  </si>
  <si>
    <t>Ny8yNgEAAABfBTUAAgAAAAUzMS4yNQDJMHQT9+feCA+rpS/3594II0NJUS5JUVQ3OTYzOTk1My5JUV9DRFNfTUlELjE2LzA3LzI2AQAAADSbVgECAAAABzI0Ljk5MDYAyTB0E/fn3gjXd6Yv9+feCCRDSVEuSVFUNTI4OTM2ODEyLklRX0NEU19NSUQuMTYvMDcvMjYBAAAAbFsGAAIAAAAHNDcuMjgyNwDJMHQT9+feCM7ypi/3594II0NJUS5JUVQ0NjE5NzEzOC5JUV9DRFNfTUlELjIxLzA3LzI2AQAAAO6UOAECAAAACDEyMi4zNzc5AMkwdBP3594IVK6YL/fn3ggjQ0lRLklRVDUxMDIzNDgwLklRX0NEU19NSUQuMjEvMDcvMjYBAAAAwkXxAQIAAAAGNC42ODQ2AMkwdBP3594IVK6YL/fn3ggjQ0lRLklRVDQ2MjA0OTU3LklRX0NEU19NSUQuMjEvMDcvMjYBAAAAIRUGAAIAAAAENTUuMgDJMHQT9+feCEQ7mi/3594II0NJUS5JUVQ2MjI3MDEwNi5JUV9DRFNfTUlELjIxLzA3LzI2AQAAAK13gwACAAAABzc1LjIwOTkAbQYnE/fn3ghEO5ov9+feCCNDSVEuSVFUNzk2NDAwMjQuSVFfQ0RTX01JRC4yMC8wNy8yNgEAAAA1j5sBAgAAAAY3LjgzMzMAyTB0E/fn3ggS2pov9+feCCRDSVEuSVFUMzEzMzA1ODc5LklRX0NEU19NSUQuMjAvMDcvMjYBAAAAhNbcAQMAAAAAAMkwdBP3594IEtqaL/fn3ggjQ0lRLklRVDQ2MjAwNDEyLklRX0NEU19NSUQuMjAvMDcvMjYBAAAAY0MGAAIAAAAGNDUuMzc1AMkwdBP3594I6cSb</t>
  </si>
  <si>
    <t>L/fn3ggjQ0lRLklRVDQ2MjAzMzMyLklRX0NEU19NSUQuMTkvMDcvMjYBAAAAXx43AAIAAAAHMTEuMTY2NwDJMHQT9+feCFRXoC/3594II0NJUS5JUVQ0NjIxNTExMS5JUV9DRFNfTUlELjE5LzA3LzI2AQAAAKBLsgECAAAABzM3LjY5MTUAyTB0E/fn3ghUV6Av9+feCCNDSVEuSVFUNDYyMjYxMzIuSVFfQ0RTX01JRC4xOS8wNy8yNgEAAADdWQAAAgAAAAc0My44ODExAMkwdBP3594IVFegL/fn3ggkQ0lRLklRVDMxMzMxMzUyNC5JUV9DRFNfTUlELjE5LzA3LzI2AQAAAO9VDQACAAAABzYwLjAwNjYAbQYnE/fn3gjKIKIv9+feCCNDSVEuSVFUNzk2Mzk5MTMuSVFfQ0RTX01JRC4xOC8wNy8yNgEAAAAgYxwCAgAAAAU4LjEyNQDJMHQT9+feCMogoi/3594II0NJUS5JUVQ0NjIwNzg3Mi5JUV9DRFNfTUlELjE4LzA3LzI2AQAAAFgNCgACAAAABzQwLjgwMzIAyTB0E/fn3gjKIKIv9+feCCNDSVEuSVFUNDYyMDAzMTcuSVFfQ0RTX01JRC4xOC8wNy8yNgEAAAD+VA0AAgAAAAc2My42NTMzAG0GJxP3594IfF2jL/fn3ggkQ0lRLklRVDY0NDcwMTc5Ny5JUV9DRFNfTUlELjE3LzA3LzI2AQAAAFM/fQECAAAABzEwLjM4MTcAyTB0E/fn3ggj9aQv9+feCCNDSVEuSVFUNDYyMTY5ODYuSVFfQ0RTX01JRC4xNy8wNy8yNgEAAADORDgBAwAAAAAAyTB0E/fn3ggj9aQv9+feCCRDSVEuSVFUMjU0OTU1MjMzLklRX0NEU19N</t>
  </si>
  <si>
    <t>SUQuMTcvMDcvMjYBAAAAOVYKAAIAAAAHNDMuMzM4NgDJMHQT9+feCA+rpS/3594II0NJUS5JUVQ0NjE5NjIyNS5JUV9DRFNfTUlELjExLzA3LzI2AQAAAL5VowECAAAABzE3LjQyNzQAyTB0E/fn3ggoTp0v9+feCCNDSVEuSVFUNTEwMjMyNjAuSVFfQ0RTX01JRC4xMS8wNy8yNgEAAACxEX8BAgAAAAcxMy45NDU5AMkwdBP3594ICmGeL/fn3ggjQ0lRLklRVDQ2MjI0NzQwLklRX0NEU19NSUQuMTEvMDcvMjYBAAAA03IIAAIAAAAHMzMuNjA2NgDJMHQT9+feCLPYni/3594IJENJUS5JUVQzMTMzMTczNDQuSVFfQ0RTX01JRC4xMS8wNy8yNgEAAADxrAEAAgAAAAc2MC41MDAzAG0GJxP3594Is9ieL/fn3ggjQ0lRLklRVDQ2MTk1NDkxLklRX0NEU19NSUQuMTAvMDcvMjYBAAAAaUoAAAIAAAAHNTQuMjk5NgDJMHQT9+feCGBely/3594II0NJUS5JUVQ3OTYzNDkwMS5JUV9DRFNfTUlELjEwLzA3LzI2AQAAAJwGEAACAAAABzQxLjI5MzEAyTB0E/fn3gif05cv9+feCCNDSVEuSVFUNDYyMDc1NzEuSVFfQ0RTX01JRC4wOS8wNy8yNgEAAABt7zUAAgAAAAcyOS40NDExAMkwdBP3594IwkiYL/fn3ggjQ0lRLklRVDQ2MjEzNDcyLklRX0NEU19NSUQuMDkvMDcvMjYBAAAAuVo4AAIAAAAHMTUuMDYyNQDJMHQT9+feCFSumC/3594IJENJUS5JUVQyNjMyMTMxMzIuSVFfQ0RTX01JRC4wOS8wNy8yNgEAAADhmggAAgAA</t>
  </si>
  <si>
    <t>AAc1NS4zMzMzAMkwdBP3594IVK6YL/fn3ggjQ0lRLklRVDQ2MTk0OTk1LklRX0NEU19NSUQuMTQvMDcvMjYBAAAAbhAxAAIAAAACMTEAyTB0E/fn3gh2wKgv9+feCCNDSVEuSVFUNDYyMjIyOTIuSVFfQ0RTX01JRC4xNC8wNy8yNgEAAADRkZsBAgAAAAc3NjEuNjY0AMkwdBP3594IDHKpL/fn3ggjQ0lRLklRVDQ2MjIwMzI5LklRX0NEU19NSUQuMTQvMDcvMjYBAAAA21sAAAIAAAAENTYuNQBtBicT9+feCD48qi/3594II0NJUS5JUVQ0NjE5NzY5NC5JUV9DRFNfTUlELjA4LzA3LzI2AQAAAAf6BQACAAAABzUxLjc2NzkAyTB0E/fn3gj3uJ8v9+feCCNDSVEuSVFUNjIyNzAxMDcuSVFfQ0RTX01JRC4wOC8wNy8yNgEAAAAVWQAAAgAAAAc0My4xMzkxAMkwdBP3594IVFegL/fn3ggjQ0lRLklRVDYwMzg5NTE2LklRX0NEU19NSUQuMTMvMDcvMjYBAAAApfDDAQIAAAAGNy4yNDA4AMkwdBP3594IPjyqL/fn3ggjQ0lRLklRVDQ2MjA2Nzc5LklRX0NEU19NSUQuMjIvMDcvMjUBAAAA/O82AAIAAAAGMjcuNjA4AMkwdBP3594I0fenL/fn3ggjQ0lRLklRVDQ2MjI1NzE1LklRX0NEU19NSUQuMjIvMDcvMjUBAAAAt+UEAAIAAAAEMzYuMQDJMHQT9+feCHbAqC/3594II0NJUS5JUVQ0NjIwNzc4OS5JUV9DRFNfTUlELjIyLzA0LzI2AQAAACpYowECAAAABzI2LjkwMzIAyTB0E/fn3gjdIqQv9+feCCNDSVEuSVFUNDYy</t>
  </si>
  <si>
    <t>MTA1NjAuSVFfQ0RTX01JRC4xMi8wNy8yNgEAAAD2GjcAAgAAAAc4NC42NTQ3AMkwdBP3594I6cSbL/fn3ggjQ0lRLklRVDQ2MjIzNjQ2LklRX0NEU19NSUQuMTIvMDcvMjYBAAAAG3gEAAIAAAAHNDkuNDMxMQDJMHQT9+feCChOnS/3594IJENJUS5JUVQzMTMzMTQ5NzYuSVFfQ0RTX01JRC4xMi8wNy8yNgEAAABtSgAAAgAAAAQ1Ni41AG0GJxP3594IKE6dL/fn3ggjQ0lRLklRVDQ2MjA3Nzg5LklRX0NEU19NSUQuMTYvMDcvMjYBAAAAKlijAQIAAAAHMjYuNDg1NgDJMHQT9+feCNd3pi/3594II0NJUS5JUVQ0NjIyMDgwMy5JUV9DRFNfTUlELjIwLzA3LzI2AQAAANbJNgACAAAABzQzLjAyNzUAyTB0E/fn3ggS2pov9+feCCRDSVEuSVFUMjYzMjEzMTMyLklRX0NEU19NSUQuMjIvMDQvMjYBAAAA4ZoIAAIAAAAGNjIuOTY1AMkwdBP3594Ix4mkL/fn3ggkQ0lRLklRVDUyODkzNjgxMi5JUV9DRFNfTUlELjE0LzA3LzI2AQAAAGxbBgACAAAABzQ3LjQ4OTMAyTB0E/fn3ggMcqkv9+feCCNDSVEuSVFUNTEwMjM0ODAuSVFfQ0RTX01JRC4wOC8wNy8yNgEAAADCRfEBAgAAAAY0LjcyMjQAyTB0E/fn3gj3uJ8v9+feCCNDSVEuSVFUNDYyMDQ5NTcuSVFfQ0RTX01JRC4wOC8wNy8yNgEAAAAhFQYAAgAAAAY1My4zMjMAyTB0E/fn3gj3uJ8v9+feCCNDSVEuSVFUNDYyMTUxMTEuSVFfQ0RTX01JRC4xMy8wNy8yNgEA</t>
  </si>
  <si>
    <t>AACgS7IBAgAAAAczNy4zOTg5AMkwdBP3594IKQKrL/fn3ggjQ0lRLklRVDQ2MjI2MTMyLklRX0NEU19NSUQuMTMvMDcvMjYBAAAA3VkAAAIAAAAFNDEuODYAyTB0E/fn3ggpAqsv9+feCCNDSVEuSVFUNDYyMDc4NzIuSVFfQ0RTX01JRC4yMi8wNy8yNQEAAABYDQoAAgAAAAc0MC43OTYyAMkwdBP3594I0fenL/fn3ggjQ0lRLklRVDQ2MjAwMzE3LklRX0NEU19NSUQuMjIvMDcvMjUBAAAA/lQNAAIAAAAHNjkuMzIzOABtBicT9+feCHbAqC/3594II0NJUS5JUVQ0NjIxNjk4Ni5JUV9DRFNfTUlELjIyLzA0LzI2AQAAAM5EOAEDAAAAAADJMHQT9+feCN0ipC/3594II0NJUS5JUVQ0NjIwNDMwMC5JUV9DRFNfTUlELjE2LzA3LzI2AQAAAPYlfQACAAAABjcuMDA0MwDJMHQT9+feCOlzpi/3594II0NJUS5JUVQ2MDM4ODA1Ny5JUV9DRFNfTUlELjE2LzA3LzI2AQAAAN/JfQEDAAAAAADJMHQT9+feCNd3pi/3594II0NJUS5JUVQ0NjE5OTg0MS5JUV9DRFNfTUlELjE2LzA3LzI2AQAAAOswBgADAAAAAADJMHQT9+feCM7ypi/3594IJENJUS5JUVQzMTMzMTAxODQuSVFfQ0RTX01JRC4yMS8wNy8yNgEAAABgRD4AAgAAAAcxMC45OTU3AMkwdBP3594IVK6YL/fn3ggjQ0lRLklRVDQ2MjE0ODc5LklRX0NEU19NSUQuMjEvMDcvMjYBAAAA9Ro3AAIAAAAHNTAuOTQwNwDJMHQT9+feCFSumC/3594II0NJUS5JUVQ0NjQ3</t>
  </si>
  <si>
    <t>MDg3Ny5JUV9DRFNfTUlELjIxLzA3LzI2AQAAAEI3BwACAAAABzU3LjkzMDUAyTB0E/fn3ghEO5ov9+feCCRDSVEuSVFUMzEzMzEwODU0LklRX0NEU19NSUQuMjEvMDcvMjYBAAAAr1QNAAIAAAAHNjEuMTY2NwBtBicT9+feCEQ7mi/3594II0NJUS5JUVQ0NjIxNDk1NC5JUV9DRFNfTUlELjIwLzA3LzI2AQAAADo9OQECAAAABDE0LjQAyTB0E/fn3ggS2pov9+feCCNDSVEuSVFUNDYyMDg2MzQuSVFfQ0RTX01JRC4yMC8wNy8yNgEAAAADH8IAAgAAAAcyMi43MTg4AMkwdBP3594IEtqaL/fn3ggjQ0lRLklRVDQ2MjI1MDgzLklRX0NEU19NSUQuMjAvMDcvMjYBAAAAVkQGAAIAAAAFMzYuNzUAyTB0E/fn3gjpxJsv9+feCCNDSVEuSVFUNDYyMDM3MTQuSVFfQ0RTX01JRC4xOS8wNy8yNgEAAABfBTUAAgAAAAUzMS40NQDJMHQT9+feCFRXoC/3594II0NJUS5JUVQ3OTYzOTk1My5JUV9DRFNfTUlELjE5LzA3LzI2AQAAADSbVgECAAAABzI0Ljk0MjgAyTB0E/fn3ghUV6Av9+feCCRDSVEuSVFUNTI4OTM2ODEyLklRX0NEU19NSUQuMTkvMDcvMjYBAAAAbFsGAAIAAAAHNDcuOTU5NADJMHQT9+feCFRXoC/3594II0NJUS5JUVQ0NjE5NzEzOC5JUV9DRFNfTUlELjE4LzA3LzI2AQAAAO6UOAECAAAACDEyNS40NzMyAMkwdBP3594IyiCiL/fn3ggjQ0lRLklRVDUxMDIzNDgwLklRX0NEU19NSUQuMTgvMDcvMjYBAAAA</t>
  </si>
  <si>
    <t>wkXxAQIAAAAGNC43NjI3AMkwdBP3594IyiCiL/fn3ggjQ0lRLklRVDQ2MjA0OTU3LklRX0NEU19NSUQuMTgvMDcvMjYBAAAAIRUGAAIAAAAHNTUuMjY0MQDJMHQT9+feCMogoi/3594II0NJUS5JUVQ2MjI3MDEwNi5JUV9DRFNfTUlELjE4LzA3LzI2AQAAAK13gwACAAAABzc1LjIxODEAbQYnE/fn3gh8XaMv9+feCCNDSVEuSVFUNzk2NDAwMjQuSVFfQ0RTX01JRC4xNy8wNy8yNgEAAAA1j5sBAgAAAAY3LjgzMzMAyTB0E/fn3ggj9aQv9+feCCRDSVEuSVFUMzEzMzA1ODc5LklRX0NEU19NSUQuMTcvMDcvMjYBAAAAhNbcAQMAAAAAAMkwdBP3594II/WkL/fn3ggjQ0lRLklRVDQ2MjAwNDEyLklRX0NEU19NSUQuMTcvMDcvMjYBAAAAY0MGAAIAAAAHNDUuODMzMwDJMHQT9+feCA+rpS/3594II0NJUS5JUVQ0NjIwMzMzMi5JUV9DRFNfTUlELjExLzA3LzI2AQAAAF8eNwACAAAABTExLjI1AMkwdBP3594IKE6dL/fn3ggjQ0lRLklRVDQ2MjE1MTExLklRX0NEU19NSUQuMTEvMDcvMjYBAAAAoEuyAQIAAAAHMzYuNjk1NADJMHQT9+feCAphni/3594II0NJUS5JUVQ0NjIyNjEzMi5JUV9DRFNfTUlELjExLzA3LzI2AQAAAN1ZAAACAAAABzQxLjY3NzYAyTB0E/fn3giz2J4v9+feCCRDSVEuSVFUMzEzMzEzNTI0LklRX0NEU19NSUQuMTEvMDcvMjYBAAAA71UNAAIAAAAHNjAuNTE0OQBtBicT9+feCLPYni/3594I</t>
  </si>
  <si>
    <t>I0NJUS5JUVQ0NjIwNzg3Mi5JUV9DRFNfTUlELjEwLzA3LzI2AQAAAFgNCgACAAAABzQwLjQzMDMAyTB0E/fn3ghzhZcv9+feCCNDSVEuSVFUNDYyMDAzMTcuSVFfQ0RTX01JRC4xMC8wNy8yNgEAAAD+VA0AAgAAAAc2NS40NjE3AG0GJxP3594In9OXL/fn3ggkQ0lRLklRVDY0NDcwMTc5Ny5JUV9DRFNfTUlELjA5LzA3LzI2AQAAAFM/fQECAAAABzEwLjY1MzgAyTB0E/fn3gjCSJgv9+feCCNDSVEuSVFUNDYyMTY5ODYuSVFfQ0RTX01JRC4wOS8wNy8yNgEAAADORDgBAwAAAAAAyTB0E/fn3ghUrpgv9+feCCRDSVEuSVFUMjU0OTU1MjMzLklRX0NEU19NSUQuMDkvMDcvMjYBAAAAOVYKAAIAAAAHNDIuOTI1NgDJMHQT9+feCFSumC/3594II0NJUS5JUVQ0NjE5NjIyNS5JUV9DRFNfTUlELjE0LzA3LzI2AQAAAL5VowECAAAABjE3LjM3NQDJMHQT9+feCHbAqC/3594II0NJUS5JUVQ1MTAyMzI2MC5JUV9DRFNfTUlELjE0LzA3LzI2AQAAALERfwECAAAAAjE0AMkwdBP3594IDHKpL/fn3ggjQ0lRLklRVDQ2MjI0NzQwLklRX0NEU19NSUQuMTQvMDcvMjYBAAAA03IIAAIAAAAEMzQuMQDJMHQT9+feCAxyqS/3594IJENJUS5JUVQzMTMzMTczNDQuSVFfQ0RTX01JRC4xNC8wNy8yNgEAAADxrAEAAgAAAAY2MC41MDYAbQYnE/fn3gg+PKov9+feCCNDSVEuSVFUNDYyMDAyNzYuSVFfQ0RTX01JRC4wOC8wNy8yNgEA</t>
  </si>
  <si>
    <t>AACWd3wBAgAAAAcyNi4yNjU2AMkwdBP3594I97ifL/fn3ggjQ0lRLklRVDQ2MTk1NDkxLklRX0NEU19NSUQuMDgvMDcvMjYBAAAAaUoAAAIAAAAHNTQuMTQ3MgDJMHQT9+feCPe4ny/3594II0NJUS5JUVQ3OTYzNDkwMS5JUV9DRFNfTUlELjA4LzA3LzI2AQAAAJwGEAACAAAABzQxLjg4ODIAyTB0E/fn3ghUV6Av9+feCCNDSVEuSVFUNDYxOTQ5OTUuSVFfQ0RTX01JRC4xMy8wNy8yNgEAAABuEDEAAgAAAAcxMC45OTk4AMkwdBP3594IPjyqL/fn3ggjQ0lRLklRVDQ2MjIyMjkyLklRX0NEU19NSUQuMTMvMDcvMjYBAAAA0ZGbAQIAAAAINzYwLjQ0NzMAyTB0E/fn3gg+PKov9+feCCNDSVEuSVFUNDYyMjUwMDYuSVFfQ0RTX01JRC4xMy8wNy8yNgEAAAD4VQ0AAgAAAAc0MS43MDgyAMkwdBP3594IKQKrL/fn3ggjQ0lRLklRVDQ2MjIwMzI5LklRX0NEU19NSUQuMTMvMDcvMjYBAAAA21sAAAIAAAAENTYuNQBtBicT9+feCCkCqy/3594II0NJUS5JUVQ0NjI2MjM3OC5JUV9DRFNfTUlELjIyLzA3LzI1AQAAAEDSiQECAAAABDE2LjUAyTB0E/fn3gjR96cv9+feCCNDSVEuSVFUNDYxOTc2OTQuSVFfQ0RTX01JRC4yMi8wNy8yNQEAAAAH+gUAAgAAAAc1NS4yNzA5AMkwdBP3594I0fenL/fn3ggjQ0lRLklRVDYyMjcwMTA3LklRX0NEU19NSUQuMjIvMDcvMjUBAAAAFVkAAAIAAAAHMzEuNjEzOQDJMHQT9+feCHbA</t>
  </si>
  <si>
    <t>qC/3594II0NJUS5JUVQ0NjIwNzMwOC5JUV9DRFNfTUlELjIyLzA0LzI2AQAAADmJegECAAAABzE1LjkzNzUAyTB0E/fn3gh8XaMv9+feCCNDSVEuSVFUNDYyMTAwMzIuSVFfQ0RTX01JRC4yMi8wNC8yNgEAAACPVaMBAgAAAAczNy44MDAzAMkwdBP3594I3SKkL/fn3ggjQ0lRLklRVDQ2MjI1Mzc0LklRX0NEU19NSUQuMjIvMDQvMjYBAAAAtdYFAAIAAAAGNDcuODQ1AMkwdBP3594Ix4mkL/fn3ggjQ0lRLklRVDQ5NzUxMTk2LklRX0NEU19NSUQuMTIvMDcvMjYBAAAAzZm9AAIAAAAHNDEuODMzMwDJMHQT9+feCOnEmy/3594II0NJUS5JUVQ2MDM4OTUxNi5JUV9DRFNfTUlELjEyLzA3LzI2AQAAAKXwwwECAAAABjcuMjQzMwDJMHQT9+feCOnEmy/3594IJENJUS5JUVQzMjM2ODAxMzAuSVFfQ0RTX01JRC4xMi8wNy8yNgEAAABx4QIAAgAAAAc1Mi41MzM1AMkwdBP3594IKE6dL/fn3ggkQ0lRLklRVDMxMzMxNTQyOS5JUV9DRFNfTUlELjEyLzA3LzI2AQAAADnnBQACAAAABzYyLjEwMDkAbQYnE/fn3ggoTp0v9+feCCNDSVEuSVFUNDYyMDQ4ODQuSVFfQ0RTX01JRC4xNi8wNy8yNgEAAACBUcABAgAAAAcyOS4zMzMzAMkwdBP3594I13emL/fn3ggjQ0lRLklRVDQ2MjEwNTYwLklRX0NEU19NSUQuMjEvMDcvMjYBAAAA9ho3AAIAAAAHODUuNjU3NwDJMHQT9+feCFSumC/3594II0NJUS5JUVQ0NjIxOTkyMi5J</t>
  </si>
  <si>
    <t>UV9DRFNfTUlELjIxLzA3LzI2AQAAANZHOQECAAAABDcuMjUAyTB0E/fn3ghUrpgv9+feCCRDSVEuSVFUMzEzMzE0OTc2LklRX0NEU19NSUQuMjEvMDcvMjYBAAAAbUoAAAIAAAAHNTcuODM0MQBtBicT9+feCEQ7mi/3594II0NJUS5JUVQ0NjIwMDM2NC5JUV9DRFNfTUlELjIwLzA3LzI2AQAAAFeGCAACAAAABDI1LjEAyTB0E/fn3gjpxJsv9+feCCNDSVEuSVFUNjAzODgwNTcuSVFfQ0RTX01JRC4xOS8wNy8yNgEAAADfyX0BAwAAAAAAyTB0E/fn3ghUV6Av9+feCCNDSVEuSVFUNDYxOTk4NDEuSVFfQ0RTX01JRC4xOS8wNy8yNgEAAADrMAYAAwAAAAAAyTB0E/fn3ghUV6Av9+feCCRDSVEuSVFUMzEzMzEwMTg0LklRX0NEU19NSUQuMTgvMDcvMjYBAAAAYEQ+AAIAAAAHMTEuMDk4NwDJMHQT9+feCMogoi/3594II0NJUS5JUVQ0NjIxNDg3OS5JUV9DRFNfTUlELjE4LzA3LzI2AQAAAPUaNwACAAAABzUwLjkxMzQAyTB0E/fn3gjKIKIv9+feCCNDSVEuSVFUNDYyMDg2MzQuSVFfQ0RTX01JRC4xNy8wNy8yNgEAAAADH8IAAgAAAAYyMi44MjUAyTB0E/fn3ggj9aQv9+feCCNDSVEuSVFUNDYyMjUwODMuSVFfQ0RTX01JRC4xNy8wNy8yNgEAAABWRAYAAgAAAAQzNi41AMkwdBP3594ID6ulL/fn3ggjQ0lRLklRVDc5NjQwMDI0LklRX0NEU19NSUQuMDkvMDcvMjYBAAAANY+bAQIAAAAENy43NQDJMHQT9+feCMJI</t>
  </si>
  <si>
    <t>mC/3594IJENJUS5JUVQzMTMzMDU4NzkuSVFfQ0RTX01JRC4wOS8wNy8yNgEAAACE1twBAwAAAAAAyTB0E/fn3ghUrpgv9+feCCNDSVEuSVFUNDYyMjYxMzIuSVFfQ0RTX01JRC4xNC8wNy8yNgEAAADdWQAAAgAAAAQ0Mi40AMkwdBP3594IDHKpL/fn3ggjQ0lRLklRVDQ2MjI0NzQwLklRX0NEU19NSUQuMTMvMDcvMjYBAAAA03IIAAIAAAAGMzMuNzI1AMkwdBP3594IKQKrL/fn3ggjQ0lRLklRVDQ2MjAwMjc2LklRX0NEU19NSUQuMjIvMDcvMjUBAAAAlnd8AQIAAAAHMjUuNDkyOQDJMHQT9+feCNH3py/3594II0NJUS5JUVQ3OTYzNDkwMS5JUV9DRFNfTUlELjIyLzA3LzI1AQAAAJwGEAACAAAABzU1LjQ2NzcAbQYnE/fn3gh2wKgv9+feCCNDSVEuSVFUNDYyMTM0NzIuSVFfQ0RTX01JRC4yMi8wNC8yNgEAAAC5WjgAAgAAAAYxNS43NjMAyTB0E/fn3gjdIqQv9+feCCNDSVEuSVFUNDYxOTQ5OTUuSVFfQ0RTX01JRC4xMi8wNy8yNgEAAABuEDEAAgAAAAYxMC45OTkAyTB0E/fn3gjpxJsv9+feCCNDSVEuSVFUNDYyMjIyOTIuSVFfQ0RTX01JRC4xMi8wNy8yNgEAAADRkZsBAgAAAAg3NTkuODU1NwDJMHQT9+feCOnEmy/3594II0NJUS5JUVQ0NjIyNTAwNi5JUV9DRFNfTUlELjEyLzA3LzI2AQAAAPhVDQACAAAABzQxLjQxOTEAyTB0E/fn3ggoTp0v9+feCCNDSVEuSVFUNDYyMjAzMjkuSVFfQ0RTX01JRC4x</t>
  </si>
  <si>
    <t>Mi8wNy8yNgEAAADbWwAAAgAAAAQ1Ni41AG0GJxP3594IKE6dL/fn3ggjQ0lRLklRVDc5NjM5OTUzLklRX0NEU19NSUQuMTQvMDcvMjYBAAAANJtWAQIAAAAHMjQuODc3MgDJMHQT9+feCAxyqS/3594IJENJUS5JUVQzMTMzMTM1MjQuSVFfQ0RTX01JRC4xMy8wNy8yNgEAAADvVQ0AAgAAAAc2MC40ODAxAG0GJxP3594I3MWrL/fn3ggjQ0lRLklRVDc5NjM5OTEzLklRX0NEU19NSUQuMjIvMDcvMjUBAAAAIGMcAgIAAAAGOS43MTc2AMkwdBP3594I0fenL/fn3ggkQ0lRLklRVDI1NDk1NTIzMy5JUV9DRFNfTUlELjIyLzA0LzI2AQAAADlWCgACAAAABTU1LjI1AMkwdBP3594Ix4mkL/fn3ggjQ0lRLklRVDQ2MjE4NTE2LklRX0NEU19NSUQuMjAvMDcvMjYBAAAAplWjAQIAAAAHMzUuOTA2MwDJMHQT9+feCBLami/3594II0NJUS5JUVQ0NjIxNDk1NC5JUV9DRFNfTUlELjE3LzA3LzI2AQAAADo9OQECAAAABDE0LjQAyTB0E/fn3ggj9aQv9+feCCNDSVEuSVFUNzk2Mzk5NTMuSVFfQ0RTX01JRC4xMS8wNy8yNgEAAAA0m1YBAgAAAAcyNC45MTkxAMkwdBP3594ICmGeL/fn3ggjQ0lRLklRVDQ2MjA0OTU3LklRX0NEU19NSUQuMTAvMDcvMjYBAAAAIRUGAAIAAAAHNTMuODYyNwDJMHQT9+feCHOFly/3594II0NJUS5JUVQ0NjIwMzMzMi5JUV9DRFNfTUlELjE0LzA3LzI2AQAAAF8eNwACAAAABzExLjE2NjcAyTB0</t>
  </si>
  <si>
    <t>E/fn3gh2wKgv9+feCCRDSVEuSVFUMzEzMzEzNTI0LklRX0NEU19NSUQuMTQvMDcvMjYBAAAA71UNAAIAAAAHNjAuNTM4OQBtBicT9+feCD48qi/3594II0NJUS5JUVQ0NjIwMDMxNy5JUV9DRFNfTUlELjA4LzA3LzI2AQAAAP5UDQACAAAABzY0Ljc0NjgAbQYnE/fn3ghUV6Av9+feCCNDSVEuSVFUNTEwMjMyNjAuSVFfQ0RTX01JRC4xMy8wNy8yNgEAAACxEX8BAgAAAAcxMy45MDcyAMkwdBP3594I6/+qL/fn3ggjQ0lRLklRVDYyMjcwMTA2LklRX0NEU19NSUQuMDgvMDcvMjYBAAAArXeDAAIAAAAHNzUuODc4NABtBicT9+feCFRXoC/3594II0NJUS5JUVQ0NjIwMzMzMi5JUV9DRFNfTUlELjEzLzA3LzI2AQAAAF8eNwACAAAABzExLjM3NTQAyTB0E/fn3gg+PKov9+feCCRDSVEuSVFUNjQ0NzAxNzk3LklRX0NEU19NSUQuMjIvMDQvMjYBAAAAUz99AQIAAAAHMTAuMTA5MgDJMHQT9+feCHxdoy/3594II0NJUS5JUVQ0NjIwNzMwOC5JUV9DRFNfTUlELjE2LzA3LzI2AQAAADmJegECAAAABzE0LjQzNzUAyTB0E/fn3gjXd6Yv9+feCCNDSVEuSVFUNDYyMTAwMzIuSVFfQ0RTX01JRC4xNi8wNy8yNgEAAACPVaMBAgAAAAYzNi42NzUAyTB0E/fn3gjXd6Yv9+feCCNDSVEuSVFUNDYyMjUzNzQuSVFfQ0RTX01JRC4xNi8wNy8yNgEAAAC11gUAAgAAAAYzOC40MTUAyTB0E/fn3gjO8qYv9+feCCNDSVEuSVFUNDk3</t>
  </si>
  <si>
    <t>NTExOTYuSVFfQ0RTX01JRC4yMS8wNy8yNgEAAADNmb0AAgAAAAc0MS4zMzMzAMkwdBP3594IVK6YL/fn3ggjQ0lRLklRVDYwMzg5NTE2LklRX0NEU19NSUQuMjEvMDcvMjYBAAAApfDDAQIAAAAGNy4yNDI4AMkwdBP3594IVK6YL/fn3ggkQ0lRLklRVDMyMzY4MDEzMC5JUV9DRFNfTUlELjIxLzA3LzI2AQAAAHHhAgACAAAABzUyLjAxMTYAyTB0E/fn3ghEO5ov9+feCCRDSVEuSVFUMzEzMzE1NDI5LklRX0NEU19NSUQuMjEvMDcvMjYBAAAAOecFAAIAAAAGNjEuODM3AG0GJxP3594IEtqaL/fn3ggjQ0lRLklRVDQ2MjA2Nzc5LklRX0NEU19NSUQuMjAvMDcvMjYBAAAA/O82AAIAAAAEMTYuNQDJMHQT9+feCBLami/3594II0NJUS5JUVQ0NjIxODY3NC5JUV9DRFNfTUlELjIwLzA3LzI2AQAAAFfKNgACAAAACDEzMC4xMDk5AMkwdBP3594IEtqaL/fn3ggjQ0lRLklRVDQ2MjI1NzE1LklRX0NEU19NSUQuMjAvMDcvMjYBAAAAt+UEAAIAAAAHNDMuMzE1NADJMHQT9+feCOnEmy/3594II0NJUS5JUVQ0NjIwNDg4NC5JUV9DRFNfTUlELjE5LzA3LzI2AQAAAIFRwAECAAAABjI5LjYyNQDJMHQT9+feCFRXoC/3594II0NJUS5JUVQ0NjIwNzc4OS5JUV9DRFNfTUlELjE5LzA3LzI2AQAAACpYowECAAAABzI2LjY4NzkAyTB0E/fn3ghUV6Av9+feCCRDSVEuSVFUMjg2MDk2MTMxLklRX0NEU19NSUQuMTkvMDcvMjYB</t>
  </si>
  <si>
    <t>AAAAO/EEAAIAAAAHNjAuNjY2NwDJMHQT9+feCFRXoC/3594II0NJUS5JUVQ0NjIxMDU2MC5JUV9DRFNfTUlELjE4LzA3LzI2AQAAAPYaNwACAAAABzg2Ljk1NDEAyTB0E/fn3gjKIKIv9+feCCNDSVEuSVFUNDYyMTk5MjIuSVFfQ0RTX01JRC4xOC8wNy8yNgEAAADWRzkBAgAAAAQ3LjI1AMkwdBP3594IyiCiL/fn3ggjQ0lRLklRVDQ2MjIzNjQ2LklRX0NEU19NSUQuMTgvMDcvMjYBAAAAG3gEAAIAAAAHNDkuNzY2NADJMHQT9+feCMogoi/3594IJENJUS5JUVQzMTMzMTQ5NzYuSVFfQ0RTX01JRC4xOC8wNy8yNgEAAABtSgAAAgAAAAc1Ny44MzY0AG0GJxP3594IfF2jL/fn3ggjQ0lRLklRVDQ2MjE4NTE2LklRX0NEU19NSUQuMTcvMDcvMjYBAAAAplWjAQIAAAAHMzUuNDE3MgDJMHQT9+feCCP1pC/3594II0NJUS5JUVQ0NjIyMDgwMy5JUV9DRFNfTUlELjE3LzA3LzI2AQAAANbJNgACAAAABzQyLjUwMDUAyTB0E/fn3ggj9aQv9+feCCNDSVEuSVFUNDYyMDAzNjQuSVFfQ0RTX01JRC4xNy8wNy8yNgEAAABXhggAAgAAAAUyNS4xNgDJMHQT9+feCA+rpS/3594II0NJUS5JUVQ0NjIwNDMwMC5JUV9DRFNfTUlELjExLzA3LzI2AQAAAPYlfQACAAAABTcuMDAyAMkwdBP3594IKE6dL/fn3ggjQ0lRLklRVDYwMzg4MDU3LklRX0NEU19NSUQuMTEvMDcvMjYBAAAA38l9AQMAAAAAAMkwdBP3594ICmGeL/fn3ggj</t>
  </si>
  <si>
    <t>Q0lRLklRVDQ2MTk5ODQxLklRX0NEU19NSUQuMTEvMDcvMjYBAAAA6zAGAAMAAAAAAMkwdBP3594Is9ieL/fn3ggjQ0lRLklRVDQ2NDcwODc3LklRX0NEU19NSUQuMTAvMDcvMjYBAAAAQjcHAAIAAAAHNTUuOTc0OQDJMHQT9+feCHOFly/3594IJENJUS5JUVQzMTMzMTA4NTQuSVFfQ0RTX01JRC4xMC8wNy8yNgEAAACvVA0AAgAAAAQ2MS41AG0GJxP3594IifqXL/fn3ggjQ0lRLklRVDQ2MjE0OTU0LklRX0NEU19NSUQuMDkvMDcvMjYBAAAAOj05AQIAAAAEMTQuMgDJMHQT9+feCF5zmC/3594II0NJUS5JUVQ0NjIwODYzNC5JUV9DRFNfTUlELjA5LzA3LzI2AQAAAAMfwgACAAAABzIyLjUyMzYAyTB0E/fn3ghUrpgv9+feCCNDSVEuSVFUNDYyMjUwODMuSVFfQ0RTX01JRC4wOS8wNy8yNgEAAABWRAYAAgAAAAczNy4wNDMyAMkwdBP3594IVK6YL/fn3ggjQ0lRLklRVDQ2MjAzNzE0LklRX0NEU19NSUQuMTQvMDcvMjYBAAAAXwU1AAIAAAAHMzEuMjIyNADJMHQT9+feCHbAqC/3594II0NJUS5JUVQ0NjE5NzEzOC5JUV9DRFNfTUlELjA4LzA3LzI2AQAAAO6UOAECAAAACDEyNi44Mzk1AMkwdBP3594Is9ieL/fn3ggjQ0lRLklRVDQ2MjA3NTcxLklRX0NEU19NSUQuMTYvMDcvMjYBAAAAbe81AAIAAAACMzAAyTB0E/fn3gjXd6Yv9+feCCNDSVEuSVFUNDYyMTM0NzIuSVFfQ0RTX01JRC4xNi8wNy8yNgEAAAC5</t>
  </si>
  <si>
    <t>WjgAAgAAAAcxNS4wNjI1AMkwdBP3594IzvKmL/fn3ggkQ0lRLklRVDI2MzIxMzEzMi5JUV9DRFNfTUlELjE2LzA3LzI2AQAAAOGaCAACAAAABzU1LjA5ODcAyTB0E/fn3gjO8qYv9+feCCNDSVEuSVFUNDYxOTQ5OTUuSVFfQ0RTX01JRC4yMS8wNy8yNgEAAABuEDEAAgAAAAYxMS4wNDkAyTB0E/fn3ghUrpgv9+feCCNDSVEuSVFUNDYyMjIyOTIuSVFfQ0RTX01JRC4yMS8wNy8yNgEAAADRkZsBAgAAAAg3NjEuNTI5NADJMHQT9+feCFSumC/3594II0NJUS5JUVQ0NjIyNTAwNi5JUV9DRFNfTUlELjIxLzA3LzI2AQAAAPhVDQACAAAABzQzLjk1OTYAyTB0E/fn3ghEO5ov9+feCCNDSVEuSVFUNDYyMjAzMjkuSVFfQ0RTX01JRC4yMS8wNy8yNgEAAADbWwAAAgAAAAc1Ni4zMTU2AG0GJxP3594IEtqaL/fn3ggjQ0lRLklRVDQ2MjYyMzc4LklRX0NEU19NSUQuMjAvMDcvMjYBAAAAQNKJAQIAAAAGMTguMTI1AMkwdBP3594IEtqaL/fn3ggjQ0lRLklRVDQ2MTk3Njk0LklRX0NEU19NSUQuMjAvMDcvMjYBAAAAB/oFAAIAAAAGNTMuMTQ4AMkwdBP3594IEtqaL/fn3ggjQ0lRLklRVDYyMjcwMTA3LklRX0NEU19NSUQuMjAvMDcvMjYBAAAAFVkAAAIAAAAHNDEuNjU3NwDJMHQT9+feCOnEmy/3594II0NJUS5JUVQ0NjIwNzMwOC5JUV9DRFNfTUlELjE5LzA3LzI2AQAAADmJegECAAAABzE0LjU2MjUAyTB0E/fn3ghU</t>
  </si>
  <si>
    <t>V6Av9+feCCNDSVEuSVFUNDYyMTAwMzIuSVFfQ0RTX01JRC4xOS8wNy8yNgEAAACPVaMBAgAAAAczNy4zMDUxAMkwdBP3594IVFegL/fn3ggjQ0lRLklRVDQ2MjI1Mzc0LklRX0NEU19NSUQuMTkvMDcvMjYBAAAAtdYFAAIAAAAHMzkuMDM2NwDJMHQT9+feCFRXoC/3594II0NJUS5JUVQ0OTc1MTE5Ni5JUV9DRFNfTUlELjE4LzA3LzI2AQAAAM2ZvQACAAAABzQxLjgzMzMAyTB0E/fn3gjKIKIv9+feCCNDSVEuSVFUNjAzODk1MTYuSVFfQ0RTX01JRC4xOC8wNy8yNgEAAACl8MMBAgAAAAY3LjI0NzcAyTB0E/fn3gjKIKIv9+feCCRDSVEuSVFUMzIzNjgwMTMwLklRX0NEU19NSUQuMTgvMDcvMjYBAAAAceECAAIAAAAHNTEuNDQ3OADJMHQT9+feCMogoi/3594IJENJUS5JUVQzMTMzMTU0MjkuSVFfQ0RTX01JRC4xOC8wNy8yNgEAAAA55wUAAgAAAAc2Mi4xMjg2AG0GJxP3594IfF2jL/fn3ggjQ0lRLklRVDQ2MjA2Nzc5LklRX0NEU19NSUQuMTcvMDcvMjYBAAAA/O82AAIAAAAEMTYuNQDJMHQT9+feCCP1pC/3594II0NJUS5JUVQ0NjIxODY3NC5JUV9DRFNfTUlELjE3LzA3LzI2AQAAAFfKNgACAAAACDEyOS4yNzg1AMkwdBP3594ID6ulL/fn3ggjQ0lRLklRVDQ2MjI1NzE1LklRX0NEU19NSUQuMTcvMDcvMjYBAAAAt+UEAAIAAAAHNDMuNDMzOQDJMHQT9+feCA+rpS/3594II0NJUS5JUVQ0NjIwNDg4NC5J</t>
  </si>
  <si>
    <t>UV9DRFNfTUlELjExLzA3LzI2AQAAAIFRwAECAAAABzI5LjE4NzUAyTB0E/fn3ggoTp0v9+feCCNDSVEuSVFUNDYyMDc3ODkuSVFfQ0RTX01JRC4xMS8wNy8yNgEAAAAqWKMBAgAAAAcyNi41MTYzAMkwdBP3594ICmGeL/fn3ggkQ0lRLklRVDI4NjA5NjEzMS5JUV9DRFNfTUlELjExLzA3LzI2AQAAADvxBAACAAAABzYwLjE4OTQAyTB0E/fn3giz2J4v9+feCCNDSVEuSVFUNDYyMjM2NDYuSVFfQ0RTX01JRC4xMC8wNy8yNgEAAAAbeAQAAgAAAAc0OS40MzExAMkwdBP3594Ic4WXL/fn3ggkQ0lRLklRVDMxMzMxNDk3Ni5JUV9DRFNfTUlELjEwLzA3LzI2AQAAAG1KAAACAAAABDU2LjUAbQYnE/fn3giJ+pcv9+feCCNDSVEuSVFUNDYyMTg1MTYuSVFfQ0RTX01JRC4wOS8wNy8yNgEAAACmVaMBAgAAAAczNi45NjcyAMkwdBP3594IXnOYL/fn3ggjQ0lRLklRVDQ2MjIwODAzLklRX0NEU19NSUQuMDkvMDcvMjYBAAAA1sk2AAIAAAAHNDEuNjE2OADJMHQT9+feCFSumC/3594II0NJUS5JUVQ0NjIwMDM2NC5JUV9DRFNfTUlELjA5LzA3LzI2AQAAAFeGCAACAAAABTI0LjY2AMkwdBP3594IVK6YL/fn3ggjQ0lRLklRVDQ2MjA0MzAwLklRX0NEU19NSUQuMTQvMDcvMjYBAAAA9iV9AAIAAAAGNy4xMDAxAMkwdBP3594IdsCoL/fn3ggjQ0lRLklRVDYwMzg4MDU3LklRX0NEU19NSUQuMTQvMDcvMjYBAAAA38l9AQMA</t>
  </si>
  <si>
    <t>AAAAAMkwdBP3594IDHKpL/fn3ggjQ0lRLklRVDQ2MTk5ODQxLklRX0NEU19NSUQuMTQvMDcvMjYBAAAA6zAGAAMAAAAAAMkwdBP3594IDHKpL/fn3ggkQ0lRLklRVDMxMzMxMDE4NC5JUV9DRFNfTUlELjA4LzA3LzI2AQAAAGBEPgACAAAABzExLjI5NzkAyTB0E/fn3giz2J4v9+feCCNDSVEuSVFUNDYyMTQ4NzkuSVFfQ0RTX01JRC4wOC8wNy8yNgEAAAD1GjcAAgAAAAY1MC41NTMAyTB0E/fn3gj3uJ8v9+feCCNDSVEuSVFUNDY0NzA4NzcuSVFfQ0RTX01JRC4wOC8wNy8yNgEAAABCNwcAAgAAAAc1NS4wNTQyAMkwdBP3594I97ifL/fn3ggkQ0lRLklRVDMxMzMxMDg1NC5JUV9DRFNfTUlELjA4LzA3LzI2AQAAAK9UDQACAAAABzYxLjY2NjcAbQYnE/fn3ghUV6Av9+feCCRDSVEuSVFUNjQ0NzAxNzk3LklRX0NEU19NSUQuMTYvMDcvMjYBAAAAUz99AQIAAAAHMTAuMzQxNADJMHQT9+feCNd3pi/3594II0NJUS5JUVQ0NjIxNjk4Ni5JUV9DRFNfTUlELjE2LzA3LzI2AQAAAM5EOAEDAAAAAADJMHQT9+feCM7ypi/3594IJENJUS5JUVQyNTQ5NTUyMzMuSVFfQ0RTX01JRC4xNi8wNy8yNgEAAAA5VgoAAgAAAAI0MwDJMHQT9+feCM7ypi/3594II0NJUS5JUVQ0NjE5NjIyNS5JUV9DRFNfTUlELjIxLzA3LzI2AQAAAL5VowECAAAABjE3LjM3NQDJMHQT9+feCFSumC/3594II0NJUS5JUVQ1MTAyMzI2MC5JUV9D</t>
  </si>
  <si>
    <t>RFNfTUlELjIxLzA3LzI2AQAAALERfwECAAAABzE0LjA2NzkAyTB0E/fn3ghUrpgv9+feCCNDSVEuSVFUNDYyMjQ3NDAuSVFfQ0RTX01JRC4yMS8wNy8yNgEAAADTcggAAgAAAAczNS41ODA2AMkwdBP3594IRDuaL/fn3ggkQ0lRLklRVDMxMzMxNzM0NC5JUV9DRFNfTUlELjIxLzA3LzI2AQAAAPGsAQACAAAABzYwLjEyODYAbQYnE/fn3ggS2pov9+feCCNDSVEuSVFUNDYyMDAyNzYuSVFfQ0RTX01JRC4yMC8wNy8yNgEAAACWd3wBAgAAAAcyOS4zNjY1AMkwdBP3594IEtqaL/fn3ggjQ0lRLklRVDQ2MTk1NDkxLklRX0NEU19NSUQuMjAvMDcvMjYBAAAAaUoAAAIAAAAHNTUuNDMxOADJMHQT9+feCBLami/3594II0NJUS5JUVQ3OTYzNDkwMS5JUV9DRFNfTUlELjIwLzA3LzI2AQAAAJwGEAACAAAABzQxLjAzOTIAyTB0E/fn3gjpxJsv9+feCCNDSVEuSVFUNDYyMDc1NzEuSVFfQ0RTX01JRC4xOS8wNy8yNgEAAABt7zUAAgAAAAczMC4yOTE3AMkwdBP3594IVFegL/fn3ggjQ0lRLklRVDQ2MjEzNDcyLklRX0NEU19NSUQuMTkvMDcvMjYBAAAAuVo4AAIAAAACMTUAyTB0E/fn3ghUV6Av9+feCCRDSVEuSVFUMjYzMjEzMTMyLklRX0NEU19NSUQuMTkvMDcvMjYBAAAA4ZoIAAIAAAAHNTUuODc5NADJMHQT9+feCFRXoC/3594II0NJUS5JUVQ0NjE5NDk5NS5JUV9DRFNfTUlELjE4LzA3LzI2AQAAAG4QMQACAAAA</t>
  </si>
  <si>
    <t>BTEwLjk4AMkwdBP3594IyiCiL/fn3ggjQ0lRLklRVDQ2MjIyMjkyLklRX0NEU19NSUQuMTgvMDcvMjYBAAAA0ZGbAQIAAAAINzYwLjgxNDgAyTB0E/fn3gjKIKIv9+feCCNDSVEuSVFUNDYyMjUwMDYuSVFfQ0RTX01JRC4xOC8wNy8yNgEAAAD4VQ0AAgAAAAc0My41NDg4AMkwdBP3594IyiCiL/fn3ggjQ0lRLklRVDQ2MjIwMzI5LklRX0NEU19NSUQuMTgvMDcvMjYBAAAA21sAAAIAAAACNTYAbQYnE/fn3gh8XaMv9+feCCNDSVEuSVFUNDYyNjIzNzguSVFfQ0RTX01JRC4xNy8wNy8yNgEAAABA0okBAgAAAAYxOC4zNzUAyTB0E/fn3ggj9aQv9+feCCNDSVEuSVFUNDYxOTc2OTQuSVFfQ0RTX01JRC4xNy8wNy8yNgEAAAAH+gUAAgAAAAc1My42NjkyAMkwdBP3594ID6ulL/fn3ggjQ0lRLklRVDYyMjcwMTA3LklRX0NEU19NSUQuMTcvMDcvMjYBAAAAFVkAAAIAAAAHNDEuMzEyNQDJMHQT9+feCA+rpS/3594II0NJUS5JUVQ0NjIwNzMwOC5JUV9DRFNfTUlELjExLzA3LzI2AQAAADmJegECAAAABzE0LjMzMzMAyTB0E/fn3ggoTp0v9+feCCNDSVEuSVFUNDYyMTAwMzIuSVFfQ0RTX01JRC4xMS8wNy8yNgEAAACPVaMBAgAAAAczNi41NTcyAMkwdBP3594ICmGeL/fn3ggjQ0lRLklRVDQ2MjI1Mzc0LklRX0NEU19NSUQuMTEvMDcvMjYBAAAAtdYFAAIAAAAHMzguMDM0OQDJMHQT9+feCLPYni/3594II0NJUS5J</t>
  </si>
  <si>
    <t>UVQ2MDM4OTUxNi5JUV9DRFNfTUlELjEwLzA3LzI2AQAAAKXwwwECAAAABjcuMjQzMwDJMHQT9+feCHsLly/3594IJENJUS5JUVQzMjM2ODAxMzAuSVFfQ0RTX01JRC4xMC8wNy8yNgEAAABx4QIAAgAAAAc1Mi41MzM1AMkwdBP3594Ic4WXL/fn3ggkQ0lRLklRVDMxMzMxNTQyOS5JUV9DRFNfTUlELjEwLzA3LzI2AQAAADnnBQACAAAABzYyLjEwMDkAbQYnE/fn3giJ+pcv9+feCCNDSVEuSVFUNDYyMDY3NzkuSVFfQ0RTX01JRC4wOS8wNy8yNgEAAAD87zYAAgAAAAcxNi4xNjY3AMkwdBP3594IXnOYL/fn3ggjQ0lRLklRVDQ2MjE4Njc0LklRX0NEU19NSUQuMDkvMDcvMjYBAAAAV8o2AAIAAAAIMTI0LjIwNjQAyTB0E/fn3ghUrpgv9+feCCNDSVEuSVFUNDYyMjU3MTUuSVFfQ0RTX01JRC4wOS8wNy8yNgEAAAC35QQAAgAAAAc0MC4zOTExAMkwdBP3594IVK6YL/fn3ggjQ0lRLklRVDQ2MjA0ODg0LklRX0NEU19NSUQuMTQvMDcvMjYBAAAAgVHAAQIAAAAHMjkuMzUwNwDJMHQT9+feCHbAqC/3594II0NJUS5JUVQ0NjIwNzc4OS5JUV9DRFNfTUlELjE0LzA3LzI2AQAAACpYowECAAAABzI2LjU4ODYAyTB0E/fn3ggMcqkv9+feCCRDSVEuSVFUMjg2MDk2MTMxLklRX0NEU19NSUQuMTQvMDcvMjYBAAAAO/EEAAIAAAAHNjAuOTAwNwDJMHQT9+feCAxyqS/3594II0NJUS5JUVQ0NjIxMDU2MC5JUV9DRFNfTUlE</t>
  </si>
  <si>
    <t>LjA4LzA3LzI2AQAAAPYaNwACAAAABjg2LjA0OQDJMHQT9+feCLPYni/3594II0NJUS5JUVQ0NjIxOTkyMi5JUV9DRFNfTUlELjA4LzA3LzI2AQAAANZHOQECAAAABjcuMzMzMwDJMHQT9+feCPe4ny/3594II0NJUS5JUVQ0NjIyMzY0Ni5JUV9DRFNfTUlELjA4LzA3LzI2AQAAABt4BAACAAAABzQ4LjM2OTQAyTB0E/fn3gj3uJ8v9+feCCNDSVEuSVFUNDYyMTQ5NTQuSVFfQ0RTX01JRC4xNi8wNy8yNgEAAAA6PTkBAgAAAAYxNC4zNzUAyTB0E/fn3gjXd6Yv9+feCCNDSVEuSVFUNDYyMDg2MzQuSVFfQ0RTX01JRC4xNi8wNy8yNgEAAAADH8IAAgAAAAcyMi40MTgzAMkwdBP3594IzvKmL/fn3ggjQ0lRLklRVDQ2MjI1MDgzLklRX0NEU19NSUQuMTYvMDcvMjYBAAAAVkQGAAIAAAAEMzcuMQDJMHQT9+feCM7ypi/3594II0NJUS5JUVQ0NjIwMzcxNC5JUV9DRFNfTUlELjIxLzA3LzI2AQAAAF8FNQACAAAABTMxLjQ1AMkwdBP3594IVK6YL/fn3ggjQ0lRLklRVDc5NjM5OTUzLklRX0NEU19NSUQuMjEvMDcvMjYBAAAANJtWAQIAAAAHMjQuOTI1MgDJMHQT9+feCFSumC/3594IJENJUS5JUVQ1Mjg5MzY4MTIuSVFfQ0RTX01JRC4yMS8wNy8yNgEAAABsWwYAAgAAAAc0Ny4wMTc0AMkwdBP3594IRDuaL/fn3ggjQ0lRLklRVDQ2MTk3MTM4LklRX0NEU19NSUQuMjAvMDcvMjYBAAAA7pQ4AQIAAAAIMTI0LjAzMDQA</t>
  </si>
  <si>
    <t>yTB0E/fn3ggS2pov9+feCCNDSVEuSVFUNTEwMjM0ODAuSVFfQ0RTX01JRC4yMC8wNy8yNgEAAADCRfEBAgAAAAU0LjY5NgDJMHQT9+feCBLami/3594II0NJUS5JUVQ0NjIwNDk1Ny5JUV9DRFNfTUlELjIwLzA3LzI2AQAAACEVBgACAAAABzU1LjIyNjUAyTB0E/fn3gjpxJsv9+feCCNDSVEuSVFUNjIyNzAxMDYuSVFfQ0RTX01JRC4yMC8wNy8yNgEAAACtd4MAAgAAAAY3NC42MjIAbQYnE/fn3gjpxJsv9+feCCNDSVEuSVFUNzk2NDAwMjQuSVFfQ0RTX01JRC4xOS8wNy8yNgEAAAA1j5sBAgAAAAY3LjgzMzMAyTB0E/fn3ghUV6Av9+feCCRDSVEuSVFUMzEzMzA1ODc5LklRX0NEU19NSUQuMTkvMDcvMjYBAAAAhNbcAQMAAAAAAMkwdBP3594IVFegL/fn3ggjQ0lRLklRVDQ2MjAwNDEyLklRX0NEU19NSUQuMTkvMDcvMjYBAAAAY0MGAAIAAAAHNDUuODMzMwDJMHQT9+feCFRXoC/3594II0NJUS5JUVQ0NjIwMzMzMi5JUV9DRFNfTUlELjE4LzA3LzI2AQAAAF8eNwACAAAABzExLjE2NjcAyTB0E/fn3gjKIKIv9+feCCNDSVEuSVFUNDYyMTUxMTEuSVFfQ0RTX01JRC4xOC8wNy8yNgEAAACgS7IBAgAAAAczNy42OTE1AMkwdBP3594IyiCiL/fn3ggjQ0lRLklRVDQ2MjI2MTMyLklRX0NEU19NSUQuMTgvMDcvMjYBAAAA3VkAAAIAAAAHNDMuODgxMQDJMHQT9+feCMogoi/3594IJENJUS5JUVQzMTMzMTM1MjQu</t>
  </si>
  <si>
    <t>SVFfQ0RTX01JRC4xOC8wNy8yNgEAAADvVQ0AAgAAAAc2MC4wMDY2AG0GJxP3594IfF2jL/fn3ggjQ0lRLklRVDc5NjM5OTEzLklRX0NEU19NSUQuMTcvMDcvMjYBAAAAIGMcAgIAAAAFOC4xMjUAyTB0E/fn3ggj9aQv9+feCCNDSVEuSVFUNDYyMDc4NzIuSVFfQ0RTX01JRC4xNy8wNy8yNgEAAABYDQoAAgAAAAc0MC44MDMyAMkwdBP3594ID6ulL/fn3ggjQ0lRLklRVDQ2MjAwMzE3LklRX0NEU19NSUQuMTcvMDcvMjYBAAAA/lQNAAIAAAAHNjMuNjUzMwBtBicT9+feCA+rpS/3594IJENJUS5JUVQ2NDQ3MDE3OTcuSVFfQ0RTX01JRC4xMS8wNy8yNgEAAABTP30BAgAAAAcxMC41Mzc4AMkwdBP3594IKE6dL/fn3ggjQ0lRLklRVDQ2MjE2OTg2LklRX0NEU19NSUQuMTEvMDcvMjYBAAAAzkQ4AQMAAAAAAMkwdBP3594ICmGeL/fn3ggkQ0lRLklRVDI1NDk1NTIzMy5JUV9DRFNfTUlELjExLzA3LzI2AQAAADlWCgACAAAABzQyLjcwMTQAyTB0E/fn3giz2J4v9+feCCNDSVEuSVFUNTEwMjMyNjAuSVFfQ0RTX01JRC4xMC8wNy8yNgEAAACxEX8BAgAAAAcxMy45NDU5AMkwdBP3594IDjGXL/fn3ggjQ0lRLklRVDQ2MjI0NzQwLklRX0NEU19NSUQuMTAvMDcvMjYBAAAA03IIAAIAAAAHMzMuNjA2NgDJMHQT9+feCHOFly/3594IJENJUS5JUVQzMTMzMTczNDQuSVFfQ0RTX01JRC4xMC8wNy8yNgEAAADxrAEAAgAA</t>
  </si>
  <si>
    <t>AAc2MC41MDAzAG0GJxP3594IifqXL/fn3ggjQ0lRLklRVDQ2MjAwMjc2LklRX0NEU19NSUQuMDkvMDcvMjYBAAAAlnd8AQIAAAAGMjcuNzg1AMkwdBP3594IXnOYL/fn3ggjQ0lRLklRVDQ2MTk1NDkxLklRX0NEU19NSUQuMDkvMDcvMjYBAAAAaUoAAAIAAAAHNTQuNTAzMwDJMHQT9+feCFSumC/3594II0NJUS5JUVQ3OTYzNDkwMS5JUV9DRFNfTUlELjA5LzA3LzI2AQAAAJwGEAACAAAABzQxLjQ2NjUAyTB0E/fn3ghUrpgv9+feCCNDSVEuSVFUNDYyMDc1NzEuSVFfQ0RTX01JRC4xNC8wNy8yNgEAAABt7zUAAgAAAAcyOS44NDU2AMkwdBP3594IdsCoL/fn3ggjQ0lRLklRVDQ2MjEzNDcyLklRX0NEU19NSUQuMTQvMDcvMjYBAAAAuVo4AAIAAAAHMTQuOTUzNQDJMHQT9+feCAxyqS/3594IJENJUS5JUVQyNjMyMTMxMzIuSVFfQ0RTX01JRC4xNC8wNy8yNgEAAADhmggAAgAAAAc1NS41NzE1AMkwdBP3594IDHKpL/fn3ggjQ0lRLklRVDQ2MTk0OTk1LklRX0NEU19NSUQuMDgvMDcvMjYBAAAAbhAxAAIAAAAFMTAuOTgAyTB0E/fn3giz2J4v9+feCCNDSVEuSVFUNDYyMjIyOTIuSVFfQ0RTX01JRC4wOC8wNy8yNgEAAADRkZsBAgAAAAg3NTkuNjI1MgDJMHQT9+feCPe4ny/3594II0NJUS5JUVQ0NjIyNTAwNi5JUV9DRFNfTUlELjA4LzA3LzI2AQAAAPhVDQACAAAABzQxLjU3MDEAyTB0E/fn3gj3uJ8v9+fe</t>
  </si>
  <si>
    <t>CCNDSVEuSVFUNDYyMjAzMjkuSVFfQ0RTX01JRC4wOC8wNy8yNgEAAADbWwAAAgAAAAQ1Ni41AG0GJxP3594IVFegL/fn3ggjQ0lRLklRVDQ2MjA3MzA4LklRX0NEU19NSUQuMTMvMDcvMjYBAAAAOYl6AQIAAAAHMTQuMzMzMwDJMHQT9+feCD48qi/3594II0NJUS5JUVQ0NjIxODUxNi5JUV9DRFNfTUlELjE2LzA3LzI2AQAAAKZVowECAAAABzM2LjA1NDUAyTB0E/fn3gjXd6Yv9+feCCNDSVEuSVFUNDYyMjA4MDMuSVFfQ0RTX01JRC4xNi8wNy8yNgEAAADWyTYAAgAAAAc0MS44MTI1AMkwdBP3594IzvKmL/fn3ggjQ0lRLklRVDQ2MjAwMzY0LklRX0NEU19NSUQuMTYvMDcvMjYBAAAAV4YIAAIAAAACMjUAyTB0E/fn3gjO8qYv9+feCCNDSVEuSVFUNDYyMDQzMDAuSVFfQ0RTX01JRC4yMS8wNy8yNgEAAAD2JX0AAgAAAAQ3LjEyAMkwdBP3594IVK6YL/fn3ggjQ0lRLklRVDYwMzg4MDU3LklRX0NEU19NSUQuMjEvMDcvMjYBAAAA38l9AQMAAAAAAMkwdBP3594IVK6YL/fn3ggjQ0lRLklRVDQ2MTk5ODQxLklRX0NEU19NSUQuMjEvMDcvMjYBAAAA6zAGAAMAAAAAAMkwdBP3594IRDuaL/fn3ggkQ0lRLklRVDMxMzMxMDE4NC5JUV9DRFNfTUlELjIwLzA3LzI2AQAAAGBEPgACAAAABjExLjA0NQDJMHQT9+feCBLami/3594II0NJUS5JUVQ0NjIxNDg3OS5JUV9DRFNfTUlELjIwLzA3LzI2AQAAAPUaNwACAAAA</t>
  </si>
  <si>
    <t>BzUxLjA1ODQAyTB0E/fn3ggS2pov9+feCCNDSVEuSVFUNDY0NzA4NzcuSVFfQ0RTX01JRC4yMC8wNy8yNgEAAABCNwcAAgAAAAc1OC4xNzc4AMkwdBP3594I6cSbL/fn3ggkQ0lRLklRVDMxMzMxMDg1NC5JUV9DRFNfTUlELjIwLzA3LzI2AQAAAK9UDQACAAAABzYxLjE2NjcAbQYnE/fn3gjpxJsv9+feCCNDSVEuSVFUNDYyMTQ5NTQuSVFfQ0RTX01JRC4xOS8wNy8yNgEAAAA6PTkBAgAAAAQxNC40AMkwdBP3594IVFegL/fn3ggjQ0lRLklRVDQ2MjA4NjM0LklRX0NEU19NSUQuMTkvMDcvMjYBAAAAAx/CAAIAAAAGMjIuODI1AMkwdBP3594IVFegL/fn3ggjQ0lRLklRVDQ2MjI1MDgzLklRX0NEU19NSUQuMTkvMDcvMjYBAAAAVkQGAAIAAAAEMzYuNQDJMHQT9+feCFRXoC/3594II0NJUS5JUVQ0NjIwMzcxNC5JUV9DRFNfTUlELjE4LzA3LzI2AQAAAF8FNQACAAAABTMxLjQ1AMkwdBP3594IyiCiL/fn3ggjQ0lRLklRVDc5NjM5OTUzLklRX0NEU19NSUQuMTgvMDcvMjYBAAAANJtWAQIAAAAHMjQuOTQyOADJMHQT9+feCMogoi/3594IJENJUS5JUVQ1Mjg5MzY4MTIuSVFfQ0RTX01JRC4xOC8wNy8yNgEAAABsWwYAAgAAAAc0Ny45NTk0AMkwdBP3594IyiCiL/fn3ggjQ0lRLklRVDQ2MTk3MTM4LklRX0NEU19NSUQuMTcvMDcvMjYBAAAA7pQ4AQIAAAAIMTI1LjQ3MzIAyTB0E/fn3gjp8KQv9+feCCNDSVEu</t>
  </si>
  <si>
    <t>SVFUNTEwMjM0ODAuSVFfQ0RTX01JRC4xNy8wNy8yNgEAAADCRfEBAgAAAAY0Ljc2MjcAyTB0E/fn3ggj9aQv9+feCCNDSVEuSVFUNDYyMDQ5NTcuSVFfQ0RTX01JRC4xNy8wNy8yNgEAAAAhFQYAAgAAAAc1NS4yNjQxAMkwdBP3594ID6ulL/fn3ggjQ0lRLklRVDYyMjcwMTA2LklRX0NEU19NSUQuMTcvMDcvMjYBAAAArXeDAAIAAAAHNzUuMjE4MQBtBicT9+feCA+rpS/3594II0NJUS5JUVQ3OTY0MDAyNC5JUV9DRFNfTUlELjExLzA3LzI2AQAAADWPmwECAAAABjcuNjcxOQDJMHQT9+feCChOnS/3594IJENJUS5JUVQzMTMzMDU4NzkuSVFfQ0RTX01JRC4xMS8wNy8yNgEAAACE1twBAwAAAAAAyTB0E/fn3ggKYZ4v9+feCCNDSVEuSVFUNDYyMDA0MTIuSVFfQ0RTX01JRC4xMS8wNy8yNgEAAABjQwYAAgAAAAc0NS44NTYxAMkwdBP3594Is9ieL/fn3ggjQ0lRLklRVDQ2MjE1MTExLklRX0NEU19NSUQuMTAvMDcvMjYBAAAAoEuyAQIAAAAHMzYuNjk1NADJMHQT9+feCA4xly/3594II0NJUS5JUVQ0NjIyNjEzMi5JUV9DRFNfTUlELjEwLzA3LzI2AQAAAN1ZAAACAAAABzQxLjY3NzYAyTB0E/fn3gh8rJcv9+feCCRDSVEuSVFUMzEzMzEzNTI0LklRX0NEU19NSUQuMTAvMDcvMjYBAAAA71UNAAIAAAAHNjAuNTE0OQBtBicT9+feCIn6ly/3594II0NJUS5JUVQ3OTYzOTkxMy5JUV9DRFNfTUlELjA5LzA3LzI2</t>
  </si>
  <si>
    <t>AQAAACBjHAICAAAABjcuOTM3NQDJMHQT9+feCF5zmC/3594II0NJUS5JUVQ0NjIwNzg3Mi5JUV9DRFNfTUlELjA5LzA3LzI2AQAAAFgNCgACAAAABzM5Ljc5OTIAyTB0E/fn3ghUrpgv9+feCCNDSVEuSVFUNDYyMDAzMTcuSVFfQ0RTX01JRC4wOS8wNy8yNgEAAAD+VA0AAgAAAAc2NC45NTY0AG0GJxP3594IVK6YL/fn3ggkQ0lRLklRVDY0NDcwMTc5Ny5JUV9DRFNfTUlELjE0LzA3LzI2AQAAAFM/fQECAAAABzEwLjYzMDQAyTB0E/fn3gh2wKgv9+feCCNDSVEuSVFUNDYyMTY5ODYuSVFfQ0RTX01JRC4xNC8wNy8yNgEAAADORDgBAwAAAAAAyTB0E/fn3ggMcqkv9+feCCRDSVEuSVFUMjU0OTU1MjMzLklRX0NEU19NSUQuMTQvMDcvMjYBAAAAOVYKAAIAAAAGNDMuNDk3AMkwdBP3594IDHKpL/fn3ggjQ0lRLklRVDQ2MTk2MjI1LklRX0NEU19NSUQuMDgvMDcvMjYBAAAAvlWjAQIAAAAFMTcuNDUAyTB0E/fn3giz2J4v9+feCCNDSVEuSVFUNTEwMjMyNjAuSVFfQ0RTX01JRC4wOC8wNy8yNgEAAACxEX8BAgAAAAYxNC4xMjUAyTB0E/fn3gj3uJ8v9+feCCNDSVEuSVFUNDYyMjQ3NDAuSVFfQ0RTX01JRC4wOC8wNy8yNgEAAADTcggAAgAAAAUzMy45NQDJMHQT9+feCPe4ny/3594IJENJUS5JUVQzMTMzMTczNDQuSVFfQ0RTX01JRC4wOC8wNy8yNgEAAADxrAEAAgAAAAc2MC4zMjUzAG0GJxP3594IVFegL/fn</t>
  </si>
  <si>
    <t>3ggjQ0lRLklRVDQ2MjA2Nzc5LklRX0NEU19NSUQuMTYvMDcvMjYBAAAA/O82AAIAAAAEMTYuNQDJMHQT9+feCNd3pi/3594II0NJUS5JUVQ0NjIxODY3NC5JUV9DRFNfTUlELjE2LzA3LzI2AQAAAFfKNgACAAAABjEyNS42NADJMHQT9+feCM7ypi/3594II0NJUS5JUVQ0NjIyNTcxNS5JUV9DRFNfTUlELjE2LzA3LzI2AQAAALflBAACAAAABzQzLjM5MjEAyTB0E/fn3gjO8qYv9+feCCNDSVEuSVFUNDYyMDQ4ODQuSVFfQ0RTX01JRC4yMS8wNy8yNgEAAACBUcABAgAAAAYyOS42MjUAyTB0E/fn3ghUrpgv9+feCCNDSVEuSVFUNDYyMDc3ODkuSVFfQ0RTX01JRC4yMS8wNy8yNgEAAAAqWKMBAgAAAAcyNi43MTM3AMkwdBP3594IVK6YL/fn3ggkQ0lRLklRVDI4NjA5NjEzMS5JUV9DRFNfTUlELjIxLzA3LzI2AQAAADvxBAACAAAABTU5Ljc1AMkwdBP3594IRDuaL/fn3ggjQ0lRLklRVDQ2MjEwNTYwLklRX0NEU19NSUQuMjAvMDcvMjYBAAAA9ho3AAIAAAAHODYuMTIxNwDJMHQT9+feCBLami/3594II0NJUS5JUVQ0NjIxOTkyMi5JUV9DRFNfTUlELjIwLzA3LzI2AQAAANZHOQECAAAABjYuNzAyOQDJMHQT9+feCBLami/3594II0NJUS5JUVQ0NjIyMzY0Ni5JUV9DRFNfTUlELjIwLzA3LzI2AQAAABt4BAACAAAABjQ5LjQzMQDJMHQT9+feCOnEmy/3594IJENJUS5JUVQzMTMzMTQ5NzYuSVFfQ0RTX01JRC4y</t>
  </si>
  <si>
    <t>MC8wNy8yNgEAAABtSgAAAgAAAAc1Ny44MzQ5AG0GJxP3594I6cSbL/fn3ggjQ0lRLklRVDQ2MjE4NTE2LklRX0NEU19NSUQuMTkvMDcvMjYBAAAAplWjAQIAAAAHMzUuNDE3MgDJMHQT9+feCFRXoC/3594II0NJUS5JUVQ0NjIyMDgwMy5JUV9DRFNfTUlELjE5LzA3LzI2AQAAANbJNgACAAAABzQyLjUwMDUAyTB0E/fn3ghUV6Av9+feCCNDSVEuSVFUNDYyMDAzNjQuSVFfQ0RTX01JRC4xOS8wNy8yNgEAAABXhggAAgAAAAUyNS4xNgDJMHQT9+feCBHloS/3594II0NJUS5JUVQ0NjIwNDMwMC5JUV9DRFNfTUlELjE4LzA3LzI2AQAAAPYlfQACAAAABjcuMTAwOQDJMHQT9+feCMogoi/3594II0NJUS5JUVQ2MDM4ODA1Ny5JUV9DRFNfTUlELjE4LzA3LzI2AQAAAN/JfQEDAAAAAADJMHQT9+feCMogoi/3594II0NJUS5JUVQ0NjE5OTg0MS5JUV9DRFNfTUlELjE4LzA3LzI2AQAAAOswBgADAAAAAADJMHQT9+feCMogoi/3594IJENJUS5JUVQzMTMzMTAxODQuSVFfQ0RTX01JRC4xNy8wNy8yNgEAAABgRD4AAgAAAAcxMS4wOTg3AMkwdBP3594II/WkL/fn3ggjQ0lRLklRVDQ2MjE0ODc5LklRX0NEU19NSUQuMTcvMDcvMjYBAAAA9Ro3AAIAAAAHNTAuOTEzNADJMHQT9+feCCP1pC/3594II0NJUS5JUVQ0NjQ3MDg3Ny5JUV9DRFNfTUlELjE3LzA3LzI2AQAAAEI3BwACAAAABjU4LjMxNADJMHQT9+feCA+rpS/3</t>
  </si>
  <si>
    <t>594IJENJUS5JUVQzMTMzMTA4NTQuSVFfQ0RTX01JRC4xNy8wNy8yNgEAAACvVA0AAgAAAAc2MS4xNjY3AG0GJxP3594ID6ulL/fn3ggjQ0lRLklRVDQ2MjE0OTU0LklRX0NEU19NSUQuMTEvMDcvMjYBAAAAOj05AQIAAAAGMTQuMTI1AMkwdBP3594IKE6dL/fn3ggjQ0lRLklRVDQ2MjA4NjM0LklRX0NEU19NSUQuMTEvMDcvMjYBAAAAAx/CAAIAAAAHMjIuMTA2NgDJMHQT9+feCAphni/3594II0NJUS5JUVQ0NjIyNTA4My5JUV9DRFNfTUlELjExLzA3LzI2AQAAAFZEBgACAAAABzM2Ljg3MDUAyTB0E/fn3giz2J4v9+feCCNDSVEuSVFUNzk2Mzk5NTMuSVFfQ0RTX01JRC4xMC8wNy8yNgEAAAA0m1YBAgAAAAcyNC45MTkxAMkwdBP3594IDjGXL/fn3ggkQ0lRLklRVDUyODkzNjgxMi5JUV9DRFNfTUlELjEwLzA3LzI2AQAAAGxbBgACAAAABjQ2LjcyNwDJMHQT9+feCHysly/3594II0NJUS5JUVQ0NjE5NzEzOC5JUV9DRFNfTUlELjA5LzA3LzI2AQAAAO6UOAECAAAACDEyNC44NzYzAMkwdBP3594IviGYL/fn3ggjQ0lRLklRVDUxMDIzNDgwLklRX0NEU19NSUQuMDkvMDcvMjYBAAAAwkXxAQIAAAAGNC41MDA4AMkwdBP3594IXnOYL/fn3ggjQ0lRLklRVDQ2MjA0OTU3LklRX0NEU19NSUQuMDkvMDcvMjYBAAAAIRUGAAIAAAAENTMuMwDJMHQT9+feCFSumC/3594II0NJUS5JUVQ2MjI3MDEwNi5JUV9DRFNf</t>
  </si>
  <si>
    <t>TUlELjA5LzA3LzI2AQAAAK13gwACAAAABzc1Ljg4NzkAbQYnE/fn3ghUrpgv9+feCCNDSVEuSVFUNzk2NDAwMjQuSVFfQ0RTX01JRC4xNC8wNy8yNgEAAAA1j5sBAgAAAAU3Ljg3NQDJMHQT9+feCDFeqS/3594IJENJUS5JUVQzMTMzMDU4NzkuSVFfQ0RTX01JRC4xNC8wNy8yNgEAAACE1twBAwAAAAAAyTB0E/fn3ggMcqkv9+feCCNDSVEuSVFUNDYyMDA0MTIuSVFfQ0RTX01JRC4xNC8wNy8yNgEAAABjQwYAAgAAAAc0Ni4yMTA1AMkwdBP3594IPjyqL/fn3ggjQ0lRLklRVDQ2MjAzMzMyLklRX0NEU19NSUQuMDgvMDcvMjYBAAAAXx43AAIAAAAHMTEuMDYyNQDJMHQT9+feCLPYni/3594II0NJUS5JUVQ0NjIxNTExMS5JUV9DRFNfTUlELjA4LzA3LzI2AQAAAKBLsgECAAAABzM3LjI2MDUAyTB0E/fn3gj3uJ8v9+feCCNDSVEuSVFUNDYyMjYxMzIuSVFfQ0RTX01JRC4wOC8wNy8yNgEAAADdWQAAAgAAAAc0Mi4wNDQxAMkwdBP3594I97ifL/fn3ggkQ0lRLklRVDMxMzMxMzUyNC5JUV9DRFNfTUlELjA4LzA3LzI2AQAAAO9VDQACAAAABjYwLjQ2NQBtBicT9+feCFRXoC/3594IJENJUS5JUVQ2NDQ3MDE3OTcuSVFfQ0RTX01JRC4xMy8wNy8yNgEAAABTP30BAgAAAAY5Ljk5NjgAyTB0E/fn3gg+PKov9+feCCNDSVEuSVFUNDYyMTY5ODYuSVFfQ0RTX01JRC4xMy8wNy8yNgEAAADORDgBAwAAAAAAyTB0E/fn</t>
  </si>
  <si>
    <t>3ggpAqsv9+feCCRDSVEuSVFUMjU0OTU1MjMzLklRX0NEU19NSUQuMTMvMDcvMjYBAAAAOVYKAAIAAAAENDMuMQDJMHQT9+feCCkCqy/3594II0NJUS5JUVQ0NjE5NjIyNS5JUV9DRFNfTUlELjIyLzA3LzI1AQAAAL5VowECAAAABTIzLjI1AMkwdBP3594IzvKmL/fn3ggjQ0lRLklRVDUxMDIzMjYwLklRX0NEU19NSUQuMjIvMDcvMjUBAAAAsRF/AQIAAAAHMTAuNTgwNwDJMHQT9+feCNH3py/3594II0NJUS5JUVQ0NjIyNDc0MC5JUV9DRFNfTUlELjIyLzA3LzI1AQAAANNyCAACAAAABzM4LjcxOTQAyTB0E/fn3gjR96cv9+feCCRDSVEuSVFUMzEzMzE3MzQ0LklRX0NEU19NSUQuMjIvMDcvMjUBAAAA8awBAAIAAAAHNDEuMTcxNgBtBicT9+feCHbAqC/3594II0NJUS5JUVQ0NjIwMDI3Ni5JUV9DRFNfTUlELjIyLzA0LzI2AQAAAJZ3fAECAAAABzI5LjM4NTcAyTB0E/fn3gh8XaMv9+feCCNDSVEuSVFUNDYxOTU0OTEuSVFfQ0RTX01JRC4yMi8wNC8yNgEAAABpSgAAAgAAAAc1OS4zMzc5AMkwdBP3594I3SKkL/fn3ggjQ0lRLklRVDc5NjM0OTAxLklRX0NEU19NSUQuMjIvMDQvMjYBAAAAnAYQAAIAAAAHNDYuMTEzOABtBicT9+feCMeJpC/3594II0NJUS5JUVQ0NjIwNzU3MS5JUV9DRFNfTUlELjEyLzA3LzI2AQAAAG3vNQACAAAABjI5LjMwNQDJMHQT9+feCOnEmy/3594II0NJUS5JUVQ0NjIxMzQ3Mi5J</t>
  </si>
  <si>
    <t>UV9DRFNfTUlELjEyLzA3LzI2AQAAALlaOAACAAAABzE1LjAwMDUAyTB0E/fn3gjpxJsv9+feCCRDSVEuSVFUMjYzMjEzMTMyLklRX0NEU19NSUQuMTIvMDcvMjYBAAAA4ZoIAAIAAAAHNTQuOTk0NADJMHQT9+feCChOnS/3594IJENJUS5JUVQ2NDQ3MDE3OTcuSVFfQ0RTX01JRC4xMi8wNy8yNgEAAABTP30BAgAAAAcxMC41Mzc4AMkwdBP3594I6cSbL/fn3ggjQ0lRLklRVDQ2MjE2OTg2LklRX0NEU19NSUQuMTIvMDcvMjYBAAAAzkQ4AQMAAAAAAMkwdBP3594I6cSbL/fn3ggkQ0lRLklRVDI1NDk1NTIzMy5JUV9DRFNfTUlELjEyLzA3LzI2AQAAADlWCgACAAAABzQyLjcwMTQAyTB0E/fn3ggoTp0v9+feCCNDSVEuSVFUNDYyNjIzNzguSVFfQ0RTX01JRC4xNi8wNy8yNgEAAABA0okBAgAAAAQxOC40AMkwdBP3594I13emL/fn3ggjQ0lRLklRVDQ2MTk3Njk0LklRX0NEU19NSUQuMTYvMDcvMjYBAAAAB/oFAAIAAAAHNTMuMTk2NwDJMHQT9+feCM7ypi/3594II0NJUS5JUVQ2MjI3MDEwNy5JUV9DRFNfTUlELjE2LzA3LzI2AQAAABVZAAACAAAABzQxLjMzMDkAyTB0E/fn3gjO8qYv9+feCCNDSVEuSVFUNDYyMDczMDguSVFfQ0RTX01JRC4yMS8wNy8yNgEAAAA5iXoBAgAAAAcxNC41NjI1AMkwdBP3594IVK6YL/fn3ggjQ0lRLklRVDQ2MjEwMDMyLklRX0NEU19NSUQuMjEvMDcvMjYBAAAAj1WjAQIAAAAH</t>
  </si>
  <si>
    <t>MzYuNjk5MQDJMHQT9+feCFSumC/3594II0NJUS5JUVQ0NjIyNTM3NC5JUV9DRFNfTUlELjIxLzA3LzI2AQAAALXWBQACAAAABzM4LjUwNTkAyTB0E/fn3ghEO5ov9+feCCNDSVEuSVFUNDk3NTExOTYuSVFfQ0RTX01JRC4yMC8wNy8yNgEAAADNmb0AAgAAAAQ0MS41AMkwdBP3594IEtqaL/fn3ggjQ0lRLklRVDYwMzg5NTE2LklRX0NEU19NSUQuMjAvMDcvMjYBAAAApfDDAQIAAAAGNy4yNDQ5AMkwdBP3594IEtqaL/fn3ggkQ0lRLklRVDMyMzY4MDEzMC5JUV9DRFNfTUlELjIwLzA3LzI2AQAAAHHhAgACAAAABzUyLjMxMTgAyTB0E/fn3gjpxJsv9+feCCRDSVEuSVFUMzEzMzE1NDI5LklRX0NEU19NSUQuMjAvMDcvMjYBAAAAOecFAAIAAAAHNjIuMTY3MwBtBicT9+feCOnEmy/3594II0NJUS5JUVQ0NjIwNjc3OS5JUV9DRFNfTUlELjE5LzA3LzI2AQAAAPzvNgACAAAABDE2LjUAyTB0E/fn3ghUV6Av9+feCCNDSVEuSVFUNDYyMTg2NzQuSVFfQ0RTX01JRC4xOS8wNy8yNgEAAABXyjYAAgAAAAgxMjkuMjc4NQDJMHQT9+feCFRXoC/3594II0NJUS5JUVQ0NjIyNTcxNS5JUV9DRFNfTUlELjE5LzA3LzI2AQAAALflBAACAAAABzQzLjQzMzkAyTB0E/fn3ggR5aEv9+feCCNDSVEuSVFUNDYyMDQ4ODQuSVFfQ0RTX01JRC4xOC8wNy8yNgEAAACBUcABAgAAAAYyOS42MjUAyTB0E/fn3gjKIKIv9+feCCNDSVEu</t>
  </si>
  <si>
    <t>SVFUNDYyMDc3ODkuSVFfQ0RTX01JRC4xOC8wNy8yNgEAAAAqWKMBAgAAAAcyNi42ODc5AMkwdBP3594IyiCiL/fn3ggkQ0lRLklRVDI4NjA5NjEzMS5JUV9DRFNfTUlELjE4LzA3LzI2AQAAADvxBAACAAAABzYwLjY2NjcAyTB0E/fn3gjKIKIv9+feCCNDSVEuSVFUNDYyMTA1NjAuSVFfQ0RTX01JRC4xNy8wNy8yNgEAAAD2GjcAAgAAAAc4Ni45NTQxAMkwdBP3594II/WkL/fn3ggjQ0lRLklRVDQ2MjE5OTIyLklRX0NEU19NSUQuMTcvMDcvMjYBAAAA1kc5AQIAAAAENy4yNQDJMHQT9+feCCP1pC/3594II0NJUS5JUVQ0NjIyMzY0Ni5JUV9DRFNfTUlELjE3LzA3LzI2AQAAABt4BAACAAAABzQ5Ljc2NjQAyTB0E/fn3ggPq6Uv9+feCCRDSVEuSVFUMzEzMzE0OTc2LklRX0NEU19NSUQuMTcvMDcvMjYBAAAAbUoAAAIAAAAHNTcuODM2NABtBicT9+feCA+rpS/3594II0NJUS5JUVQ0NjIxODUxNi5JUV9DRFNfTUlELjExLzA3LzI2AQAAAKZVowECAAAABzM2LjQ2ODIAyTB0E/fn3ggoTp0v9+feCCNDSVEuSVFUNDYyMjA4MDMuSVFfQ0RTX01JRC4xMS8wNy8yNgEAAADWyTYAAgAAAAc0MS4xMDY0AMkwdBP3594ICmGeL/fn3ggjQ0lRLklRVDQ2MjAwMzY0LklRX0NEU19NSUQuMTEvMDcvMjYBAAAAV4YIAAIAAAAFMjQuODYAyTB0E/fn3giz2J4v9+feCCNDSVEuSVFUNjAzODgwNTcuSVFfQ0RTX01JRC4xMC8w</t>
  </si>
  <si>
    <t>Ny8yNgEAAADfyX0BAwAAAAAAyTB0E/fn3ggOMZcv9+feCCNDSVEuSVFUNDYxOTk4NDEuSVFfQ0RTX01JRC4xMC8wNy8yNgEAAADrMAYAAwAAAAAAyTB0E/fn3gh8rJcv9+feCCRDSVEuSVFUMzEzMzEwMTg0LklRX0NEU19NSUQuMDkvMDcvMjYBAAAAYEQ+AAIAAAAHMTEuMjY3NQDJMHQT9+feCL4hmC/3594II0NJUS5JUVQ0NjIxNDg3OS5JUV9DRFNfTUlELjA5LzA3LzI2AQAAAPUaNwACAAAABzUwLjU0MzcAyTB0E/fn3ghec5gv9+feCCNDSVEuSVFUNDY0NzA4NzcuSVFfQ0RTX01JRC4wOS8wNy8yNgEAAABCNwcAAgAAAAc1NS4wMjQzAMkwdBP3594IVK6YL/fn3ggkQ0lRLklRVDMxMzMxMDg1NC5JUV9DRFNfTUlELjA5LzA3LzI2AQAAAK9UDQACAAAABDYxLjUAbQYnE/fn3ghUrpgv9+feCCNDSVEuSVFUNDYyMTQ5NTQuSVFfQ0RTX01JRC4xNC8wNy8yNgEAAAA6PTkBAgAAAAUxNC4zNQDJMHQT9+feCDFeqS/3594II0NJUS5JUVQ0NjIwODYzNC5JUV9DRFNfTUlELjE0LzA3LzI2AQAAAAMfwgACAAAABzIyLjUyNTgAyTB0E/fn3ggMcqkv9+feCCNDSVEuSVFUNDYyMjUwODMuSVFfQ0RTX01JRC4xNC8wNy8yNgEAAABWRAYAAgAAAAQzNy41AMkwdBP3594IPjyqL/fn3ggjQ0lRLklRVDQ2MjAzNzE0LklRX0NEU19NSUQuMDgvMDcvMjYBAAAAXwU1AAIAAAAHMzAuNzI3NwDJMHQT9+feCLPYni/3594II0NJ</t>
  </si>
  <si>
    <t>US5JUVQ3OTYzOTk1My5JUV9DRFNfTUlELjA4LzA3LzI2AQAAADSbVgECAAAABzI0Ljg2MjIAyTB0E/fn3gj3uJ8v9+feCCRDSVEuSVFUNTI4OTM2ODEyLklRX0NEU19NSUQuMDgvMDcvMjYBAAAAbFsGAAIAAAAHNDcuMDMxOQDJMHQT9+feCFRXoC/3594II0NJUS5JUVQ3OTY0MDAyNC5JUV9DRFNfTUlELjEzLzA3LzI2AQAAADWPmwECAAAAAzcuOADJMHQT9+feCD48qi/3594IJENJUS5JUVQzMTMzMDU4NzkuSVFfQ0RTX01JRC4xMy8wNy8yNgEAAACE1twBAwAAAAAAyTB0E/fn3ggpAqsv9+feCCNDSVEuSVFUNDYyMDA0MTIuSVFfQ0RTX01JRC4xMy8wNy8yNgEAAABjQwYAAgAAAAc0Ni40MzI1AMkwdBP3594IKQKrL/fn3ggjQ0lRLklRVDQ2MjAzMzMyLklRX0NEU19NSUQuMjIvMDcvMjUBAAAAXx43AAIAAAAHMTUuODI4NADJMHQT9+feCM7ypi/3594II0NJUS5JUVQ0NjIxNTExMS5JUV9DRFNfTUlELjIyLzA3LzI1AQAAAKBLsgECAAAABjQyLjc1NwDJMHQT9+feCNH3py/3594II0NJUS5JUVQ0NjIyNjEzMi5JUV9DRFNfTUlELjIyLzA3LzI1AQAAAN1ZAAACAAAABzQ3LjM0NjIAyTB0E/fn3gjR96cv9+feCCRDSVEuSVFUMzEzMzEzNTI0LklRX0NEU19NSUQuMjIvMDcvMjUBAAAA71UNAAIAAAAHNTIuMDI0MgBtBicT9+feCHbAqC/3594II0NJUS5JUVQ3OTYzOTkxMy5JUV9DRFNfTUlELjIyLzA0LzI2</t>
  </si>
  <si>
    <t>AQAAACBjHAICAAAAATkAyTB0E/fn3gh8XaMv9+feCCNDSVEuSVFUNDYyMDc4NzIuSVFfQ0RTX01JRC4yMi8wNC8yNgEAAABYDQoAAgAAAAc0MC40NzA0AMkwdBP3594I3SKkL/fn3ggjQ0lRLklRVDQ2MjAwMzE3LklRX0NEU19NSUQuMjIvMDQvMjYBAAAA/lQNAAIAAAAHNzAuMjczNwBtBicT9+feCMeJpC/3594II0NJUS5JUVQ3OTYzOTkxMy5JUV9DRFNfTUlELjE2LzA3LzI2AQAAACBjHAICAAAABjcuODMzMwDJMHQT9+feCNd3pi/3594II0NJUS5JUVQ0NjIwNzg3Mi5JUV9DRFNfTUlELjE2LzA3LzI2AQAAAFgNCgACAAAABzQwLjQ2NjcAyTB0E/fn3gjO8qYv9+feCCNDSVEuSVFUNDYyMDAzMTcuSVFfQ0RTX01JRC4xNi8wNy8yNgEAAAD+VA0AAgAAAAY2My41OTUAbQYnE/fn3gjO8qYv9+feCCRDSVEuSVFUNjQ0NzAxNzk3LklRX0NEU19NSUQuMjEvMDcvMjYBAAAAUz99AQIAAAAHMTAuMzMyNADJMHQT9+feCFSumC/3594II0NJUS5JUVQ0NjIxNjk4Ni5JUV9DRFNfTUlELjIxLzA3LzI2AQAAAM5EOAEDAAAAAADJMHQT9+feCFSumC/3594IJENJUS5JUVQyNTQ5NTUyMzMuSVFfQ0RTX01JRC4yMS8wNy8yNgEAAAA5VgoAAgAAAAc0Mi43NDM4AMkwdBP3594IRDuaL/fn3ggjQ0lRLklRVDQ2MTk2MjI1LklRX0NEU19NSUQuMjAvMDcvMjYBAAAAvlWjAQIAAAAGMTcuMzc1AMkwdBP3594IEtqaL/fn3ggj</t>
  </si>
  <si>
    <t>Q0lRLklRVDUxMDIzMjYwLklRX0NEU19NSUQuMjAvMDcvMjYBAAAAsRF/AQIAAAAHMTQuMDYzMgDJMHQT9+feCBLami/3594II0NJUS5JUVQ0NjIyNDc0MC5JUV9DRFNfTUlELjIwLzA3LzI2AQAAANNyCAACAAAABTM1LjMyAMkwdBP3594I6cSbL/fn3ggkQ0lRLklRVDMxMzMxNzM0NC5JUV9DRFNfTUlELjIwLzA3LzI2AQAAAPGsAQACAAAABzYwLjI4NTIAbQYnE/fn3gjpxJsv9+feCCNDSVEuSVFUNDYyMDAyNzYuSVFfQ0RTX01JRC4xOS8wNy8yNgEAAACWd3wBAgAAAAcyOS41MTAzAMkwdBP3594IVFegL/fn3ggjQ0lRLklRVDQ2MTk1NDkxLklRX0NEU19NSUQuMTkvMDcvMjYBAAAAaUoAAAIAAAAHNTUuNjE3NgDJMHQT9+feCFRXoC/3594II0NJUS5JUVQ3OTYzNDkwMS5JUV9DRFNfTUlELjE5LzA3LzI2AQAAAJwGEAACAAAABzQxLjA0MjUAyTB0E/fn3ggR5aEv9+feCCNDSVEuSVFUNDYyMDc1NzEuSVFfQ0RTX01JRC4xOC8wNy8yNgEAAABt7zUAAgAAAAczMC4yOTE3AMkwdBP3594IyiCiL/fn3ggjQ0lRLklRVDQ2MjEzNDcyLklRX0NEU19NSUQuMTgvMDcvMjYBAAAAuVo4AAIAAAACMTUAyTB0E/fn3gjKIKIv9+feCCRDSVEuSVFUMjYzMjEzMTMyLklRX0NEU19NSUQuMTgvMDcvMjYBAAAA4ZoIAAIAAAAHNTUuODc5NADJMHQT9+feCMogoi/3594II0NJUS5JUVQ0NjE5NDk5NS5JUV9DRFNfTUlELjE3</t>
  </si>
  <si>
    <t>LzA3LzI2AQAAAG4QMQACAAAABTEwLjk4AMkwdBP3594II/WkL/fn3ggjQ0lRLklRVDQ2MjIyMjkyLklRX0NEU19NSUQuMTcvMDcvMjYBAAAA0ZGbAQIAAAAINzYwLjgxNDgAyTB0E/fn3ggj9aQv9+feCCNDSVEuSVFUNDYyMjUwMDYuSVFfQ0RTX01JRC4xNy8wNy8yNgEAAAD4VQ0AAgAAAAc0My41NDg4AMkwdBP3594ID6ulL/fn3ggjQ0lRLklRVDQ2MjIwMzI5LklRX0NEU19NSUQuMTcvMDcvMjYBAAAA21sAAAIAAAACNTYAbQYnE/fn3ggPq6Uv9+feCCNDSVEuSVFUNDYyNjIzNzguSVFfQ0RTX01JRC4xMS8wNy8yNgEAAABA0okBAgAAAAcxNy44MzMzAMkwdBP3594IKE6dL/fn3ggjQ0lRLklRVDQ2MTk3Njk0LklRX0NEU19NSUQuMTEvMDcvMjYBAAAAB/oFAAIAAAAHNTEuNjU2MwDJMHQT9+feCAphni/3594II0NJUS5JUVQ2MjI3MDEwNy5JUV9DRFNfTUlELjExLzA3LzI2AQAAABVZAAACAAAABzQxLjUyMjYAyTB0E/fn3giz2J4v9+feCCNDSVEuSVFUNDYyMTAwMzIuSVFfQ0RTX01JRC4xMC8wNy8yNgEAAACPVaMBAgAAAAczNi41NTcyAMkwdBP3594IDjGXL/fn3ggjQ0lRLklRVDQ2MjI1Mzc0LklRX0NEU19NSUQuMTAvMDcvMjYBAAAAtdYFAAIAAAAHMzguMDM0OQDJMHQT9+feCHysly/3594II0NJUS5JUVQ0OTc1MTE5Ni5JUV9DRFNfTUlELjA5LzA3LzI2AQAAAM2ZvQACAAAAAjQyAMkwdBP3594I</t>
  </si>
  <si>
    <t>viGYL/fn3ggjQ0lRLklRVDYwMzg5NTE2LklRX0NEU19NSUQuMDkvMDcvMjYBAAAApfDDAQIAAAAGNy4yNDYxAMkwdBP3594IXnOYL/fn3ggkQ0lRLklRVDMyMzY4MDEzMC5JUV9DRFNfTUlELjA5LzA3LzI2AQAAAHHhAgACAAAABzUyLjQxNDgAyTB0E/fn3ghUrpgv9+feCCRDSVEuSVFUMzEzMzE1NDI5LklRX0NEU19NSUQuMDkvMDcvMjYBAAAAOecFAAIAAAAHNjIuMTAyMQBtBicT9+feCFSumC/3594II0NJUS5JUVQ0NjIwNjc3OS5JUV9DRFNfTUlELjE0LzA3LzI2AQAAAPzvNgACAAAABDE2LjUAyTB0E/fn3ggMcqkv9+feCCNDSVEuSVFUNDYyMTg2NzQuSVFfQ0RTX01JRC4xNC8wNy8yNgEAAABXyjYAAgAAAAgxMjQuODU5MgDJMHQT9+feCAxyqS/3594II0NJUS5JUVQ0NjE5NzEzOC5JUV9DRFNfTUlELjE2LzA3LzI2AQAAAO6UOAECAAAACDEyMy42NDQzAMkwdBP3594ID6ulL/fn3ggjQ0lRLklRVDUxMDIzNDgwLklRX0NEU19NSUQuMTYvMDcvMjYBAAAAwkXxAQIAAAAGNC43OTI3AMkwdBP3594I13emL/fn3ggjQ0lRLklRVDQ2MjA0OTU3LklRX0NEU19NSUQuMTYvMDcvMjYBAAAAIRUGAAIAAAAGNTUuMDEyAMkwdBP3594IzvKmL/fn3ggjQ0lRLklRVDYyMjcwMTA2LklRX0NEU19NSUQuMTYvMDcvMjYBAAAArXeDAAIAAAAHNzUuMjEzNQBtBicT9+feCM7ypi/3594II0NJUS5JUVQ3OTY0MDAyNC5J</t>
  </si>
  <si>
    <t>UV9DRFNfTUlELjIxLzA3LzI2AQAAADWPmwECAAAABjcuODMzMwDJMHQT9+feCFSumC/3594IJENJUS5JUVQzMTMzMDU4NzkuSVFfQ0RTX01JRC4yMS8wNy8yNgEAAACE1twBAwAAAAAAyTB0E/fn3ghEO5ov9+feCCNDSVEuSVFUNDYyMDA0MTIuSVFfQ0RTX01JRC4yMS8wNy8yNgEAAABjQwYAAgAAAAc0NC44NTEzAMkwdBP3594IRDuaL/fn3ggjQ0lRLklRVDQ2MjAzMzMyLklRX0NEU19NSUQuMjAvMDcvMjYBAAAAXx43AAIAAAAHMTEuMTY2NwDJMHQT9+feCBLami/3594II0NJUS5JUVQ0NjIxNTExMS5JUV9DRFNfTUlELjIwLzA3LzI2AQAAAKBLsgECAAAABzM3LjUwMzYAyTB0E/fn3ggS2pov9+feCCNDSVEuSVFUNDYyMjYxMzIuSVFfQ0RTX01JRC4yMC8wNy8yNgEAAADdWQAAAgAAAAc0NC4yNTExAMkwdBP3594I6cSbL/fn3ggkQ0lRLklRVDMxMzMxMzUyNC5JUV9DRFNfTUlELjIwLzA3LzI2AQAAAO9VDQACAAAABzU5Ljk3NTQAbQYnE/fn3gjpxJsv9+feCCNDSVEuSVFUNzk2Mzk5MTMuSVFfQ0RTX01JRC4xOS8wNy8yNgEAAAAgYxwCAgAAAAU4LjEyNQDJMHQT9+feCFRXoC/3594II0NJUS5JUVQ0NjIwNzg3Mi5JUV9DRFNfTUlELjE5LzA3LzI2AQAAAFgNCgACAAAABzQwLjgwMzIAyTB0E/fn3ghUV6Av9+feCCNDSVEuSVFUNDYyMDAzMTcuSVFfQ0RTX01JRC4xOS8wNy8yNgEAAAD+VA0AAgAAAAc2</t>
  </si>
  <si>
    <t>My42NTMzAG0GJxP3594IEeWhL/fn3ggkQ0lRLklRVDY0NDcwMTc5Ny5JUV9DRFNfTUlELjE4LzA3LzI2AQAAAFM/fQECAAAABzEwLjM4MTcAyTB0E/fn3gjKIKIv9+feCCNDSVEuSVFUNDYyMTY5ODYuSVFfQ0RTX01JRC4xOC8wNy8yNgEAAADORDgBAwAAAAAAyTB0E/fn3gjKIKIv9+feCCRDSVEuSVFUMjU0OTU1MjMzLklRX0NEU19NSUQuMTgvMDcvMjYBAAAAOVYKAAIAAAAHNDMuMzM4NgDJMHQT9+feCMogoi/3594II0NJUS5JUVQ0NjE5NjIyNS5JUV9DRFNfTUlELjE3LzA3LzI2AQAAAL5VowECAAAABjE3LjM3NQDJMHQT9+feCCP1pC/3594II0NJUS5JUVQ1MTAyMzI2MC5JUV9DRFNfTUlELjE3LzA3LzI2AQAAALERfwECAAAABzE0LjA0NTgAyTB0E/fn3ggj9aQv9+feCCNDSVEuSVFUNDYyMjQ3NDAuSVFfQ0RTX01JRC4xNy8wNy8yNgEAAADTcggAAgAAAAczNS4yMzM3AMkwdBP3594ID6ulL/fn3ggkQ0lRLklRVDMxMzMxNzM0NC5JUV9DRFNfTUlELjE3LzA3LzI2AQAAAPGsAQACAAAABzYwLjgxMjMAbQYnE/fn3ggPq6Uv9+feCCNDSVEuSVFUNDYyMDAyNzYuSVFfQ0RTX01JRC4xMS8wNy8yNgEAAACWd3wBAgAAAAcyOC4wMjkyAMkwdBP3594IKE6dL/fn3ggjQ0lRLklRVDQ2MTk1NDkxLklRX0NEU19NSUQuMTEvMDcvMjYBAAAAaUoAAAIAAAAHNTQuMjk5NgDJMHQT9+feCAphni/3594II0NJUS5J</t>
  </si>
  <si>
    <t>UVQ3OTYzNDkwMS5JUV9DRFNfTUlELjExLzA3LzI2AQAAAJwGEAACAAAABzQxLjI5MzEAyTB0E/fn3giz2J4v9+feCCNDSVEuSVFUNDYyMTM0NzIuSVFfQ0RTX01JRC4xMC8wNy8yNgEAAAC5WjgAAgAAAAcxNS4wMDA1AMkwdBP3594IDjGXL/fn3ggkQ0lRLklRVDI2MzIxMzEzMi5JUV9DRFNfTUlELjEwLzA3LzI2AQAAAOGaCAACAAAABzU0Ljk5NDQAyTB0E/fn3gh8rJcv9+feCCNDSVEuSVFUNDYxOTQ5OTUuSVFfQ0RTX01JRC4wOS8wNy8yNgEAAABuEDEAAgAAAAYxMC45OTYAyTB0E/fn3gi+IZgv9+feCCNDSVEuSVFUNDYyMjIyOTIuSVFfQ0RTX01JRC4wOS8wNy8yNgEAAADRkZsBAgAAAAg3NjAuMzg1MgDJMHQT9+feCF5zmC/3594II0NJUS5JUVQ0NjIyNTAwNi5JUV9DRFNfTUlELjA5LzA3LzI2AQAAAPhVDQACAAAABzQxLjI3NjcAyTB0E/fn3ghUrpgv9+feCCNDSVEuSVFUNDYyMjAzMjkuSVFfQ0RTX01JRC4wOS8wNy8yNgEAAADbWwAAAgAAAAQ1Ni41AG0GJxP3594IVK6YL/fn3ggjQ0lRLklRVDQ2MjYyMzc4LklRX0NEU19NSUQuMTQvMDcvMjYBAAAAQNKJAQIAAAAEMTguNgDJMHQT9+feCAxyqS/3594II0NJUS5JUVQ0NjE5NzY5NC5JUV9DRFNfTUlELjE0LzA3LzI2AQAAAAf6BQACAAAABzUyLjgwMTYAyTB0E/fn3ggMcqkv9+feCCNDSVEuSVFUNjIyNzAxMDcuSVFfQ0RTX01JRC4xNC8wNy8y</t>
  </si>
  <si>
    <t>NgEAAAAVWQAAAgAAAAc0My42NDM0AMkwdBP3594IPjyqL/fn3ggjQ0lRLklRVDQ2MjA3MzA4LklRX0NEU19NSUQuMDgvMDcvMjYBAAAAOYl6AQIAAAAGMTQuMzc1AMkwdBP3594Is9ieL/fn3ggjQ0lRLklRVDQ2MjEwMDMyLklRX0NEU19NSUQuMDgvMDcvMjYBAAAAj1WjAQIAAAAHMzYuOTU0MgDJMHQT9+feCPe4ny/3594II0NJUS5JUVQ0NjIyNTM3NC5JUV9DRFNfTUlELjA4LzA3LzI2AQAAALXWBQACAAAABzM4LjQyMzQAyTB0E/fn3ghUV6Av9+feCCNDSVEuSVFUNDYyMDY3NzkuSVFfQ0RTX01JRC4xMy8wNy8yNgEAAAD87zYAAgAAAAcxNi4wMjA2AMkwdBP3594IPjyqL/fn3ggjQ0lRLklRVDQ2MjE4Njc0LklRX0NEU19NSUQuMTMvMDcvMjYBAAAAV8o2AAIAAAAIMTI0LjM4MTYAyTB0E/fn3ggpAqsv9+feCCNDSVEuSVFUNDYyMjU3MTUuSVFfQ0RTX01JRC4xMy8wNy8yNgEAAAC35QQAAgAAAAc0MS4xNzM3AMkwdBP3594IKQKrL/fn3ggjQ0lRLklRVDQ2MjA0ODg0LklRX0NEU19NSUQuMjIvMDcvMjUBAAAAgVHAAQIAAAAHNDQuMDcwOADJMHQT9+feCM7ypi/3594II0NJUS5JUVQ0NjIwNzc4OS5JUV9DRFNfTUlELjIyLzA3LzI1AQAAACpYowECAAAABzIwLjkxODEAyTB0E/fn3gjR96cv9+feCCRDSVEuSVFUMjg2MDk2MTMxLklRX0NEU19NSUQuMjIvMDcvMjUBAAAAO/EEAAIAAAAFNjMuMTUAyTB0</t>
  </si>
  <si>
    <t>E/fn3gjR96cv9+feCCNDSVEuSVFUNDYyMTA1NjAuSVFfQ0RTX01JRC4yMi8wNC8yNgEAAAD2GjcAAgAAAAc4OC44NjI0AMkwdBP3594IfF2jL/fn3ggjQ0lRLklRVDQ2MjE5OTIyLklRX0NEU19NSUQuMjIvMDQvMjYBAAAA1kc5AQIAAAAGNy45Mzc1AMkwdBP3594IfF2jL/fn3ggjQ0lRLklRVDQ2MjIzNjQ2LklRX0NEU19NSUQuMjIvMDQvMjYBAAAAG3gEAAIAAAAHNTMuODYxNwDJMHQT9+feCN0ipC/3594IJENJUS5JUVQzMTMzMTQ5NzYuSVFfQ0RTX01JRC4yMi8wNC8yNgEAAABtSgAAAgAAAAQ1NS41AG0GJxP3594Ix4mkL/fn3ggjQ0lRLklRVDQ2MjE4NTE2LklRX0NEU19NSUQuMTIvMDcvMjYBAAAAplWjAQIAAAAHMzYuNDY4MgDJMHQT9+feCOnEmy/3594II0NJUS5JUVQ0NjIyMDgwMy5JUV9DRFNfTUlELjEyLzA3LzI2AQAAANbJNgACAAAABzQxLjEwNjQAyTB0E/fn3gjpxJsv9+feCCNDSVEuSVFUNDYyMDAzNjQuSVFfQ0RTX01JRC4xMi8wNy8yNgEAAABXhggAAgAAAAUyNC44NgDJMHQT9+feCChOnS/3594II0NJUS5JUVQ0NjIxOTkyMi5JUV9DRFNfTUlELjE2LzA3LzI2AQAAANZHOQECAAAABjYuNDgwOQDJMHQT9+feCNd3pi/3594II0NJUS5JUVQ0NjIyNTA4My5JUV9DRFNfTUlELjE4LzA3LzI2AQAAAFZEBgACAAAABDM2LjUAyTB0E/fn3gjKIKIv9+feCCNDSVEuSVFUNjIyNzAxMDYuSVFf</t>
  </si>
  <si>
    <t>Q0RTX01JRC4xMS8wNy8yNgEAAACtd4MAAgAAAAc3NC44ODc5AG0GJxP3594Is9ieL/fn3ggkQ0lRLklRVDMxMzMxMzUyNC5JUV9DRFNfTUlELjA5LzA3LzI2AQAAAO9VDQACAAAABzYwLjUzMDIAbQYnE/fn3ghUrpgv9+feCCNDSVEuSVFUNDYyMTY5ODYuSVFfQ0RTX01JRC4wOC8wNy8yNgEAAADORDgBAwAAAAAAyTB0E/fn3gj3uJ8v9+feCCNDSVEuSVFUNDYyMDAyNzYuSVFfQ0RTX01JRC4xMy8wNy8yNgEAAACWd3wBAgAAAAcyOC45NjkzAMkwdBP3594IPjyqL/fn3ggjQ0lRLklRVDQ2MTk1NDkxLklRX0NEU19NSUQuMTMvMDcvMjYBAAAAaUoAAAIAAAAHNTQuMjI2NQDJMHQT9+feCCkCqy/3594II0NJUS5JUVQ3OTYzNDkwMS5JUV9DRFNfTUlELjEzLzA3LzI2AQAAAJwGEAACAAAABzQxLjE0ODEAyTB0E/fn3ggpAqsv9+feCCNDSVEuSVFUNDYyMDc1NzEuSVFfQ0RTX01JRC4yMi8wNy8yNQEAAABt7zUAAgAAAAc0MS44MzA2AMkwdBP3594I0fenL/fn3ggjQ0lRLklRVDQ2MjEzNDcyLklRX0NEU19NSUQuMjIvMDcvMjUBAAAAuVo4AAIAAAAFMTMuNzkAyTB0E/fn3gjR96cv9+feCCNDSVEuSVFUNDYxOTQ5OTUuSVFfQ0RTX01JRC4yMi8wNC8yNgEAAABuEDEAAgAAAAcxMy43Mzc3AMkwdBP3594IfF2jL/fn3ggjQ0lRLklRVDQ2MjIwMzI5LklRX0NEU19NSUQuMjIvMDQvMjYBAAAA21sAAAIAAAAENTUu</t>
  </si>
  <si>
    <t>NQBtBicT9+feCMeJpC/3594II0NJUS5JUVQ0NjE5NzY5NC5JUV9DRFNfTUlELjEyLzA3LzI2AQAAAAf6BQACAAAABzUxLjY1NjMAyTB0E/fn3gjpxJsv9+feCCNDSVEuSVFUNDYyMDQzMDAuSVFfQ0RTX01JRC4xNy8wNy8yNgEAAAD2JX0AAgAAAAY3LjEwMDkAyTB0E/fn3ggj9aQv9+feCCNDSVEuSVFUNzk2NDAwMjQuSVFfQ0RTX01JRC4wOC8wNy8yNgEAAAA1j5sBAgAAAAY3LjgxMjUAyTB0E/fn3giz2J4v9+feCCRDSVEuSVFUMzEzMzA1ODc5LklRX0NEU19NSUQuMDgvMDcvMjYBAAAAhNbcAQMAAAAAAMkwdBP3594I97ifL/fn3ggjQ0lRLklRVDQ2MjAwNDEyLklRX0NEU19NSUQuMDgvMDcvMjYBAAAAY0MGAAIAAAAHNDcuNTQ4NgDJMHQT9+feCFRXoC/3594II0NJUS5JUVQ3OTYzOTkxMy5JUV9DRFNfTUlELjEzLzA3LzI2AQAAACBjHAICAAAABjcuOTEyNwDJMHQT9+feCD48qi/3594IJENJUS5JUVQzMTMzMTAxODQuSVFfQ0RTX01JRC4xNi8wNy8yNgEAAABgRD4AAgAAAAcxMS4xMzIxAMkwdBP3594ID6ulL/fn3ggjQ0lRLklRVDQ2MjE0ODc5LklRX0NEU19NSUQuMTYvMDcvMjYBAAAA9Ro3AAIAAAAHNTAuNjYyMgDJMHQT9+feCNd3pi/3594II0NJUS5JUVQ0NjQ3MDg3Ny5JUV9DRFNfTUlELjE2LzA3LzI2AQAAAEI3BwACAAAABzU3LjQ1NjEAyTB0E/fn3gjO8qYv9+feCCRDSVEuSVFUMzEzMzEw</t>
  </si>
  <si>
    <t>ODU0LklRX0NEU19NSUQuMTYvMDcvMjYBAAAAr1QNAAIAAAAHNjEuMTY2NwBtBicT9+feCM7ypi/3594II0NJUS5JUVQ0NjIxNDk1NC5JUV9DRFNfTUlELjIxLzA3LzI2AQAAADo9OQECAAAABDE0LjQAyTB0E/fn3ghUrpgv9+feCCNDSVEuSVFUNDYyMDg2MzQuSVFfQ0RTX01JRC4yMS8wNy8yNgEAAAADH8IAAgAAAAcyMi43MDgzAMkwdBP3594IRDuaL/fn3ggjQ0lRLklRVDQ2MjI1MDgzLklRX0NEU19NSUQuMjEvMDcvMjYBAAAAVkQGAAIAAAAEMzYuNQDJMHQT9+feCEQ7mi/3594II0NJUS5JUVQ0NjIwMzcxNC5JUV9DRFNfTUlELjIwLzA3LzI2AQAAAF8FNQACAAAABTMxLjQ1AMkwdBP3594IEtqaL/fn3ggjQ0lRLklRVDc5NjM5OTUzLklRX0NEU19NSUQuMjAvMDcvMjYBAAAANJtWAQIAAAAHMjQuOTI2MgDJMHQT9+feCBLami/3594IJENJUS5JUVQ1Mjg5MzY4MTIuSVFfQ0RTX01JRC4yMC8wNy8yNgEAAABsWwYAAgAAAAc0Ny44NjAyAMkwdBP3594I6cSbL/fn3ggjQ0lRLklRVDQ2MTk3MTM4LklRX0NEU19NSUQuMTkvMDcvMjYBAAAA7pQ4AQIAAAAIMTI1LjQ3MzIAyTB0E/fn3ghUV6Av9+feCCNDSVEuSVFUNTEwMjM0ODAuSVFfQ0RTX01JRC4xOS8wNy8yNgEAAADCRfEBAgAAAAY0Ljc2MjcAyTB0E/fn3ghUV6Av9+feCCNDSVEuSVFUNDYyMDQ5NTcuSVFfQ0RTX01JRC4xOS8wNy8yNgEAAAAhFQYA</t>
  </si>
  <si>
    <t>AgAAAAc1NS4yNjQxAMkwdBP3594IVFegL/fn3ggjQ0lRLklRVDYyMjcwMTA2LklRX0NEU19NSUQuMTkvMDcvMjYBAAAArXeDAAIAAAAHNzUuMjE4MQBtBicT9+feCBHloS/3594II0NJUS5JUVQ3OTY0MDAyNC5JUV9DRFNfTUlELjE4LzA3LzI2AQAAADWPmwECAAAABjcuODMzMwDJMHQT9+feCMogoi/3594IJENJUS5JUVQzMTMzMDU4NzkuSVFfQ0RTX01JRC4xOC8wNy8yNgEAAACE1twBAwAAAAAAyTB0E/fn3gjKIKIv9+feCCNDSVEuSVFUNDYyMDA0MTIuSVFfQ0RTX01JRC4xOC8wNy8yNgEAAABjQwYAAgAAAAc0NS44MzMzAMkwdBP3594IyiCiL/fn3ggjQ0lRLklRVDQ2MjAzMzMyLklRX0NEU19NSUQuMTcvMDcvMjYBAAAAXx43AAIAAAAHMTEuMTY2NwDJMHQT9+feCCP1pC/3594II0NJUS5JUVQ0NjIxNTExMS5JUV9DRFNfTUlELjE3LzA3LzI2AQAAAKBLsgECAAAABzM3LjY5MTUAyTB0E/fn3ggj9aQv9+feCCNDSVEuSVFUNDYyMjYxMzIuSVFfQ0RTX01JRC4xNy8wNy8yNgEAAADdWQAAAgAAAAc0My44ODExAMkwdBP3594ID6ulL/fn3ggkQ0lRLklRVDMxMzMxMzUyNC5JUV9DRFNfTUlELjE3LzA3LzI2AQAAAO9VDQACAAAABzYwLjAwNjYAbQYnE/fn3ggPq6Uv9+feCCNDSVEuSVFUNzk2Mzk5MTMuSVFfQ0RTX01JRC4xMS8wNy8yNgEAAAAgYxwCAgAAAAY3LjkxNjMAyTB0E/fn3ggoTp0v9+feCCND</t>
  </si>
  <si>
    <t>SVEuSVFUNDYyMDc4NzIuSVFfQ0RTX01JRC4xMS8wNy8yNgEAAABYDQoAAgAAAAc0MC40MzAzAMkwdBP3594ICmGeL/fn3ggjQ0lRLklRVDQ2MjAwMzE3LklRX0NEU19NSUQuMTEvMDcvMjYBAAAA/lQNAAIAAAAHNjUuNDYxNwBtBicT9+feCLPYni/3594II0NJUS5JUVQ0NjIxNjk4Ni5JUV9DRFNfTUlELjEwLzA3LzI2AQAAAM5EOAEDAAAAAADJMHQT9+feCGBely/3594IJENJUS5JUVQyNTQ5NTUyMzMuSVFfQ0RTX01JRC4xMC8wNy8yNgEAAAA5VgoAAgAAAAc0Mi43MDE0AMkwdBP3594IfKyXL/fn3ggjQ0lRLklRVDQ2MTk2MjI1LklRX0NEU19NSUQuMDkvMDcvMjYBAAAAvlWjAQIAAAAFMTcuNDUAyTB0E/fn3gi+IZgv9+feCCNDSVEuSVFUNTEwMjMyNjAuSVFfQ0RTX01JRC4wOS8wNy8yNgEAAACxEX8BAgAAAAcxNC4wMDA2AMkwdBP3594IVK6YL/fn3ggjQ0lRLklRVDQ2MjI0NzQwLklRX0NEU19NSUQuMDkvMDcvMjYBAAAA03IIAAIAAAAGMzMuODE1AMkwdBP3594IVK6YL/fn3ggkQ0lRLklRVDMxMzMxNzM0NC5JUV9DRFNfTUlELjA5LzA3LzI2AQAAAPGsAQACAAAABzYwLjQ1MzUAbQYnE/fn3ghUrpgv9+feCCNDSVEuSVFUNDYyMDAyNzYuSVFfQ0RTX01JRC4xNC8wNy8yNgEAAACWd3wBAgAAAAcyOS40MzkyAMkwdBP3594IDHKpL/fn3ggjQ0lRLklRVDQ2MTk1NDkxLklRX0NEU19NSUQuMTQvMDcv</t>
  </si>
  <si>
    <t>MjYBAAAAaUoAAAIAAAAGNTQuNjA0AMkwdBP3594IDHKpL/fn3ggjQ0lRLklRVDc5NjM0OTAxLklRX0NEU19NSUQuMTQvMDcvMjYBAAAAnAYQAAIAAAAGNDEuMTQ1AMkwdBP3594IPjyqL/fn3ggjQ0lRLklRVDQ2MjA3NTcxLklRX0NEU19NSUQuMDgvMDcvMjYBAAAAbe81AAIAAAAHMjkuNDI4OQDJMHQT9+feCLPYni/3594II0NJUS5JUVQ0NjIxMzQ3Mi5JUV9DRFNfTUlELjA4LzA3LzI2AQAAALlaOAACAAAABzE0LjgxMjUAyTB0E/fn3gj3uJ8v9+feCCRDSVEuSVFUMjYzMjEzMTMyLklRX0NEU19NSUQuMDgvMDcvMjYBAAAA4ZoIAAIAAAAHNTUuMzM4NADJMHQT9+feCFRXoC/3594II0NJUS5JUVQ0NjI2MjM3OC5JUV9DRFNfTUlELjEzLzA3LzI2AQAAAEDSiQECAAAABzE3LjgzMzMAyTB0E/fn3gg+PKov9+feCCNDSVEuSVFUNDYxOTc2OTQuSVFfQ0RTX01JRC4xMy8wNy8yNgEAAAAH+gUAAgAAAAc1Mi4wNTIxAMkwdBP3594IKQKrL/fn3ggjQ0lRLklRVDYyMjcwMTA3LklRX0NEU19NSUQuMTMvMDcvMjYBAAAAFVkAAAIAAAAHNDEuMjUxOADJMHQT9+feCCkCqy/3594II0NJUS5JUVQ0NjIwNzMwOC5JUV9DRFNfTUlELjIyLzA3LzI1AQAAADmJegECAAAABzE4LjE2NjcAyTB0E/fn3gjO8qYv9+feCCNDSVEuSVFUNDYyMTAwMzIuSVFfQ0RTX01JRC4yMi8wNy8yNQEAAACPVaMBAgAAAAU0MC43NgDJMHQT</t>
  </si>
  <si>
    <t>9+feCNH3py/3594II0NJUS5JUVQ0NjIyNTM3NC5JUV9DRFNfTUlELjIyLzA3LzI1AQAAALXWBQACAAAABzQ4LjczMjYAyTB0E/fn3gh2wKgv9+feCA==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</si>
</sst>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126.86</v>
        <stp/>
        <stp>188</stp>
        <stp>50221937</stp>
        <tr r="H38" s="1"/>
        <tr r="H38" s="1"/>
      </tp>
      <tp>
        <v>123.38</v>
        <stp/>
        <stp>189</stp>
        <stp>50221937</stp>
        <tr r="I38" s="1"/>
      </tp>
      <tp>
        <v>943.9</v>
        <stp/>
        <stp>186</stp>
        <stp>50221937</stp>
        <tr r="K36" s="1"/>
        <tr r="K36" s="1"/>
      </tp>
      <tp>
        <v>123.38</v>
        <stp/>
        <stp>187</stp>
        <stp>50221937</stp>
        <tr r="H38" s="1"/>
      </tp>
      <tp>
        <v>1331.5</v>
        <stp/>
        <stp>184</stp>
        <stp>50221937</stp>
        <tr r="J36" s="1"/>
        <tr r="J36" s="1"/>
      </tp>
      <tp>
        <v>1603</v>
        <stp/>
        <stp>185</stp>
        <stp>50221937</stp>
        <tr r="K36" s="1"/>
      </tp>
      <tp>
        <v>1543</v>
        <stp/>
        <stp>182</stp>
        <stp>50221937</stp>
        <tr r="I36" s="1"/>
        <tr r="I36" s="1"/>
      </tp>
      <tp>
        <v>1603</v>
        <stp/>
        <stp>183</stp>
        <stp>50221937</stp>
        <tr r="J36" s="1"/>
      </tp>
      <tp>
        <v>1626</v>
        <stp/>
        <stp>180</stp>
        <stp>50221937</stp>
        <tr r="H36" s="1"/>
        <tr r="H36" s="1"/>
      </tp>
      <tp>
        <v>1603</v>
        <stp/>
        <stp>181</stp>
        <stp>50221937</stp>
        <tr r="I36" s="1"/>
      </tp>
      <tp>
        <v>247.07</v>
        <stp/>
        <stp>198</stp>
        <stp>50221937</stp>
        <tr r="I39" s="1"/>
        <tr r="I39" s="1"/>
      </tp>
      <tp>
        <v>252.17</v>
        <stp/>
        <stp>199</stp>
        <stp>50221937</stp>
        <tr r="J39" s="1"/>
      </tp>
      <tp>
        <v>257.76</v>
        <stp/>
        <stp>196</stp>
        <stp>50221937</stp>
        <tr r="H39" s="1"/>
        <tr r="H39" s="1"/>
      </tp>
      <tp>
        <v>252.17</v>
        <stp/>
        <stp>197</stp>
        <stp>50221937</stp>
        <tr r="I39" s="1"/>
      </tp>
      <tp>
        <v>76.69</v>
        <stp/>
        <stp>194</stp>
        <stp>50221937</stp>
        <tr r="K38" s="1"/>
        <tr r="K38" s="1"/>
      </tp>
      <tp>
        <v>252.17</v>
        <stp/>
        <stp>195</stp>
        <stp>50221937</stp>
        <tr r="H39" s="1"/>
      </tp>
      <tp>
        <v>102.77</v>
        <stp/>
        <stp>192</stp>
        <stp>50221937</stp>
        <tr r="J38" s="1"/>
        <tr r="J38" s="1"/>
      </tp>
      <tp>
        <v>123.38</v>
        <stp/>
        <stp>193</stp>
        <stp>50221937</stp>
        <tr r="K38" s="1"/>
      </tp>
      <tp>
        <v>120.32</v>
        <stp/>
        <stp>190</stp>
        <stp>50221937</stp>
        <tr r="I38" s="1"/>
        <tr r="I38" s="1"/>
      </tp>
      <tp>
        <v>123.38</v>
        <stp/>
        <stp>191</stp>
        <stp>50221937</stp>
        <tr r="J38" s="1"/>
      </tp>
      <tp>
        <v>255.6</v>
        <stp/>
        <stp>148</stp>
        <stp>50221937</stp>
        <tr r="K30" s="1"/>
        <tr r="K30" s="1"/>
      </tp>
      <tp>
        <v>3668</v>
        <stp/>
        <stp>149</stp>
        <stp>50221937</stp>
        <tr r="I32" s="1"/>
      </tp>
      <tp>
        <v>3697</v>
        <stp/>
        <stp>146</stp>
        <stp>50221937</stp>
        <tr r="H32" s="1"/>
        <tr r="H32" s="1"/>
      </tp>
      <tp>
        <v>40.21</v>
        <stp/>
        <stp>246</stp>
        <stp>50221937</stp>
        <tr r="I44" s="1"/>
      </tp>
      <tp>
        <v>364.9</v>
        <stp/>
        <stp>147</stp>
        <stp>50221937</stp>
        <tr r="K30" s="1"/>
      </tp>
      <tp>
        <v>40.28</v>
        <stp/>
        <stp>247</stp>
        <stp>50221937</stp>
        <tr r="I44" s="1"/>
        <tr r="I44" s="1"/>
      </tp>
      <tp>
        <v>325.8</v>
        <stp/>
        <stp>144</stp>
        <stp>50221937</stp>
        <tr r="J30" s="1"/>
        <tr r="J30" s="1"/>
      </tp>
      <tp>
        <v>40.21</v>
        <stp/>
        <stp>244</stp>
        <stp>50221937</stp>
        <tr r="H44" s="1"/>
      </tp>
      <tp>
        <v>3668</v>
        <stp/>
        <stp>145</stp>
        <stp>50221937</stp>
        <tr r="H32" s="1"/>
      </tp>
      <tp>
        <v>40.26</v>
        <stp/>
        <stp>245</stp>
        <stp>50221937</stp>
        <tr r="H44" s="1"/>
        <tr r="H44" s="1"/>
      </tp>
      <tp>
        <v>360.8</v>
        <stp/>
        <stp>142</stp>
        <stp>50221937</stp>
        <tr r="I30" s="1"/>
        <tr r="I30" s="1"/>
      </tp>
      <tp t="s">
        <v>The record could not be found (Error code: 0)</v>
        <stp/>
        <stp>242</stp>
        <stp>50221937</stp>
        <tr r="D44" s="1"/>
      </tp>
      <tp>
        <v>364.9</v>
        <stp/>
        <stp>143</stp>
        <stp>50221937</stp>
        <tr r="J30" s="1"/>
      </tp>
      <tp t="s">
        <v>The record could not be found (Error code: 0)</v>
        <stp/>
        <stp>243</stp>
        <stp>50221937</stp>
        <tr r="D44" s="1"/>
        <tr r="D44" s="1"/>
      </tp>
      <tp>
        <v>28.84</v>
        <stp/>
        <stp>140</stp>
        <stp>50221937</stp>
        <tr r="K28" s="1"/>
        <tr r="K28" s="1"/>
      </tp>
      <tp>
        <v>142.80000000000001</v>
        <stp/>
        <stp>240</stp>
        <stp>50221937</stp>
        <tr r="K43" s="1"/>
        <tr r="K43" s="1"/>
      </tp>
      <tp>
        <v>364.9</v>
        <stp/>
        <stp>141</stp>
        <stp>50221937</stp>
        <tr r="I30" s="1"/>
      </tp>
      <tp t="s">
        <v>The record could not be found (Error code: 0)</v>
        <stp/>
        <stp>241</stp>
        <stp>50221937</stp>
        <tr r="C44" s="1"/>
      </tp>
      <tp>
        <v>6811</v>
        <stp/>
        <stp>158</stp>
        <stp>50221937</stp>
        <tr r="I33" s="1"/>
        <tr r="I33" s="1"/>
      </tp>
      <tp>
        <v>7072</v>
        <stp/>
        <stp>159</stp>
        <stp>50221937</stp>
        <tr r="J33" s="1"/>
      </tp>
      <tp>
        <v>7121</v>
        <stp/>
        <stp>156</stp>
        <stp>50221937</stp>
        <tr r="H33" s="1"/>
        <tr r="H33" s="1"/>
      </tp>
      <tp>
        <v>7072</v>
        <stp/>
        <stp>157</stp>
        <stp>50221937</stp>
        <tr r="I33" s="1"/>
      </tp>
      <tp>
        <v>2000</v>
        <stp/>
        <stp>154</stp>
        <stp>50221937</stp>
        <tr r="K32" s="1"/>
        <tr r="K32" s="1"/>
      </tp>
      <tp>
        <v>7072</v>
        <stp/>
        <stp>155</stp>
        <stp>50221937</stp>
        <tr r="H33" s="1"/>
      </tp>
      <tp>
        <v>2794</v>
        <stp/>
        <stp>152</stp>
        <stp>50221937</stp>
        <tr r="J32" s="1"/>
        <tr r="J32" s="1"/>
      </tp>
      <tp>
        <v>3668</v>
        <stp/>
        <stp>153</stp>
        <stp>50221937</stp>
        <tr r="K32" s="1"/>
      </tp>
      <tp>
        <v>3433</v>
        <stp/>
        <stp>150</stp>
        <stp>50221937</stp>
        <tr r="I32" s="1"/>
        <tr r="I32" s="1"/>
      </tp>
      <tp>
        <v>3668</v>
        <stp/>
        <stp>151</stp>
        <stp>50221937</stp>
        <tr r="J32" s="1"/>
      </tp>
      <tp>
        <v>6613</v>
        <stp/>
        <stp>168</stp>
        <stp>50221937</stp>
        <tr r="J34" s="1"/>
        <tr r="J34" s="1"/>
      </tp>
      <tp>
        <v>8529</v>
        <stp/>
        <stp>169</stp>
        <stp>50221937</stp>
        <tr r="K34" s="1"/>
      </tp>
      <tp>
        <v>8250</v>
        <stp/>
        <stp>166</stp>
        <stp>50221937</stp>
        <tr r="I34" s="1"/>
        <tr r="I34" s="1"/>
      </tp>
      <tp>
        <v>8529</v>
        <stp/>
        <stp>167</stp>
        <stp>50221937</stp>
        <tr r="J34" s="1"/>
      </tp>
      <tp>
        <v>8624</v>
        <stp/>
        <stp>164</stp>
        <stp>50221937</stp>
        <tr r="H34" s="1"/>
        <tr r="H34" s="1"/>
      </tp>
      <tp>
        <v>8529</v>
        <stp/>
        <stp>165</stp>
        <stp>50221937</stp>
        <tr r="I34" s="1"/>
      </tp>
      <tp>
        <v>3637</v>
        <stp/>
        <stp>162</stp>
        <stp>50221937</stp>
        <tr r="K33" s="1"/>
        <tr r="K33" s="1"/>
      </tp>
      <tp>
        <v>8529</v>
        <stp/>
        <stp>163</stp>
        <stp>50221937</stp>
        <tr r="H34" s="1"/>
      </tp>
      <tp>
        <v>5442</v>
        <stp/>
        <stp>160</stp>
        <stp>50221937</stp>
        <tr r="J33" s="1"/>
        <tr r="J33" s="1"/>
      </tp>
      <tp>
        <v>7072</v>
        <stp/>
        <stp>161</stp>
        <stp>50221937</stp>
        <tr r="K33" s="1"/>
      </tp>
      <tp>
        <v>1023.5</v>
        <stp/>
        <stp>178</stp>
        <stp>50221937</stp>
        <tr r="K35" s="1"/>
        <tr r="K35" s="1"/>
      </tp>
      <tp>
        <v>1603</v>
        <stp/>
        <stp>179</stp>
        <stp>50221937</stp>
        <tr r="H36" s="1"/>
      </tp>
      <tp>
        <v>1505.5</v>
        <stp/>
        <stp>176</stp>
        <stp>50221937</stp>
        <tr r="J35" s="1"/>
        <tr r="J35" s="1"/>
      </tp>
      <tp>
        <v>1852.5</v>
        <stp/>
        <stp>177</stp>
        <stp>50221937</stp>
        <tr r="K35" s="1"/>
      </tp>
      <tp>
        <v>1777.5</v>
        <stp/>
        <stp>174</stp>
        <stp>50221937</stp>
        <tr r="I35" s="1"/>
        <tr r="I35" s="1"/>
      </tp>
      <tp>
        <v>1852.5</v>
        <stp/>
        <stp>175</stp>
        <stp>50221937</stp>
        <tr r="J35" s="1"/>
      </tp>
      <tp>
        <v>1879</v>
        <stp/>
        <stp>172</stp>
        <stp>50221937</stp>
        <tr r="H35" s="1"/>
        <tr r="H35" s="1"/>
      </tp>
      <tp>
        <v>1852.5</v>
        <stp/>
        <stp>173</stp>
        <stp>50221937</stp>
        <tr r="I35" s="1"/>
      </tp>
      <tp>
        <v>4182</v>
        <stp/>
        <stp>170</stp>
        <stp>50221937</stp>
        <tr r="K34" s="1"/>
        <tr r="K34" s="1"/>
      </tp>
      <tp>
        <v>1852.5</v>
        <stp/>
        <stp>171</stp>
        <stp>50221937</stp>
        <tr r="H35" s="1"/>
      </tp>
      <tp>
        <v>663.4</v>
        <stp/>
        <stp>108</stp>
        <stp>50221937</stp>
        <tr r="H24" s="1"/>
        <tr r="H24" s="1"/>
      </tp>
      <tp>
        <v>148.57</v>
        <stp/>
        <stp>208</stp>
        <stp>50221937</stp>
        <tr r="J40" s="1"/>
        <tr r="J40" s="1"/>
      </tp>
      <tp>
        <v>684.6</v>
        <stp/>
        <stp>109</stp>
        <stp>50221937</stp>
        <tr r="I24" s="1"/>
      </tp>
      <tp>
        <v>165.7</v>
        <stp/>
        <stp>209</stp>
        <stp>50221937</stp>
        <tr r="K40" s="1"/>
      </tp>
      <tp>
        <v>943.9</v>
        <stp/>
        <stp>106</stp>
        <stp>50221937</stp>
        <tr r="K23" s="1"/>
        <tr r="K23" s="1"/>
      </tp>
      <tp>
        <v>161.57</v>
        <stp/>
        <stp>206</stp>
        <stp>50221937</stp>
        <tr r="I40" s="1"/>
        <tr r="I40" s="1"/>
      </tp>
      <tp>
        <v>684.6</v>
        <stp/>
        <stp>107</stp>
        <stp>50221937</stp>
        <tr r="H24" s="1"/>
      </tp>
      <tp>
        <v>165.7</v>
        <stp/>
        <stp>207</stp>
        <stp>50221937</stp>
        <tr r="J40" s="1"/>
      </tp>
      <tp>
        <v>1342.4</v>
        <stp/>
        <stp>104</stp>
        <stp>50221937</stp>
        <tr r="J23" s="1"/>
        <tr r="J23" s="1"/>
      </tp>
      <tp>
        <v>169.48</v>
        <stp/>
        <stp>204</stp>
        <stp>50221937</stp>
        <tr r="H40" s="1"/>
        <tr r="H40" s="1"/>
      </tp>
      <tp>
        <v>1541</v>
        <stp/>
        <stp>105</stp>
        <stp>50221937</stp>
        <tr r="K23" s="1"/>
      </tp>
      <tp>
        <v>165.7</v>
        <stp/>
        <stp>205</stp>
        <stp>50221937</stp>
        <tr r="I40" s="1"/>
      </tp>
      <tp>
        <v>1422</v>
        <stp/>
        <stp>102</stp>
        <stp>50221937</stp>
        <tr r="I23" s="1"/>
        <tr r="I23" s="1"/>
      </tp>
      <tp>
        <v>156.27000000000001</v>
        <stp/>
        <stp>202</stp>
        <stp>50221937</stp>
        <tr r="K39" s="1"/>
        <tr r="K39" s="1"/>
      </tp>
      <tp>
        <v>1541</v>
        <stp/>
        <stp>103</stp>
        <stp>50221937</stp>
        <tr r="J23" s="1"/>
      </tp>
      <tp>
        <v>165.7</v>
        <stp/>
        <stp>203</stp>
        <stp>50221937</stp>
        <tr r="H40" s="1"/>
      </tp>
      <tp>
        <v>1479.8</v>
        <stp/>
        <stp>100</stp>
        <stp>50221937</stp>
        <tr r="H23" s="1"/>
        <tr r="H23" s="1"/>
      </tp>
      <tp>
        <v>206.37</v>
        <stp/>
        <stp>200</stp>
        <stp>50221937</stp>
        <tr r="J39" s="1"/>
        <tr r="J39" s="1"/>
      </tp>
      <tp>
        <v>1541</v>
        <stp/>
        <stp>101</stp>
        <stp>50221937</stp>
        <tr r="I23" s="1"/>
      </tp>
      <tp>
        <v>252.17</v>
        <stp/>
        <stp>201</stp>
        <stp>50221937</stp>
        <tr r="K39" s="1"/>
      </tp>
      <tp>
        <v>2036</v>
        <stp/>
        <stp>118</stp>
        <stp>50221937</stp>
        <tr r="I25" s="1"/>
        <tr r="I25" s="1"/>
      </tp>
      <tp>
        <v>102.17</v>
        <stp/>
        <stp>218</stp>
        <stp>50221937</stp>
        <tr r="K41" s="1"/>
        <tr r="K41" s="1"/>
      </tp>
      <tp>
        <v>2155</v>
        <stp/>
        <stp>119</stp>
        <stp>50221937</stp>
        <tr r="J25" s="1"/>
      </tp>
      <tp>
        <v>60.087000000000003</v>
        <stp/>
        <stp>219</stp>
        <stp>50221937</stp>
        <tr r="D42" s="1"/>
      </tp>
      <tp>
        <v>2135</v>
        <stp/>
        <stp>116</stp>
        <stp>50221937</stp>
        <tr r="H25" s="1"/>
        <tr r="H25" s="1"/>
      </tp>
      <tp>
        <v>142.93</v>
        <stp/>
        <stp>216</stp>
        <stp>50221937</stp>
        <tr r="J41" s="1"/>
        <tr r="J41" s="1"/>
      </tp>
      <tp>
        <v>2155</v>
        <stp/>
        <stp>117</stp>
        <stp>50221937</stp>
        <tr r="I25" s="1"/>
      </tp>
      <tp>
        <v>170.05</v>
        <stp/>
        <stp>217</stp>
        <stp>50221937</stp>
        <tr r="K41" s="1"/>
      </tp>
      <tp>
        <v>500.4</v>
        <stp/>
        <stp>114</stp>
        <stp>50221937</stp>
        <tr r="K24" s="1"/>
        <tr r="K24" s="1"/>
      </tp>
      <tp>
        <v>167.86</v>
        <stp/>
        <stp>214</stp>
        <stp>50221937</stp>
        <tr r="I41" s="1"/>
        <tr r="I41" s="1"/>
      </tp>
      <tp>
        <v>2155</v>
        <stp/>
        <stp>115</stp>
        <stp>50221937</stp>
        <tr r="H25" s="1"/>
      </tp>
      <tp>
        <v>170.05</v>
        <stp/>
        <stp>215</stp>
        <stp>50221937</stp>
        <tr r="J41" s="1"/>
      </tp>
      <tp>
        <v>592.4</v>
        <stp/>
        <stp>112</stp>
        <stp>50221937</stp>
        <tr r="J24" s="1"/>
        <tr r="J24" s="1"/>
      </tp>
      <tp>
        <v>175.27</v>
        <stp/>
        <stp>212</stp>
        <stp>50221937</stp>
        <tr r="H41" s="1"/>
        <tr r="H41" s="1"/>
      </tp>
      <tp>
        <v>684.6</v>
        <stp/>
        <stp>113</stp>
        <stp>50221937</stp>
        <tr r="K24" s="1"/>
      </tp>
      <tp>
        <v>170.05</v>
        <stp/>
        <stp>213</stp>
        <stp>50221937</stp>
        <tr r="I41" s="1"/>
      </tp>
      <tp>
        <v>651.4</v>
        <stp/>
        <stp>110</stp>
        <stp>50221937</stp>
        <tr r="I24" s="1"/>
        <tr r="I24" s="1"/>
      </tp>
      <tp>
        <v>101.22</v>
        <stp/>
        <stp>210</stp>
        <stp>50221937</stp>
        <tr r="K40" s="1"/>
        <tr r="K40" s="1"/>
      </tp>
      <tp>
        <v>684.6</v>
        <stp/>
        <stp>111</stp>
        <stp>50221937</stp>
        <tr r="J24" s="1"/>
      </tp>
      <tp>
        <v>170.05</v>
        <stp/>
        <stp>211</stp>
        <stp>50221937</stp>
        <tr r="H41" s="1"/>
      </tp>
      <tp>
        <v>27.835000000000001</v>
        <stp/>
        <stp>128</stp>
        <stp>50221937</stp>
        <tr r="J27" s="1"/>
        <tr r="J27" s="1"/>
      </tp>
      <tp>
        <v>181.21</v>
        <stp/>
        <stp>228</stp>
        <stp>50221937</stp>
        <tr r="K42" s="1"/>
        <tr r="K42" s="1"/>
      </tp>
      <tp>
        <v>31.225000000000001</v>
        <stp/>
        <stp>129</stp>
        <stp>50221937</stp>
        <tr r="K27" s="1"/>
      </tp>
      <tp>
        <v>227.76</v>
        <stp/>
        <stp>229</stp>
        <stp>50221937</stp>
        <tr r="H43" s="1"/>
      </tp>
      <tp>
        <v>30.69</v>
        <stp/>
        <stp>126</stp>
        <stp>50221937</stp>
        <tr r="I27" s="1"/>
        <tr r="I27" s="1"/>
      </tp>
      <tp>
        <v>305.74</v>
        <stp/>
        <stp>226</stp>
        <stp>50221937</stp>
        <tr r="H42" s="1"/>
        <tr r="H42" s="1"/>
      </tp>
      <tp>
        <v>31.225000000000001</v>
        <stp/>
        <stp>127</stp>
        <stp>50221937</stp>
        <tr r="J27" s="1"/>
      </tp>
      <tp>
        <v>297.74</v>
        <stp/>
        <stp>227</stp>
        <stp>50221937</stp>
        <tr r="K42" s="1"/>
      </tp>
      <tp>
        <v>31.805</v>
        <stp/>
        <stp>124</stp>
        <stp>50221937</stp>
        <tr r="H27" s="1"/>
        <tr r="H27" s="1"/>
      </tp>
      <tp>
        <v>241.26</v>
        <stp/>
        <stp>224</stp>
        <stp>50221937</stp>
        <tr r="J42" s="1"/>
        <tr r="J42" s="1"/>
      </tp>
      <tp>
        <v>31.225000000000001</v>
        <stp/>
        <stp>125</stp>
        <stp>50221937</stp>
        <tr r="I27" s="1"/>
      </tp>
      <tp>
        <v>297.74</v>
        <stp/>
        <stp>225</stp>
        <stp>50221937</stp>
        <tr r="H42" s="1"/>
      </tp>
      <tp>
        <v>1330.5</v>
        <stp/>
        <stp>122</stp>
        <stp>50221937</stp>
        <tr r="K25" s="1"/>
        <tr r="K25" s="1"/>
      </tp>
      <tp>
        <v>291.62</v>
        <stp/>
        <stp>222</stp>
        <stp>50221937</stp>
        <tr r="I42" s="1"/>
        <tr r="I42" s="1"/>
      </tp>
      <tp>
        <v>31.225000000000001</v>
        <stp/>
        <stp>123</stp>
        <stp>50221937</stp>
        <tr r="H27" s="1"/>
      </tp>
      <tp>
        <v>297.74</v>
        <stp/>
        <stp>223</stp>
        <stp>50221937</stp>
        <tr r="J42" s="1"/>
      </tp>
      <tp>
        <v>1780</v>
        <stp/>
        <stp>120</stp>
        <stp>50221937</stp>
        <tr r="J25" s="1"/>
        <tr r="J25" s="1"/>
      </tp>
      <tp>
        <v>-0.153</v>
        <stp/>
        <stp>220</stp>
        <stp>50221937</stp>
        <tr r="D42" s="1"/>
        <tr r="D42" s="1"/>
      </tp>
      <tp>
        <v>2155</v>
        <stp/>
        <stp>121</stp>
        <stp>50221937</stp>
        <tr r="K25" s="1"/>
      </tp>
      <tp>
        <v>297.74</v>
        <stp/>
        <stp>221</stp>
        <stp>50221937</stp>
        <tr r="I42" s="1"/>
      </tp>
      <tp>
        <v>371.2</v>
        <stp/>
        <stp>138</stp>
        <stp>50221937</stp>
        <tr r="H30" s="1"/>
        <tr r="H30" s="1"/>
      </tp>
      <tp>
        <v>30.89</v>
        <stp/>
        <stp>238</stp>
        <stp>50221937</stp>
        <tr r="K44" s="1"/>
        <tr r="K44" s="1"/>
      </tp>
      <tp>
        <v>38.44</v>
        <stp/>
        <stp>139</stp>
        <stp>50221937</stp>
        <tr r="K28" s="1"/>
      </tp>
      <tp>
        <v>227.76</v>
        <stp/>
        <stp>239</stp>
        <stp>50221937</stp>
        <tr r="K43" s="1"/>
      </tp>
      <tp>
        <v>34.82</v>
        <stp/>
        <stp>136</stp>
        <stp>50221937</stp>
        <tr r="J28" s="1"/>
        <tr r="J28" s="1"/>
      </tp>
      <tp>
        <v>40.26</v>
        <stp/>
        <stp>236</stp>
        <stp>50221937</stp>
        <tr r="J44" s="1"/>
        <tr r="J44" s="1"/>
      </tp>
      <tp>
        <v>364.9</v>
        <stp/>
        <stp>137</stp>
        <stp>50221937</stp>
        <tr r="H30" s="1"/>
      </tp>
      <tp>
        <v>40.21</v>
        <stp/>
        <stp>237</stp>
        <stp>50221937</stp>
        <tr r="K44" s="1"/>
      </tp>
      <tp>
        <v>37.409999999999997</v>
        <stp/>
        <stp>134</stp>
        <stp>50221937</stp>
        <tr r="I28" s="1"/>
        <tr r="I28" s="1"/>
      </tp>
      <tp>
        <v>202.53</v>
        <stp/>
        <stp>234</stp>
        <stp>50221937</stp>
        <tr r="J43" s="1"/>
        <tr r="J43" s="1"/>
      </tp>
      <tp>
        <v>38.44</v>
        <stp/>
        <stp>135</stp>
        <stp>50221937</stp>
        <tr r="J28" s="1"/>
      </tp>
      <tp>
        <v>40.21</v>
        <stp/>
        <stp>235</stp>
        <stp>50221937</stp>
        <tr r="J44" s="1"/>
      </tp>
      <tp>
        <v>38.03</v>
        <stp/>
        <stp>132</stp>
        <stp>50221937</stp>
        <tr r="H28" s="1"/>
        <tr r="H28" s="1"/>
      </tp>
      <tp>
        <v>223.12</v>
        <stp/>
        <stp>232</stp>
        <stp>50221937</stp>
        <tr r="I43" s="1"/>
        <tr r="I43" s="1"/>
      </tp>
      <tp>
        <v>38.44</v>
        <stp/>
        <stp>133</stp>
        <stp>50221937</stp>
        <tr r="I28" s="1"/>
      </tp>
      <tp>
        <v>227.76</v>
        <stp/>
        <stp>233</stp>
        <stp>50221937</stp>
        <tr r="J43" s="1"/>
      </tp>
      <tp>
        <v>25.9</v>
        <stp/>
        <stp>130</stp>
        <stp>50221937</stp>
        <tr r="K27" s="1"/>
        <tr r="K27" s="1"/>
      </tp>
      <tp>
        <v>235.32</v>
        <stp/>
        <stp>230</stp>
        <stp>50221937</stp>
        <tr r="H43" s="1"/>
        <tr r="H43" s="1"/>
      </tp>
      <tp>
        <v>38.44</v>
        <stp/>
        <stp>131</stp>
        <stp>50221937</stp>
        <tr r="H28" s="1"/>
      </tp>
      <tp>
        <v>227.76</v>
        <stp/>
        <stp>231</stp>
        <stp>50221937</stp>
        <tr r="I43" s="1"/>
      </tp>
      <tp>
        <v>44.28</v>
        <stp/>
        <stp>84</stp>
        <stp>50221937</stp>
        <tr r="H20" s="1"/>
        <tr r="H20" s="1"/>
      </tp>
      <tp>
        <v>42.89</v>
        <stp/>
        <stp>85</stp>
        <stp>50221937</stp>
        <tr r="I20" s="1"/>
      </tp>
      <tp>
        <v>41.1</v>
        <stp/>
        <stp>86</stp>
        <stp>50221937</stp>
        <tr r="I20" s="1"/>
        <tr r="I20" s="1"/>
      </tp>
      <tp>
        <v>42.89</v>
        <stp/>
        <stp>87</stp>
        <stp>50221937</stp>
        <tr r="J20" s="1"/>
      </tp>
      <tp>
        <v>70.37</v>
        <stp/>
        <stp>80</stp>
        <stp>50221937</stp>
        <tr r="J18" s="1"/>
        <tr r="J18" s="1"/>
      </tp>
      <tp>
        <v>78.06</v>
        <stp/>
        <stp>81</stp>
        <stp>50221937</stp>
        <tr r="K18" s="1"/>
      </tp>
      <tp>
        <v>49.44</v>
        <stp/>
        <stp>82</stp>
        <stp>50221937</stp>
        <tr r="K18" s="1"/>
        <tr r="K18" s="1"/>
      </tp>
      <tp>
        <v>42.89</v>
        <stp/>
        <stp>83</stp>
        <stp>50221937</stp>
        <tr r="H20" s="1"/>
      </tp>
      <tp>
        <v>33.54</v>
        <stp/>
        <stp>88</stp>
        <stp>50221937</stp>
        <tr r="J20" s="1"/>
        <tr r="J20" s="1"/>
      </tp>
      <tp>
        <v>42.89</v>
        <stp/>
        <stp>89</stp>
        <stp>50221937</stp>
        <tr r="K20" s="1"/>
      </tp>
      <tp>
        <v>497.1</v>
        <stp/>
        <stp>94</stp>
        <stp>50221937</stp>
        <tr r="I22" s="1"/>
        <tr r="I22" s="1"/>
      </tp>
      <tp>
        <v>527</v>
        <stp/>
        <stp>95</stp>
        <stp>50221937</stp>
        <tr r="J22" s="1"/>
      </tp>
      <tp>
        <v>434.25</v>
        <stp/>
        <stp>96</stp>
        <stp>50221937</stp>
        <tr r="J22" s="1"/>
        <tr r="J22" s="1"/>
      </tp>
      <tp>
        <v>527</v>
        <stp/>
        <stp>97</stp>
        <stp>50221937</stp>
        <tr r="K22" s="1"/>
      </tp>
      <tp>
        <v>29.34</v>
        <stp/>
        <stp>90</stp>
        <stp>50221937</stp>
        <tr r="K20" s="1"/>
        <tr r="K20" s="1"/>
      </tp>
      <tp>
        <v>527</v>
        <stp/>
        <stp>91</stp>
        <stp>50221937</stp>
        <tr r="H22" s="1"/>
      </tp>
      <tp>
        <v>524.5</v>
        <stp/>
        <stp>92</stp>
        <stp>50221937</stp>
        <tr r="H22" s="1"/>
        <tr r="H22" s="1"/>
      </tp>
      <tp>
        <v>527</v>
        <stp/>
        <stp>93</stp>
        <stp>50221937</stp>
        <tr r="I22" s="1"/>
      </tp>
      <tp>
        <v>348.75</v>
        <stp/>
        <stp>98</stp>
        <stp>50221937</stp>
        <tr r="K22" s="1"/>
        <tr r="K22" s="1"/>
      </tp>
      <tp>
        <v>1541</v>
        <stp/>
        <stp>99</stp>
        <stp>50221937</stp>
        <tr r="H23" s="1"/>
      </tp>
      <tp t="s">
        <v>The formula must contain at least one field or function.</v>
        <stp/>
        <stp>1</stp>
        <stp>50221937</stp>
        <tr r="M2" s="1"/>
      </tp>
      <tp>
        <v>132.84</v>
        <stp/>
        <stp>2</stp>
        <stp>50221937</stp>
        <tr r="H8" s="1"/>
      </tp>
      <tp>
        <v>134.88999999999999</v>
        <stp/>
        <stp>3</stp>
        <stp>50221937</stp>
        <tr r="H8" s="1"/>
        <tr r="H8" s="1"/>
      </tp>
      <tp t="s">
        <v>The formula must contain at least one field or function.</v>
        <stp/>
        <stp>4</stp>
        <stp>50221937</stp>
        <tr r="M5" s="1"/>
      </tp>
      <tp>
        <v>132.84</v>
        <stp/>
        <stp>5</stp>
        <stp>50221937</stp>
        <tr r="I8" s="1"/>
      </tp>
      <tp>
        <v>137.38999999999999</v>
        <stp/>
        <stp>6</stp>
        <stp>50221937</stp>
        <tr r="I8" s="1"/>
        <tr r="I8" s="1"/>
      </tp>
      <tp>
        <v>132.84</v>
        <stp/>
        <stp>7</stp>
        <stp>50221937</stp>
        <tr r="J8" s="1"/>
      </tp>
      <tp>
        <v>129.72999999999999</v>
        <stp/>
        <stp>8</stp>
        <stp>50221937</stp>
        <tr r="J8" s="1"/>
        <tr r="J8" s="1"/>
      </tp>
      <tp>
        <v>132.84</v>
        <stp/>
        <stp>9</stp>
        <stp>50221937</stp>
        <tr r="K8" s="1"/>
      </tp>
      <tp>
        <v>53.12</v>
        <stp/>
        <stp>14</stp>
        <stp>50221937</stp>
        <tr r="J9" s="1"/>
        <tr r="J9" s="1"/>
      </tp>
      <tp>
        <v>61.22</v>
        <stp/>
        <stp>15</stp>
        <stp>50221937</stp>
        <tr r="I9" s="1"/>
      </tp>
      <tp>
        <v>58.3</v>
        <stp/>
        <stp>16</stp>
        <stp>50221937</stp>
        <tr r="I9" s="1"/>
        <tr r="I9" s="1"/>
      </tp>
      <tp>
        <v>61.22</v>
        <stp/>
        <stp>17</stp>
        <stp>50221937</stp>
        <tr r="K9" s="1"/>
      </tp>
      <tp>
        <v>94</v>
        <stp/>
        <stp>10</stp>
        <stp>50221937</stp>
        <tr r="K8" s="1"/>
        <tr r="K8" s="1"/>
      </tp>
      <tp>
        <v>61.22</v>
        <stp/>
        <stp>11</stp>
        <stp>50221937</stp>
        <tr r="H9" s="1"/>
      </tp>
      <tp>
        <v>61.59</v>
        <stp/>
        <stp>12</stp>
        <stp>50221937</stp>
        <tr r="H9" s="1"/>
        <tr r="H9" s="1"/>
      </tp>
      <tp>
        <v>61.22</v>
        <stp/>
        <stp>13</stp>
        <stp>50221937</stp>
        <tr r="J9" s="1"/>
      </tp>
      <tp>
        <v>47.77</v>
        <stp/>
        <stp>18</stp>
        <stp>50221937</stp>
        <tr r="K9" s="1"/>
        <tr r="K9" s="1"/>
      </tp>
      <tp>
        <v>345.23</v>
        <stp/>
        <stp>19</stp>
        <stp>50221937</stp>
        <tr r="H10" s="1"/>
      </tp>
      <tp>
        <v>313.02</v>
        <stp/>
        <stp>24</stp>
        <stp>50221937</stp>
        <tr r="J10" s="1"/>
        <tr r="J10" s="1"/>
      </tp>
      <tp>
        <v>345.23</v>
        <stp/>
        <stp>25</stp>
        <stp>50221937</stp>
        <tr r="K10" s="1"/>
      </tp>
      <tp>
        <v>291.43</v>
        <stp/>
        <stp>26</stp>
        <stp>50221937</stp>
        <tr r="K10" s="1"/>
        <tr r="K10" s="1"/>
      </tp>
      <tp>
        <v>1085.56</v>
        <stp/>
        <stp>27</stp>
        <stp>50221937</stp>
        <tr r="H11" s="1"/>
      </tp>
      <tp>
        <v>346.91</v>
        <stp/>
        <stp>20</stp>
        <stp>50221937</stp>
        <tr r="H10" s="1"/>
        <tr r="H10" s="1"/>
      </tp>
      <tp>
        <v>345.23</v>
        <stp/>
        <stp>21</stp>
        <stp>50221937</stp>
        <tr r="I10" s="1"/>
      </tp>
      <tp>
        <v>330.62</v>
        <stp/>
        <stp>22</stp>
        <stp>50221937</stp>
        <tr r="I10" s="1"/>
        <tr r="I10" s="1"/>
      </tp>
      <tp>
        <v>345.23</v>
        <stp/>
        <stp>23</stp>
        <stp>50221937</stp>
        <tr r="J10" s="1"/>
      </tp>
      <tp>
        <v>1152.07</v>
        <stp/>
        <stp>28</stp>
        <stp>50221937</stp>
        <tr r="H11" s="1"/>
        <tr r="H11" s="1"/>
      </tp>
      <tp>
        <v>1085.56</v>
        <stp/>
        <stp>29</stp>
        <stp>50221937</stp>
        <tr r="I11" s="1"/>
      </tp>
      <tp>
        <v>700.41</v>
        <stp/>
        <stp>34</stp>
        <stp>50221937</stp>
        <tr r="K11" s="1"/>
        <tr r="K11" s="1"/>
      </tp>
      <tp>
        <v>216.4</v>
        <stp/>
        <stp>35</stp>
        <stp>50221937</stp>
        <tr r="H12" s="1"/>
      </tp>
      <tp>
        <v>228.55</v>
        <stp/>
        <stp>36</stp>
        <stp>50221937</stp>
        <tr r="H12" s="1"/>
        <tr r="H12" s="1"/>
      </tp>
      <tp>
        <v>216.4</v>
        <stp/>
        <stp>37</stp>
        <stp>50221937</stp>
        <tr r="I12" s="1"/>
      </tp>
      <tp>
        <v>1029.6400000000001</v>
        <stp/>
        <stp>30</stp>
        <stp>50221937</stp>
        <tr r="I11" s="1"/>
        <tr r="I11" s="1"/>
      </tp>
      <tp>
        <v>1085.56</v>
        <stp/>
        <stp>31</stp>
        <stp>50221937</stp>
        <tr r="J11" s="1"/>
      </tp>
      <tp>
        <v>934.84</v>
        <stp/>
        <stp>32</stp>
        <stp>50221937</stp>
        <tr r="J11" s="1"/>
        <tr r="J11" s="1"/>
      </tp>
      <tp>
        <v>1085.56</v>
        <stp/>
        <stp>33</stp>
        <stp>50221937</stp>
        <tr r="K11" s="1"/>
      </tp>
      <tp>
        <v>218.07</v>
        <stp/>
        <stp>38</stp>
        <stp>50221937</stp>
        <tr r="I12" s="1"/>
        <tr r="I12" s="1"/>
      </tp>
      <tp>
        <v>216.4</v>
        <stp/>
        <stp>39</stp>
        <stp>50221937</stp>
        <tr r="J12" s="1"/>
      </tp>
      <tp>
        <v>87.51</v>
        <stp/>
        <stp>44</stp>
        <stp>50221937</stp>
        <tr r="H13" s="1"/>
        <tr r="H13" s="1"/>
      </tp>
      <tp>
        <v>87.74</v>
        <stp/>
        <stp>45</stp>
        <stp>50221937</stp>
        <tr r="I13" s="1"/>
      </tp>
      <tp>
        <v>85.56</v>
        <stp/>
        <stp>46</stp>
        <stp>50221937</stp>
        <tr r="I13" s="1"/>
        <tr r="I13" s="1"/>
      </tp>
      <tp>
        <v>87.74</v>
        <stp/>
        <stp>47</stp>
        <stp>50221937</stp>
        <tr r="J13" s="1"/>
      </tp>
      <tp>
        <v>191.05</v>
        <stp/>
        <stp>40</stp>
        <stp>50221937</stp>
        <tr r="J12" s="1"/>
        <tr r="J12" s="1"/>
      </tp>
      <tp>
        <v>216.4</v>
        <stp/>
        <stp>41</stp>
        <stp>50221937</stp>
        <tr r="K12" s="1"/>
      </tp>
      <tp>
        <v>140.04</v>
        <stp/>
        <stp>42</stp>
        <stp>50221937</stp>
        <tr r="K12" s="1"/>
        <tr r="K12" s="1"/>
      </tp>
      <tp>
        <v>87.74</v>
        <stp/>
        <stp>43</stp>
        <stp>50221937</stp>
        <tr r="H13" s="1"/>
      </tp>
      <tp>
        <v>80.58</v>
        <stp/>
        <stp>48</stp>
        <stp>50221937</stp>
        <tr r="J13" s="1"/>
        <tr r="J13" s="1"/>
      </tp>
      <tp>
        <v>87.74</v>
        <stp/>
        <stp>49</stp>
        <stp>50221937</stp>
        <tr r="K13" s="1"/>
      </tp>
      <tp>
        <v>177.42</v>
        <stp/>
        <stp>54</stp>
        <stp>50221937</stp>
        <tr r="I14" s="1"/>
        <tr r="I14" s="1"/>
      </tp>
      <tp>
        <v>183.3</v>
        <stp/>
        <stp>55</stp>
        <stp>50221937</stp>
        <tr r="J14" s="1"/>
      </tp>
      <tp>
        <v>152.4</v>
        <stp/>
        <stp>56</stp>
        <stp>50221937</stp>
        <tr r="J14" s="1"/>
        <tr r="J14" s="1"/>
      </tp>
      <tp>
        <v>106.78</v>
        <stp/>
        <stp>57</stp>
        <stp>50221937</stp>
        <tr r="H16" s="1"/>
      </tp>
      <tp>
        <v>82.38</v>
        <stp/>
        <stp>50</stp>
        <stp>50221937</stp>
        <tr r="K13" s="1"/>
        <tr r="K13" s="1"/>
      </tp>
      <tp>
        <v>183.3</v>
        <stp/>
        <stp>51</stp>
        <stp>50221937</stp>
        <tr r="H14" s="1"/>
      </tp>
      <tp>
        <v>186.59</v>
        <stp/>
        <stp>52</stp>
        <stp>50221937</stp>
        <tr r="H14" s="1"/>
        <tr r="H14" s="1"/>
      </tp>
      <tp>
        <v>183.3</v>
        <stp/>
        <stp>53</stp>
        <stp>50221937</stp>
        <tr r="I14" s="1"/>
      </tp>
      <tp>
        <v>102.64</v>
        <stp/>
        <stp>58</stp>
        <stp>50221937</stp>
        <tr r="H16" s="1"/>
        <tr r="H16" s="1"/>
      </tp>
      <tp>
        <v>183.3</v>
        <stp/>
        <stp>59</stp>
        <stp>50221937</stp>
        <tr r="K14" s="1"/>
      </tp>
      <tp>
        <v>90.74</v>
        <stp/>
        <stp>64</stp>
        <stp>50221937</stp>
        <tr r="J16" s="1"/>
        <tr r="J16" s="1"/>
      </tp>
      <tp>
        <v>106.78</v>
        <stp/>
        <stp>65</stp>
        <stp>50221937</stp>
        <tr r="K16" s="1"/>
      </tp>
      <tp>
        <v>77.08</v>
        <stp/>
        <stp>66</stp>
        <stp>50221937</stp>
        <tr r="K16" s="1"/>
        <tr r="K16" s="1"/>
      </tp>
      <tp>
        <v>18.239999999999998</v>
        <stp/>
        <stp>67</stp>
        <stp>50221937</stp>
        <tr r="H17" s="1"/>
      </tp>
      <tp>
        <v>109.71</v>
        <stp/>
        <stp>60</stp>
        <stp>50221937</stp>
        <tr r="K14" s="1"/>
        <tr r="K14" s="1"/>
      </tp>
      <tp>
        <v>106.78</v>
        <stp/>
        <stp>61</stp>
        <stp>50221937</stp>
        <tr r="I16" s="1"/>
      </tp>
      <tp>
        <v>98.27</v>
        <stp/>
        <stp>62</stp>
        <stp>50221937</stp>
        <tr r="I16" s="1"/>
        <tr r="I16" s="1"/>
      </tp>
      <tp>
        <v>106.78</v>
        <stp/>
        <stp>63</stp>
        <stp>50221937</stp>
        <tr r="J16" s="1"/>
      </tp>
      <tp>
        <v>17.77</v>
        <stp/>
        <stp>68</stp>
        <stp>50221937</stp>
        <tr r="H17" s="1"/>
        <tr r="H17" s="1"/>
      </tp>
      <tp>
        <v>18.239999999999998</v>
        <stp/>
        <stp>69</stp>
        <stp>50221937</stp>
        <tr r="I17" s="1"/>
      </tp>
      <tp>
        <v>16.065000000000001</v>
        <stp/>
        <stp>74</stp>
        <stp>50221937</stp>
        <tr r="K17" s="1"/>
        <tr r="K17" s="1"/>
      </tp>
      <tp>
        <v>78.06</v>
        <stp/>
        <stp>75</stp>
        <stp>50221937</stp>
        <tr r="H18" s="1"/>
      </tp>
      <tp>
        <v>76.400000000000006</v>
        <stp/>
        <stp>76</stp>
        <stp>50221937</stp>
        <tr r="H18" s="1"/>
        <tr r="H18" s="1"/>
      </tp>
      <tp>
        <v>78.06</v>
        <stp/>
        <stp>77</stp>
        <stp>50221937</stp>
        <tr r="I18" s="1"/>
      </tp>
      <tp>
        <v>17.2</v>
        <stp/>
        <stp>70</stp>
        <stp>50221937</stp>
        <tr r="I17" s="1"/>
        <tr r="I17" s="1"/>
      </tp>
      <tp>
        <v>18.239999999999998</v>
        <stp/>
        <stp>71</stp>
        <stp>50221937</stp>
        <tr r="J17" s="1"/>
      </tp>
      <tp>
        <v>17.28</v>
        <stp/>
        <stp>72</stp>
        <stp>50221937</stp>
        <tr r="J17" s="1"/>
        <tr r="J17" s="1"/>
      </tp>
      <tp>
        <v>18.239999999999998</v>
        <stp/>
        <stp>73</stp>
        <stp>50221937</stp>
        <tr r="K17" s="1"/>
      </tp>
      <tp>
        <v>71.3</v>
        <stp/>
        <stp>78</stp>
        <stp>50221937</stp>
        <tr r="I18" s="1"/>
        <tr r="I18" s="1"/>
      </tp>
      <tp>
        <v>78.06</v>
        <stp/>
        <stp>79</stp>
        <stp>50221937</stp>
        <tr r="J1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70</c:v>
                </c:pt>
                <c:pt idx="1">
                  <c:v>56.66</c:v>
                </c:pt>
                <c:pt idx="2">
                  <c:v>13.36</c:v>
                </c:pt>
                <c:pt idx="3">
                  <c:v>39.96</c:v>
                </c:pt>
                <c:pt idx="4">
                  <c:v>93.36</c:v>
                </c:pt>
                <c:pt idx="5">
                  <c:v>36.64</c:v>
                </c:pt>
                <c:pt idx="6">
                  <c:v>39.980000000000004</c:v>
                </c:pt>
                <c:pt idx="8">
                  <c:v>0</c:v>
                </c:pt>
                <c:pt idx="9">
                  <c:v>70</c:v>
                </c:pt>
                <c:pt idx="10">
                  <c:v>60</c:v>
                </c:pt>
                <c:pt idx="12">
                  <c:v>0</c:v>
                </c:pt>
                <c:pt idx="14">
                  <c:v>73.36</c:v>
                </c:pt>
                <c:pt idx="15">
                  <c:v>0</c:v>
                </c:pt>
                <c:pt idx="16">
                  <c:v>79.960000000000008</c:v>
                </c:pt>
                <c:pt idx="17">
                  <c:v>46.660000000000004</c:v>
                </c:pt>
                <c:pt idx="19">
                  <c:v>100</c:v>
                </c:pt>
                <c:pt idx="20">
                  <c:v>0</c:v>
                </c:pt>
                <c:pt idx="22">
                  <c:v>0</c:v>
                </c:pt>
                <c:pt idx="24">
                  <c:v>30</c:v>
                </c:pt>
                <c:pt idx="25">
                  <c:v>45</c:v>
                </c:pt>
                <c:pt idx="26">
                  <c:v>40</c:v>
                </c:pt>
                <c:pt idx="27">
                  <c:v>55</c:v>
                </c:pt>
                <c:pt idx="28">
                  <c:v>80</c:v>
                </c:pt>
                <c:pt idx="30">
                  <c:v>56</c:v>
                </c:pt>
                <c:pt idx="31">
                  <c:v>44</c:v>
                </c:pt>
                <c:pt idx="32">
                  <c:v>60</c:v>
                </c:pt>
                <c:pt idx="33">
                  <c:v>40</c:v>
                </c:pt>
                <c:pt idx="34">
                  <c:v>52</c:v>
                </c:pt>
                <c:pt idx="35">
                  <c:v>48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3768B-C798-4D20-88B2-27028509B3CA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zoomScale="84" zoomScaleNormal="84" workbookViewId="0">
      <selection activeCell="C18" sqref="C18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52.128399999999999</v>
      </c>
      <c r="D8" s="35">
        <f ca="1">'CDS from CapitalIQ'!T48</f>
        <v>-1.5407999999999973</v>
      </c>
      <c r="E8" s="35">
        <f ca="1">'CDS from CapitalIQ'!V48</f>
        <v>0.36050000000000182</v>
      </c>
      <c r="F8" s="35">
        <f ca="1">'CDS from CapitalIQ'!W48</f>
        <v>-5.7535000000000025</v>
      </c>
      <c r="G8" s="36">
        <f ca="1">'CDS from CapitalIQ'!X48</f>
        <v>-3.1424999999999983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-1.5197568389057626E-2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-3.3117403013319627E-2</v>
      </c>
      <c r="J8" s="11" cm="1">
        <f t="array" aca="1" ref="J8" ca="1">(_xll.TR(N8,"TR.PriceClose")-_xll.TR(N8,"TR.PriceClose","SDate:"&amp;EDATE(TODAY(),-3)))/_xll.TR(N8,"TR.PriceClose","SDate:"&amp;EDATE(TODAY(),-3))</f>
        <v>2.3972866723194434E-2</v>
      </c>
      <c r="K8" s="11" cm="1">
        <f t="array" aca="1" ref="K8" ca="1">(_xll.TR(N8,"TR.PriceClose")-_xll.TR(N8,"TR.PriceClose","SDate:"&amp;EDATE(TODAY(),-12)))/_xll.TR(N8,"TR.PriceClose","SDate:"&amp;EDATE(TODAY(),-12))</f>
        <v>0.41319148936170219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55.371400000000001</v>
      </c>
      <c r="D9" s="35">
        <f ca="1">'CDS from CapitalIQ'!T49</f>
        <v>-0.24620000000000175</v>
      </c>
      <c r="E9" s="35">
        <f ca="1">'CDS from CapitalIQ'!V49</f>
        <v>1.2242000000000033</v>
      </c>
      <c r="F9" s="35">
        <f ca="1">'CDS from CapitalIQ'!W49</f>
        <v>-3.9664999999999964</v>
      </c>
      <c r="G9" s="36">
        <f ca="1">'CDS from CapitalIQ'!X49</f>
        <v>1.7099000000000046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-6.0074687449261982E-3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5.0085763293310492E-2</v>
      </c>
      <c r="J9" s="11" cm="1">
        <f t="array" aca="1" ref="J9" ca="1">(_xll.TR(N9,"TR.PriceClose")-_xll.TR(N9,"TR.PriceClose","SDate:"&amp;EDATE(TODAY(),-3)))/_xll.TR(N9,"TR.PriceClose","SDate:"&amp;EDATE(TODAY(),-3))</f>
        <v>0.15248493975903618</v>
      </c>
      <c r="K9" s="11" cm="1">
        <f t="array" aca="1" ref="K9" ca="1">(_xll.TR(N9,"TR.PriceClose")-_xll.TR(N9,"TR.PriceClose","SDate:"&amp;EDATE(TODAY(),-12)))/_xll.TR(N9,"TR.PriceClose","SDate:"&amp;EDATE(TODAY(),-12))</f>
        <v>0.28155746284278826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40.859499999999997</v>
      </c>
      <c r="D10" s="35">
        <f ca="1">'CDS from CapitalIQ'!T50</f>
        <v>5.6300000000000239E-2</v>
      </c>
      <c r="E10" s="35">
        <f ca="1">'CDS from CapitalIQ'!V50</f>
        <v>1.0953999999999979</v>
      </c>
      <c r="F10" s="35">
        <f ca="1">'CDS from CapitalIQ'!W50</f>
        <v>0.38909999999999911</v>
      </c>
      <c r="G10" s="36">
        <f ca="1">'CDS from CapitalIQ'!X50</f>
        <v>6.3299999999998136E-2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-4.8427546049407818E-3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4.4189704192123931E-2</v>
      </c>
      <c r="J10" s="11" cm="1">
        <f t="array" aca="1" ref="J10" ca="1">(_xll.TR(N10,"TR.PriceClose")-_xll.TR(N10,"TR.PriceClose","SDate:"&amp;EDATE(TODAY(),-3)))/_xll.TR(N10,"TR.PriceClose","SDate:"&amp;EDATE(TODAY(),-3))</f>
        <v>0.10290077311353919</v>
      </c>
      <c r="K10" s="11" cm="1">
        <f t="array" aca="1" ref="K10" ca="1">(_xll.TR(N10,"TR.PriceClose")-_xll.TR(N10,"TR.PriceClose","SDate:"&amp;EDATE(TODAY(),-12)))/_xll.TR(N10,"TR.PriceClose","SDate:"&amp;EDATE(TODAY(),-12))</f>
        <v>0.18460693820128335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55.2</v>
      </c>
      <c r="D11" s="35">
        <f ca="1">'CDS from CapitalIQ'!T51</f>
        <v>-6.4099999999996271E-2</v>
      </c>
      <c r="E11" s="35">
        <f ca="1">'CDS from CapitalIQ'!V51</f>
        <v>1.8770000000000024</v>
      </c>
      <c r="F11" s="35">
        <f ca="1">'CDS from CapitalIQ'!W51</f>
        <v>-2.9283000000000001</v>
      </c>
      <c r="G11" s="36">
        <f ca="1">'CDS from CapitalIQ'!X51</f>
        <v>-2.670499999999997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-5.7730867048009234E-2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5.4310244357250924E-2</v>
      </c>
      <c r="J11" s="11" cm="1">
        <f t="array" aca="1" ref="J11" ca="1">(_xll.TR(N11,"TR.PriceClose")-_xll.TR(N11,"TR.PriceClose","SDate:"&amp;EDATE(TODAY(),-3)))/_xll.TR(N11,"TR.PriceClose","SDate:"&amp;EDATE(TODAY(),-3))</f>
        <v>0.16122545034444388</v>
      </c>
      <c r="K11" s="11" cm="1">
        <f t="array" aca="1" ref="K11" ca="1">(_xll.TR(N11,"TR.PriceClose")-_xll.TR(N11,"TR.PriceClose","SDate:"&amp;EDATE(TODAY(),-12)))/_xll.TR(N11,"TR.PriceClose","SDate:"&amp;EDATE(TODAY(),-12))</f>
        <v>0.54989220599363231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57.930500000000002</v>
      </c>
      <c r="D12" s="35">
        <f ca="1">'CDS from CapitalIQ'!T52</f>
        <v>-0.38349999999999795</v>
      </c>
      <c r="E12" s="35">
        <f ca="1">'CDS from CapitalIQ'!V52</f>
        <v>2.8763000000000005</v>
      </c>
      <c r="F12" s="35">
        <f ca="1">'CDS from CapitalIQ'!W52</f>
        <v>-1.2183999999999955</v>
      </c>
      <c r="G12" s="36">
        <f ca="1">'CDS from CapitalIQ'!X52</f>
        <v>1.8807000000000045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-5.316123386567493E-2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-7.6580914385288553E-3</v>
      </c>
      <c r="J12" s="11" cm="1">
        <f t="array" aca="1" ref="J12" ca="1">(_xll.TR(N12,"TR.PriceClose")-_xll.TR(N12,"TR.PriceClose","SDate:"&amp;EDATE(TODAY(),-3)))/_xll.TR(N12,"TR.PriceClose","SDate:"&amp;EDATE(TODAY(),-3))</f>
        <v>0.13268777806856841</v>
      </c>
      <c r="K12" s="11" cm="1">
        <f t="array" aca="1" ref="K12" ca="1">(_xll.TR(N12,"TR.PriceClose")-_xll.TR(N12,"TR.PriceClose","SDate:"&amp;EDATE(TODAY(),-12)))/_xll.TR(N12,"TR.PriceClose","SDate:"&amp;EDATE(TODAY(),-12))</f>
        <v>0.5452727792059413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49.003</v>
      </c>
      <c r="D13" s="35">
        <f ca="1">'CDS from CapitalIQ'!T53</f>
        <v>-0.76339999999999719</v>
      </c>
      <c r="E13" s="35">
        <f ca="1">'CDS from CapitalIQ'!V53</f>
        <v>0.63360000000000127</v>
      </c>
      <c r="F13" s="35">
        <f ca="1">'CDS from CapitalIQ'!W53</f>
        <v>-4.8586999999999989</v>
      </c>
      <c r="G13" s="36">
        <f ca="1">'CDS from CapitalIQ'!X53</f>
        <v>0.5046999999999997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2.6282710547364846E-3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2.5479195885927917E-2</v>
      </c>
      <c r="J13" s="11" cm="1">
        <f t="array" aca="1" ref="J13" ca="1">(_xll.TR(N13,"TR.PriceClose")-_xll.TR(N13,"TR.PriceClose","SDate:"&amp;EDATE(TODAY(),-3)))/_xll.TR(N13,"TR.PriceClose","SDate:"&amp;EDATE(TODAY(),-3))</f>
        <v>8.8855795482750022E-2</v>
      </c>
      <c r="K13" s="11" cm="1">
        <f t="array" aca="1" ref="K13" ca="1">(_xll.TR(N13,"TR.PriceClose")-_xll.TR(N13,"TR.PriceClose","SDate:"&amp;EDATE(TODAY(),-12)))/_xll.TR(N13,"TR.PriceClose","SDate:"&amp;EDATE(TODAY(),-12))</f>
        <v>6.5064336003884435E-2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52.011600000000001</v>
      </c>
      <c r="D14" s="35">
        <f ca="1">'CDS from CapitalIQ'!T54</f>
        <v>0.56380000000000052</v>
      </c>
      <c r="E14" s="35">
        <f ca="1">'CDS from CapitalIQ'!V54</f>
        <v>-0.55079999999999529</v>
      </c>
      <c r="F14" s="35">
        <f ca="1">'CDS from CapitalIQ'!W54</f>
        <v>-2.2849999999999966</v>
      </c>
      <c r="G14" s="36">
        <f ca="1">'CDS from CapitalIQ'!X54</f>
        <v>1.8699000000000012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-1.7632241813601974E-2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3.3141697666554074E-2</v>
      </c>
      <c r="J14" s="11" cm="1">
        <f t="array" aca="1" ref="J14" ca="1">(_xll.TR(N14,"TR.PriceClose")-_xll.TR(N14,"TR.PriceClose","SDate:"&amp;EDATE(TODAY(),-3)))/_xll.TR(N14,"TR.PriceClose","SDate:"&amp;EDATE(TODAY(),-3))</f>
        <v>0.20275590551181105</v>
      </c>
      <c r="K14" s="11" cm="1">
        <f t="array" aca="1" ref="K14" ca="1">(_xll.TR(N14,"TR.PriceClose")-_xll.TR(N14,"TR.PriceClose","SDate:"&amp;EDATE(TODAY(),-12)))/_xll.TR(N14,"TR.PriceClose","SDate:"&amp;EDATE(TODAY(),-12))</f>
        <v>0.67076838939021077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43.959600000000002</v>
      </c>
      <c r="D16" s="35">
        <f ca="1">'CDS from CapitalIQ'!T56</f>
        <v>0.41080000000000183</v>
      </c>
      <c r="E16" s="35">
        <f ca="1">'CDS from CapitalIQ'!V56</f>
        <v>2.3895000000000053</v>
      </c>
      <c r="F16" s="35">
        <f ca="1">'CDS from CapitalIQ'!W56</f>
        <v>3.7058000000000035</v>
      </c>
      <c r="G16" s="36">
        <f ca="1">'CDS from CapitalIQ'!X56</f>
        <v>0.87630000000000052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4.0335151987529232E-2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8.6598147959702915E-2</v>
      </c>
      <c r="J16" s="11" cm="1">
        <f t="array" aca="1" ref="J16" ca="1">(_xll.TR(N16,"TR.PriceClose")-_xll.TR(N16,"TR.PriceClose","SDate:"&amp;EDATE(TODAY(),-3)))/_xll.TR(N16,"TR.PriceClose","SDate:"&amp;EDATE(TODAY(),-3))</f>
        <v>0.17676878994930578</v>
      </c>
      <c r="K16" s="11" cm="1">
        <f t="array" aca="1" ref="K16" ca="1">(_xll.TR(N16,"TR.PriceClose")-_xll.TR(N16,"TR.PriceClose","SDate:"&amp;EDATE(TODAY(),-12)))/_xll.TR(N16,"TR.PriceClose","SDate:"&amp;EDATE(TODAY(),-12))</f>
        <v>0.38531395952257397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35.580599999999997</v>
      </c>
      <c r="D17" s="35">
        <f ca="1">'CDS from CapitalIQ'!T57</f>
        <v>0.34689999999999799</v>
      </c>
      <c r="E17" s="35">
        <f ca="1">'CDS from CapitalIQ'!V57</f>
        <v>1.6305999999999941</v>
      </c>
      <c r="F17" s="35">
        <f ca="1">'CDS from CapitalIQ'!W57</f>
        <v>0.58309999999999462</v>
      </c>
      <c r="G17" s="36">
        <f ca="1">'CDS from CapitalIQ'!X57</f>
        <v>-3.1388000000000034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2.6449071468767522E-2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6.0465116279069718E-2</v>
      </c>
      <c r="J17" s="11" cm="1">
        <f t="array" aca="1" ref="J17" ca="1">(_xll.TR(N17,"TR.PriceClose")-_xll.TR(N17,"TR.PriceClose","SDate:"&amp;EDATE(TODAY(),-3)))/_xll.TR(N17,"TR.PriceClose","SDate:"&amp;EDATE(TODAY(),-3))</f>
        <v>5.5555555555555393E-2</v>
      </c>
      <c r="K17" s="11" cm="1">
        <f t="array" aca="1" ref="K17" ca="1">(_xll.TR(N17,"TR.PriceClose")-_xll.TR(N17,"TR.PriceClose","SDate:"&amp;EDATE(TODAY(),-12)))/_xll.TR(N17,"TR.PriceClose","SDate:"&amp;EDATE(TODAY(),-12))</f>
        <v>0.13538748832866462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44.74</v>
      </c>
      <c r="D18" s="35">
        <f ca="1">'CDS from CapitalIQ'!T58</f>
        <v>0.85889999999999844</v>
      </c>
      <c r="E18" s="35">
        <f ca="1">'CDS from CapitalIQ'!V58</f>
        <v>2.6959000000000017</v>
      </c>
      <c r="F18" s="35">
        <f ca="1">'CDS from CapitalIQ'!W58</f>
        <v>0.70750000000000313</v>
      </c>
      <c r="G18" s="36">
        <f ca="1">'CDS from CapitalIQ'!X58</f>
        <v>-2.6062000000000012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2.1727748691099429E-2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9.4810659186535834E-2</v>
      </c>
      <c r="J18" s="11" cm="1">
        <f t="array" aca="1" ref="J18" ca="1">(_xll.TR(N18,"TR.PriceClose")-_xll.TR(N18,"TR.PriceClose","SDate:"&amp;EDATE(TODAY(),-3)))/_xll.TR(N18,"TR.PriceClose","SDate:"&amp;EDATE(TODAY(),-3))</f>
        <v>0.10927952252380271</v>
      </c>
      <c r="K18" s="11" cm="1">
        <f t="array" aca="1" ref="K18" ca="1">(_xll.TR(N18,"TR.PriceClose")-_xll.TR(N18,"TR.PriceClose","SDate:"&amp;EDATE(TODAY(),-12)))/_xll.TR(N18,"TR.PriceClose","SDate:"&amp;EDATE(TODAY(),-12))</f>
        <v>0.5788834951456312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47.017400000000002</v>
      </c>
      <c r="D20" s="35">
        <f ca="1">'CDS from CapitalIQ'!T60</f>
        <v>-0.94200000000000017</v>
      </c>
      <c r="E20" s="35">
        <f ca="1">'CDS from CapitalIQ'!V60</f>
        <v>-1.4499999999998181E-2</v>
      </c>
      <c r="F20" s="35">
        <f ca="1">'CDS from CapitalIQ'!W60</f>
        <v>-9.0338999999999956</v>
      </c>
      <c r="G20" s="36">
        <f ca="1">'CDS from CapitalIQ'!X60</f>
        <v>-0.85929999999999751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-3.1391147244805795E-2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4.3552311435523093E-2</v>
      </c>
      <c r="J20" s="11" cm="1">
        <f t="array" aca="1" ref="J20" ca="1">(_xll.TR(N20,"TR.PriceClose")-_xll.TR(N20,"TR.PriceClose","SDate:"&amp;EDATE(TODAY(),-3)))/_xll.TR(N20,"TR.PriceClose","SDate:"&amp;EDATE(TODAY(),-3))</f>
        <v>0.27877161598091837</v>
      </c>
      <c r="K20" s="11" cm="1">
        <f t="array" aca="1" ref="K20" ca="1">(_xll.TR(N20,"TR.PriceClose")-_xll.TR(N20,"TR.PriceClose","SDate:"&amp;EDATE(TODAY(),-12)))/_xll.TR(N20,"TR.PriceClose","SDate:"&amp;EDATE(TODAY(),-12))</f>
        <v>0.46182685753237901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59.75</v>
      </c>
      <c r="D22" s="35">
        <f ca="1">'CDS from CapitalIQ'!T63</f>
        <v>-0.91669999999999874</v>
      </c>
      <c r="E22" s="35">
        <f ca="1">'CDS from CapitalIQ'!T63</f>
        <v>-0.91669999999999874</v>
      </c>
      <c r="F22" s="35">
        <f ca="1">'CDS from CapitalIQ'!V63</f>
        <v>-1.3307000000000002</v>
      </c>
      <c r="G22" s="36">
        <f ca="1">'CDS from CapitalIQ'!X63</f>
        <v>-3.3999999999999986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4.7664442326024788E-3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6.0148863407764985E-2</v>
      </c>
      <c r="J22" s="11" cm="1">
        <f t="array" aca="1" ref="J22" ca="1">(_xll.TR(N22,"TR.PriceClose")-_xll.TR(N22,"TR.PriceClose","SDate:"&amp;EDATE(TODAY(),-3)))/_xll.TR(N22,"TR.PriceClose","SDate:"&amp;EDATE(TODAY(),-3))</f>
        <v>0.21358664363845711</v>
      </c>
      <c r="K22" s="11" cm="1">
        <f t="array" aca="1" ref="K22" ca="1">(_xll.TR(N22,"TR.PriceClose")-_xll.TR(N22,"TR.PriceClose","SDate:"&amp;EDATE(TODAY(),-12)))/_xll.TR(N22,"TR.PriceClose","SDate:"&amp;EDATE(TODAY(),-12))</f>
        <v>0.51111111111111107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38.505899999999997</v>
      </c>
      <c r="D23" s="35">
        <f ca="1">'CDS from CapitalIQ'!T64</f>
        <v>-0.53080000000000638</v>
      </c>
      <c r="E23" s="35">
        <f ca="1">'CDS from CapitalIQ'!T64</f>
        <v>-0.53080000000000638</v>
      </c>
      <c r="F23" s="35">
        <f ca="1">'CDS from CapitalIQ'!V64</f>
        <v>8.2499999999996021E-2</v>
      </c>
      <c r="G23" s="36">
        <f ca="1">'CDS from CapitalIQ'!X64</f>
        <v>-10.226700000000001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4.1356940127044224E-2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8.3684950773558364E-2</v>
      </c>
      <c r="J23" s="11" cm="1">
        <f t="array" aca="1" ref="J23" ca="1">(_xll.TR(N23,"TR.PriceClose")-_xll.TR(N23,"TR.PriceClose","SDate:"&amp;EDATE(TODAY(),-3)))/_xll.TR(N23,"TR.PriceClose","SDate:"&amp;EDATE(TODAY(),-3))</f>
        <v>0.14794398092967811</v>
      </c>
      <c r="K23" s="11" cm="1">
        <f t="array" aca="1" ref="K23" ca="1">(_xll.TR(N23,"TR.PriceClose")-_xll.TR(N23,"TR.PriceClose","SDate:"&amp;EDATE(TODAY(),-12)))/_xll.TR(N23,"TR.PriceClose","SDate:"&amp;EDATE(TODAY(),-12))</f>
        <v>0.63258819790232024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55.125</v>
      </c>
      <c r="D24" s="35">
        <f ca="1">'CDS from CapitalIQ'!T65</f>
        <v>-0.75439999999999685</v>
      </c>
      <c r="E24" s="35">
        <f ca="1">'CDS from CapitalIQ'!T65</f>
        <v>-0.75439999999999685</v>
      </c>
      <c r="F24" s="35">
        <f ca="1">'CDS from CapitalIQ'!V65</f>
        <v>-0.21340000000000003</v>
      </c>
      <c r="G24" s="36">
        <f ca="1">'CDS from CapitalIQ'!X65</f>
        <v>-1.7250000000000014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3.1956587277660604E-2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5.0967147681915945E-2</v>
      </c>
      <c r="J24" s="11" cm="1">
        <f t="array" aca="1" ref="J24" ca="1">(_xll.TR(N24,"TR.PriceClose")-_xll.TR(N24,"TR.PriceClose","SDate:"&amp;EDATE(TODAY(),-3)))/_xll.TR(N24,"TR.PriceClose","SDate:"&amp;EDATE(TODAY(),-3))</f>
        <v>0.15563808237677254</v>
      </c>
      <c r="K24" s="11" cm="1">
        <f t="array" aca="1" ref="K24" ca="1">(_xll.TR(N24,"TR.PriceClose")-_xll.TR(N24,"TR.PriceClose","SDate:"&amp;EDATE(TODAY(),-12)))/_xll.TR(N24,"TR.PriceClose","SDate:"&amp;EDATE(TODAY(),-12))</f>
        <v>0.36810551558753007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42.7438</v>
      </c>
      <c r="D25" s="35">
        <f ca="1">'CDS from CapitalIQ'!T66</f>
        <v>-0.59479999999999933</v>
      </c>
      <c r="E25" s="35">
        <f ca="1">'CDS from CapitalIQ'!T66</f>
        <v>-0.59479999999999933</v>
      </c>
      <c r="F25" s="35">
        <f ca="1">'CDS from CapitalIQ'!V66</f>
        <v>-0.62120000000000175</v>
      </c>
      <c r="G25" s="36">
        <f ca="1">'CDS from CapitalIQ'!X66</f>
        <v>-13.797899999999998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9.3676814988290398E-3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5.8447937131630649E-2</v>
      </c>
      <c r="J25" s="11" cm="1">
        <f t="array" aca="1" ref="J25" ca="1">(_xll.TR(N25,"TR.PriceClose")-_xll.TR(N25,"TR.PriceClose","SDate:"&amp;EDATE(TODAY(),-3)))/_xll.TR(N25,"TR.PriceClose","SDate:"&amp;EDATE(TODAY(),-3))</f>
        <v>0.21067415730337077</v>
      </c>
      <c r="K25" s="11" cm="1">
        <f t="array" aca="1" ref="K25" ca="1">(_xll.TR(N25,"TR.PriceClose")-_xll.TR(N25,"TR.PriceClose","SDate:"&amp;EDATE(TODAY(),-12)))/_xll.TR(N25,"TR.PriceClose","SDate:"&amp;EDATE(TODAY(),-12))</f>
        <v>0.6196918451709883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44.851300000000002</v>
      </c>
      <c r="D27" s="35">
        <f ca="1">'CDS from CapitalIQ'!T68</f>
        <v>-0.98199999999999932</v>
      </c>
      <c r="E27" s="35">
        <f ca="1">'CDS from CapitalIQ'!V68</f>
        <v>-2.6972999999999985</v>
      </c>
      <c r="F27" s="35">
        <f ca="1">'CDS from CapitalIQ'!W68</f>
        <v>-11.955999999999996</v>
      </c>
      <c r="G27" s="36">
        <f ca="1">'CDS from CapitalIQ'!X68</f>
        <v>-8.8986999999999981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-1.8236126395220823E-2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1.7432388400130339E-2</v>
      </c>
      <c r="J27" s="11" cm="1">
        <f t="array" aca="1" ref="J27" ca="1">(_xll.TR(N27,"TR.PriceClose")-_xll.TR(N27,"TR.PriceClose","SDate:"&amp;EDATE(TODAY(),-3)))/_xll.TR(N27,"TR.PriceClose","SDate:"&amp;EDATE(TODAY(),-3))</f>
        <v>0.12178911442428599</v>
      </c>
      <c r="K27" s="11" cm="1">
        <f t="array" aca="1" ref="K27" ca="1">(_xll.TR(N27,"TR.PriceClose")-_xll.TR(N27,"TR.PriceClose","SDate:"&amp;EDATE(TODAY(),-12)))/_xll.TR(N27,"TR.PriceClose","SDate:"&amp;EDATE(TODAY(),-12))</f>
        <v>0.20559845559845571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36.5</v>
      </c>
      <c r="D28" s="35">
        <f ca="1">'CDS from CapitalIQ'!T69</f>
        <v>0</v>
      </c>
      <c r="E28" s="35">
        <f ca="1">'CDS from CapitalIQ'!V69</f>
        <v>-0.70000000000000284</v>
      </c>
      <c r="F28" s="35">
        <f ca="1">'CDS from CapitalIQ'!W69</f>
        <v>-8.25</v>
      </c>
      <c r="G28" s="36">
        <f ca="1">'CDS from CapitalIQ'!X69</f>
        <v>-7.0416999999999987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1.0780962398106667E-2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2.7532745255279371E-2</v>
      </c>
      <c r="J28" s="11" cm="1">
        <f t="array" aca="1" ref="J28" ca="1">(_xll.TR(N28,"TR.PriceClose")-_xll.TR(N28,"TR.PriceClose","SDate:"&amp;EDATE(TODAY(),-3)))/_xll.TR(N28,"TR.PriceClose","SDate:"&amp;EDATE(TODAY(),-3))</f>
        <v>0.1039632395175186</v>
      </c>
      <c r="K28" s="11" cm="1">
        <f t="array" aca="1" ref="K28" ca="1">(_xll.TR(N28,"TR.PriceClose")-_xll.TR(N28,"TR.PriceClose","SDate:"&amp;EDATE(TODAY(),-12)))/_xll.TR(N28,"TR.PriceClose","SDate:"&amp;EDATE(TODAY(),-12))</f>
        <v>0.33287101248266288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25.074999999999999</v>
      </c>
      <c r="D30" s="35">
        <f ca="1">'CDS from CapitalIQ'!T71</f>
        <v>-8.5000000000000853E-2</v>
      </c>
      <c r="E30" s="35">
        <f ca="1">'CDS from CapitalIQ'!V71</f>
        <v>7.4999999999999289E-2</v>
      </c>
      <c r="F30" s="35">
        <f ca="1">'CDS from CapitalIQ'!W71</f>
        <v>-3.5500000000000007</v>
      </c>
      <c r="G30" s="36">
        <f ca="1">'CDS from CapitalIQ'!X71</f>
        <v>-13.091699999999999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-1.6971982758620722E-2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1.1363636363636269E-2</v>
      </c>
      <c r="J30" s="11" cm="1">
        <f t="array" aca="1" ref="J30" ca="1">(_xll.TR(N30,"TR.PriceClose")-_xll.TR(N30,"TR.PriceClose","SDate:"&amp;EDATE(TODAY(),-3)))/_xll.TR(N30,"TR.PriceClose","SDate:"&amp;EDATE(TODAY(),-3))</f>
        <v>0.12001227747084089</v>
      </c>
      <c r="K30" s="11" cm="1">
        <f t="array" aca="1" ref="K30" ca="1">(_xll.TR(N30,"TR.PriceClose")-_xll.TR(N30,"TR.PriceClose","SDate:"&amp;EDATE(TODAY(),-12)))/_xll.TR(N30,"TR.PriceClose","SDate:"&amp;EDATE(TODAY(),-12))</f>
        <v>0.42762128325508603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43.393099999999997</v>
      </c>
      <c r="D32" s="35">
        <f ca="1">'CDS from CapitalIQ'!T73</f>
        <v>-4.0800000000004388E-2</v>
      </c>
      <c r="E32" s="35">
        <f ca="1">'CDS from CapitalIQ'!V73</f>
        <v>2.8769999999999953</v>
      </c>
      <c r="F32" s="35">
        <f ca="1">'CDS from CapitalIQ'!W73</f>
        <v>0.56589999999999918</v>
      </c>
      <c r="G32" s="36">
        <f ca="1">'CDS from CapitalIQ'!X73</f>
        <v>7.2930999999999955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-7.8441979983770622E-3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6.8453247888144483E-2</v>
      </c>
      <c r="J32" s="11" cm="1">
        <f t="array" aca="1" ref="J32" ca="1">(_xll.TR(N32,"TR.PriceClose")-_xll.TR(N32,"TR.PriceClose","SDate:"&amp;EDATE(TODAY(),-3)))/_xll.TR(N32,"TR.PriceClose","SDate:"&amp;EDATE(TODAY(),-3))</f>
        <v>0.31281317108088763</v>
      </c>
      <c r="K32" s="11" cm="1">
        <f t="array" aca="1" ref="K32" ca="1">(_xll.TR(N32,"TR.PriceClose")-_xll.TR(N32,"TR.PriceClose","SDate:"&amp;EDATE(TODAY(),-12)))/_xll.TR(N32,"TR.PriceClose","SDate:"&amp;EDATE(TODAY(),-12))</f>
        <v>0.83399999999999996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41.339500000000001</v>
      </c>
      <c r="D33" s="35">
        <f ca="1">'CDS from CapitalIQ'!T74</f>
        <v>2.7000000000001023E-2</v>
      </c>
      <c r="E33" s="35">
        <f ca="1">'CDS from CapitalIQ'!V74</f>
        <v>-1.7995999999999981</v>
      </c>
      <c r="F33" s="35">
        <f ca="1">'CDS from CapitalIQ'!W74</f>
        <v>2.0200000000000031</v>
      </c>
      <c r="G33" s="36">
        <f ca="1">'CDS from CapitalIQ'!X74</f>
        <v>9.7256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-6.881056031456256E-3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3.8320364116869766E-2</v>
      </c>
      <c r="J33" s="11" cm="1">
        <f t="array" aca="1" ref="J33" ca="1">(_xll.TR(N33,"TR.PriceClose")-_xll.TR(N33,"TR.PriceClose","SDate:"&amp;EDATE(TODAY(),-3)))/_xll.TR(N33,"TR.PriceClose","SDate:"&amp;EDATE(TODAY(),-3))</f>
        <v>0.29952223447262039</v>
      </c>
      <c r="K33" s="11" cm="1">
        <f t="array" aca="1" ref="K33" ca="1">(_xll.TR(N33,"TR.PriceClose")-_xll.TR(N33,"TR.PriceClose","SDate:"&amp;EDATE(TODAY(),-12)))/_xll.TR(N33,"TR.PriceClose","SDate:"&amp;EDATE(TODAY(),-12))</f>
        <v>0.94445971954907892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41.008400000000002</v>
      </c>
      <c r="D34" s="35">
        <f ca="1">'CDS from CapitalIQ'!T75</f>
        <v>-3.4099999999995134E-2</v>
      </c>
      <c r="E34" s="35">
        <f ca="1">'CDS from CapitalIQ'!V75</f>
        <v>-0.87979999999999592</v>
      </c>
      <c r="F34" s="35">
        <f ca="1">'CDS from CapitalIQ'!W75</f>
        <v>-5.1053999999999959</v>
      </c>
      <c r="G34" s="36">
        <f ca="1">'CDS from CapitalIQ'!X75</f>
        <v>-14.459299999999999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-1.1015769944341372E-2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3.3818181818181817E-2</v>
      </c>
      <c r="J34" s="11" cm="1">
        <f t="array" aca="1" ref="J34" ca="1">(_xll.TR(N34,"TR.PriceClose")-_xll.TR(N34,"TR.PriceClose","SDate:"&amp;EDATE(TODAY(),-3)))/_xll.TR(N34,"TR.PriceClose","SDate:"&amp;EDATE(TODAY(),-3))</f>
        <v>0.28973234538031151</v>
      </c>
      <c r="K34" s="11" cm="1">
        <f t="array" aca="1" ref="K34" ca="1">(_xll.TR(N34,"TR.PriceClose")-_xll.TR(N34,"TR.PriceClose","SDate:"&amp;EDATE(TODAY(),-12)))/_xll.TR(N34,"TR.PriceClose","SDate:"&amp;EDATE(TODAY(),-12))</f>
        <v>1.0394548063127691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62.207799999999999</v>
      </c>
      <c r="D35" s="35">
        <f ca="1">'CDS from CapitalIQ'!T76</f>
        <v>-1.4455000000000027</v>
      </c>
      <c r="E35" s="35">
        <f ca="1">'CDS from CapitalIQ'!V76</f>
        <v>-2.5389999999999944</v>
      </c>
      <c r="F35" s="35">
        <f ca="1">'CDS from CapitalIQ'!W76</f>
        <v>-8.0659000000000063</v>
      </c>
      <c r="G35" s="36">
        <f ca="1">'CDS from CapitalIQ'!X76</f>
        <v>-7.1160000000000068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-1.4103246407663651E-2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4.2194092827004218E-2</v>
      </c>
      <c r="J35" s="11" cm="1">
        <f t="array" aca="1" ref="J35" ca="1">(_xll.TR(N35,"TR.PriceClose")-_xll.TR(N35,"TR.PriceClose","SDate:"&amp;EDATE(TODAY(),-3)))/_xll.TR(N35,"TR.PriceClose","SDate:"&amp;EDATE(TODAY(),-3))</f>
        <v>0.23048820989704416</v>
      </c>
      <c r="K35" s="11" cm="1">
        <f t="array" aca="1" ref="K35" ca="1">(_xll.TR(N35,"TR.PriceClose")-_xll.TR(N35,"TR.PriceClose","SDate:"&amp;EDATE(TODAY(),-12)))/_xll.TR(N35,"TR.PriceClose","SDate:"&amp;EDATE(TODAY(),-12))</f>
        <v>0.80996580361504644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75.209900000000005</v>
      </c>
      <c r="D36" s="35">
        <f ca="1">'CDS from CapitalIQ'!T77</f>
        <v>-8.2000000000022055E-3</v>
      </c>
      <c r="E36" s="35">
        <f ca="1">'CDS from CapitalIQ'!V77</f>
        <v>-0.66849999999999454</v>
      </c>
      <c r="F36" s="35">
        <f ca="1">'CDS from CapitalIQ'!W77</f>
        <v>1.0744000000000113</v>
      </c>
      <c r="G36" s="36">
        <f ca="1">'CDS from CapitalIQ'!X77</f>
        <v>-3.3144999999999953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-1.4145141451414513E-2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3.8885288399222291E-2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0.20390536988358993</v>
      </c>
      <c r="K36" s="11" cm="1">
        <f t="array" aca="1" ref="K36" ca="1">(_xll.TR(N36,"TR.PriceClose")-_xll.TR(N36,"TR.PriceClose","SDate:"&amp;EDATE(TODAY(),-12)))/_xll.TR(N36,"TR.PriceClose","SDate:"&amp;EDATE(TODAY(),-12))</f>
        <v>0.69827312215277049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61.166699999999999</v>
      </c>
      <c r="D38" s="35">
        <f ca="1">'CDS from CapitalIQ'!T79</f>
        <v>0</v>
      </c>
      <c r="E38" s="35">
        <f ca="1">'CDS from CapitalIQ'!V79</f>
        <v>-0.5</v>
      </c>
      <c r="F38" s="35">
        <f ca="1">'CDS from CapitalIQ'!W79</f>
        <v>-2.3333000000000013</v>
      </c>
      <c r="G38" s="36">
        <f ca="1">'CDS from CapitalIQ'!X79</f>
        <v>20.291199999999996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-2.7431814598770331E-2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2.543218085106385E-2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0.20054490610100223</v>
      </c>
      <c r="K38" s="11" cm="1">
        <f t="array" aca="1" ref="K38" ca="1">(_xll.TR(N38,"TR.PriceClose")-_xll.TR(N38,"TR.PriceClose","SDate:"&amp;EDATE(TODAY(),-12)))/_xll.TR(N38,"TR.PriceClose","SDate:"&amp;EDATE(TODAY(),-12))</f>
        <v>0.60881470856695785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57.834099999999999</v>
      </c>
      <c r="D39" s="35">
        <f ca="1">'CDS from CapitalIQ'!T80</f>
        <v>-2.2999999999981924E-3</v>
      </c>
      <c r="E39" s="35">
        <f ca="1">'CDS from CapitalIQ'!V80</f>
        <v>1.3340999999999994</v>
      </c>
      <c r="F39" s="35">
        <f ca="1">'CDS from CapitalIQ'!W80</f>
        <v>2.3340999999999994</v>
      </c>
      <c r="G39" s="36">
        <f ca="1">'CDS from CapitalIQ'!X80</f>
        <v>15.475699999999996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-2.1686840471756688E-2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2.0641923341563097E-2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0.22193148228909232</v>
      </c>
      <c r="K39" s="11" cm="1">
        <f t="array" aca="1" ref="K39" ca="1">(_xll.TR(N39,"TR.PriceClose")-_xll.TR(N39,"TR.PriceClose","SDate:"&amp;EDATE(TODAY(),-12)))/_xll.TR(N39,"TR.PriceClose","SDate:"&amp;EDATE(TODAY(),-12))</f>
        <v>0.61368144877455666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61.837000000000003</v>
      </c>
      <c r="D40" s="35">
        <f ca="1">'CDS from CapitalIQ'!T81</f>
        <v>-0.29159999999999542</v>
      </c>
      <c r="E40" s="35">
        <f ca="1">'CDS from CapitalIQ'!V81</f>
        <v>-0.80319999999999681</v>
      </c>
      <c r="F40" s="35">
        <f ca="1">'CDS from CapitalIQ'!W81</f>
        <v>6.100000000003547E-3</v>
      </c>
      <c r="G40" s="36">
        <f ca="1">'CDS from CapitalIQ'!X81</f>
        <v>18.651600000000002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-2.2303516639131469E-2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2.5561676053722816E-2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0.11529918556909198</v>
      </c>
      <c r="K40" s="11" cm="1">
        <f t="array" aca="1" ref="K40" ca="1">(_xll.TR(N40,"TR.PriceClose")-_xll.TR(N40,"TR.PriceClose","SDate:"&amp;EDATE(TODAY(),-12)))/_xll.TR(N40,"TR.PriceClose","SDate:"&amp;EDATE(TODAY(),-12))</f>
        <v>0.63702825528551665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56.315600000000003</v>
      </c>
      <c r="D41" s="35">
        <f ca="1">'CDS from CapitalIQ'!T82</f>
        <v>0.31560000000000343</v>
      </c>
      <c r="E41" s="35">
        <f ca="1">'CDS from CapitalIQ'!V82</f>
        <v>-0.18439999999999657</v>
      </c>
      <c r="F41" s="35">
        <f ca="1">'CDS from CapitalIQ'!W82</f>
        <v>0.81560000000000343</v>
      </c>
      <c r="G41" s="36">
        <f ca="1">'CDS from CapitalIQ'!X82</f>
        <v>10.285800000000002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-2.978262109887601E-2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1.304658644108184E-2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0.1897432309522144</v>
      </c>
      <c r="K41" s="11" cm="1">
        <f t="array" aca="1" ref="K41" ca="1">(_xll.TR(N41,"TR.PriceClose")-_xll.TR(N41,"TR.PriceClose","SDate:"&amp;EDATE(TODAY(),-12)))/_xll.TR(N41,"TR.PriceClose","SDate:"&amp;EDATE(TODAY(),-12))</f>
        <v>0.66438289125966532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60.128599999999999</v>
      </c>
      <c r="D42" s="35" cm="1">
        <f t="array" ref="D42">_xll.TR(O42,"MID_SPREAD")*_xll.TR(O42,"PCTCHG_1W")/(100+_xll.TR(O42,"PCTCHG_1W"))</f>
        <v>-9.2073983194287265E-2</v>
      </c>
      <c r="E42" s="35">
        <f ca="1">'CDS from CapitalIQ'!V83</f>
        <v>-0.19669999999999987</v>
      </c>
      <c r="F42" s="35">
        <f ca="1">'CDS from CapitalIQ'!W83</f>
        <v>3.9701999999999984</v>
      </c>
      <c r="G42" s="36">
        <f ca="1">'CDS from CapitalIQ'!X83</f>
        <v>18.957000000000001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-2.6166023418590961E-2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2.0986214937247116E-2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0.23410428583271167</v>
      </c>
      <c r="K42" s="11" cm="1">
        <f t="array" aca="1" ref="K42" ca="1">(_xll.TR(N42,"TR.PriceClose")-_xll.TR(N42,"TR.PriceClose","SDate:"&amp;EDATE(TODAY(),-12)))/_xll.TR(N42,"TR.PriceClose","SDate:"&amp;EDATE(TODAY(),-12))</f>
        <v>0.6430660559571767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59.969299999999997</v>
      </c>
      <c r="D43" s="35">
        <f ca="1">'CDS from CapitalIQ'!T84</f>
        <v>-3.7300000000001887E-2</v>
      </c>
      <c r="E43" s="35">
        <f ca="1">'CDS from CapitalIQ'!V84</f>
        <v>-0.49570000000000647</v>
      </c>
      <c r="F43" s="35">
        <f ca="1">'CDS from CapitalIQ'!W84</f>
        <v>5.7683999999999997</v>
      </c>
      <c r="G43" s="36">
        <f ca="1">'CDS from CapitalIQ'!X84</f>
        <v>7.9450999999999965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-3.2126466088730252E-2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2.0795984223736044E-2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0.12457413716486442</v>
      </c>
      <c r="K43" s="11" cm="1">
        <f t="array" aca="1" ref="K43" ca="1">(_xll.TR(N43,"TR.PriceClose")-_xll.TR(N43,"TR.PriceClose","SDate:"&amp;EDATE(TODAY(),-12)))/_xll.TR(N43,"TR.PriceClose","SDate:"&amp;EDATE(TODAY(),-12))</f>
        <v>0.59495798319327708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-1.2419274714355977E-3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-1.7378351539225493E-3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-1.2419274714355977E-3</v>
      </c>
      <c r="K44" s="11" cm="1">
        <f t="array" aca="1" ref="K44" ca="1">(_xll.TR(N44,"TR.PriceClose")-_xll.TR(N44,"TR.PriceClose","SDate:"&amp;EDATE(TODAY(),-12)))/_xll.TR(N44,"TR.PriceClose","SDate:"&amp;EDATE(TODAY(),-12))</f>
        <v>0.30171576561994173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-2.6419181654626835E-2</v>
      </c>
      <c r="I46" s="52">
        <f ca="1">_xlfn.PERCENTILE.INC(I$8:I$44,0.2)</f>
        <v>2.0000016353276549E-2</v>
      </c>
      <c r="J46" s="53">
        <f ca="1">_xlfn.PERCENTILE.INC(J$8:J$44,0.2)</f>
        <v>0.10821626592254589</v>
      </c>
      <c r="K46" s="53">
        <f ca="1">_xlfn.PERCENTILE.INC(K$8:K$44,0.2)</f>
        <v>0.32663996311011867</v>
      </c>
      <c r="M46" s="16"/>
      <c r="Q46" s="23"/>
    </row>
    <row r="47" spans="1:17">
      <c r="H47" s="51">
        <f ca="1">_xlfn.PERCENTILE.INC(H$8:H$44,0.8)</f>
        <v>9.6503376786845688E-3</v>
      </c>
      <c r="I47" s="51">
        <f ca="1">_xlfn.PERCENTILE.INC(I$8:I$44,0.8)</f>
        <v>5.8788122386857523E-2</v>
      </c>
      <c r="J47" s="54">
        <f ca="1">_xlfn.PERCENTILE.INC(J$8:J$44,0.8)</f>
        <v>0.2236428278106827</v>
      </c>
      <c r="K47" s="54">
        <f ca="1">_xlfn.PERCENTILE.INC(K$8:K$44,0.8)</f>
        <v>0.66565999088577443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topLeftCell="A23"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52.128399999999999</v>
      </c>
      <c r="D8" s="58">
        <f ca="1">Report!$I$8</f>
        <v>-3.3117403013319627E-2</v>
      </c>
      <c r="E8" s="62">
        <f ca="1">_xlfn.PERCENTRANK.INC($C$8:$C$14,C8)*100</f>
        <v>50</v>
      </c>
      <c r="F8" s="62">
        <f ca="1">(1-_xlfn.PERCENTRANK.INC($D$8:$D$14,D8))*100</f>
        <v>100</v>
      </c>
      <c r="G8" s="62">
        <f t="shared" ref="G8:G14" ca="1" si="0">IF(OR(E8="",F8=""),"",$K$2*E8+$K$3*F8)</f>
        <v>70</v>
      </c>
      <c r="H8" s="61" t="str">
        <f t="shared" ref="H8:H14" ca="1" si="1">IF(G8="","",IF(G8&lt;=25,"Low",IF(G8&lt;=50,"Moderate",IF(G8&lt;=75,"Elevated","High"))))</f>
        <v>Elevated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55.371400000000001</v>
      </c>
      <c r="D9" s="58">
        <f ca="1">Report!$I$9</f>
        <v>5.0085763293310492E-2</v>
      </c>
      <c r="E9" s="62">
        <f t="shared" ref="E9:E14" ca="1" si="2">_xlfn.PERCENTRANK.INC($C$8:$C$14,C9)*100</f>
        <v>83.3</v>
      </c>
      <c r="F9" s="62">
        <f t="shared" ref="F9:F14" ca="1" si="3">(1-_xlfn.PERCENTRANK.INC($D$8:$D$14,D9))*100</f>
        <v>16.700000000000003</v>
      </c>
      <c r="G9" s="62">
        <f t="shared" ca="1" si="0"/>
        <v>56.66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40.859499999999997</v>
      </c>
      <c r="D10" s="58">
        <f ca="1">Report!$I$10</f>
        <v>4.4189704192123931E-2</v>
      </c>
      <c r="E10" s="62">
        <f t="shared" ca="1" si="2"/>
        <v>0</v>
      </c>
      <c r="F10" s="62">
        <f t="shared" ca="1" si="3"/>
        <v>33.4</v>
      </c>
      <c r="G10" s="62">
        <f t="shared" ca="1" si="0"/>
        <v>13.36</v>
      </c>
      <c r="H10" s="61" t="str">
        <f t="shared" ca="1" si="1"/>
        <v>Low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55.2</v>
      </c>
      <c r="D11" s="58">
        <f ca="1">Report!$I$11</f>
        <v>5.4310244357250924E-2</v>
      </c>
      <c r="E11" s="62">
        <f t="shared" ca="1" si="2"/>
        <v>66.600000000000009</v>
      </c>
      <c r="F11" s="62">
        <f t="shared" ca="1" si="3"/>
        <v>0</v>
      </c>
      <c r="G11" s="62">
        <f t="shared" ca="1" si="0"/>
        <v>39.96</v>
      </c>
      <c r="H11" s="61" t="str">
        <f t="shared" ca="1" si="1"/>
        <v>Moderate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57.930500000000002</v>
      </c>
      <c r="D12" s="58">
        <f ca="1">Report!$I$12</f>
        <v>-7.6580914385288553E-3</v>
      </c>
      <c r="E12" s="62">
        <f t="shared" ca="1" si="2"/>
        <v>100</v>
      </c>
      <c r="F12" s="62">
        <f t="shared" ca="1" si="3"/>
        <v>83.399999999999991</v>
      </c>
      <c r="G12" s="62">
        <f t="shared" ca="1" si="0"/>
        <v>93.36</v>
      </c>
      <c r="H12" s="61" t="str">
        <f t="shared" ca="1" si="1"/>
        <v>High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49.003</v>
      </c>
      <c r="D13" s="58">
        <f ca="1">Report!$I$13</f>
        <v>2.5479195885927917E-2</v>
      </c>
      <c r="E13" s="62">
        <f t="shared" ca="1" si="2"/>
        <v>16.600000000000001</v>
      </c>
      <c r="F13" s="62">
        <f t="shared" ca="1" si="3"/>
        <v>66.7</v>
      </c>
      <c r="G13" s="62">
        <f t="shared" ca="1" si="0"/>
        <v>36.64</v>
      </c>
      <c r="H13" s="61" t="str">
        <f t="shared" ca="1" si="1"/>
        <v>Moderate</v>
      </c>
    </row>
    <row r="14" spans="1:11">
      <c r="A14" s="60" t="s">
        <v>16</v>
      </c>
      <c r="B14" s="60" t="s">
        <v>238</v>
      </c>
      <c r="C14" s="59">
        <f ca="1">Report!$C$14</f>
        <v>52.011600000000001</v>
      </c>
      <c r="D14" s="58">
        <f ca="1">Report!$I$14</f>
        <v>3.3141697666554074E-2</v>
      </c>
      <c r="E14" s="62">
        <f t="shared" ca="1" si="2"/>
        <v>33.300000000000004</v>
      </c>
      <c r="F14" s="62">
        <f t="shared" ca="1" si="3"/>
        <v>50</v>
      </c>
      <c r="G14" s="62">
        <f t="shared" ca="1" si="0"/>
        <v>39.980000000000004</v>
      </c>
      <c r="H14" s="61" t="str">
        <f t="shared" ca="1" si="1"/>
        <v>Moderate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43.959600000000002</v>
      </c>
      <c r="D16" s="58">
        <f ca="1">Report!$I$16</f>
        <v>8.6598147959702915E-2</v>
      </c>
      <c r="E16" s="62">
        <f ca="1">_xlfn.PERCENTRANK.INC($C$16:$C$18,C16)*100</f>
        <v>50</v>
      </c>
      <c r="F16" s="62">
        <f ca="1">(1-_xlfn.PERCENTRANK.INC($D$16:$D$18,D16))*100</f>
        <v>50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35.580599999999997</v>
      </c>
      <c r="D17" s="58">
        <f ca="1">Report!$I$17</f>
        <v>6.0465116279069718E-2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100</v>
      </c>
      <c r="G17" s="62">
        <f ca="1">IF(OR(E16="",F17=""),"",$K$2*E16+$K$3*F17)</f>
        <v>70</v>
      </c>
      <c r="H17" s="61" t="str">
        <f ca="1">IF(G17="","",IF(G17&lt;=25,"Low",IF(G17&lt;=50,"Moderate",IF(G17&lt;=75,"Elevated","High"))))</f>
        <v>Elevated</v>
      </c>
    </row>
    <row r="18" spans="1:8">
      <c r="A18" s="60" t="s">
        <v>20</v>
      </c>
      <c r="B18" s="60" t="s">
        <v>17</v>
      </c>
      <c r="C18" s="59">
        <f ca="1">Report!$C$18</f>
        <v>44.74</v>
      </c>
      <c r="D18" s="58">
        <f ca="1">Report!$I$18</f>
        <v>9.4810659186535834E-2</v>
      </c>
      <c r="E18" s="62">
        <f t="shared" ca="1" si="4"/>
        <v>100</v>
      </c>
      <c r="F18" s="62">
        <f t="shared" ca="1" si="5"/>
        <v>0</v>
      </c>
      <c r="G18" s="62">
        <f ca="1">IF(OR(E18="",F18=""),"",$K$2*E18+$K$3*F18)</f>
        <v>60</v>
      </c>
      <c r="H18" s="61" t="str">
        <f ca="1">IF(G18="","",IF(G18&lt;=25,"Low",IF(G18&lt;=50,"Moderate",IF(G18&lt;=75,"Elevated","High"))))</f>
        <v>Elevated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47.017400000000002</v>
      </c>
      <c r="D20" s="58">
        <f ca="1">Report!$I$20</f>
        <v>4.3552311435523093E-2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59.75</v>
      </c>
      <c r="D22" s="58">
        <f ca="1">Report!$I$22</f>
        <v>6.0148863407764985E-2</v>
      </c>
      <c r="E22" s="62">
        <f ca="1">_xlfn.PERCENTRANK.INC($C$22:$C$25,C22)*100</f>
        <v>100</v>
      </c>
      <c r="F22" s="62">
        <f ca="1">(1-_xlfn.PERCENTRANK.INC($D$22:$D$25,D22))*100</f>
        <v>33.4</v>
      </c>
      <c r="G22" s="62">
        <f ca="1">IF(OR(E22="",F22=""),"",$K$2*E22+$K$3*F22)</f>
        <v>73.36</v>
      </c>
      <c r="H22" s="61" t="str">
        <f ca="1">IF(G22="","",IF(G22&lt;=25,"Low",IF(G22&lt;=50,"Moderate",IF(G22&lt;=75,"Elevated","High"))))</f>
        <v>Elevated</v>
      </c>
    </row>
    <row r="23" spans="1:8">
      <c r="A23" s="60" t="s">
        <v>25</v>
      </c>
      <c r="B23" s="60" t="s">
        <v>23</v>
      </c>
      <c r="C23" s="59">
        <f ca="1">Report!$C$23</f>
        <v>38.505899999999997</v>
      </c>
      <c r="D23" s="58">
        <f ca="1">Report!$I$23</f>
        <v>8.3684950773558364E-2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0</v>
      </c>
      <c r="G23" s="62">
        <f ca="1">IF(OR(E23="",F23=""),"",$K$2*E23+$K$3*F23)</f>
        <v>0</v>
      </c>
      <c r="H23" s="61" t="str">
        <f ca="1">IF(G23="","",IF(G23&lt;=25,"Low",IF(G23&lt;=50,"Moderate",IF(G23&lt;=75,"Elevated","High"))))</f>
        <v>Low</v>
      </c>
    </row>
    <row r="24" spans="1:8">
      <c r="A24" s="60" t="s">
        <v>26</v>
      </c>
      <c r="B24" s="60" t="s">
        <v>23</v>
      </c>
      <c r="C24" s="59">
        <f ca="1">Report!$C$24</f>
        <v>55.125</v>
      </c>
      <c r="D24" s="58">
        <f ca="1">Report!$I$24</f>
        <v>5.0967147681915945E-2</v>
      </c>
      <c r="E24" s="62">
        <f t="shared" ca="1" si="6"/>
        <v>66.600000000000009</v>
      </c>
      <c r="F24" s="62">
        <f t="shared" ca="1" si="7"/>
        <v>100</v>
      </c>
      <c r="G24" s="62">
        <f ca="1">IF(OR(E24="",F24=""),"",$K$2*E24+$K$3*F24)</f>
        <v>79.960000000000008</v>
      </c>
      <c r="H24" s="61" t="str">
        <f ca="1">IF(G24="","",IF(G24&lt;=25,"Low",IF(G24&lt;=50,"Moderate",IF(G24&lt;=75,"Elevated","High"))))</f>
        <v>High</v>
      </c>
    </row>
    <row r="25" spans="1:8">
      <c r="A25" s="60" t="s">
        <v>27</v>
      </c>
      <c r="B25" s="60" t="s">
        <v>23</v>
      </c>
      <c r="C25" s="59">
        <f ca="1">Report!$C$25</f>
        <v>42.7438</v>
      </c>
      <c r="D25" s="58">
        <f ca="1">Report!$I$25</f>
        <v>5.8447937131630649E-2</v>
      </c>
      <c r="E25" s="62">
        <f t="shared" ca="1" si="6"/>
        <v>33.300000000000004</v>
      </c>
      <c r="F25" s="62">
        <f t="shared" ca="1" si="7"/>
        <v>66.7</v>
      </c>
      <c r="G25" s="62">
        <f ca="1">IF(OR(E25="",F25=""),"",$K$2*E25+$K$3*F25)</f>
        <v>46.660000000000004</v>
      </c>
      <c r="H25" s="61" t="str">
        <f ca="1">IF(G25="","",IF(G25&lt;=25,"Low",IF(G25&lt;=50,"Moderate",IF(G25&lt;=75,"Elevated","High"))))</f>
        <v>Moderate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44.851300000000002</v>
      </c>
      <c r="D27" s="58">
        <f ca="1">Report!$I$27</f>
        <v>1.7432388400130339E-2</v>
      </c>
      <c r="E27" s="62">
        <f ca="1">_xlfn.PERCENTRANK.INC($C$27:$C$28,C27)*100</f>
        <v>100</v>
      </c>
      <c r="F27" s="62">
        <f ca="1">(1-_xlfn.PERCENTRANK.INC($D$27:$D$28,D27))*100</f>
        <v>100</v>
      </c>
      <c r="G27" s="62">
        <f ca="1">IF(OR(E27="",F27=""),"",$K$2*E27+$K$3*F27)</f>
        <v>100</v>
      </c>
      <c r="H27" s="61" t="str">
        <f ca="1">IF(G27="","",IF(G27&lt;=25,"Low",IF(G27&lt;=50,"Moderate",IF(G27&lt;=75,"Elevated","High"))))</f>
        <v>High</v>
      </c>
    </row>
    <row r="28" spans="1:8">
      <c r="A28" s="60" t="s">
        <v>30</v>
      </c>
      <c r="B28" s="60" t="s">
        <v>28</v>
      </c>
      <c r="C28" s="59">
        <f ca="1">Report!$C$28</f>
        <v>36.5</v>
      </c>
      <c r="D28" s="58">
        <f ca="1">Report!$I$28</f>
        <v>2.7532745255279371E-2</v>
      </c>
      <c r="E28" s="62">
        <f ca="1">_xlfn.PERCENTRANK.INC($C$27:$C$28,C28)*100</f>
        <v>0</v>
      </c>
      <c r="F28" s="62">
        <f ca="1">(1-_xlfn.PERCENTRANK.INC($D$27:$D$28,D28))*100</f>
        <v>0</v>
      </c>
      <c r="G28" s="62">
        <f ca="1">IF(OR(E28="",F28=""),"",$K$2*E28+$K$3*F28)</f>
        <v>0</v>
      </c>
      <c r="H28" s="61" t="str">
        <f ca="1">IF(G28="","",IF(G28&lt;=25,"Low",IF(G28&lt;=50,"Moderate",IF(G28&lt;=75,"Elevated","High"))))</f>
        <v>Low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25.074999999999999</v>
      </c>
      <c r="D30" s="58">
        <f ca="1">Report!$I$30</f>
        <v>1.1363636363636269E-2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43.393099999999997</v>
      </c>
      <c r="D32" s="58">
        <f ca="1">Report!$I$32</f>
        <v>6.8453247888144483E-2</v>
      </c>
      <c r="E32" s="62">
        <f ca="1">_xlfn.PERCENTRANK.INC($C$32:$C$36,C32)*100</f>
        <v>50</v>
      </c>
      <c r="F32" s="62">
        <f ca="1">(1-_xlfn.PERCENTRANK.INC($D$32:$D$36,D32))*100</f>
        <v>0</v>
      </c>
      <c r="G32" s="62">
        <f ca="1">IF(OR(E32="",F32=""),"",$K$2*E32+$K$3*F32)</f>
        <v>30</v>
      </c>
      <c r="H32" s="61" t="str">
        <f ca="1">IF(G32="","",IF(G32&lt;=25,"Low",IF(G32&lt;=50,"Moderate",IF(G32&lt;=75,"Elevated","High"))))</f>
        <v>Moderate</v>
      </c>
    </row>
    <row r="33" spans="1:8">
      <c r="A33" s="60" t="s">
        <v>36</v>
      </c>
      <c r="B33" s="60" t="s">
        <v>33</v>
      </c>
      <c r="C33" s="59">
        <f ca="1">Report!$C$33</f>
        <v>41.339500000000001</v>
      </c>
      <c r="D33" s="58">
        <f ca="1">Report!$I$33</f>
        <v>3.8320364116869766E-2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75</v>
      </c>
      <c r="G33" s="62">
        <f ca="1">IF(OR(E33="",F33=""),"",$K$2*E33+$K$3*F33)</f>
        <v>45</v>
      </c>
      <c r="H33" s="61" t="str">
        <f ca="1">IF(G33="","",IF(G33&lt;=25,"Low",IF(G33&lt;=50,"Moderate",IF(G33&lt;=75,"Elevated","High"))))</f>
        <v>Moderate</v>
      </c>
    </row>
    <row r="34" spans="1:8">
      <c r="A34" s="60" t="s">
        <v>37</v>
      </c>
      <c r="B34" s="60" t="s">
        <v>33</v>
      </c>
      <c r="C34" s="59">
        <f ca="1">Report!$C$34</f>
        <v>41.008400000000002</v>
      </c>
      <c r="D34" s="58">
        <f ca="1">Report!$I$34</f>
        <v>3.3818181818181817E-2</v>
      </c>
      <c r="E34" s="62">
        <f t="shared" ca="1" si="8"/>
        <v>0</v>
      </c>
      <c r="F34" s="62">
        <f t="shared" ca="1" si="9"/>
        <v>100</v>
      </c>
      <c r="G34" s="62">
        <f ca="1">IF(OR(E34="",F34=""),"",$K$2*E34+$K$3*F34)</f>
        <v>40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62.207799999999999</v>
      </c>
      <c r="D35" s="58">
        <f ca="1">Report!$I$35</f>
        <v>4.2194092827004218E-2</v>
      </c>
      <c r="E35" s="62">
        <f t="shared" ca="1" si="8"/>
        <v>75</v>
      </c>
      <c r="F35" s="62">
        <f t="shared" ca="1" si="9"/>
        <v>25</v>
      </c>
      <c r="G35" s="62">
        <f ca="1">IF(OR(E35="",F35=""),"",$K$2*E35+$K$3*F35)</f>
        <v>55</v>
      </c>
      <c r="H35" s="61" t="str">
        <f ca="1">IF(G35="","",IF(G35&lt;=25,"Low",IF(G35&lt;=50,"Moderate",IF(G35&lt;=75,"Elevated","High"))))</f>
        <v>Elevated</v>
      </c>
    </row>
    <row r="36" spans="1:8">
      <c r="A36" s="60" t="s">
        <v>39</v>
      </c>
      <c r="B36" s="60" t="s">
        <v>33</v>
      </c>
      <c r="C36" s="59">
        <f ca="1">Report!$C$36</f>
        <v>75.209900000000005</v>
      </c>
      <c r="D36" s="58">
        <f ca="1">Report!$I$36</f>
        <v>3.8885288399222291E-2</v>
      </c>
      <c r="E36" s="62">
        <f t="shared" ca="1" si="8"/>
        <v>100</v>
      </c>
      <c r="F36" s="62">
        <f t="shared" ca="1" si="9"/>
        <v>50</v>
      </c>
      <c r="G36" s="62">
        <f ca="1">IF(OR(E36="",F36=""),"",$K$2*E36+$K$3*F36)</f>
        <v>80</v>
      </c>
      <c r="H36" s="61" t="str">
        <f ca="1">IF(G36="","",IF(G36&lt;=25,"Low",IF(G36&lt;=50,"Moderate",IF(G36&lt;=75,"Elevated","High"))))</f>
        <v>High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61.166699999999999</v>
      </c>
      <c r="D38" s="58">
        <f ca="1">Report!$I$38</f>
        <v>2.543218085106385E-2</v>
      </c>
      <c r="E38" s="62">
        <f ca="1">_xlfn.PERCENTRANK.INC($C$38:$C$43,C38)*100</f>
        <v>80</v>
      </c>
      <c r="F38" s="62">
        <f ca="1">(1-_xlfn.PERCENTRANK.INC($D$38:$D$43,D38))*100</f>
        <v>19.999999999999996</v>
      </c>
      <c r="G38" s="62">
        <f t="shared" ref="G38:G44" ca="1" si="10">IF(OR(E38="",F38=""),"",$K$2*E38+$K$3*F38)</f>
        <v>56</v>
      </c>
      <c r="H38" s="61" t="str">
        <f t="shared" ref="H38:H44" ca="1" si="11">IF(G38="","",IF(G38&lt;=25,"Low",IF(G38&lt;=50,"Moderate",IF(G38&lt;=75,"Elevated","High"))))</f>
        <v>Elevated</v>
      </c>
    </row>
    <row r="39" spans="1:8">
      <c r="A39" s="60" t="s">
        <v>43</v>
      </c>
      <c r="B39" s="60" t="s">
        <v>40</v>
      </c>
      <c r="C39" s="59">
        <f ca="1">Report!$C$39</f>
        <v>57.834099999999999</v>
      </c>
      <c r="D39" s="58">
        <f ca="1">Report!$I$39</f>
        <v>2.0641923341563097E-2</v>
      </c>
      <c r="E39" s="62">
        <f t="shared" ref="E39:E43" ca="1" si="12">_xlfn.PERCENTRANK.INC($C$38:$C$43,C39)*100</f>
        <v>20</v>
      </c>
      <c r="F39" s="62">
        <f t="shared" ref="F39:F42" ca="1" si="13">(1-_xlfn.PERCENTRANK.INC($D$38:$D$43,D39))*100</f>
        <v>80</v>
      </c>
      <c r="G39" s="62">
        <f t="shared" ca="1" si="10"/>
        <v>44</v>
      </c>
      <c r="H39" s="61" t="str">
        <f t="shared" ca="1" si="11"/>
        <v>Moderate</v>
      </c>
    </row>
    <row r="40" spans="1:8">
      <c r="A40" s="60" t="s">
        <v>44</v>
      </c>
      <c r="B40" s="60" t="s">
        <v>40</v>
      </c>
      <c r="C40" s="59">
        <f ca="1">Report!$C$40</f>
        <v>61.837000000000003</v>
      </c>
      <c r="D40" s="58">
        <f ca="1">Report!$I$40</f>
        <v>2.5561676053722816E-2</v>
      </c>
      <c r="E40" s="62">
        <f t="shared" ca="1" si="12"/>
        <v>100</v>
      </c>
      <c r="F40" s="62">
        <f t="shared" ca="1" si="13"/>
        <v>0</v>
      </c>
      <c r="G40" s="57">
        <f t="shared" ca="1" si="10"/>
        <v>60</v>
      </c>
      <c r="H40" s="56" t="str">
        <f t="shared" ca="1" si="11"/>
        <v>Elevated</v>
      </c>
    </row>
    <row r="41" spans="1:8">
      <c r="A41" s="60" t="s">
        <v>45</v>
      </c>
      <c r="B41" s="60" t="s">
        <v>40</v>
      </c>
      <c r="C41" s="59">
        <f ca="1">Report!$C$41</f>
        <v>56.315600000000003</v>
      </c>
      <c r="D41" s="58">
        <f ca="1">Report!$I$41</f>
        <v>1.304658644108184E-2</v>
      </c>
      <c r="E41" s="62">
        <f t="shared" ca="1" si="12"/>
        <v>0</v>
      </c>
      <c r="F41" s="62">
        <f t="shared" ca="1" si="13"/>
        <v>100</v>
      </c>
      <c r="G41" s="57">
        <f t="shared" ca="1" si="10"/>
        <v>40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60.128599999999999</v>
      </c>
      <c r="D42" s="58">
        <f ca="1">Report!$I$42</f>
        <v>2.0986214937247116E-2</v>
      </c>
      <c r="E42" s="62">
        <f t="shared" ca="1" si="12"/>
        <v>60</v>
      </c>
      <c r="F42" s="62">
        <f t="shared" ca="1" si="13"/>
        <v>40</v>
      </c>
      <c r="G42" s="57">
        <f t="shared" ca="1" si="10"/>
        <v>52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59.969299999999997</v>
      </c>
      <c r="D43" s="58">
        <f ca="1">Report!$I$43</f>
        <v>2.0795984223736044E-2</v>
      </c>
      <c r="E43" s="62">
        <f t="shared" ca="1" si="12"/>
        <v>40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60</v>
      </c>
      <c r="G43" s="57">
        <f t="shared" ca="1" si="10"/>
        <v>48</v>
      </c>
      <c r="H43" s="56" t="str">
        <f t="shared" ca="1" si="11"/>
        <v>Moderate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workbookViewId="0">
      <selection activeCell="B85" sqref="B85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46225</v>
      </c>
      <c r="D2" s="30">
        <f ca="1">TODAY() - 1</f>
        <v>46224</v>
      </c>
      <c r="E2" s="30">
        <f ca="1">TODAY() - 2</f>
        <v>46223</v>
      </c>
      <c r="F2" s="30">
        <f ca="1">TODAY() - 3</f>
        <v>46222</v>
      </c>
      <c r="G2" s="30">
        <f ca="1">TODAY() - 4</f>
        <v>46221</v>
      </c>
      <c r="H2" s="30">
        <f ca="1">TODAY() - 5</f>
        <v>46220</v>
      </c>
      <c r="I2" s="30">
        <f ca="1">TODAY() - 6</f>
        <v>46219</v>
      </c>
      <c r="J2" s="30">
        <f ca="1">TODAY() - 7</f>
        <v>46218</v>
      </c>
      <c r="K2" s="30">
        <f ca="1">TODAY() - 8</f>
        <v>46217</v>
      </c>
      <c r="L2" s="30">
        <f ca="1">TODAY() - 9</f>
        <v>46216</v>
      </c>
      <c r="M2" s="30">
        <f ca="1">TODAY() - 10</f>
        <v>46215</v>
      </c>
      <c r="N2" s="30">
        <f ca="1">TODAY() - 11</f>
        <v>46214</v>
      </c>
      <c r="O2" s="30">
        <f ca="1">TODAY() - 12</f>
        <v>46213</v>
      </c>
      <c r="P2" s="30">
        <f ca="1">TODAY() - 13</f>
        <v>46212</v>
      </c>
      <c r="Q2" s="30">
        <f ca="1">TODAY() - 14</f>
        <v>46211</v>
      </c>
      <c r="R2" s="30">
        <f ca="1">EDATE(TODAY(), -3)</f>
        <v>46134</v>
      </c>
      <c r="S2" s="30">
        <f ca="1">EDATE(TODAY(), -12)</f>
        <v>45860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122.3779</v>
      </c>
      <c r="D3">
        <f ca="1">_xll.ciqfunctions.udf.CIQ($B3,"IQ_CDS_mid",D$2)</f>
        <v>122.3779</v>
      </c>
      <c r="E3">
        <f ca="1">_xll.ciqfunctions.udf.CIQ($B3,"IQ_CDS_mid",E$2)</f>
        <v>124.0304</v>
      </c>
      <c r="F3">
        <f ca="1">_xll.ciqfunctions.udf.CIQ($B3,"IQ_CDS_mid",F$2)</f>
        <v>125.47320000000001</v>
      </c>
      <c r="G3">
        <f ca="1">_xll.ciqfunctions.udf.CIQ($B3,"IQ_CDS_mid",G$2)</f>
        <v>125.47320000000001</v>
      </c>
      <c r="H3">
        <f ca="1">_xll.ciqfunctions.udf.CIQ($B3,"IQ_CDS_mid",H$2)</f>
        <v>125.47320000000001</v>
      </c>
      <c r="I3">
        <f ca="1">_xll.ciqfunctions.udf.CIQ($B3,"IQ_CDS_mid",I$2)</f>
        <v>123.6443</v>
      </c>
      <c r="J3">
        <f ca="1">_xll.ciqfunctions.udf.CIQ($B3,"IQ_CDS_mid",J$2)</f>
        <v>122.6678</v>
      </c>
      <c r="K3">
        <f ca="1">_xll.ciqfunctions.udf.CIQ($B3,"IQ_CDS_mid",K$2)</f>
        <v>123.6118</v>
      </c>
      <c r="L3">
        <f ca="1">_xll.ciqfunctions.udf.CIQ($B3,"IQ_CDS_mid",L$2)</f>
        <v>124.732</v>
      </c>
      <c r="M3">
        <f ca="1">_xll.ciqfunctions.udf.CIQ($B3,"IQ_CDS_mid",M$2)</f>
        <v>123.66070000000001</v>
      </c>
      <c r="N3">
        <f ca="1">_xll.ciqfunctions.udf.CIQ($B3,"IQ_CDS_mid",N$2)</f>
        <v>123.66070000000001</v>
      </c>
      <c r="O3">
        <f ca="1">_xll.ciqfunctions.udf.CIQ($B3,"IQ_CDS_mid",O$2)</f>
        <v>123.66070000000001</v>
      </c>
      <c r="P3">
        <f ca="1">_xll.ciqfunctions.udf.CIQ($B3,"IQ_CDS_mid",P$2)</f>
        <v>124.8763</v>
      </c>
      <c r="Q3">
        <f ca="1">_xll.ciqfunctions.udf.CIQ($B3,"IQ_CDS_mid",Q$2)</f>
        <v>126.8395</v>
      </c>
      <c r="R3">
        <f ca="1">_xll.ciqfunctions.udf.CIQ($B3,"IQ_CDS_mid",R$2)</f>
        <v>124.2148</v>
      </c>
      <c r="S3">
        <f ca="1">_xll.ciqfunctions.udf.CIQ($B3,"IQ_CDS_mid",S$2)</f>
        <v>148.23480000000001</v>
      </c>
      <c r="T3">
        <f ca="1">C3-H3</f>
        <v>-3.0953000000000088</v>
      </c>
      <c r="U3">
        <f ca="1">C3-M3</f>
        <v>-1.2828000000000088</v>
      </c>
      <c r="V3">
        <f ca="1">C3-Q3</f>
        <v>-4.4616000000000042</v>
      </c>
      <c r="W3">
        <f ca="1">C3-R3</f>
        <v>-1.8369</v>
      </c>
      <c r="X3">
        <f t="shared" ref="X3:X40" ca="1" si="0">C3-S3</f>
        <v>-25.85690000000001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10.995699999999999</v>
      </c>
      <c r="D4">
        <f ca="1">_xll.ciqfunctions.udf.CIQ($B4,"IQ_CDS_mid",D$2)</f>
        <v>10.995699999999999</v>
      </c>
      <c r="E4">
        <f ca="1">_xll.ciqfunctions.udf.CIQ($B4,"IQ_CDS_mid",E$2)</f>
        <v>11.045</v>
      </c>
      <c r="F4">
        <f ca="1">_xll.ciqfunctions.udf.CIQ($B4,"IQ_CDS_mid",F$2)</f>
        <v>11.098699999999999</v>
      </c>
      <c r="G4">
        <f ca="1">_xll.ciqfunctions.udf.CIQ($B4,"IQ_CDS_mid",G$2)</f>
        <v>11.098699999999999</v>
      </c>
      <c r="H4">
        <f ca="1">_xll.ciqfunctions.udf.CIQ($B4,"IQ_CDS_mid",H$2)</f>
        <v>11.098699999999999</v>
      </c>
      <c r="I4">
        <f ca="1">_xll.ciqfunctions.udf.CIQ($B4,"IQ_CDS_mid",I$2)</f>
        <v>11.132099999999999</v>
      </c>
      <c r="J4">
        <f ca="1">_xll.ciqfunctions.udf.CIQ($B4,"IQ_CDS_mid",J$2)</f>
        <v>11.144399999999999</v>
      </c>
      <c r="K4">
        <f ca="1">_xll.ciqfunctions.udf.CIQ($B4,"IQ_CDS_mid",K$2)</f>
        <v>11.210100000000001</v>
      </c>
      <c r="L4">
        <f ca="1">_xll.ciqfunctions.udf.CIQ($B4,"IQ_CDS_mid",L$2)</f>
        <v>11.200799999999999</v>
      </c>
      <c r="M4">
        <f ca="1">_xll.ciqfunctions.udf.CIQ($B4,"IQ_CDS_mid",M$2)</f>
        <v>11.2279</v>
      </c>
      <c r="N4">
        <f ca="1">_xll.ciqfunctions.udf.CIQ($B4,"IQ_CDS_mid",N$2)</f>
        <v>11.2279</v>
      </c>
      <c r="O4">
        <f ca="1">_xll.ciqfunctions.udf.CIQ($B4,"IQ_CDS_mid",O$2)</f>
        <v>11.2279</v>
      </c>
      <c r="P4">
        <f ca="1">_xll.ciqfunctions.udf.CIQ($B4,"IQ_CDS_mid",P$2)</f>
        <v>11.2675</v>
      </c>
      <c r="Q4">
        <f ca="1">_xll.ciqfunctions.udf.CIQ($B4,"IQ_CDS_mid",Q$2)</f>
        <v>11.2979</v>
      </c>
      <c r="R4">
        <f ca="1">_xll.ciqfunctions.udf.CIQ($B4,"IQ_CDS_mid",R$2)</f>
        <v>12.414999999999999</v>
      </c>
      <c r="S4">
        <f ca="1">_xll.ciqfunctions.udf.CIQ($B4,"IQ_CDS_mid",S$2)</f>
        <v>15.816800000000001</v>
      </c>
      <c r="T4">
        <f ca="1">C4-H4</f>
        <v>-0.10299999999999976</v>
      </c>
      <c r="U4">
        <f ca="1">C4-M4</f>
        <v>-0.23220000000000063</v>
      </c>
      <c r="V4">
        <f ca="1">C4-Q4</f>
        <v>-0.30220000000000091</v>
      </c>
      <c r="W4">
        <f ca="1">C4-R4</f>
        <v>-1.4192999999999998</v>
      </c>
      <c r="X4">
        <f t="shared" ca="1" si="0"/>
        <v>-4.8211000000000013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85.657700000000006</v>
      </c>
      <c r="D5">
        <f ca="1">_xll.ciqfunctions.udf.CIQ($B5,"IQ_CDS_mid",D$2)</f>
        <v>85.657700000000006</v>
      </c>
      <c r="E5">
        <f ca="1">_xll.ciqfunctions.udf.CIQ($B5,"IQ_CDS_mid",E$2)</f>
        <v>86.121700000000004</v>
      </c>
      <c r="F5">
        <f ca="1">_xll.ciqfunctions.udf.CIQ($B5,"IQ_CDS_mid",F$2)</f>
        <v>86.954099999999997</v>
      </c>
      <c r="G5">
        <f ca="1">_xll.ciqfunctions.udf.CIQ($B5,"IQ_CDS_mid",G$2)</f>
        <v>86.954099999999997</v>
      </c>
      <c r="H5">
        <f ca="1">_xll.ciqfunctions.udf.CIQ($B5,"IQ_CDS_mid",H$2)</f>
        <v>86.954099999999997</v>
      </c>
      <c r="I5">
        <f ca="1">_xll.ciqfunctions.udf.CIQ($B5,"IQ_CDS_mid",I$2)</f>
        <v>86.100300000000004</v>
      </c>
      <c r="J5">
        <f ca="1">_xll.ciqfunctions.udf.CIQ($B5,"IQ_CDS_mid",J$2)</f>
        <v>85.436800000000005</v>
      </c>
      <c r="K5">
        <f ca="1">_xll.ciqfunctions.udf.CIQ($B5,"IQ_CDS_mid",K$2)</f>
        <v>85.4435</v>
      </c>
      <c r="L5">
        <f ca="1">_xll.ciqfunctions.udf.CIQ($B5,"IQ_CDS_mid",L$2)</f>
        <v>85.848500000000001</v>
      </c>
      <c r="M5">
        <f ca="1">_xll.ciqfunctions.udf.CIQ($B5,"IQ_CDS_mid",M$2)</f>
        <v>84.654700000000005</v>
      </c>
      <c r="N5">
        <f ca="1">_xll.ciqfunctions.udf.CIQ($B5,"IQ_CDS_mid",N$2)</f>
        <v>84.654700000000005</v>
      </c>
      <c r="O5">
        <f ca="1">_xll.ciqfunctions.udf.CIQ($B5,"IQ_CDS_mid",O$2)</f>
        <v>84.654700000000005</v>
      </c>
      <c r="P5">
        <f ca="1">_xll.ciqfunctions.udf.CIQ($B5,"IQ_CDS_mid",P$2)</f>
        <v>85.111500000000007</v>
      </c>
      <c r="Q5">
        <f ca="1">_xll.ciqfunctions.udf.CIQ($B5,"IQ_CDS_mid",Q$2)</f>
        <v>86.049000000000007</v>
      </c>
      <c r="R5">
        <f ca="1">_xll.ciqfunctions.udf.CIQ($B5,"IQ_CDS_mid",R$2)</f>
        <v>88.862399999999994</v>
      </c>
      <c r="S5">
        <f ca="1">_xll.ciqfunctions.udf.CIQ($B5,"IQ_CDS_mid",S$2)</f>
        <v>114.60939999999999</v>
      </c>
      <c r="T5">
        <f ca="1">C5-H5</f>
        <v>-1.2963999999999913</v>
      </c>
      <c r="U5">
        <f ca="1">C5-M5</f>
        <v>1.0030000000000001</v>
      </c>
      <c r="V5">
        <f ca="1">C5-Q5</f>
        <v>-0.39130000000000109</v>
      </c>
      <c r="W5">
        <f ca="1">C5-R5</f>
        <v>-3.2046999999999883</v>
      </c>
      <c r="X5">
        <f t="shared" ca="1" si="0"/>
        <v>-28.951699999999988</v>
      </c>
    </row>
    <row r="6" spans="1:26">
      <c r="A6" t="s">
        <v>216</v>
      </c>
      <c r="B6" s="25" t="s">
        <v>215</v>
      </c>
      <c r="C6">
        <f ca="1">_xll.ciqfunctions.udf.CIQ($B6,"IQ_CDS_mid",C$2)</f>
        <v>41.333300000000001</v>
      </c>
      <c r="D6">
        <f ca="1">_xll.ciqfunctions.udf.CIQ($B6,"IQ_CDS_mid",D$2)</f>
        <v>41.333300000000001</v>
      </c>
      <c r="E6">
        <f ca="1">_xll.ciqfunctions.udf.CIQ($B6,"IQ_CDS_mid",E$2)</f>
        <v>41.5</v>
      </c>
      <c r="F6">
        <f ca="1">_xll.ciqfunctions.udf.CIQ($B6,"IQ_CDS_mid",F$2)</f>
        <v>41.833300000000001</v>
      </c>
      <c r="G6">
        <f ca="1">_xll.ciqfunctions.udf.CIQ($B6,"IQ_CDS_mid",G$2)</f>
        <v>41.833300000000001</v>
      </c>
      <c r="H6">
        <f ca="1">_xll.ciqfunctions.udf.CIQ($B6,"IQ_CDS_mid",H$2)</f>
        <v>41.833300000000001</v>
      </c>
      <c r="I6">
        <f ca="1">_xll.ciqfunctions.udf.CIQ($B6,"IQ_CDS_mid",I$2)</f>
        <v>41.938299999999998</v>
      </c>
      <c r="J6">
        <f ca="1">_xll.ciqfunctions.udf.CIQ($B6,"IQ_CDS_mid",J$2)</f>
        <v>41.75</v>
      </c>
      <c r="K6">
        <f ca="1">_xll.ciqfunctions.udf.CIQ($B6,"IQ_CDS_mid",K$2)</f>
        <v>41.75</v>
      </c>
      <c r="L6">
        <f ca="1">_xll.ciqfunctions.udf.CIQ($B6,"IQ_CDS_mid",L$2)</f>
        <v>41.75</v>
      </c>
      <c r="M6">
        <f ca="1">_xll.ciqfunctions.udf.CIQ($B6,"IQ_CDS_mid",M$2)</f>
        <v>41.833300000000001</v>
      </c>
      <c r="N6">
        <f ca="1">_xll.ciqfunctions.udf.CIQ($B6,"IQ_CDS_mid",N$2)</f>
        <v>41.833300000000001</v>
      </c>
      <c r="O6">
        <f ca="1">_xll.ciqfunctions.udf.CIQ($B6,"IQ_CDS_mid",O$2)</f>
        <v>41.833300000000001</v>
      </c>
      <c r="P6">
        <f ca="1">_xll.ciqfunctions.udf.CIQ($B6,"IQ_CDS_mid",P$2)</f>
        <v>42</v>
      </c>
      <c r="Q6">
        <f ca="1">_xll.ciqfunctions.udf.CIQ($B6,"IQ_CDS_mid",Q$2)</f>
        <v>41.948099999999997</v>
      </c>
      <c r="R6">
        <f ca="1">_xll.ciqfunctions.udf.CIQ($B6,"IQ_CDS_mid",R$2)</f>
        <v>37.916699999999999</v>
      </c>
      <c r="S6">
        <f ca="1">_xll.ciqfunctions.udf.CIQ($B6,"IQ_CDS_mid",S$2)</f>
        <v>40.166699999999999</v>
      </c>
      <c r="T6">
        <f ca="1">C6-H6</f>
        <v>-0.5</v>
      </c>
      <c r="U6">
        <f ca="1">C6-M6</f>
        <v>-0.5</v>
      </c>
      <c r="V6">
        <f ca="1">C6-Q6</f>
        <v>-0.61479999999999535</v>
      </c>
      <c r="W6">
        <f ca="1">C6-R6</f>
        <v>3.4166000000000025</v>
      </c>
      <c r="X6">
        <f t="shared" ca="1" si="0"/>
        <v>1.1666000000000025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11.048999999999999</v>
      </c>
      <c r="D8">
        <f ca="1">_xll.ciqfunctions.udf.CIQ($B8,"IQ_CDS_mid",D$2)</f>
        <v>11.048999999999999</v>
      </c>
      <c r="E8">
        <f ca="1">_xll.ciqfunctions.udf.CIQ($B8,"IQ_CDS_mid",E$2)</f>
        <v>10.994999999999999</v>
      </c>
      <c r="F8">
        <f ca="1">_xll.ciqfunctions.udf.CIQ($B8,"IQ_CDS_mid",F$2)</f>
        <v>10.98</v>
      </c>
      <c r="G8">
        <f ca="1">_xll.ciqfunctions.udf.CIQ($B8,"IQ_CDS_mid",G$2)</f>
        <v>10.98</v>
      </c>
      <c r="H8">
        <f ca="1">_xll.ciqfunctions.udf.CIQ($B8,"IQ_CDS_mid",H$2)</f>
        <v>10.98</v>
      </c>
      <c r="I8">
        <f ca="1">_xll.ciqfunctions.udf.CIQ($B8,"IQ_CDS_mid",I$2)</f>
        <v>10.9</v>
      </c>
      <c r="J8">
        <f ca="1">_xll.ciqfunctions.udf.CIQ($B8,"IQ_CDS_mid",J$2)</f>
        <v>11</v>
      </c>
      <c r="K8">
        <f ca="1">_xll.ciqfunctions.udf.CIQ($B8,"IQ_CDS_mid",K$2)</f>
        <v>11</v>
      </c>
      <c r="L8">
        <f ca="1">_xll.ciqfunctions.udf.CIQ($B8,"IQ_CDS_mid",L$2)</f>
        <v>10.9998</v>
      </c>
      <c r="M8">
        <f ca="1">_xll.ciqfunctions.udf.CIQ($B8,"IQ_CDS_mid",M$2)</f>
        <v>10.999000000000001</v>
      </c>
      <c r="N8">
        <f ca="1">_xll.ciqfunctions.udf.CIQ($B8,"IQ_CDS_mid",N$2)</f>
        <v>10.999000000000001</v>
      </c>
      <c r="O8">
        <f ca="1">_xll.ciqfunctions.udf.CIQ($B8,"IQ_CDS_mid",O$2)</f>
        <v>10.999000000000001</v>
      </c>
      <c r="P8">
        <f ca="1">_xll.ciqfunctions.udf.CIQ($B8,"IQ_CDS_mid",P$2)</f>
        <v>10.996</v>
      </c>
      <c r="Q8">
        <f ca="1">_xll.ciqfunctions.udf.CIQ($B8,"IQ_CDS_mid",Q$2)</f>
        <v>10.98</v>
      </c>
      <c r="R8">
        <f ca="1">_xll.ciqfunctions.udf.CIQ($B8,"IQ_CDS_mid",R$2)</f>
        <v>13.7377</v>
      </c>
      <c r="S8">
        <f ca="1">_xll.ciqfunctions.udf.CIQ($B8,"IQ_CDS_mid",S$2)</f>
        <v>14.833299999999999</v>
      </c>
      <c r="T8">
        <f t="shared" ref="T8:T20" ca="1" si="1">C8-H8</f>
        <v>6.8999999999999062E-2</v>
      </c>
      <c r="U8">
        <f t="shared" ref="U8:U20" ca="1" si="2">C8-M8</f>
        <v>4.9999999999998934E-2</v>
      </c>
      <c r="V8">
        <f t="shared" ref="V8:V20" ca="1" si="3">C8-Q8</f>
        <v>6.8999999999999062E-2</v>
      </c>
      <c r="W8">
        <f t="shared" ref="W8:W20" ca="1" si="4">C8-R8</f>
        <v>-2.6887000000000008</v>
      </c>
      <c r="X8">
        <f t="shared" ca="1" si="0"/>
        <v>-3.7843</v>
      </c>
    </row>
    <row r="9" spans="1:26">
      <c r="A9" t="s">
        <v>211</v>
      </c>
      <c r="B9" s="25" t="s">
        <v>210</v>
      </c>
      <c r="C9">
        <f ca="1">_xll.ciqfunctions.udf.CIQ($B9,"IQ_CDS_mid",C$2)</f>
        <v>17.375</v>
      </c>
      <c r="D9">
        <f ca="1">_xll.ciqfunctions.udf.CIQ($B9,"IQ_CDS_mid",D$2)</f>
        <v>17.375</v>
      </c>
      <c r="E9">
        <f ca="1">_xll.ciqfunctions.udf.CIQ($B9,"IQ_CDS_mid",E$2)</f>
        <v>17.375</v>
      </c>
      <c r="F9">
        <f ca="1">_xll.ciqfunctions.udf.CIQ($B9,"IQ_CDS_mid",F$2)</f>
        <v>17.375</v>
      </c>
      <c r="G9">
        <f ca="1">_xll.ciqfunctions.udf.CIQ($B9,"IQ_CDS_mid",G$2)</f>
        <v>17.375</v>
      </c>
      <c r="H9">
        <f ca="1">_xll.ciqfunctions.udf.CIQ($B9,"IQ_CDS_mid",H$2)</f>
        <v>17.375</v>
      </c>
      <c r="I9">
        <f ca="1">_xll.ciqfunctions.udf.CIQ($B9,"IQ_CDS_mid",I$2)</f>
        <v>17.375</v>
      </c>
      <c r="J9">
        <f ca="1">_xll.ciqfunctions.udf.CIQ($B9,"IQ_CDS_mid",J$2)</f>
        <v>17.375</v>
      </c>
      <c r="K9">
        <f ca="1">_xll.ciqfunctions.udf.CIQ($B9,"IQ_CDS_mid",K$2)</f>
        <v>17.375</v>
      </c>
      <c r="L9">
        <f ca="1">_xll.ciqfunctions.udf.CIQ($B9,"IQ_CDS_mid",L$2)</f>
        <v>17.333300000000001</v>
      </c>
      <c r="M9">
        <f ca="1">_xll.ciqfunctions.udf.CIQ($B9,"IQ_CDS_mid",M$2)</f>
        <v>17.427399999999999</v>
      </c>
      <c r="N9">
        <f ca="1">_xll.ciqfunctions.udf.CIQ($B9,"IQ_CDS_mid",N$2)</f>
        <v>17.427399999999999</v>
      </c>
      <c r="O9">
        <f ca="1">_xll.ciqfunctions.udf.CIQ($B9,"IQ_CDS_mid",O$2)</f>
        <v>17.427399999999999</v>
      </c>
      <c r="P9">
        <f ca="1">_xll.ciqfunctions.udf.CIQ($B9,"IQ_CDS_mid",P$2)</f>
        <v>17.45</v>
      </c>
      <c r="Q9">
        <f ca="1">_xll.ciqfunctions.udf.CIQ($B9,"IQ_CDS_mid",Q$2)</f>
        <v>17.45</v>
      </c>
      <c r="R9">
        <f ca="1">_xll.ciqfunctions.udf.CIQ($B9,"IQ_CDS_mid",R$2)</f>
        <v>17.95</v>
      </c>
      <c r="S9">
        <f ca="1">_xll.ciqfunctions.udf.CIQ($B9,"IQ_CDS_mid",S$2)</f>
        <v>23.25</v>
      </c>
      <c r="T9">
        <f t="shared" ca="1" si="1"/>
        <v>0</v>
      </c>
      <c r="U9">
        <f t="shared" ca="1" si="2"/>
        <v>-5.239999999999867E-2</v>
      </c>
      <c r="V9">
        <f t="shared" ca="1" si="3"/>
        <v>-7.4999999999999289E-2</v>
      </c>
      <c r="W9">
        <f t="shared" ca="1" si="4"/>
        <v>-0.57499999999999929</v>
      </c>
      <c r="X9">
        <f t="shared" ca="1" si="0"/>
        <v>-5.875</v>
      </c>
    </row>
    <row r="10" spans="1:26">
      <c r="A10" t="s">
        <v>209</v>
      </c>
      <c r="B10" s="25" t="s">
        <v>208</v>
      </c>
      <c r="C10">
        <f ca="1">_xll.ciqfunctions.udf.CIQ($B10,"IQ_CDS_mid",C$2)</f>
        <v>11.166700000000001</v>
      </c>
      <c r="D10">
        <f ca="1">_xll.ciqfunctions.udf.CIQ($B10,"IQ_CDS_mid",D$2)</f>
        <v>11.166700000000001</v>
      </c>
      <c r="E10">
        <f ca="1">_xll.ciqfunctions.udf.CIQ($B10,"IQ_CDS_mid",E$2)</f>
        <v>11.166700000000001</v>
      </c>
      <c r="F10">
        <f ca="1">_xll.ciqfunctions.udf.CIQ($B10,"IQ_CDS_mid",F$2)</f>
        <v>11.166700000000001</v>
      </c>
      <c r="G10">
        <f ca="1">_xll.ciqfunctions.udf.CIQ($B10,"IQ_CDS_mid",G$2)</f>
        <v>11.166700000000001</v>
      </c>
      <c r="H10">
        <f ca="1">_xll.ciqfunctions.udf.CIQ($B10,"IQ_CDS_mid",H$2)</f>
        <v>11.166700000000001</v>
      </c>
      <c r="I10">
        <f ca="1">_xll.ciqfunctions.udf.CIQ($B10,"IQ_CDS_mid",I$2)</f>
        <v>11.393800000000001</v>
      </c>
      <c r="J10">
        <f ca="1">_xll.ciqfunctions.udf.CIQ($B10,"IQ_CDS_mid",J$2)</f>
        <v>11.166700000000001</v>
      </c>
      <c r="K10">
        <f ca="1">_xll.ciqfunctions.udf.CIQ($B10,"IQ_CDS_mid",K$2)</f>
        <v>11.166700000000001</v>
      </c>
      <c r="L10">
        <f ca="1">_xll.ciqfunctions.udf.CIQ($B10,"IQ_CDS_mid",L$2)</f>
        <v>11.375400000000001</v>
      </c>
      <c r="M10">
        <f ca="1">_xll.ciqfunctions.udf.CIQ($B10,"IQ_CDS_mid",M$2)</f>
        <v>11.25</v>
      </c>
      <c r="N10">
        <f ca="1">_xll.ciqfunctions.udf.CIQ($B10,"IQ_CDS_mid",N$2)</f>
        <v>11.25</v>
      </c>
      <c r="O10">
        <f ca="1">_xll.ciqfunctions.udf.CIQ($B10,"IQ_CDS_mid",O$2)</f>
        <v>11.25</v>
      </c>
      <c r="P10">
        <f ca="1">_xll.ciqfunctions.udf.CIQ($B10,"IQ_CDS_mid",P$2)</f>
        <v>11.25</v>
      </c>
      <c r="Q10">
        <f ca="1">_xll.ciqfunctions.udf.CIQ($B10,"IQ_CDS_mid",Q$2)</f>
        <v>11.0625</v>
      </c>
      <c r="R10">
        <f ca="1">_xll.ciqfunctions.udf.CIQ($B10,"IQ_CDS_mid",R$2)</f>
        <v>12.75</v>
      </c>
      <c r="S10">
        <f ca="1">_xll.ciqfunctions.udf.CIQ($B10,"IQ_CDS_mid",S$2)</f>
        <v>15.8284</v>
      </c>
      <c r="T10">
        <f t="shared" ca="1" si="1"/>
        <v>0</v>
      </c>
      <c r="U10">
        <f t="shared" ca="1" si="2"/>
        <v>-8.3299999999999486E-2</v>
      </c>
      <c r="V10">
        <f t="shared" ca="1" si="3"/>
        <v>0.10420000000000051</v>
      </c>
      <c r="W10">
        <f t="shared" ca="1" si="4"/>
        <v>-1.5832999999999995</v>
      </c>
      <c r="X10">
        <f t="shared" ca="1" si="0"/>
        <v>-4.6616999999999997</v>
      </c>
    </row>
    <row r="11" spans="1:26">
      <c r="A11" t="s">
        <v>17</v>
      </c>
      <c r="B11" s="25" t="s">
        <v>207</v>
      </c>
      <c r="C11">
        <f ca="1">_xll.ciqfunctions.udf.CIQ($B11,"IQ_CDS_mid",C$2)</f>
        <v>31.45</v>
      </c>
      <c r="D11">
        <f ca="1">_xll.ciqfunctions.udf.CIQ($B11,"IQ_CDS_mid",D$2)</f>
        <v>31.45</v>
      </c>
      <c r="E11">
        <f ca="1">_xll.ciqfunctions.udf.CIQ($B11,"IQ_CDS_mid",E$2)</f>
        <v>31.45</v>
      </c>
      <c r="F11">
        <f ca="1">_xll.ciqfunctions.udf.CIQ($B11,"IQ_CDS_mid",F$2)</f>
        <v>31.45</v>
      </c>
      <c r="G11">
        <f ca="1">_xll.ciqfunctions.udf.CIQ($B11,"IQ_CDS_mid",G$2)</f>
        <v>31.45</v>
      </c>
      <c r="H11">
        <f ca="1">_xll.ciqfunctions.udf.CIQ($B11,"IQ_CDS_mid",H$2)</f>
        <v>31.45</v>
      </c>
      <c r="I11">
        <f ca="1">_xll.ciqfunctions.udf.CIQ($B11,"IQ_CDS_mid",I$2)</f>
        <v>31.25</v>
      </c>
      <c r="J11">
        <f ca="1">_xll.ciqfunctions.udf.CIQ($B11,"IQ_CDS_mid",J$2)</f>
        <v>31.160900000000002</v>
      </c>
      <c r="K11">
        <f ca="1">_xll.ciqfunctions.udf.CIQ($B11,"IQ_CDS_mid",K$2)</f>
        <v>31.2224</v>
      </c>
      <c r="L11">
        <f ca="1">_xll.ciqfunctions.udf.CIQ($B11,"IQ_CDS_mid",L$2)</f>
        <v>30.8581</v>
      </c>
      <c r="M11">
        <f ca="1">_xll.ciqfunctions.udf.CIQ($B11,"IQ_CDS_mid",M$2)</f>
        <v>30.703900000000001</v>
      </c>
      <c r="N11">
        <f ca="1">_xll.ciqfunctions.udf.CIQ($B11,"IQ_CDS_mid",N$2)</f>
        <v>30.703900000000001</v>
      </c>
      <c r="O11">
        <f ca="1">_xll.ciqfunctions.udf.CIQ($B11,"IQ_CDS_mid",O$2)</f>
        <v>30.703900000000001</v>
      </c>
      <c r="P11">
        <f ca="1">_xll.ciqfunctions.udf.CIQ($B11,"IQ_CDS_mid",P$2)</f>
        <v>30.691600000000001</v>
      </c>
      <c r="Q11">
        <f ca="1">_xll.ciqfunctions.udf.CIQ($B11,"IQ_CDS_mid",Q$2)</f>
        <v>30.727699999999999</v>
      </c>
      <c r="R11">
        <f ca="1">_xll.ciqfunctions.udf.CIQ($B11,"IQ_CDS_mid",R$2)</f>
        <v>27.163499999999999</v>
      </c>
      <c r="S11">
        <f ca="1">_xll.ciqfunctions.udf.CIQ($B11,"IQ_CDS_mid",S$2)</f>
        <v>32.902200000000001</v>
      </c>
      <c r="T11">
        <f t="shared" ca="1" si="1"/>
        <v>0</v>
      </c>
      <c r="U11">
        <f t="shared" ca="1" si="2"/>
        <v>0.74609999999999843</v>
      </c>
      <c r="V11">
        <f t="shared" ca="1" si="3"/>
        <v>0.72230000000000061</v>
      </c>
      <c r="W11">
        <f t="shared" ca="1" si="4"/>
        <v>4.2865000000000002</v>
      </c>
      <c r="X11">
        <f t="shared" ca="1" si="0"/>
        <v>-1.4522000000000013</v>
      </c>
    </row>
    <row r="12" spans="1:26">
      <c r="A12" t="s">
        <v>28</v>
      </c>
      <c r="B12" s="25" t="s">
        <v>206</v>
      </c>
      <c r="C12">
        <f ca="1">_xll.ciqfunctions.udf.CIQ($B12,"IQ_CDS_mid",C$2)</f>
        <v>7.12</v>
      </c>
      <c r="D12">
        <f ca="1">_xll.ciqfunctions.udf.CIQ($B12,"IQ_CDS_mid",D$2)</f>
        <v>7.12</v>
      </c>
      <c r="E12">
        <f ca="1">_xll.ciqfunctions.udf.CIQ($B12,"IQ_CDS_mid",E$2)</f>
        <v>7.1002000000000001</v>
      </c>
      <c r="F12">
        <f ca="1">_xll.ciqfunctions.udf.CIQ($B12,"IQ_CDS_mid",F$2)</f>
        <v>7.1009000000000002</v>
      </c>
      <c r="G12">
        <f ca="1">_xll.ciqfunctions.udf.CIQ($B12,"IQ_CDS_mid",G$2)</f>
        <v>7.1009000000000002</v>
      </c>
      <c r="H12">
        <f ca="1">_xll.ciqfunctions.udf.CIQ($B12,"IQ_CDS_mid",H$2)</f>
        <v>7.1009000000000002</v>
      </c>
      <c r="I12">
        <f ca="1">_xll.ciqfunctions.udf.CIQ($B12,"IQ_CDS_mid",I$2)</f>
        <v>7.0042999999999997</v>
      </c>
      <c r="J12">
        <f ca="1">_xll.ciqfunctions.udf.CIQ($B12,"IQ_CDS_mid",J$2)</f>
        <v>7.0171000000000001</v>
      </c>
      <c r="K12">
        <f ca="1">_xll.ciqfunctions.udf.CIQ($B12,"IQ_CDS_mid",K$2)</f>
        <v>7.1001000000000003</v>
      </c>
      <c r="L12">
        <f ca="1">_xll.ciqfunctions.udf.CIQ($B12,"IQ_CDS_mid",L$2)</f>
        <v>7.0004999999999997</v>
      </c>
      <c r="M12">
        <f ca="1">_xll.ciqfunctions.udf.CIQ($B12,"IQ_CDS_mid",M$2)</f>
        <v>7.0019999999999998</v>
      </c>
      <c r="N12">
        <f ca="1">_xll.ciqfunctions.udf.CIQ($B12,"IQ_CDS_mid",N$2)</f>
        <v>7.0019999999999998</v>
      </c>
      <c r="O12">
        <f ca="1">_xll.ciqfunctions.udf.CIQ($B12,"IQ_CDS_mid",O$2)</f>
        <v>7.0019999999999998</v>
      </c>
      <c r="P12">
        <f ca="1">_xll.ciqfunctions.udf.CIQ($B12,"IQ_CDS_mid",P$2)</f>
        <v>7.0079000000000002</v>
      </c>
      <c r="Q12">
        <f ca="1">_xll.ciqfunctions.udf.CIQ($B12,"IQ_CDS_mid",Q$2)</f>
        <v>7.0315000000000003</v>
      </c>
      <c r="R12">
        <f ca="1">_xll.ciqfunctions.udf.CIQ($B12,"IQ_CDS_mid",R$2)</f>
        <v>8.8332999999999995</v>
      </c>
      <c r="S12">
        <f ca="1">_xll.ciqfunctions.udf.CIQ($B12,"IQ_CDS_mid",S$2)</f>
        <v>8.6667000000000005</v>
      </c>
      <c r="T12">
        <f t="shared" ca="1" si="1"/>
        <v>1.9099999999999895E-2</v>
      </c>
      <c r="U12">
        <f t="shared" ca="1" si="2"/>
        <v>0.11800000000000033</v>
      </c>
      <c r="V12">
        <f t="shared" ca="1" si="3"/>
        <v>8.8499999999999801E-2</v>
      </c>
      <c r="W12">
        <f t="shared" ca="1" si="4"/>
        <v>-1.7132999999999994</v>
      </c>
      <c r="X12">
        <f t="shared" ca="1" si="0"/>
        <v>-1.5467000000000004</v>
      </c>
    </row>
    <row r="13" spans="1:26">
      <c r="A13" t="s">
        <v>205</v>
      </c>
      <c r="B13" s="25" t="s">
        <v>204</v>
      </c>
      <c r="C13">
        <f ca="1">_xll.ciqfunctions.udf.CIQ($B13,"IQ_CDS_mid",C$2)</f>
        <v>29.625</v>
      </c>
      <c r="D13">
        <f ca="1">_xll.ciqfunctions.udf.CIQ($B13,"IQ_CDS_mid",D$2)</f>
        <v>29.625</v>
      </c>
      <c r="E13">
        <f ca="1">_xll.ciqfunctions.udf.CIQ($B13,"IQ_CDS_mid",E$2)</f>
        <v>29.625</v>
      </c>
      <c r="F13">
        <f ca="1">_xll.ciqfunctions.udf.CIQ($B13,"IQ_CDS_mid",F$2)</f>
        <v>29.625</v>
      </c>
      <c r="G13">
        <f ca="1">_xll.ciqfunctions.udf.CIQ($B13,"IQ_CDS_mid",G$2)</f>
        <v>29.625</v>
      </c>
      <c r="H13">
        <f ca="1">_xll.ciqfunctions.udf.CIQ($B13,"IQ_CDS_mid",H$2)</f>
        <v>29.625</v>
      </c>
      <c r="I13">
        <f ca="1">_xll.ciqfunctions.udf.CIQ($B13,"IQ_CDS_mid",I$2)</f>
        <v>29.333300000000001</v>
      </c>
      <c r="J13">
        <f ca="1">_xll.ciqfunctions.udf.CIQ($B13,"IQ_CDS_mid",J$2)</f>
        <v>29.4375</v>
      </c>
      <c r="K13">
        <f ca="1">_xll.ciqfunctions.udf.CIQ($B13,"IQ_CDS_mid",K$2)</f>
        <v>29.3507</v>
      </c>
      <c r="L13">
        <f ca="1">_xll.ciqfunctions.udf.CIQ($B13,"IQ_CDS_mid",L$2)</f>
        <v>29.182700000000001</v>
      </c>
      <c r="M13">
        <f ca="1">_xll.ciqfunctions.udf.CIQ($B13,"IQ_CDS_mid",M$2)</f>
        <v>29.1875</v>
      </c>
      <c r="N13">
        <f ca="1">_xll.ciqfunctions.udf.CIQ($B13,"IQ_CDS_mid",N$2)</f>
        <v>29.1875</v>
      </c>
      <c r="O13">
        <f ca="1">_xll.ciqfunctions.udf.CIQ($B13,"IQ_CDS_mid",O$2)</f>
        <v>29.1875</v>
      </c>
      <c r="P13">
        <f ca="1">_xll.ciqfunctions.udf.CIQ($B13,"IQ_CDS_mid",P$2)</f>
        <v>29.448399999999999</v>
      </c>
      <c r="Q13">
        <f ca="1">_xll.ciqfunctions.udf.CIQ($B13,"IQ_CDS_mid",Q$2)</f>
        <v>29.5</v>
      </c>
      <c r="R13">
        <f ca="1">_xll.ciqfunctions.udf.CIQ($B13,"IQ_CDS_mid",R$2)</f>
        <v>31.2</v>
      </c>
      <c r="S13">
        <f ca="1">_xll.ciqfunctions.udf.CIQ($B13,"IQ_CDS_mid",S$2)</f>
        <v>44.070799999999998</v>
      </c>
      <c r="T13">
        <f t="shared" ca="1" si="1"/>
        <v>0</v>
      </c>
      <c r="U13">
        <f t="shared" ca="1" si="2"/>
        <v>0.4375</v>
      </c>
      <c r="V13">
        <f t="shared" ca="1" si="3"/>
        <v>0.125</v>
      </c>
      <c r="W13">
        <f t="shared" ca="1" si="4"/>
        <v>-1.5749999999999993</v>
      </c>
      <c r="X13">
        <f t="shared" ca="1" si="0"/>
        <v>-14.445799999999998</v>
      </c>
    </row>
    <row r="14" spans="1:26">
      <c r="A14" t="s">
        <v>203</v>
      </c>
      <c r="B14" s="25" t="s">
        <v>202</v>
      </c>
      <c r="C14">
        <f ca="1">_xll.ciqfunctions.udf.CIQ($B14,"IQ_CDS_mid",C$2)</f>
        <v>14.5625</v>
      </c>
      <c r="D14">
        <f ca="1">_xll.ciqfunctions.udf.CIQ($B14,"IQ_CDS_mid",D$2)</f>
        <v>14.5625</v>
      </c>
      <c r="E14">
        <f ca="1">_xll.ciqfunctions.udf.CIQ($B14,"IQ_CDS_mid",E$2)</f>
        <v>14.5</v>
      </c>
      <c r="F14">
        <f ca="1">_xll.ciqfunctions.udf.CIQ($B14,"IQ_CDS_mid",F$2)</f>
        <v>14.5625</v>
      </c>
      <c r="G14">
        <f ca="1">_xll.ciqfunctions.udf.CIQ($B14,"IQ_CDS_mid",G$2)</f>
        <v>14.5625</v>
      </c>
      <c r="H14">
        <f ca="1">_xll.ciqfunctions.udf.CIQ($B14,"IQ_CDS_mid",H$2)</f>
        <v>14.5625</v>
      </c>
      <c r="I14">
        <f ca="1">_xll.ciqfunctions.udf.CIQ($B14,"IQ_CDS_mid",I$2)</f>
        <v>14.4375</v>
      </c>
      <c r="J14">
        <f ca="1">_xll.ciqfunctions.udf.CIQ($B14,"IQ_CDS_mid",J$2)</f>
        <v>14.5625</v>
      </c>
      <c r="K14">
        <f ca="1">_xll.ciqfunctions.udf.CIQ($B14,"IQ_CDS_mid",K$2)</f>
        <v>14.5</v>
      </c>
      <c r="L14">
        <f ca="1">_xll.ciqfunctions.udf.CIQ($B14,"IQ_CDS_mid",L$2)</f>
        <v>14.333299999999999</v>
      </c>
      <c r="M14">
        <f ca="1">_xll.ciqfunctions.udf.CIQ($B14,"IQ_CDS_mid",M$2)</f>
        <v>14.333299999999999</v>
      </c>
      <c r="N14">
        <f ca="1">_xll.ciqfunctions.udf.CIQ($B14,"IQ_CDS_mid",N$2)</f>
        <v>14.333299999999999</v>
      </c>
      <c r="O14">
        <f ca="1">_xll.ciqfunctions.udf.CIQ($B14,"IQ_CDS_mid",O$2)</f>
        <v>14.333299999999999</v>
      </c>
      <c r="P14">
        <f ca="1">_xll.ciqfunctions.udf.CIQ($B14,"IQ_CDS_mid",P$2)</f>
        <v>14.333299999999999</v>
      </c>
      <c r="Q14">
        <f ca="1">_xll.ciqfunctions.udf.CIQ($B14,"IQ_CDS_mid",Q$2)</f>
        <v>14.375</v>
      </c>
      <c r="R14">
        <f ca="1">_xll.ciqfunctions.udf.CIQ($B14,"IQ_CDS_mid",R$2)</f>
        <v>15.9375</v>
      </c>
      <c r="S14">
        <f ca="1">_xll.ciqfunctions.udf.CIQ($B14,"IQ_CDS_mid",S$2)</f>
        <v>18.166699999999999</v>
      </c>
      <c r="T14">
        <f t="shared" ca="1" si="1"/>
        <v>0</v>
      </c>
      <c r="U14">
        <f t="shared" ca="1" si="2"/>
        <v>0.22920000000000051</v>
      </c>
      <c r="V14">
        <f t="shared" ca="1" si="3"/>
        <v>0.1875</v>
      </c>
      <c r="W14">
        <f t="shared" ca="1" si="4"/>
        <v>-1.375</v>
      </c>
      <c r="X14">
        <f t="shared" ca="1" si="0"/>
        <v>-3.6041999999999987</v>
      </c>
    </row>
    <row r="15" spans="1:26">
      <c r="A15" t="s">
        <v>201</v>
      </c>
      <c r="B15" s="25" t="s">
        <v>200</v>
      </c>
      <c r="C15">
        <f ca="1">_xll.ciqfunctions.udf.CIQ($B15,"IQ_CDS_mid",C$2)</f>
        <v>30.001799999999999</v>
      </c>
      <c r="D15">
        <f ca="1">_xll.ciqfunctions.udf.CIQ($B15,"IQ_CDS_mid",D$2)</f>
        <v>30.001799999999999</v>
      </c>
      <c r="E15">
        <f ca="1">_xll.ciqfunctions.udf.CIQ($B15,"IQ_CDS_mid",E$2)</f>
        <v>30.3</v>
      </c>
      <c r="F15">
        <f ca="1">_xll.ciqfunctions.udf.CIQ($B15,"IQ_CDS_mid",F$2)</f>
        <v>30.291699999999999</v>
      </c>
      <c r="G15">
        <f ca="1">_xll.ciqfunctions.udf.CIQ($B15,"IQ_CDS_mid",G$2)</f>
        <v>30.291699999999999</v>
      </c>
      <c r="H15">
        <f ca="1">_xll.ciqfunctions.udf.CIQ($B15,"IQ_CDS_mid",H$2)</f>
        <v>30.291699999999999</v>
      </c>
      <c r="I15">
        <f ca="1">_xll.ciqfunctions.udf.CIQ($B15,"IQ_CDS_mid",I$2)</f>
        <v>30</v>
      </c>
      <c r="J15">
        <f ca="1">_xll.ciqfunctions.udf.CIQ($B15,"IQ_CDS_mid",J$2)</f>
        <v>29.85</v>
      </c>
      <c r="K15">
        <f ca="1">_xll.ciqfunctions.udf.CIQ($B15,"IQ_CDS_mid",K$2)</f>
        <v>29.845600000000001</v>
      </c>
      <c r="L15">
        <f ca="1">_xll.ciqfunctions.udf.CIQ($B15,"IQ_CDS_mid",L$2)</f>
        <v>29.152699999999999</v>
      </c>
      <c r="M15">
        <f ca="1">_xll.ciqfunctions.udf.CIQ($B15,"IQ_CDS_mid",M$2)</f>
        <v>29.305</v>
      </c>
      <c r="N15">
        <f ca="1">_xll.ciqfunctions.udf.CIQ($B15,"IQ_CDS_mid",N$2)</f>
        <v>29.305</v>
      </c>
      <c r="O15">
        <f ca="1">_xll.ciqfunctions.udf.CIQ($B15,"IQ_CDS_mid",O$2)</f>
        <v>29.305</v>
      </c>
      <c r="P15">
        <f ca="1">_xll.ciqfunctions.udf.CIQ($B15,"IQ_CDS_mid",P$2)</f>
        <v>29.441099999999999</v>
      </c>
      <c r="Q15">
        <f ca="1">_xll.ciqfunctions.udf.CIQ($B15,"IQ_CDS_mid",Q$2)</f>
        <v>29.428899999999999</v>
      </c>
      <c r="R15">
        <f ca="1">_xll.ciqfunctions.udf.CIQ($B15,"IQ_CDS_mid",R$2)</f>
        <v>30.028400000000001</v>
      </c>
      <c r="S15">
        <f ca="1">_xll.ciqfunctions.udf.CIQ($B15,"IQ_CDS_mid",S$2)</f>
        <v>41.830599999999997</v>
      </c>
      <c r="T15">
        <f t="shared" ca="1" si="1"/>
        <v>-0.28989999999999938</v>
      </c>
      <c r="U15">
        <f t="shared" ca="1" si="2"/>
        <v>0.69679999999999964</v>
      </c>
      <c r="V15">
        <f t="shared" ca="1" si="3"/>
        <v>0.57290000000000063</v>
      </c>
      <c r="W15">
        <f t="shared" ca="1" si="4"/>
        <v>-2.6600000000001955E-2</v>
      </c>
      <c r="X15">
        <f t="shared" ca="1" si="0"/>
        <v>-11.828799999999998</v>
      </c>
    </row>
    <row r="16" spans="1:26">
      <c r="A16" t="s">
        <v>199</v>
      </c>
      <c r="B16" s="25" t="s">
        <v>198</v>
      </c>
      <c r="C16">
        <f ca="1">_xll.ciqfunctions.udf.CIQ($B16,"IQ_CDS_mid",C$2)</f>
        <v>10.3324</v>
      </c>
      <c r="D16">
        <f ca="1">_xll.ciqfunctions.udf.CIQ($B16,"IQ_CDS_mid",D$2)</f>
        <v>10.3324</v>
      </c>
      <c r="E16">
        <f ca="1">_xll.ciqfunctions.udf.CIQ($B16,"IQ_CDS_mid",E$2)</f>
        <v>10.507300000000001</v>
      </c>
      <c r="F16">
        <f ca="1">_xll.ciqfunctions.udf.CIQ($B16,"IQ_CDS_mid",F$2)</f>
        <v>10.3817</v>
      </c>
      <c r="G16">
        <f ca="1">_xll.ciqfunctions.udf.CIQ($B16,"IQ_CDS_mid",G$2)</f>
        <v>10.3817</v>
      </c>
      <c r="H16">
        <f ca="1">_xll.ciqfunctions.udf.CIQ($B16,"IQ_CDS_mid",H$2)</f>
        <v>10.3817</v>
      </c>
      <c r="I16">
        <f ca="1">_xll.ciqfunctions.udf.CIQ($B16,"IQ_CDS_mid",I$2)</f>
        <v>10.3414</v>
      </c>
      <c r="J16">
        <f ca="1">_xll.ciqfunctions.udf.CIQ($B16,"IQ_CDS_mid",J$2)</f>
        <v>10.623799999999999</v>
      </c>
      <c r="K16">
        <f ca="1">_xll.ciqfunctions.udf.CIQ($B16,"IQ_CDS_mid",K$2)</f>
        <v>10.6304</v>
      </c>
      <c r="L16">
        <f ca="1">_xll.ciqfunctions.udf.CIQ($B16,"IQ_CDS_mid",L$2)</f>
        <v>9.9968000000000004</v>
      </c>
      <c r="M16">
        <f ca="1">_xll.ciqfunctions.udf.CIQ($B16,"IQ_CDS_mid",M$2)</f>
        <v>10.537800000000001</v>
      </c>
      <c r="N16">
        <f ca="1">_xll.ciqfunctions.udf.CIQ($B16,"IQ_CDS_mid",N$2)</f>
        <v>10.537800000000001</v>
      </c>
      <c r="O16">
        <f ca="1">_xll.ciqfunctions.udf.CIQ($B16,"IQ_CDS_mid",O$2)</f>
        <v>10.537800000000001</v>
      </c>
      <c r="P16">
        <f ca="1">_xll.ciqfunctions.udf.CIQ($B16,"IQ_CDS_mid",P$2)</f>
        <v>10.6538</v>
      </c>
      <c r="Q16">
        <f ca="1">_xll.ciqfunctions.udf.CIQ($B16,"IQ_CDS_mid",Q$2)</f>
        <v>9.9497999999999998</v>
      </c>
      <c r="R16">
        <f ca="1">_xll.ciqfunctions.udf.CIQ($B16,"IQ_CDS_mid",R$2)</f>
        <v>10.1092</v>
      </c>
      <c r="S16">
        <f ca="1">_xll.ciqfunctions.udf.CIQ($B16,"IQ_CDS_mid",S$2)</f>
        <v>15.783799999999999</v>
      </c>
      <c r="T16">
        <f t="shared" ca="1" si="1"/>
        <v>-4.9300000000000566E-2</v>
      </c>
      <c r="U16">
        <f t="shared" ca="1" si="2"/>
        <v>-0.20540000000000092</v>
      </c>
      <c r="V16">
        <f t="shared" ca="1" si="3"/>
        <v>0.38260000000000005</v>
      </c>
      <c r="W16">
        <f t="shared" ca="1" si="4"/>
        <v>0.22320000000000029</v>
      </c>
      <c r="X16">
        <f t="shared" ca="1" si="0"/>
        <v>-5.4513999999999996</v>
      </c>
    </row>
    <row r="17" spans="1:24">
      <c r="A17" t="s">
        <v>197</v>
      </c>
      <c r="B17" s="25" t="s">
        <v>196</v>
      </c>
      <c r="C17">
        <f ca="1">_xll.ciqfunctions.udf.CIQ($B17,"IQ_CDS_mid",C$2)</f>
        <v>7.8333000000000004</v>
      </c>
      <c r="D17">
        <f ca="1">_xll.ciqfunctions.udf.CIQ($B17,"IQ_CDS_mid",D$2)</f>
        <v>7.8333000000000004</v>
      </c>
      <c r="E17">
        <f ca="1">_xll.ciqfunctions.udf.CIQ($B17,"IQ_CDS_mid",E$2)</f>
        <v>7.8333000000000004</v>
      </c>
      <c r="F17">
        <f ca="1">_xll.ciqfunctions.udf.CIQ($B17,"IQ_CDS_mid",F$2)</f>
        <v>7.8333000000000004</v>
      </c>
      <c r="G17">
        <f ca="1">_xll.ciqfunctions.udf.CIQ($B17,"IQ_CDS_mid",G$2)</f>
        <v>7.8333000000000004</v>
      </c>
      <c r="H17">
        <f ca="1">_xll.ciqfunctions.udf.CIQ($B17,"IQ_CDS_mid",H$2)</f>
        <v>7.8333000000000004</v>
      </c>
      <c r="I17">
        <f ca="1">_xll.ciqfunctions.udf.CIQ($B17,"IQ_CDS_mid",I$2)</f>
        <v>7.8967000000000001</v>
      </c>
      <c r="J17">
        <f ca="1">_xll.ciqfunctions.udf.CIQ($B17,"IQ_CDS_mid",J$2)</f>
        <v>7.875</v>
      </c>
      <c r="K17">
        <f ca="1">_xll.ciqfunctions.udf.CIQ($B17,"IQ_CDS_mid",K$2)</f>
        <v>7.875</v>
      </c>
      <c r="L17">
        <f ca="1">_xll.ciqfunctions.udf.CIQ($B17,"IQ_CDS_mid",L$2)</f>
        <v>7.8</v>
      </c>
      <c r="M17">
        <f ca="1">_xll.ciqfunctions.udf.CIQ($B17,"IQ_CDS_mid",M$2)</f>
        <v>7.6718999999999999</v>
      </c>
      <c r="N17">
        <f ca="1">_xll.ciqfunctions.udf.CIQ($B17,"IQ_CDS_mid",N$2)</f>
        <v>7.6718999999999999</v>
      </c>
      <c r="O17">
        <f ca="1">_xll.ciqfunctions.udf.CIQ($B17,"IQ_CDS_mid",O$2)</f>
        <v>7.6718999999999999</v>
      </c>
      <c r="P17">
        <f ca="1">_xll.ciqfunctions.udf.CIQ($B17,"IQ_CDS_mid",P$2)</f>
        <v>7.75</v>
      </c>
      <c r="Q17">
        <f ca="1">_xll.ciqfunctions.udf.CIQ($B17,"IQ_CDS_mid",Q$2)</f>
        <v>7.8125</v>
      </c>
      <c r="R17">
        <f ca="1">_xll.ciqfunctions.udf.CIQ($B17,"IQ_CDS_mid",R$2)</f>
        <v>8.9224999999999994</v>
      </c>
      <c r="S17">
        <f ca="1">_xll.ciqfunctions.udf.CIQ($B17,"IQ_CDS_mid",S$2)</f>
        <v>10.475</v>
      </c>
      <c r="T17">
        <f t="shared" ca="1" si="1"/>
        <v>0</v>
      </c>
      <c r="U17">
        <f t="shared" ca="1" si="2"/>
        <v>0.16140000000000043</v>
      </c>
      <c r="V17">
        <f t="shared" ca="1" si="3"/>
        <v>2.0800000000000374E-2</v>
      </c>
      <c r="W17">
        <f t="shared" ca="1" si="4"/>
        <v>-1.0891999999999991</v>
      </c>
      <c r="X17">
        <f t="shared" ca="1" si="0"/>
        <v>-2.6416999999999993</v>
      </c>
    </row>
    <row r="18" spans="1:24">
      <c r="A18" t="s">
        <v>195</v>
      </c>
      <c r="B18" s="25" t="s">
        <v>194</v>
      </c>
      <c r="C18">
        <f ca="1">_xll.ciqfunctions.udf.CIQ($B18,"IQ_CDS_mid",C$2)</f>
        <v>14.4</v>
      </c>
      <c r="D18">
        <f ca="1">_xll.ciqfunctions.udf.CIQ($B18,"IQ_CDS_mid",D$2)</f>
        <v>14.4</v>
      </c>
      <c r="E18">
        <f ca="1">_xll.ciqfunctions.udf.CIQ($B18,"IQ_CDS_mid",E$2)</f>
        <v>14.4</v>
      </c>
      <c r="F18">
        <f ca="1">_xll.ciqfunctions.udf.CIQ($B18,"IQ_CDS_mid",F$2)</f>
        <v>14.4</v>
      </c>
      <c r="G18">
        <f ca="1">_xll.ciqfunctions.udf.CIQ($B18,"IQ_CDS_mid",G$2)</f>
        <v>14.4</v>
      </c>
      <c r="H18">
        <f ca="1">_xll.ciqfunctions.udf.CIQ($B18,"IQ_CDS_mid",H$2)</f>
        <v>14.4</v>
      </c>
      <c r="I18">
        <f ca="1">_xll.ciqfunctions.udf.CIQ($B18,"IQ_CDS_mid",I$2)</f>
        <v>14.375</v>
      </c>
      <c r="J18">
        <f ca="1">_xll.ciqfunctions.udf.CIQ($B18,"IQ_CDS_mid",J$2)</f>
        <v>14.3125</v>
      </c>
      <c r="K18">
        <f ca="1">_xll.ciqfunctions.udf.CIQ($B18,"IQ_CDS_mid",K$2)</f>
        <v>14.35</v>
      </c>
      <c r="L18">
        <f ca="1">_xll.ciqfunctions.udf.CIQ($B18,"IQ_CDS_mid",L$2)</f>
        <v>14.25</v>
      </c>
      <c r="M18">
        <f ca="1">_xll.ciqfunctions.udf.CIQ($B18,"IQ_CDS_mid",M$2)</f>
        <v>14.125</v>
      </c>
      <c r="N18">
        <f ca="1">_xll.ciqfunctions.udf.CIQ($B18,"IQ_CDS_mid",N$2)</f>
        <v>14.125</v>
      </c>
      <c r="O18">
        <f ca="1">_xll.ciqfunctions.udf.CIQ($B18,"IQ_CDS_mid",O$2)</f>
        <v>14.125</v>
      </c>
      <c r="P18">
        <f ca="1">_xll.ciqfunctions.udf.CIQ($B18,"IQ_CDS_mid",P$2)</f>
        <v>14.2</v>
      </c>
      <c r="Q18">
        <f ca="1">_xll.ciqfunctions.udf.CIQ($B18,"IQ_CDS_mid",Q$2)</f>
        <v>14.3125</v>
      </c>
      <c r="R18">
        <f ca="1">_xll.ciqfunctions.udf.CIQ($B18,"IQ_CDS_mid",R$2)</f>
        <v>16.472000000000001</v>
      </c>
      <c r="S18">
        <f ca="1">_xll.ciqfunctions.udf.CIQ($B18,"IQ_CDS_mid",S$2)</f>
        <v>23.166699999999999</v>
      </c>
      <c r="T18">
        <f t="shared" ca="1" si="1"/>
        <v>0</v>
      </c>
      <c r="U18">
        <f t="shared" ca="1" si="2"/>
        <v>0.27500000000000036</v>
      </c>
      <c r="V18">
        <f t="shared" ca="1" si="3"/>
        <v>8.7500000000000355E-2</v>
      </c>
      <c r="W18">
        <f t="shared" ca="1" si="4"/>
        <v>-2.072000000000001</v>
      </c>
      <c r="X18">
        <f t="shared" ca="1" si="0"/>
        <v>-8.7666999999999984</v>
      </c>
    </row>
    <row r="19" spans="1:24">
      <c r="A19" t="s">
        <v>193</v>
      </c>
      <c r="B19" s="25" t="s">
        <v>192</v>
      </c>
      <c r="C19">
        <f ca="1">_xll.ciqfunctions.udf.CIQ($B19,"IQ_CDS_mid",C$2)</f>
        <v>35.248199999999997</v>
      </c>
      <c r="D19">
        <f ca="1">_xll.ciqfunctions.udf.CIQ($B19,"IQ_CDS_mid",D$2)</f>
        <v>35.248199999999997</v>
      </c>
      <c r="E19">
        <f ca="1">_xll.ciqfunctions.udf.CIQ($B19,"IQ_CDS_mid",E$2)</f>
        <v>35.906300000000002</v>
      </c>
      <c r="F19">
        <f ca="1">_xll.ciqfunctions.udf.CIQ($B19,"IQ_CDS_mid",F$2)</f>
        <v>35.417200000000001</v>
      </c>
      <c r="G19">
        <f ca="1">_xll.ciqfunctions.udf.CIQ($B19,"IQ_CDS_mid",G$2)</f>
        <v>35.417200000000001</v>
      </c>
      <c r="H19">
        <f ca="1">_xll.ciqfunctions.udf.CIQ($B19,"IQ_CDS_mid",H$2)</f>
        <v>35.417200000000001</v>
      </c>
      <c r="I19">
        <f ca="1">_xll.ciqfunctions.udf.CIQ($B19,"IQ_CDS_mid",I$2)</f>
        <v>36.054499999999997</v>
      </c>
      <c r="J19">
        <f ca="1">_xll.ciqfunctions.udf.CIQ($B19,"IQ_CDS_mid",J$2)</f>
        <v>35.6477</v>
      </c>
      <c r="K19">
        <f ca="1">_xll.ciqfunctions.udf.CIQ($B19,"IQ_CDS_mid",K$2)</f>
        <v>35.881599999999999</v>
      </c>
      <c r="L19">
        <f ca="1">_xll.ciqfunctions.udf.CIQ($B19,"IQ_CDS_mid",L$2)</f>
        <v>36.149299999999997</v>
      </c>
      <c r="M19">
        <f ca="1">_xll.ciqfunctions.udf.CIQ($B19,"IQ_CDS_mid",M$2)</f>
        <v>36.468200000000003</v>
      </c>
      <c r="N19">
        <f ca="1">_xll.ciqfunctions.udf.CIQ($B19,"IQ_CDS_mid",N$2)</f>
        <v>36.468200000000003</v>
      </c>
      <c r="O19">
        <f ca="1">_xll.ciqfunctions.udf.CIQ($B19,"IQ_CDS_mid",O$2)</f>
        <v>36.468200000000003</v>
      </c>
      <c r="P19">
        <f ca="1">_xll.ciqfunctions.udf.CIQ($B19,"IQ_CDS_mid",P$2)</f>
        <v>36.967199999999998</v>
      </c>
      <c r="Q19">
        <f ca="1">_xll.ciqfunctions.udf.CIQ($B19,"IQ_CDS_mid",Q$2)</f>
        <v>37.1873</v>
      </c>
      <c r="R19">
        <f ca="1">_xll.ciqfunctions.udf.CIQ($B19,"IQ_CDS_mid",R$2)</f>
        <v>39.256799999999998</v>
      </c>
      <c r="S19">
        <f ca="1">_xll.ciqfunctions.udf.CIQ($B19,"IQ_CDS_mid",S$2)</f>
        <v>29.4224</v>
      </c>
      <c r="T19">
        <f t="shared" ca="1" si="1"/>
        <v>-0.16900000000000404</v>
      </c>
      <c r="U19">
        <f t="shared" ca="1" si="2"/>
        <v>-1.220000000000006</v>
      </c>
      <c r="V19">
        <f t="shared" ca="1" si="3"/>
        <v>-1.9391000000000034</v>
      </c>
      <c r="W19">
        <f t="shared" ca="1" si="4"/>
        <v>-4.0086000000000013</v>
      </c>
      <c r="X19">
        <f t="shared" ca="1" si="0"/>
        <v>5.8257999999999974</v>
      </c>
    </row>
    <row r="20" spans="1:24">
      <c r="A20" t="s">
        <v>191</v>
      </c>
      <c r="B20" s="25" t="s">
        <v>190</v>
      </c>
      <c r="C20">
        <f ca="1">_xll.ciqfunctions.udf.CIQ($B20,"IQ_CDS_mid",C$2)</f>
        <v>16.0625</v>
      </c>
      <c r="D20">
        <f ca="1">_xll.ciqfunctions.udf.CIQ($B20,"IQ_CDS_mid",D$2)</f>
        <v>16.0625</v>
      </c>
      <c r="E20">
        <f ca="1">_xll.ciqfunctions.udf.CIQ($B20,"IQ_CDS_mid",E$2)</f>
        <v>16.5</v>
      </c>
      <c r="F20">
        <f ca="1">_xll.ciqfunctions.udf.CIQ($B20,"IQ_CDS_mid",F$2)</f>
        <v>16.5</v>
      </c>
      <c r="G20">
        <f ca="1">_xll.ciqfunctions.udf.CIQ($B20,"IQ_CDS_mid",G$2)</f>
        <v>16.5</v>
      </c>
      <c r="H20">
        <f ca="1">_xll.ciqfunctions.udf.CIQ($B20,"IQ_CDS_mid",H$2)</f>
        <v>16.5</v>
      </c>
      <c r="I20">
        <f ca="1">_xll.ciqfunctions.udf.CIQ($B20,"IQ_CDS_mid",I$2)</f>
        <v>16.5</v>
      </c>
      <c r="J20">
        <f ca="1">_xll.ciqfunctions.udf.CIQ($B20,"IQ_CDS_mid",J$2)</f>
        <v>16.5837</v>
      </c>
      <c r="K20">
        <f ca="1">_xll.ciqfunctions.udf.CIQ($B20,"IQ_CDS_mid",K$2)</f>
        <v>16.5</v>
      </c>
      <c r="L20">
        <f ca="1">_xll.ciqfunctions.udf.CIQ($B20,"IQ_CDS_mid",L$2)</f>
        <v>16.020600000000002</v>
      </c>
      <c r="M20">
        <f ca="1">_xll.ciqfunctions.udf.CIQ($B20,"IQ_CDS_mid",M$2)</f>
        <v>16.166699999999999</v>
      </c>
      <c r="N20">
        <f ca="1">_xll.ciqfunctions.udf.CIQ($B20,"IQ_CDS_mid",N$2)</f>
        <v>16.166699999999999</v>
      </c>
      <c r="O20">
        <f ca="1">_xll.ciqfunctions.udf.CIQ($B20,"IQ_CDS_mid",O$2)</f>
        <v>16.166699999999999</v>
      </c>
      <c r="P20">
        <f ca="1">_xll.ciqfunctions.udf.CIQ($B20,"IQ_CDS_mid",P$2)</f>
        <v>16.166699999999999</v>
      </c>
      <c r="Q20">
        <f ca="1">_xll.ciqfunctions.udf.CIQ($B20,"IQ_CDS_mid",Q$2)</f>
        <v>16.020399999999999</v>
      </c>
      <c r="R20">
        <f ca="1">_xll.ciqfunctions.udf.CIQ($B20,"IQ_CDS_mid",R$2)</f>
        <v>16.8125</v>
      </c>
      <c r="S20">
        <f ca="1">_xll.ciqfunctions.udf.CIQ($B20,"IQ_CDS_mid",S$2)</f>
        <v>27.608000000000001</v>
      </c>
      <c r="T20">
        <f t="shared" ca="1" si="1"/>
        <v>-0.4375</v>
      </c>
      <c r="U20">
        <f t="shared" ca="1" si="2"/>
        <v>-0.10419999999999874</v>
      </c>
      <c r="V20">
        <f t="shared" ca="1" si="3"/>
        <v>4.2100000000001359E-2</v>
      </c>
      <c r="W20">
        <f t="shared" ca="1" si="4"/>
        <v>-0.75</v>
      </c>
      <c r="X20">
        <f t="shared" ca="1" si="0"/>
        <v>-11.545500000000001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18.065999999999999</v>
      </c>
      <c r="D22">
        <f ca="1">_xll.ciqfunctions.udf.CIQ($B22,"IQ_CDS_mid",D$2)</f>
        <v>18.065999999999999</v>
      </c>
      <c r="E22">
        <f ca="1">_xll.ciqfunctions.udf.CIQ($B22,"IQ_CDS_mid",E$2)</f>
        <v>18.125</v>
      </c>
      <c r="F22">
        <f ca="1">_xll.ciqfunctions.udf.CIQ($B22,"IQ_CDS_mid",F$2)</f>
        <v>18.375</v>
      </c>
      <c r="G22">
        <f ca="1">_xll.ciqfunctions.udf.CIQ($B22,"IQ_CDS_mid",G$2)</f>
        <v>18.375</v>
      </c>
      <c r="H22">
        <f ca="1">_xll.ciqfunctions.udf.CIQ($B22,"IQ_CDS_mid",H$2)</f>
        <v>18.375</v>
      </c>
      <c r="I22">
        <f ca="1">_xll.ciqfunctions.udf.CIQ($B22,"IQ_CDS_mid",I$2)</f>
        <v>18.399999999999999</v>
      </c>
      <c r="J22">
        <f ca="1">_xll.ciqfunctions.udf.CIQ($B22,"IQ_CDS_mid",J$2)</f>
        <v>18.549700000000001</v>
      </c>
      <c r="K22">
        <f ca="1">_xll.ciqfunctions.udf.CIQ($B22,"IQ_CDS_mid",K$2)</f>
        <v>18.600000000000001</v>
      </c>
      <c r="L22">
        <f ca="1">_xll.ciqfunctions.udf.CIQ($B22,"IQ_CDS_mid",L$2)</f>
        <v>17.833300000000001</v>
      </c>
      <c r="M22">
        <f ca="1">_xll.ciqfunctions.udf.CIQ($B22,"IQ_CDS_mid",M$2)</f>
        <v>17.833300000000001</v>
      </c>
      <c r="N22">
        <f ca="1">_xll.ciqfunctions.udf.CIQ($B22,"IQ_CDS_mid",N$2)</f>
        <v>17.833300000000001</v>
      </c>
      <c r="O22">
        <f ca="1">_xll.ciqfunctions.udf.CIQ($B22,"IQ_CDS_mid",O$2)</f>
        <v>17.833300000000001</v>
      </c>
      <c r="P22">
        <f ca="1">_xll.ciqfunctions.udf.CIQ($B22,"IQ_CDS_mid",P$2)</f>
        <v>17.9375</v>
      </c>
      <c r="Q22">
        <f ca="1">_xll.ciqfunctions.udf.CIQ($B22,"IQ_CDS_mid",Q$2)</f>
        <v>18.100000000000001</v>
      </c>
      <c r="R22">
        <f ca="1">_xll.ciqfunctions.udf.CIQ($B22,"IQ_CDS_mid",R$2)</f>
        <v>18.4375</v>
      </c>
      <c r="S22">
        <f ca="1">_xll.ciqfunctions.udf.CIQ($B22,"IQ_CDS_mid",S$2)</f>
        <v>16.5</v>
      </c>
      <c r="T22">
        <f t="shared" ref="T22:T29" ca="1" si="5">C22-H22</f>
        <v>-0.30900000000000105</v>
      </c>
      <c r="U22">
        <f t="shared" ref="U22:U29" ca="1" si="6">C22-M22</f>
        <v>0.23269999999999769</v>
      </c>
      <c r="V22">
        <f t="shared" ref="V22:V29" ca="1" si="7">C22-Q22</f>
        <v>-3.4000000000002473E-2</v>
      </c>
      <c r="W22">
        <f t="shared" ref="W22:W29" ca="1" si="8">C22-R22</f>
        <v>-0.37150000000000105</v>
      </c>
      <c r="X22">
        <f t="shared" ca="1" si="0"/>
        <v>1.5659999999999989</v>
      </c>
    </row>
    <row r="23" spans="1:24">
      <c r="A23" t="s">
        <v>186</v>
      </c>
      <c r="B23" s="25" t="s">
        <v>185</v>
      </c>
      <c r="C23">
        <f ca="1">_xll.ciqfunctions.udf.CIQ($B23,"IQ_CDS_mid",C$2)</f>
        <v>29.349299999999999</v>
      </c>
      <c r="D23">
        <f ca="1">_xll.ciqfunctions.udf.CIQ($B23,"IQ_CDS_mid",D$2)</f>
        <v>29.349299999999999</v>
      </c>
      <c r="E23">
        <f ca="1">_xll.ciqfunctions.udf.CIQ($B23,"IQ_CDS_mid",E$2)</f>
        <v>29.366499999999998</v>
      </c>
      <c r="F23">
        <f ca="1">_xll.ciqfunctions.udf.CIQ($B23,"IQ_CDS_mid",F$2)</f>
        <v>29.510300000000001</v>
      </c>
      <c r="G23">
        <f ca="1">_xll.ciqfunctions.udf.CIQ($B23,"IQ_CDS_mid",G$2)</f>
        <v>29.510300000000001</v>
      </c>
      <c r="H23">
        <f ca="1">_xll.ciqfunctions.udf.CIQ($B23,"IQ_CDS_mid",H$2)</f>
        <v>29.510300000000001</v>
      </c>
      <c r="I23">
        <f ca="1">_xll.ciqfunctions.udf.CIQ($B23,"IQ_CDS_mid",I$2)</f>
        <v>29.828800000000001</v>
      </c>
      <c r="J23">
        <f ca="1">_xll.ciqfunctions.udf.CIQ($B23,"IQ_CDS_mid",J$2)</f>
        <v>29.7485</v>
      </c>
      <c r="K23">
        <f ca="1">_xll.ciqfunctions.udf.CIQ($B23,"IQ_CDS_mid",K$2)</f>
        <v>29.4392</v>
      </c>
      <c r="L23">
        <f ca="1">_xll.ciqfunctions.udf.CIQ($B23,"IQ_CDS_mid",L$2)</f>
        <v>28.9693</v>
      </c>
      <c r="M23">
        <f ca="1">_xll.ciqfunctions.udf.CIQ($B23,"IQ_CDS_mid",M$2)</f>
        <v>28.029199999999999</v>
      </c>
      <c r="N23">
        <f ca="1">_xll.ciqfunctions.udf.CIQ($B23,"IQ_CDS_mid",N$2)</f>
        <v>28.029199999999999</v>
      </c>
      <c r="O23">
        <f ca="1">_xll.ciqfunctions.udf.CIQ($B23,"IQ_CDS_mid",O$2)</f>
        <v>28.029199999999999</v>
      </c>
      <c r="P23">
        <f ca="1">_xll.ciqfunctions.udf.CIQ($B23,"IQ_CDS_mid",P$2)</f>
        <v>27.785</v>
      </c>
      <c r="Q23">
        <f ca="1">_xll.ciqfunctions.udf.CIQ($B23,"IQ_CDS_mid",Q$2)</f>
        <v>26.265599999999999</v>
      </c>
      <c r="R23">
        <f ca="1">_xll.ciqfunctions.udf.CIQ($B23,"IQ_CDS_mid",R$2)</f>
        <v>29.3857</v>
      </c>
      <c r="S23">
        <f ca="1">_xll.ciqfunctions.udf.CIQ($B23,"IQ_CDS_mid",S$2)</f>
        <v>25.492899999999999</v>
      </c>
      <c r="T23">
        <f t="shared" ca="1" si="5"/>
        <v>-0.16100000000000136</v>
      </c>
      <c r="U23">
        <f t="shared" ca="1" si="6"/>
        <v>1.3201000000000001</v>
      </c>
      <c r="V23">
        <f t="shared" ca="1" si="7"/>
        <v>3.0837000000000003</v>
      </c>
      <c r="W23">
        <f t="shared" ca="1" si="8"/>
        <v>-3.6400000000000432E-2</v>
      </c>
      <c r="X23">
        <f t="shared" ca="1" si="0"/>
        <v>3.8564000000000007</v>
      </c>
    </row>
    <row r="24" spans="1:24">
      <c r="A24" t="s">
        <v>31</v>
      </c>
      <c r="B24" s="25" t="s">
        <v>184</v>
      </c>
      <c r="C24">
        <f ca="1">_xll.ciqfunctions.udf.CIQ($B24,"IQ_CDS_mid",C$2)</f>
        <v>8.125</v>
      </c>
      <c r="D24">
        <f ca="1">_xll.ciqfunctions.udf.CIQ($B24,"IQ_CDS_mid",D$2)</f>
        <v>8.125</v>
      </c>
      <c r="E24">
        <f ca="1">_xll.ciqfunctions.udf.CIQ($B24,"IQ_CDS_mid",E$2)</f>
        <v>8.125</v>
      </c>
      <c r="F24">
        <f ca="1">_xll.ciqfunctions.udf.CIQ($B24,"IQ_CDS_mid",F$2)</f>
        <v>8.125</v>
      </c>
      <c r="G24">
        <f ca="1">_xll.ciqfunctions.udf.CIQ($B24,"IQ_CDS_mid",G$2)</f>
        <v>8.125</v>
      </c>
      <c r="H24">
        <f ca="1">_xll.ciqfunctions.udf.CIQ($B24,"IQ_CDS_mid",H$2)</f>
        <v>8.125</v>
      </c>
      <c r="I24">
        <f ca="1">_xll.ciqfunctions.udf.CIQ($B24,"IQ_CDS_mid",I$2)</f>
        <v>7.8333000000000004</v>
      </c>
      <c r="J24">
        <f ca="1">_xll.ciqfunctions.udf.CIQ($B24,"IQ_CDS_mid",J$2)</f>
        <v>8.0832999999999995</v>
      </c>
      <c r="K24">
        <f ca="1">_xll.ciqfunctions.udf.CIQ($B24,"IQ_CDS_mid",K$2)</f>
        <v>8</v>
      </c>
      <c r="L24">
        <f ca="1">_xll.ciqfunctions.udf.CIQ($B24,"IQ_CDS_mid",L$2)</f>
        <v>7.9127000000000001</v>
      </c>
      <c r="M24">
        <f ca="1">_xll.ciqfunctions.udf.CIQ($B24,"IQ_CDS_mid",M$2)</f>
        <v>7.9162999999999997</v>
      </c>
      <c r="N24">
        <f ca="1">_xll.ciqfunctions.udf.CIQ($B24,"IQ_CDS_mid",N$2)</f>
        <v>7.9162999999999997</v>
      </c>
      <c r="O24">
        <f ca="1">_xll.ciqfunctions.udf.CIQ($B24,"IQ_CDS_mid",O$2)</f>
        <v>7.9162999999999997</v>
      </c>
      <c r="P24">
        <f ca="1">_xll.ciqfunctions.udf.CIQ($B24,"IQ_CDS_mid",P$2)</f>
        <v>7.9375</v>
      </c>
      <c r="Q24">
        <f ca="1">_xll.ciqfunctions.udf.CIQ($B24,"IQ_CDS_mid",Q$2)</f>
        <v>7.8333000000000004</v>
      </c>
      <c r="R24">
        <f ca="1">_xll.ciqfunctions.udf.CIQ($B24,"IQ_CDS_mid",R$2)</f>
        <v>9</v>
      </c>
      <c r="S24">
        <f ca="1">_xll.ciqfunctions.udf.CIQ($B24,"IQ_CDS_mid",S$2)</f>
        <v>9.7175999999999991</v>
      </c>
      <c r="T24">
        <f t="shared" ca="1" si="5"/>
        <v>0</v>
      </c>
      <c r="U24">
        <f t="shared" ca="1" si="6"/>
        <v>0.20870000000000033</v>
      </c>
      <c r="V24">
        <f t="shared" ca="1" si="7"/>
        <v>0.29169999999999963</v>
      </c>
      <c r="W24">
        <f t="shared" ca="1" si="8"/>
        <v>-0.875</v>
      </c>
      <c r="X24">
        <f t="shared" ca="1" si="0"/>
        <v>-1.5925999999999991</v>
      </c>
    </row>
    <row r="25" spans="1:24">
      <c r="A25" t="s">
        <v>183</v>
      </c>
      <c r="B25" s="25" t="s">
        <v>182</v>
      </c>
      <c r="C25">
        <f ca="1">_xll.ciqfunctions.udf.CIQ($B25,"IQ_CDS_mid",C$2)</f>
        <v>4.6845999999999997</v>
      </c>
      <c r="D25">
        <f ca="1">_xll.ciqfunctions.udf.CIQ($B25,"IQ_CDS_mid",D$2)</f>
        <v>4.6845999999999997</v>
      </c>
      <c r="E25">
        <f ca="1">_xll.ciqfunctions.udf.CIQ($B25,"IQ_CDS_mid",E$2)</f>
        <v>4.6959999999999997</v>
      </c>
      <c r="F25">
        <f ca="1">_xll.ciqfunctions.udf.CIQ($B25,"IQ_CDS_mid",F$2)</f>
        <v>4.7626999999999997</v>
      </c>
      <c r="G25">
        <f ca="1">_xll.ciqfunctions.udf.CIQ($B25,"IQ_CDS_mid",G$2)</f>
        <v>4.7626999999999997</v>
      </c>
      <c r="H25">
        <f ca="1">_xll.ciqfunctions.udf.CIQ($B25,"IQ_CDS_mid",H$2)</f>
        <v>4.7626999999999997</v>
      </c>
      <c r="I25">
        <f ca="1">_xll.ciqfunctions.udf.CIQ($B25,"IQ_CDS_mid",I$2)</f>
        <v>4.7927</v>
      </c>
      <c r="J25">
        <f ca="1">_xll.ciqfunctions.udf.CIQ($B25,"IQ_CDS_mid",J$2)</f>
        <v>4.5082000000000004</v>
      </c>
      <c r="K25">
        <f ca="1">_xll.ciqfunctions.udf.CIQ($B25,"IQ_CDS_mid",K$2)</f>
        <v>4.5067000000000004</v>
      </c>
      <c r="L25">
        <f ca="1">_xll.ciqfunctions.udf.CIQ($B25,"IQ_CDS_mid",L$2)</f>
        <v>4.4958</v>
      </c>
      <c r="M25">
        <f ca="1">_xll.ciqfunctions.udf.CIQ($B25,"IQ_CDS_mid",M$2)</f>
        <v>4.4996</v>
      </c>
      <c r="N25">
        <f ca="1">_xll.ciqfunctions.udf.CIQ($B25,"IQ_CDS_mid",N$2)</f>
        <v>4.4996</v>
      </c>
      <c r="O25">
        <f ca="1">_xll.ciqfunctions.udf.CIQ($B25,"IQ_CDS_mid",O$2)</f>
        <v>4.4996</v>
      </c>
      <c r="P25">
        <f ca="1">_xll.ciqfunctions.udf.CIQ($B25,"IQ_CDS_mid",P$2)</f>
        <v>4.5007999999999999</v>
      </c>
      <c r="Q25">
        <f ca="1">_xll.ciqfunctions.udf.CIQ($B25,"IQ_CDS_mid",Q$2)</f>
        <v>4.7224000000000004</v>
      </c>
      <c r="R25">
        <f ca="1">_xll.ciqfunctions.udf.CIQ($B25,"IQ_CDS_mid",R$2)</f>
        <v>5.5068000000000001</v>
      </c>
      <c r="S25">
        <f ca="1">_xll.ciqfunctions.udf.CIQ($B25,"IQ_CDS_mid",S$2)</f>
        <v>8.4847999999999999</v>
      </c>
      <c r="T25">
        <f t="shared" ca="1" si="5"/>
        <v>-7.8100000000000058E-2</v>
      </c>
      <c r="U25">
        <f t="shared" ca="1" si="6"/>
        <v>0.18499999999999961</v>
      </c>
      <c r="V25">
        <f t="shared" ca="1" si="7"/>
        <v>-3.7800000000000722E-2</v>
      </c>
      <c r="W25">
        <f t="shared" ca="1" si="8"/>
        <v>-0.82220000000000049</v>
      </c>
      <c r="X25">
        <f t="shared" ca="1" si="0"/>
        <v>-3.8002000000000002</v>
      </c>
    </row>
    <row r="26" spans="1:24">
      <c r="A26" t="s">
        <v>181</v>
      </c>
      <c r="B26" s="25" t="s">
        <v>180</v>
      </c>
      <c r="C26">
        <f ca="1">_xll.ciqfunctions.udf.CIQ($B26,"IQ_CDS_mid",C$2)</f>
        <v>50.9407</v>
      </c>
      <c r="D26">
        <f ca="1">_xll.ciqfunctions.udf.CIQ($B26,"IQ_CDS_mid",D$2)</f>
        <v>50.9407</v>
      </c>
      <c r="E26">
        <f ca="1">_xll.ciqfunctions.udf.CIQ($B26,"IQ_CDS_mid",E$2)</f>
        <v>51.058399999999999</v>
      </c>
      <c r="F26">
        <f ca="1">_xll.ciqfunctions.udf.CIQ($B26,"IQ_CDS_mid",F$2)</f>
        <v>50.913400000000003</v>
      </c>
      <c r="G26">
        <f ca="1">_xll.ciqfunctions.udf.CIQ($B26,"IQ_CDS_mid",G$2)</f>
        <v>50.913400000000003</v>
      </c>
      <c r="H26">
        <f ca="1">_xll.ciqfunctions.udf.CIQ($B26,"IQ_CDS_mid",H$2)</f>
        <v>50.913400000000003</v>
      </c>
      <c r="I26">
        <f ca="1">_xll.ciqfunctions.udf.CIQ($B26,"IQ_CDS_mid",I$2)</f>
        <v>50.662199999999999</v>
      </c>
      <c r="J26">
        <f ca="1">_xll.ciqfunctions.udf.CIQ($B26,"IQ_CDS_mid",J$2)</f>
        <v>50.5535</v>
      </c>
      <c r="K26">
        <f ca="1">_xll.ciqfunctions.udf.CIQ($B26,"IQ_CDS_mid",K$2)</f>
        <v>50.5366</v>
      </c>
      <c r="L26">
        <f ca="1">_xll.ciqfunctions.udf.CIQ($B26,"IQ_CDS_mid",L$2)</f>
        <v>50.558</v>
      </c>
      <c r="M26">
        <f ca="1">_xll.ciqfunctions.udf.CIQ($B26,"IQ_CDS_mid",M$2)</f>
        <v>50.546199999999999</v>
      </c>
      <c r="N26">
        <f ca="1">_xll.ciqfunctions.udf.CIQ($B26,"IQ_CDS_mid",N$2)</f>
        <v>50.546199999999999</v>
      </c>
      <c r="O26">
        <f ca="1">_xll.ciqfunctions.udf.CIQ($B26,"IQ_CDS_mid",O$2)</f>
        <v>50.546199999999999</v>
      </c>
      <c r="P26">
        <f ca="1">_xll.ciqfunctions.udf.CIQ($B26,"IQ_CDS_mid",P$2)</f>
        <v>50.543700000000001</v>
      </c>
      <c r="Q26">
        <f ca="1">_xll.ciqfunctions.udf.CIQ($B26,"IQ_CDS_mid",Q$2)</f>
        <v>50.552999999999997</v>
      </c>
      <c r="R26">
        <f ca="1">_xll.ciqfunctions.udf.CIQ($B26,"IQ_CDS_mid",R$2)</f>
        <v>52.333300000000001</v>
      </c>
      <c r="S26">
        <f ca="1">_xll.ciqfunctions.udf.CIQ($B26,"IQ_CDS_mid",S$2)</f>
        <v>66.400300000000001</v>
      </c>
      <c r="T26">
        <f t="shared" ca="1" si="5"/>
        <v>2.7299999999996771E-2</v>
      </c>
      <c r="U26">
        <f t="shared" ca="1" si="6"/>
        <v>0.39450000000000074</v>
      </c>
      <c r="V26">
        <f t="shared" ca="1" si="7"/>
        <v>0.38770000000000238</v>
      </c>
      <c r="W26">
        <f t="shared" ca="1" si="8"/>
        <v>-1.3926000000000016</v>
      </c>
      <c r="X26">
        <f t="shared" ca="1" si="0"/>
        <v>-15.459600000000002</v>
      </c>
    </row>
    <row r="27" spans="1:24">
      <c r="A27" t="s">
        <v>179</v>
      </c>
      <c r="B27" s="25" t="s">
        <v>178</v>
      </c>
      <c r="C27">
        <f ca="1">_xll.ciqfunctions.udf.CIQ($B27,"IQ_CDS_mid",C$2)</f>
        <v>7.25</v>
      </c>
      <c r="D27">
        <f ca="1">_xll.ciqfunctions.udf.CIQ($B27,"IQ_CDS_mid",D$2)</f>
        <v>7.25</v>
      </c>
      <c r="E27">
        <f ca="1">_xll.ciqfunctions.udf.CIQ($B27,"IQ_CDS_mid",E$2)</f>
        <v>6.7028999999999996</v>
      </c>
      <c r="F27">
        <f ca="1">_xll.ciqfunctions.udf.CIQ($B27,"IQ_CDS_mid",F$2)</f>
        <v>7.25</v>
      </c>
      <c r="G27">
        <f ca="1">_xll.ciqfunctions.udf.CIQ($B27,"IQ_CDS_mid",G$2)</f>
        <v>7.25</v>
      </c>
      <c r="H27">
        <f ca="1">_xll.ciqfunctions.udf.CIQ($B27,"IQ_CDS_mid",H$2)</f>
        <v>7.25</v>
      </c>
      <c r="I27">
        <f ca="1">_xll.ciqfunctions.udf.CIQ($B27,"IQ_CDS_mid",I$2)</f>
        <v>6.4809000000000001</v>
      </c>
      <c r="J27">
        <f ca="1">_xll.ciqfunctions.udf.CIQ($B27,"IQ_CDS_mid",J$2)</f>
        <v>6.8322000000000003</v>
      </c>
      <c r="K27">
        <f ca="1">_xll.ciqfunctions.udf.CIQ($B27,"IQ_CDS_mid",K$2)</f>
        <v>7.25</v>
      </c>
      <c r="L27">
        <f ca="1">_xll.ciqfunctions.udf.CIQ($B27,"IQ_CDS_mid",L$2)</f>
        <v>6.8292999999999999</v>
      </c>
      <c r="M27">
        <f ca="1">_xll.ciqfunctions.udf.CIQ($B27,"IQ_CDS_mid",M$2)</f>
        <v>6.7275999999999998</v>
      </c>
      <c r="N27">
        <f ca="1">_xll.ciqfunctions.udf.CIQ($B27,"IQ_CDS_mid",N$2)</f>
        <v>6.7275999999999998</v>
      </c>
      <c r="O27">
        <f ca="1">_xll.ciqfunctions.udf.CIQ($B27,"IQ_CDS_mid",O$2)</f>
        <v>6.7275999999999998</v>
      </c>
      <c r="P27">
        <f ca="1">_xll.ciqfunctions.udf.CIQ($B27,"IQ_CDS_mid",P$2)</f>
        <v>7.3333000000000004</v>
      </c>
      <c r="Q27">
        <f ca="1">_xll.ciqfunctions.udf.CIQ($B27,"IQ_CDS_mid",Q$2)</f>
        <v>7.3333000000000004</v>
      </c>
      <c r="R27">
        <f ca="1">_xll.ciqfunctions.udf.CIQ($B27,"IQ_CDS_mid",R$2)</f>
        <v>7.9375</v>
      </c>
      <c r="S27">
        <f ca="1">_xll.ciqfunctions.udf.CIQ($B27,"IQ_CDS_mid",S$2)</f>
        <v>9.6837</v>
      </c>
      <c r="T27">
        <f t="shared" ca="1" si="5"/>
        <v>0</v>
      </c>
      <c r="U27">
        <f t="shared" ca="1" si="6"/>
        <v>0.5224000000000002</v>
      </c>
      <c r="V27">
        <f t="shared" ca="1" si="7"/>
        <v>-8.3300000000000374E-2</v>
      </c>
      <c r="W27">
        <f t="shared" ca="1" si="8"/>
        <v>-0.6875</v>
      </c>
      <c r="X27">
        <f t="shared" ca="1" si="0"/>
        <v>-2.4337</v>
      </c>
    </row>
    <row r="28" spans="1:24">
      <c r="A28" t="s">
        <v>21</v>
      </c>
      <c r="B28" s="25" t="s">
        <v>177</v>
      </c>
      <c r="C28">
        <f ca="1">_xll.ciqfunctions.udf.CIQ($B28,"IQ_CDS_mid",C$2)</f>
        <v>7.2427999999999999</v>
      </c>
      <c r="D28">
        <f ca="1">_xll.ciqfunctions.udf.CIQ($B28,"IQ_CDS_mid",D$2)</f>
        <v>7.2427999999999999</v>
      </c>
      <c r="E28">
        <f ca="1">_xll.ciqfunctions.udf.CIQ($B28,"IQ_CDS_mid",E$2)</f>
        <v>7.2449000000000003</v>
      </c>
      <c r="F28">
        <f ca="1">_xll.ciqfunctions.udf.CIQ($B28,"IQ_CDS_mid",F$2)</f>
        <v>7.2477</v>
      </c>
      <c r="G28">
        <f ca="1">_xll.ciqfunctions.udf.CIQ($B28,"IQ_CDS_mid",G$2)</f>
        <v>7.2477</v>
      </c>
      <c r="H28">
        <f ca="1">_xll.ciqfunctions.udf.CIQ($B28,"IQ_CDS_mid",H$2)</f>
        <v>7.2477</v>
      </c>
      <c r="I28">
        <f ca="1">_xll.ciqfunctions.udf.CIQ($B28,"IQ_CDS_mid",I$2)</f>
        <v>7.2488000000000001</v>
      </c>
      <c r="J28">
        <f ca="1">_xll.ciqfunctions.udf.CIQ($B28,"IQ_CDS_mid",J$2)</f>
        <v>7.2503000000000002</v>
      </c>
      <c r="K28">
        <f ca="1">_xll.ciqfunctions.udf.CIQ($B28,"IQ_CDS_mid",K$2)</f>
        <v>7.2491000000000003</v>
      </c>
      <c r="L28">
        <f ca="1">_xll.ciqfunctions.udf.CIQ($B28,"IQ_CDS_mid",L$2)</f>
        <v>7.2408000000000001</v>
      </c>
      <c r="M28">
        <f ca="1">_xll.ciqfunctions.udf.CIQ($B28,"IQ_CDS_mid",M$2)</f>
        <v>7.2432999999999996</v>
      </c>
      <c r="N28">
        <f ca="1">_xll.ciqfunctions.udf.CIQ($B28,"IQ_CDS_mid",N$2)</f>
        <v>7.2432999999999996</v>
      </c>
      <c r="O28">
        <f ca="1">_xll.ciqfunctions.udf.CIQ($B28,"IQ_CDS_mid",O$2)</f>
        <v>7.2432999999999996</v>
      </c>
      <c r="P28">
        <f ca="1">_xll.ciqfunctions.udf.CIQ($B28,"IQ_CDS_mid",P$2)</f>
        <v>7.2461000000000002</v>
      </c>
      <c r="Q28">
        <f ca="1">_xll.ciqfunctions.udf.CIQ($B28,"IQ_CDS_mid",Q$2)</f>
        <v>7.2419000000000002</v>
      </c>
      <c r="R28">
        <f ca="1">_xll.ciqfunctions.udf.CIQ($B28,"IQ_CDS_mid",R$2)</f>
        <v>7.8948</v>
      </c>
      <c r="S28">
        <f ca="1">_xll.ciqfunctions.udf.CIQ($B28,"IQ_CDS_mid",S$2)</f>
        <v>8.1667000000000005</v>
      </c>
      <c r="T28">
        <f t="shared" ca="1" si="5"/>
        <v>-4.9000000000001265E-3</v>
      </c>
      <c r="U28">
        <f t="shared" ca="1" si="6"/>
        <v>-4.9999999999972289E-4</v>
      </c>
      <c r="V28">
        <f t="shared" ca="1" si="7"/>
        <v>8.9999999999967883E-4</v>
      </c>
      <c r="W28">
        <f t="shared" ca="1" si="8"/>
        <v>-0.65200000000000014</v>
      </c>
      <c r="X28">
        <f t="shared" ca="1" si="0"/>
        <v>-0.92390000000000061</v>
      </c>
    </row>
    <row r="29" spans="1:24">
      <c r="A29" t="s">
        <v>176</v>
      </c>
      <c r="B29" s="25" t="s">
        <v>175</v>
      </c>
      <c r="C29">
        <f ca="1">_xll.ciqfunctions.udf.CIQ($B29,"IQ_CDS_mid",C$2)</f>
        <v>761.52940000000001</v>
      </c>
      <c r="D29">
        <f ca="1">_xll.ciqfunctions.udf.CIQ($B29,"IQ_CDS_mid",D$2)</f>
        <v>761.52940000000001</v>
      </c>
      <c r="E29">
        <f ca="1">_xll.ciqfunctions.udf.CIQ($B29,"IQ_CDS_mid",E$2)</f>
        <v>761.14300000000003</v>
      </c>
      <c r="F29">
        <f ca="1">_xll.ciqfunctions.udf.CIQ($B29,"IQ_CDS_mid",F$2)</f>
        <v>760.81479999999999</v>
      </c>
      <c r="G29">
        <f ca="1">_xll.ciqfunctions.udf.CIQ($B29,"IQ_CDS_mid",G$2)</f>
        <v>760.81479999999999</v>
      </c>
      <c r="H29">
        <f ca="1">_xll.ciqfunctions.udf.CIQ($B29,"IQ_CDS_mid",H$2)</f>
        <v>760.81479999999999</v>
      </c>
      <c r="I29">
        <f ca="1">_xll.ciqfunctions.udf.CIQ($B29,"IQ_CDS_mid",I$2)</f>
        <v>760.57230000000004</v>
      </c>
      <c r="J29">
        <f ca="1">_xll.ciqfunctions.udf.CIQ($B29,"IQ_CDS_mid",J$2)</f>
        <v>761.11260000000004</v>
      </c>
      <c r="K29">
        <f ca="1">_xll.ciqfunctions.udf.CIQ($B29,"IQ_CDS_mid",K$2)</f>
        <v>761.66399999999999</v>
      </c>
      <c r="L29">
        <f ca="1">_xll.ciqfunctions.udf.CIQ($B29,"IQ_CDS_mid",L$2)</f>
        <v>760.44730000000004</v>
      </c>
      <c r="M29">
        <f ca="1">_xll.ciqfunctions.udf.CIQ($B29,"IQ_CDS_mid",M$2)</f>
        <v>759.85569999999996</v>
      </c>
      <c r="N29">
        <f ca="1">_xll.ciqfunctions.udf.CIQ($B29,"IQ_CDS_mid",N$2)</f>
        <v>759.85569999999996</v>
      </c>
      <c r="O29">
        <f ca="1">_xll.ciqfunctions.udf.CIQ($B29,"IQ_CDS_mid",O$2)</f>
        <v>759.85569999999996</v>
      </c>
      <c r="P29">
        <f ca="1">_xll.ciqfunctions.udf.CIQ($B29,"IQ_CDS_mid",P$2)</f>
        <v>760.38520000000005</v>
      </c>
      <c r="Q29">
        <f ca="1">_xll.ciqfunctions.udf.CIQ($B29,"IQ_CDS_mid",Q$2)</f>
        <v>759.62519999999995</v>
      </c>
      <c r="R29">
        <f ca="1">_xll.ciqfunctions.udf.CIQ($B29,"IQ_CDS_mid",R$2)</f>
        <v>676.11030000000005</v>
      </c>
      <c r="S29">
        <f ca="1">_xll.ciqfunctions.udf.CIQ($B29,"IQ_CDS_mid",S$2)</f>
        <v>14787.329299999999</v>
      </c>
      <c r="T29">
        <f t="shared" ca="1" si="5"/>
        <v>0.71460000000001855</v>
      </c>
      <c r="U29">
        <f t="shared" ca="1" si="6"/>
        <v>1.6737000000000535</v>
      </c>
      <c r="V29">
        <f t="shared" ca="1" si="7"/>
        <v>1.9042000000000598</v>
      </c>
      <c r="W29">
        <f t="shared" ca="1" si="8"/>
        <v>85.419099999999958</v>
      </c>
      <c r="X29">
        <f t="shared" ca="1" si="0"/>
        <v>-14025.7999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14.0679</v>
      </c>
      <c r="D31">
        <f ca="1">_xll.ciqfunctions.udf.CIQ($B31,"IQ_CDS_mid",D$2)</f>
        <v>14.0679</v>
      </c>
      <c r="E31">
        <f ca="1">_xll.ciqfunctions.udf.CIQ($B31,"IQ_CDS_mid",E$2)</f>
        <v>14.0632</v>
      </c>
      <c r="F31">
        <f ca="1">_xll.ciqfunctions.udf.CIQ($B31,"IQ_CDS_mid",F$2)</f>
        <v>14.0458</v>
      </c>
      <c r="G31">
        <f ca="1">_xll.ciqfunctions.udf.CIQ($B31,"IQ_CDS_mid",G$2)</f>
        <v>14.0458</v>
      </c>
      <c r="H31">
        <f ca="1">_xll.ciqfunctions.udf.CIQ($B31,"IQ_CDS_mid",H$2)</f>
        <v>14.0458</v>
      </c>
      <c r="I31">
        <f ca="1">_xll.ciqfunctions.udf.CIQ($B31,"IQ_CDS_mid",I$2)</f>
        <v>14</v>
      </c>
      <c r="J31">
        <f ca="1">_xll.ciqfunctions.udf.CIQ($B31,"IQ_CDS_mid",J$2)</f>
        <v>14.125</v>
      </c>
      <c r="K31">
        <f ca="1">_xll.ciqfunctions.udf.CIQ($B31,"IQ_CDS_mid",K$2)</f>
        <v>14</v>
      </c>
      <c r="L31">
        <f ca="1">_xll.ciqfunctions.udf.CIQ($B31,"IQ_CDS_mid",L$2)</f>
        <v>13.9072</v>
      </c>
      <c r="M31">
        <f ca="1">_xll.ciqfunctions.udf.CIQ($B31,"IQ_CDS_mid",M$2)</f>
        <v>13.9459</v>
      </c>
      <c r="N31">
        <f ca="1">_xll.ciqfunctions.udf.CIQ($B31,"IQ_CDS_mid",N$2)</f>
        <v>13.9459</v>
      </c>
      <c r="O31">
        <f ca="1">_xll.ciqfunctions.udf.CIQ($B31,"IQ_CDS_mid",O$2)</f>
        <v>13.9459</v>
      </c>
      <c r="P31">
        <f ca="1">_xll.ciqfunctions.udf.CIQ($B31,"IQ_CDS_mid",P$2)</f>
        <v>14.0006</v>
      </c>
      <c r="Q31">
        <f ca="1">_xll.ciqfunctions.udf.CIQ($B31,"IQ_CDS_mid",Q$2)</f>
        <v>14.125</v>
      </c>
      <c r="R31">
        <f ca="1">_xll.ciqfunctions.udf.CIQ($B31,"IQ_CDS_mid",R$2)</f>
        <v>14.0984</v>
      </c>
      <c r="S31">
        <f ca="1">_xll.ciqfunctions.udf.CIQ($B31,"IQ_CDS_mid",S$2)</f>
        <v>10.5807</v>
      </c>
      <c r="T31">
        <f t="shared" ref="T31:T40" ca="1" si="9">C31-H31</f>
        <v>2.2100000000000009E-2</v>
      </c>
      <c r="U31">
        <f t="shared" ref="U31:U40" ca="1" si="10">C31-M31</f>
        <v>0.12199999999999989</v>
      </c>
      <c r="V31">
        <f t="shared" ref="V31:V40" ca="1" si="11">C31-Q31</f>
        <v>-5.7100000000000151E-2</v>
      </c>
      <c r="W31">
        <f t="shared" ref="W31:W40" ca="1" si="12">C31-R31</f>
        <v>-3.0499999999999972E-2</v>
      </c>
      <c r="X31">
        <f t="shared" ca="1" si="0"/>
        <v>3.4871999999999996</v>
      </c>
    </row>
    <row r="32" spans="1:24">
      <c r="A32" t="s">
        <v>171</v>
      </c>
      <c r="B32" s="25" t="s">
        <v>170</v>
      </c>
      <c r="C32">
        <f ca="1">_xll.ciqfunctions.udf.CIQ($B32,"IQ_CDS_mid",C$2)</f>
        <v>37.339300000000001</v>
      </c>
      <c r="D32">
        <f ca="1">_xll.ciqfunctions.udf.CIQ($B32,"IQ_CDS_mid",D$2)</f>
        <v>37.339300000000001</v>
      </c>
      <c r="E32">
        <f ca="1">_xll.ciqfunctions.udf.CIQ($B32,"IQ_CDS_mid",E$2)</f>
        <v>37.503599999999999</v>
      </c>
      <c r="F32">
        <f ca="1">_xll.ciqfunctions.udf.CIQ($B32,"IQ_CDS_mid",F$2)</f>
        <v>37.691499999999998</v>
      </c>
      <c r="G32">
        <f ca="1">_xll.ciqfunctions.udf.CIQ($B32,"IQ_CDS_mid",G$2)</f>
        <v>37.691499999999998</v>
      </c>
      <c r="H32">
        <f ca="1">_xll.ciqfunctions.udf.CIQ($B32,"IQ_CDS_mid",H$2)</f>
        <v>37.691499999999998</v>
      </c>
      <c r="I32">
        <f ca="1">_xll.ciqfunctions.udf.CIQ($B32,"IQ_CDS_mid",I$2)</f>
        <v>37.072899999999997</v>
      </c>
      <c r="J32">
        <f ca="1">_xll.ciqfunctions.udf.CIQ($B32,"IQ_CDS_mid",J$2)</f>
        <v>37.038600000000002</v>
      </c>
      <c r="K32">
        <f ca="1">_xll.ciqfunctions.udf.CIQ($B32,"IQ_CDS_mid",K$2)</f>
        <v>36.975900000000003</v>
      </c>
      <c r="L32">
        <f ca="1">_xll.ciqfunctions.udf.CIQ($B32,"IQ_CDS_mid",L$2)</f>
        <v>37.398899999999998</v>
      </c>
      <c r="M32">
        <f ca="1">_xll.ciqfunctions.udf.CIQ($B32,"IQ_CDS_mid",M$2)</f>
        <v>36.695399999999999</v>
      </c>
      <c r="N32">
        <f ca="1">_xll.ciqfunctions.udf.CIQ($B32,"IQ_CDS_mid",N$2)</f>
        <v>36.695399999999999</v>
      </c>
      <c r="O32">
        <f ca="1">_xll.ciqfunctions.udf.CIQ($B32,"IQ_CDS_mid",O$2)</f>
        <v>36.695399999999999</v>
      </c>
      <c r="P32">
        <f ca="1">_xll.ciqfunctions.udf.CIQ($B32,"IQ_CDS_mid",P$2)</f>
        <v>36.929299999999998</v>
      </c>
      <c r="Q32">
        <f ca="1">_xll.ciqfunctions.udf.CIQ($B32,"IQ_CDS_mid",Q$2)</f>
        <v>37.2605</v>
      </c>
      <c r="R32">
        <f ca="1">_xll.ciqfunctions.udf.CIQ($B32,"IQ_CDS_mid",R$2)</f>
        <v>43.194299999999998</v>
      </c>
      <c r="S32">
        <f ca="1">_xll.ciqfunctions.udf.CIQ($B32,"IQ_CDS_mid",S$2)</f>
        <v>42.756999999999998</v>
      </c>
      <c r="T32">
        <f t="shared" ca="1" si="9"/>
        <v>-0.35219999999999629</v>
      </c>
      <c r="U32">
        <f t="shared" ca="1" si="10"/>
        <v>0.64390000000000214</v>
      </c>
      <c r="V32">
        <f t="shared" ca="1" si="11"/>
        <v>7.8800000000001091E-2</v>
      </c>
      <c r="W32">
        <f t="shared" ca="1" si="12"/>
        <v>-5.8549999999999969</v>
      </c>
      <c r="X32">
        <f t="shared" ca="1" si="0"/>
        <v>-5.4176999999999964</v>
      </c>
    </row>
    <row r="33" spans="1:24">
      <c r="A33" t="s">
        <v>169</v>
      </c>
      <c r="B33" s="25" t="s">
        <v>168</v>
      </c>
      <c r="C33">
        <f ca="1">_xll.ciqfunctions.udf.CIQ($B33,"IQ_CDS_mid",C$2)</f>
        <v>24.9252</v>
      </c>
      <c r="D33">
        <f ca="1">_xll.ciqfunctions.udf.CIQ($B33,"IQ_CDS_mid",D$2)</f>
        <v>24.9252</v>
      </c>
      <c r="E33">
        <f ca="1">_xll.ciqfunctions.udf.CIQ($B33,"IQ_CDS_mid",E$2)</f>
        <v>24.926200000000001</v>
      </c>
      <c r="F33">
        <f ca="1">_xll.ciqfunctions.udf.CIQ($B33,"IQ_CDS_mid",F$2)</f>
        <v>24.942799999999998</v>
      </c>
      <c r="G33">
        <f ca="1">_xll.ciqfunctions.udf.CIQ($B33,"IQ_CDS_mid",G$2)</f>
        <v>24.942799999999998</v>
      </c>
      <c r="H33">
        <f ca="1">_xll.ciqfunctions.udf.CIQ($B33,"IQ_CDS_mid",H$2)</f>
        <v>24.942799999999998</v>
      </c>
      <c r="I33">
        <f ca="1">_xll.ciqfunctions.udf.CIQ($B33,"IQ_CDS_mid",I$2)</f>
        <v>24.990600000000001</v>
      </c>
      <c r="J33">
        <f ca="1">_xll.ciqfunctions.udf.CIQ($B33,"IQ_CDS_mid",J$2)</f>
        <v>24.954799999999999</v>
      </c>
      <c r="K33">
        <f ca="1">_xll.ciqfunctions.udf.CIQ($B33,"IQ_CDS_mid",K$2)</f>
        <v>24.877199999999998</v>
      </c>
      <c r="L33">
        <f ca="1">_xll.ciqfunctions.udf.CIQ($B33,"IQ_CDS_mid",L$2)</f>
        <v>24.878</v>
      </c>
      <c r="M33">
        <f ca="1">_xll.ciqfunctions.udf.CIQ($B33,"IQ_CDS_mid",M$2)</f>
        <v>24.9191</v>
      </c>
      <c r="N33">
        <f ca="1">_xll.ciqfunctions.udf.CIQ($B33,"IQ_CDS_mid",N$2)</f>
        <v>24.9191</v>
      </c>
      <c r="O33">
        <f ca="1">_xll.ciqfunctions.udf.CIQ($B33,"IQ_CDS_mid",O$2)</f>
        <v>24.9191</v>
      </c>
      <c r="P33">
        <f ca="1">_xll.ciqfunctions.udf.CIQ($B33,"IQ_CDS_mid",P$2)</f>
        <v>24.851900000000001</v>
      </c>
      <c r="Q33">
        <f ca="1">_xll.ciqfunctions.udf.CIQ($B33,"IQ_CDS_mid",Q$2)</f>
        <v>24.862200000000001</v>
      </c>
      <c r="R33">
        <f ca="1">_xll.ciqfunctions.udf.CIQ($B33,"IQ_CDS_mid",R$2)</f>
        <v>25.991599999999998</v>
      </c>
      <c r="S33">
        <f ca="1">_xll.ciqfunctions.udf.CIQ($B33,"IQ_CDS_mid",S$2)</f>
        <v>34.320500000000003</v>
      </c>
      <c r="T33">
        <f t="shared" ca="1" si="9"/>
        <v>-1.7599999999998062E-2</v>
      </c>
      <c r="U33">
        <f t="shared" ca="1" si="10"/>
        <v>6.0999999999999943E-3</v>
      </c>
      <c r="V33">
        <f t="shared" ca="1" si="11"/>
        <v>6.2999999999998835E-2</v>
      </c>
      <c r="W33">
        <f t="shared" ca="1" si="12"/>
        <v>-1.066399999999998</v>
      </c>
      <c r="X33">
        <f t="shared" ca="1" si="0"/>
        <v>-9.3953000000000024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33</v>
      </c>
      <c r="B35" s="25" t="s">
        <v>165</v>
      </c>
      <c r="C35">
        <f ca="1">_xll.ciqfunctions.udf.CIQ($B35,"IQ_CDS_mid",C$2)</f>
        <v>26.713699999999999</v>
      </c>
      <c r="D35">
        <f ca="1">_xll.ciqfunctions.udf.CIQ($B35,"IQ_CDS_mid",D$2)</f>
        <v>26.713699999999999</v>
      </c>
      <c r="E35">
        <f ca="1">_xll.ciqfunctions.udf.CIQ($B35,"IQ_CDS_mid",E$2)</f>
        <v>26.838000000000001</v>
      </c>
      <c r="F35">
        <f ca="1">_xll.ciqfunctions.udf.CIQ($B35,"IQ_CDS_mid",F$2)</f>
        <v>26.687899999999999</v>
      </c>
      <c r="G35">
        <f ca="1">_xll.ciqfunctions.udf.CIQ($B35,"IQ_CDS_mid",G$2)</f>
        <v>26.687899999999999</v>
      </c>
      <c r="H35">
        <f ca="1">_xll.ciqfunctions.udf.CIQ($B35,"IQ_CDS_mid",H$2)</f>
        <v>26.687899999999999</v>
      </c>
      <c r="I35">
        <f ca="1">_xll.ciqfunctions.udf.CIQ($B35,"IQ_CDS_mid",I$2)</f>
        <v>26.485600000000002</v>
      </c>
      <c r="J35">
        <f ca="1">_xll.ciqfunctions.udf.CIQ($B35,"IQ_CDS_mid",J$2)</f>
        <v>26.411000000000001</v>
      </c>
      <c r="K35">
        <f ca="1">_xll.ciqfunctions.udf.CIQ($B35,"IQ_CDS_mid",K$2)</f>
        <v>26.5886</v>
      </c>
      <c r="L35">
        <f ca="1">_xll.ciqfunctions.udf.CIQ($B35,"IQ_CDS_mid",L$2)</f>
        <v>26.679099999999998</v>
      </c>
      <c r="M35">
        <f ca="1">_xll.ciqfunctions.udf.CIQ($B35,"IQ_CDS_mid",M$2)</f>
        <v>26.516300000000001</v>
      </c>
      <c r="N35">
        <f ca="1">_xll.ciqfunctions.udf.CIQ($B35,"IQ_CDS_mid",N$2)</f>
        <v>26.516300000000001</v>
      </c>
      <c r="O35">
        <f ca="1">_xll.ciqfunctions.udf.CIQ($B35,"IQ_CDS_mid",O$2)</f>
        <v>26.516300000000001</v>
      </c>
      <c r="P35">
        <f ca="1">_xll.ciqfunctions.udf.CIQ($B35,"IQ_CDS_mid",P$2)</f>
        <v>26.583300000000001</v>
      </c>
      <c r="Q35">
        <f ca="1">_xll.ciqfunctions.udf.CIQ($B35,"IQ_CDS_mid",Q$2)</f>
        <v>26.758700000000001</v>
      </c>
      <c r="R35">
        <f ca="1">_xll.ciqfunctions.udf.CIQ($B35,"IQ_CDS_mid",R$2)</f>
        <v>26.903199999999998</v>
      </c>
      <c r="S35">
        <f ca="1">_xll.ciqfunctions.udf.CIQ($B35,"IQ_CDS_mid",S$2)</f>
        <v>20.918099999999999</v>
      </c>
      <c r="T35">
        <f t="shared" ca="1" si="9"/>
        <v>2.5800000000000267E-2</v>
      </c>
      <c r="U35">
        <f t="shared" ca="1" si="10"/>
        <v>0.19739999999999824</v>
      </c>
      <c r="V35">
        <f t="shared" ca="1" si="11"/>
        <v>-4.5000000000001705E-2</v>
      </c>
      <c r="W35">
        <f t="shared" ca="1" si="12"/>
        <v>-0.18949999999999889</v>
      </c>
      <c r="X35">
        <f t="shared" ca="1" si="0"/>
        <v>5.7956000000000003</v>
      </c>
    </row>
    <row r="36" spans="1:24">
      <c r="A36" t="s">
        <v>164</v>
      </c>
      <c r="B36" s="25" t="s">
        <v>163</v>
      </c>
      <c r="C36">
        <f ca="1">_xll.ciqfunctions.udf.CIQ($B36,"IQ_CDS_mid",C$2)</f>
        <v>36.699100000000001</v>
      </c>
      <c r="D36">
        <f ca="1">_xll.ciqfunctions.udf.CIQ($B36,"IQ_CDS_mid",D$2)</f>
        <v>36.699100000000001</v>
      </c>
      <c r="E36">
        <f ca="1">_xll.ciqfunctions.udf.CIQ($B36,"IQ_CDS_mid",E$2)</f>
        <v>36.666899999999998</v>
      </c>
      <c r="F36">
        <f ca="1">_xll.ciqfunctions.udf.CIQ($B36,"IQ_CDS_mid",F$2)</f>
        <v>37.305100000000003</v>
      </c>
      <c r="G36">
        <f ca="1">_xll.ciqfunctions.udf.CIQ($B36,"IQ_CDS_mid",G$2)</f>
        <v>37.305100000000003</v>
      </c>
      <c r="H36">
        <f ca="1">_xll.ciqfunctions.udf.CIQ($B36,"IQ_CDS_mid",H$2)</f>
        <v>37.305100000000003</v>
      </c>
      <c r="I36">
        <f ca="1">_xll.ciqfunctions.udf.CIQ($B36,"IQ_CDS_mid",I$2)</f>
        <v>36.674999999999997</v>
      </c>
      <c r="J36">
        <f ca="1">_xll.ciqfunctions.udf.CIQ($B36,"IQ_CDS_mid",J$2)</f>
        <v>36.93</v>
      </c>
      <c r="K36">
        <f ca="1">_xll.ciqfunctions.udf.CIQ($B36,"IQ_CDS_mid",K$2)</f>
        <v>37.049999999999997</v>
      </c>
      <c r="L36">
        <f ca="1">_xll.ciqfunctions.udf.CIQ($B36,"IQ_CDS_mid",L$2)</f>
        <v>36.887300000000003</v>
      </c>
      <c r="M36">
        <f ca="1">_xll.ciqfunctions.udf.CIQ($B36,"IQ_CDS_mid",M$2)</f>
        <v>36.557200000000002</v>
      </c>
      <c r="N36">
        <f ca="1">_xll.ciqfunctions.udf.CIQ($B36,"IQ_CDS_mid",N$2)</f>
        <v>36.557200000000002</v>
      </c>
      <c r="O36">
        <f ca="1">_xll.ciqfunctions.udf.CIQ($B36,"IQ_CDS_mid",O$2)</f>
        <v>36.557200000000002</v>
      </c>
      <c r="P36">
        <f ca="1">_xll.ciqfunctions.udf.CIQ($B36,"IQ_CDS_mid",P$2)</f>
        <v>36.967799999999997</v>
      </c>
      <c r="Q36">
        <f ca="1">_xll.ciqfunctions.udf.CIQ($B36,"IQ_CDS_mid",Q$2)</f>
        <v>36.9542</v>
      </c>
      <c r="R36">
        <f ca="1">_xll.ciqfunctions.udf.CIQ($B36,"IQ_CDS_mid",R$2)</f>
        <v>37.8003</v>
      </c>
      <c r="S36">
        <f ca="1">_xll.ciqfunctions.udf.CIQ($B36,"IQ_CDS_mid",S$2)</f>
        <v>40.76</v>
      </c>
      <c r="T36">
        <f t="shared" ca="1" si="9"/>
        <v>-0.60600000000000165</v>
      </c>
      <c r="U36">
        <f t="shared" ca="1" si="10"/>
        <v>0.14189999999999969</v>
      </c>
      <c r="V36">
        <f t="shared" ca="1" si="11"/>
        <v>-0.25509999999999877</v>
      </c>
      <c r="W36">
        <f t="shared" ca="1" si="12"/>
        <v>-1.1011999999999986</v>
      </c>
      <c r="X36">
        <f t="shared" ca="1" si="0"/>
        <v>-4.0608999999999966</v>
      </c>
    </row>
    <row r="37" spans="1:24">
      <c r="A37" t="s">
        <v>162</v>
      </c>
      <c r="B37" s="25" t="s">
        <v>161</v>
      </c>
      <c r="C37">
        <f ca="1">_xll.ciqfunctions.udf.CIQ($B37,"IQ_CDS_mid",C$2)</f>
        <v>15.031499999999999</v>
      </c>
      <c r="D37">
        <f ca="1">_xll.ciqfunctions.udf.CIQ($B37,"IQ_CDS_mid",D$2)</f>
        <v>15.031499999999999</v>
      </c>
      <c r="E37">
        <f ca="1">_xll.ciqfunctions.udf.CIQ($B37,"IQ_CDS_mid",E$2)</f>
        <v>15.023</v>
      </c>
      <c r="F37">
        <f ca="1">_xll.ciqfunctions.udf.CIQ($B37,"IQ_CDS_mid",F$2)</f>
        <v>15</v>
      </c>
      <c r="G37">
        <f ca="1">_xll.ciqfunctions.udf.CIQ($B37,"IQ_CDS_mid",G$2)</f>
        <v>15</v>
      </c>
      <c r="H37">
        <f ca="1">_xll.ciqfunctions.udf.CIQ($B37,"IQ_CDS_mid",H$2)</f>
        <v>15</v>
      </c>
      <c r="I37">
        <f ca="1">_xll.ciqfunctions.udf.CIQ($B37,"IQ_CDS_mid",I$2)</f>
        <v>15.0625</v>
      </c>
      <c r="J37">
        <f ca="1">_xll.ciqfunctions.udf.CIQ($B37,"IQ_CDS_mid",J$2)</f>
        <v>15</v>
      </c>
      <c r="K37">
        <f ca="1">_xll.ciqfunctions.udf.CIQ($B37,"IQ_CDS_mid",K$2)</f>
        <v>14.9535</v>
      </c>
      <c r="L37">
        <f ca="1">_xll.ciqfunctions.udf.CIQ($B37,"IQ_CDS_mid",L$2)</f>
        <v>14.973000000000001</v>
      </c>
      <c r="M37">
        <f ca="1">_xll.ciqfunctions.udf.CIQ($B37,"IQ_CDS_mid",M$2)</f>
        <v>15.000500000000001</v>
      </c>
      <c r="N37">
        <f ca="1">_xll.ciqfunctions.udf.CIQ($B37,"IQ_CDS_mid",N$2)</f>
        <v>15.000500000000001</v>
      </c>
      <c r="O37">
        <f ca="1">_xll.ciqfunctions.udf.CIQ($B37,"IQ_CDS_mid",O$2)</f>
        <v>15.000500000000001</v>
      </c>
      <c r="P37">
        <f ca="1">_xll.ciqfunctions.udf.CIQ($B37,"IQ_CDS_mid",P$2)</f>
        <v>15.0625</v>
      </c>
      <c r="Q37">
        <f ca="1">_xll.ciqfunctions.udf.CIQ($B37,"IQ_CDS_mid",Q$2)</f>
        <v>14.8125</v>
      </c>
      <c r="R37">
        <f ca="1">_xll.ciqfunctions.udf.CIQ($B37,"IQ_CDS_mid",R$2)</f>
        <v>15.763</v>
      </c>
      <c r="S37">
        <f ca="1">_xll.ciqfunctions.udf.CIQ($B37,"IQ_CDS_mid",S$2)</f>
        <v>13.79</v>
      </c>
      <c r="T37">
        <f t="shared" ca="1" si="9"/>
        <v>3.1499999999999417E-2</v>
      </c>
      <c r="U37">
        <f t="shared" ca="1" si="10"/>
        <v>3.0999999999998806E-2</v>
      </c>
      <c r="V37">
        <f t="shared" ca="1" si="11"/>
        <v>0.21899999999999942</v>
      </c>
      <c r="W37">
        <f t="shared" ca="1" si="12"/>
        <v>-0.73150000000000048</v>
      </c>
      <c r="X37">
        <f t="shared" ca="1" si="0"/>
        <v>1.2415000000000003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0</v>
      </c>
      <c r="D39">
        <f ca="1">_xll.ciqfunctions.udf.CIQ($B39,"IQ_CDS_mid",D$2)</f>
        <v>0</v>
      </c>
      <c r="E39">
        <f ca="1">_xll.ciqfunctions.udf.CIQ($B39,"IQ_CDS_mid",E$2)</f>
        <v>0</v>
      </c>
      <c r="F39">
        <f ca="1">_xll.ciqfunctions.udf.CIQ($B39,"IQ_CDS_mid",F$2)</f>
        <v>0</v>
      </c>
      <c r="G39">
        <f ca="1">_xll.ciqfunctions.udf.CIQ($B39,"IQ_CDS_mid",G$2)</f>
        <v>0</v>
      </c>
      <c r="H39">
        <f ca="1">_xll.ciqfunctions.udf.CIQ($B39,"IQ_CDS_mid",H$2)</f>
        <v>0</v>
      </c>
      <c r="I39">
        <f ca="1">_xll.ciqfunctions.udf.CIQ($B39,"IQ_CDS_mid",I$2)</f>
        <v>0</v>
      </c>
      <c r="J39">
        <f ca="1">_xll.ciqfunctions.udf.CIQ($B39,"IQ_CDS_mid",J$2)</f>
        <v>0</v>
      </c>
      <c r="K39">
        <f ca="1">_xll.ciqfunctions.udf.CIQ($B39,"IQ_CDS_mid",K$2)</f>
        <v>0</v>
      </c>
      <c r="L39">
        <f ca="1">_xll.ciqfunctions.udf.CIQ($B39,"IQ_CDS_mid",L$2)</f>
        <v>0</v>
      </c>
      <c r="M39">
        <f ca="1">_xll.ciqfunctions.udf.CIQ($B39,"IQ_CDS_mid",M$2)</f>
        <v>0</v>
      </c>
      <c r="N39">
        <f ca="1">_xll.ciqfunctions.udf.CIQ($B39,"IQ_CDS_mid",N$2)</f>
        <v>0</v>
      </c>
      <c r="O39">
        <f ca="1">_xll.ciqfunctions.udf.CIQ($B39,"IQ_CDS_mid",O$2)</f>
        <v>0</v>
      </c>
      <c r="P39">
        <f ca="1">_xll.ciqfunctions.udf.CIQ($B39,"IQ_CDS_mid",P$2)</f>
        <v>0</v>
      </c>
      <c r="Q39">
        <f ca="1">_xll.ciqfunctions.udf.CIQ($B39,"IQ_CDS_mid",Q$2)</f>
        <v>0</v>
      </c>
      <c r="R39">
        <f ca="1">_xll.ciqfunctions.udf.CIQ($B39,"IQ_CDS_mid",R$2)</f>
        <v>2.3334000000000001</v>
      </c>
      <c r="S39">
        <f ca="1">_xll.ciqfunctions.udf.CIQ($B39,"IQ_CDS_mid",S$2)</f>
        <v>3.2725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-2.3334000000000001</v>
      </c>
      <c r="X39">
        <f t="shared" ca="1" si="0"/>
        <v>-3.2725</v>
      </c>
    </row>
    <row r="40" spans="1:24">
      <c r="A40" t="s">
        <v>156</v>
      </c>
      <c r="B40" s="25" t="s">
        <v>155</v>
      </c>
      <c r="C40">
        <f ca="1">_xll.ciqfunctions.udf.CIQ($B40,"IQ_CDS_mid",C$2)</f>
        <v>22.708300000000001</v>
      </c>
      <c r="D40">
        <f ca="1">_xll.ciqfunctions.udf.CIQ($B40,"IQ_CDS_mid",D$2)</f>
        <v>22.708300000000001</v>
      </c>
      <c r="E40">
        <f ca="1">_xll.ciqfunctions.udf.CIQ($B40,"IQ_CDS_mid",E$2)</f>
        <v>22.718800000000002</v>
      </c>
      <c r="F40">
        <f ca="1">_xll.ciqfunctions.udf.CIQ($B40,"IQ_CDS_mid",F$2)</f>
        <v>22.824999999999999</v>
      </c>
      <c r="G40">
        <f ca="1">_xll.ciqfunctions.udf.CIQ($B40,"IQ_CDS_mid",G$2)</f>
        <v>22.824999999999999</v>
      </c>
      <c r="H40">
        <f ca="1">_xll.ciqfunctions.udf.CIQ($B40,"IQ_CDS_mid",H$2)</f>
        <v>22.824999999999999</v>
      </c>
      <c r="I40">
        <f ca="1">_xll.ciqfunctions.udf.CIQ($B40,"IQ_CDS_mid",I$2)</f>
        <v>22.418299999999999</v>
      </c>
      <c r="J40">
        <f ca="1">_xll.ciqfunctions.udf.CIQ($B40,"IQ_CDS_mid",J$2)</f>
        <v>22.656300000000002</v>
      </c>
      <c r="K40">
        <f ca="1">_xll.ciqfunctions.udf.CIQ($B40,"IQ_CDS_mid",K$2)</f>
        <v>22.5258</v>
      </c>
      <c r="L40">
        <f ca="1">_xll.ciqfunctions.udf.CIQ($B40,"IQ_CDS_mid",L$2)</f>
        <v>22.773399999999999</v>
      </c>
      <c r="M40">
        <f ca="1">_xll.ciqfunctions.udf.CIQ($B40,"IQ_CDS_mid",M$2)</f>
        <v>22.1066</v>
      </c>
      <c r="N40">
        <f ca="1">_xll.ciqfunctions.udf.CIQ($B40,"IQ_CDS_mid",N$2)</f>
        <v>22.1066</v>
      </c>
      <c r="O40">
        <f ca="1">_xll.ciqfunctions.udf.CIQ($B40,"IQ_CDS_mid",O$2)</f>
        <v>22.1066</v>
      </c>
      <c r="P40">
        <f ca="1">_xll.ciqfunctions.udf.CIQ($B40,"IQ_CDS_mid",P$2)</f>
        <v>22.523599999999998</v>
      </c>
      <c r="Q40">
        <f ca="1">_xll.ciqfunctions.udf.CIQ($B40,"IQ_CDS_mid",Q$2)</f>
        <v>22.468800000000002</v>
      </c>
      <c r="R40">
        <f ca="1">_xll.ciqfunctions.udf.CIQ($B40,"IQ_CDS_mid",R$2)</f>
        <v>29.1</v>
      </c>
      <c r="S40">
        <f ca="1">_xll.ciqfunctions.udf.CIQ($B40,"IQ_CDS_mid",S$2)</f>
        <v>23.6143</v>
      </c>
      <c r="T40">
        <f t="shared" ca="1" si="9"/>
        <v>-0.11669999999999803</v>
      </c>
      <c r="U40">
        <f t="shared" ca="1" si="10"/>
        <v>0.60170000000000101</v>
      </c>
      <c r="V40">
        <f t="shared" ca="1" si="11"/>
        <v>0.2394999999999996</v>
      </c>
      <c r="W40">
        <f t="shared" ca="1" si="12"/>
        <v>-6.3917000000000002</v>
      </c>
      <c r="X40">
        <f t="shared" ca="1" si="0"/>
        <v>-0.90599999999999881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42.632599999999996</v>
      </c>
      <c r="D42">
        <f ca="1">_xll.ciqfunctions.udf.CIQ($B42,"IQ_CDS_mid",D$2)</f>
        <v>42.632599999999996</v>
      </c>
      <c r="E42">
        <f ca="1">_xll.ciqfunctions.udf.CIQ($B42,"IQ_CDS_mid",E$2)</f>
        <v>43.027500000000003</v>
      </c>
      <c r="F42">
        <f ca="1">_xll.ciqfunctions.udf.CIQ($B42,"IQ_CDS_mid",F$2)</f>
        <v>42.500500000000002</v>
      </c>
      <c r="G42">
        <f ca="1">_xll.ciqfunctions.udf.CIQ($B42,"IQ_CDS_mid",G$2)</f>
        <v>42.500500000000002</v>
      </c>
      <c r="H42">
        <f ca="1">_xll.ciqfunctions.udf.CIQ($B42,"IQ_CDS_mid",H$2)</f>
        <v>42.500500000000002</v>
      </c>
      <c r="I42">
        <f ca="1">_xll.ciqfunctions.udf.CIQ($B42,"IQ_CDS_mid",I$2)</f>
        <v>41.8125</v>
      </c>
      <c r="J42">
        <f ca="1">_xll.ciqfunctions.udf.CIQ($B42,"IQ_CDS_mid",J$2)</f>
        <v>41.8157</v>
      </c>
      <c r="K42">
        <f ca="1">_xll.ciqfunctions.udf.CIQ($B42,"IQ_CDS_mid",K$2)</f>
        <v>41.998699999999999</v>
      </c>
      <c r="L42">
        <f ca="1">_xll.ciqfunctions.udf.CIQ($B42,"IQ_CDS_mid",L$2)</f>
        <v>41.367800000000003</v>
      </c>
      <c r="M42">
        <f ca="1">_xll.ciqfunctions.udf.CIQ($B42,"IQ_CDS_mid",M$2)</f>
        <v>41.106400000000001</v>
      </c>
      <c r="N42">
        <f ca="1">_xll.ciqfunctions.udf.CIQ($B42,"IQ_CDS_mid",N$2)</f>
        <v>41.106400000000001</v>
      </c>
      <c r="O42">
        <f ca="1">_xll.ciqfunctions.udf.CIQ($B42,"IQ_CDS_mid",O$2)</f>
        <v>41.106400000000001</v>
      </c>
      <c r="P42">
        <f ca="1">_xll.ciqfunctions.udf.CIQ($B42,"IQ_CDS_mid",P$2)</f>
        <v>41.616799999999998</v>
      </c>
      <c r="Q42">
        <f ca="1">_xll.ciqfunctions.udf.CIQ($B42,"IQ_CDS_mid",Q$2)</f>
        <v>41.725700000000003</v>
      </c>
      <c r="R42">
        <f ca="1">_xll.ciqfunctions.udf.CIQ($B42,"IQ_CDS_mid",R$2)</f>
        <v>49.981900000000003</v>
      </c>
      <c r="S42">
        <f ca="1">_xll.ciqfunctions.udf.CIQ($B42,"IQ_CDS_mid",S$2)</f>
        <v>41.849200000000003</v>
      </c>
      <c r="T42">
        <f ca="1">C42-H42</f>
        <v>0.13209999999999411</v>
      </c>
      <c r="U42">
        <f ca="1">C42-M42</f>
        <v>1.5261999999999958</v>
      </c>
      <c r="V42">
        <f ca="1">C42-Q42</f>
        <v>0.90689999999999316</v>
      </c>
      <c r="W42">
        <f ca="1">C42-R42</f>
        <v>-7.3493000000000066</v>
      </c>
      <c r="X42">
        <f t="shared" ref="X42:X84" ca="1" si="13">C42-S42</f>
        <v>0.78339999999999321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129.64769999999999</v>
      </c>
      <c r="D44">
        <f ca="1">_xll.ciqfunctions.udf.CIQ($B44,"IQ_CDS_mid",D$2)</f>
        <v>129.64769999999999</v>
      </c>
      <c r="E44">
        <f ca="1">_xll.ciqfunctions.udf.CIQ($B44,"IQ_CDS_mid",E$2)</f>
        <v>130.10990000000001</v>
      </c>
      <c r="F44">
        <f ca="1">_xll.ciqfunctions.udf.CIQ($B44,"IQ_CDS_mid",F$2)</f>
        <v>129.27850000000001</v>
      </c>
      <c r="G44">
        <f ca="1">_xll.ciqfunctions.udf.CIQ($B44,"IQ_CDS_mid",G$2)</f>
        <v>129.27850000000001</v>
      </c>
      <c r="H44">
        <f ca="1">_xll.ciqfunctions.udf.CIQ($B44,"IQ_CDS_mid",H$2)</f>
        <v>129.27850000000001</v>
      </c>
      <c r="I44">
        <f ca="1">_xll.ciqfunctions.udf.CIQ($B44,"IQ_CDS_mid",I$2)</f>
        <v>125.64</v>
      </c>
      <c r="J44">
        <f ca="1">_xll.ciqfunctions.udf.CIQ($B44,"IQ_CDS_mid",J$2)</f>
        <v>124.84229999999999</v>
      </c>
      <c r="K44">
        <f ca="1">_xll.ciqfunctions.udf.CIQ($B44,"IQ_CDS_mid",K$2)</f>
        <v>124.8592</v>
      </c>
      <c r="L44">
        <f ca="1">_xll.ciqfunctions.udf.CIQ($B44,"IQ_CDS_mid",L$2)</f>
        <v>124.38160000000001</v>
      </c>
      <c r="M44">
        <f ca="1">_xll.ciqfunctions.udf.CIQ($B44,"IQ_CDS_mid",M$2)</f>
        <v>123.3378</v>
      </c>
      <c r="N44">
        <f ca="1">_xll.ciqfunctions.udf.CIQ($B44,"IQ_CDS_mid",N$2)</f>
        <v>123.3378</v>
      </c>
      <c r="O44">
        <f ca="1">_xll.ciqfunctions.udf.CIQ($B44,"IQ_CDS_mid",O$2)</f>
        <v>123.3378</v>
      </c>
      <c r="P44">
        <f ca="1">_xll.ciqfunctions.udf.CIQ($B44,"IQ_CDS_mid",P$2)</f>
        <v>124.2064</v>
      </c>
      <c r="Q44">
        <f ca="1">_xll.ciqfunctions.udf.CIQ($B44,"IQ_CDS_mid",Q$2)</f>
        <v>125.25369999999999</v>
      </c>
      <c r="R44">
        <f ca="1">_xll.ciqfunctions.udf.CIQ($B44,"IQ_CDS_mid",R$2)</f>
        <v>150.93199999999999</v>
      </c>
      <c r="S44">
        <f ca="1">_xll.ciqfunctions.udf.CIQ($B44,"IQ_CDS_mid",S$2)</f>
        <v>188.45320000000001</v>
      </c>
      <c r="T44">
        <f ca="1">C44-H44</f>
        <v>0.36919999999997799</v>
      </c>
      <c r="U44">
        <f ca="1">C44-M44</f>
        <v>6.3098999999999847</v>
      </c>
      <c r="V44">
        <f ca="1">C44-Q44</f>
        <v>4.3939999999999912</v>
      </c>
      <c r="W44">
        <f ca="1">C44-R44</f>
        <v>-21.284300000000002</v>
      </c>
      <c r="X44">
        <f t="shared" ca="1" si="13"/>
        <v>-58.805500000000023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52.128399999999999</v>
      </c>
      <c r="D48">
        <f ca="1">_xll.ciqfunctions.udf.CIQ($B48,"IQ_CDS_mid",D$2)</f>
        <v>52.128399999999999</v>
      </c>
      <c r="E48">
        <f ca="1">_xll.ciqfunctions.udf.CIQ($B48,"IQ_CDS_mid",E$2)</f>
        <v>53.148000000000003</v>
      </c>
      <c r="F48">
        <f ca="1">_xll.ciqfunctions.udf.CIQ($B48,"IQ_CDS_mid",F$2)</f>
        <v>53.669199999999996</v>
      </c>
      <c r="G48">
        <f ca="1">_xll.ciqfunctions.udf.CIQ($B48,"IQ_CDS_mid",G$2)</f>
        <v>53.669199999999996</v>
      </c>
      <c r="H48">
        <f ca="1">_xll.ciqfunctions.udf.CIQ($B48,"IQ_CDS_mid",H$2)</f>
        <v>53.669199999999996</v>
      </c>
      <c r="I48">
        <f ca="1">_xll.ciqfunctions.udf.CIQ($B48,"IQ_CDS_mid",I$2)</f>
        <v>53.1967</v>
      </c>
      <c r="J48">
        <f ca="1">_xll.ciqfunctions.udf.CIQ($B48,"IQ_CDS_mid",J$2)</f>
        <v>52.934600000000003</v>
      </c>
      <c r="K48">
        <f ca="1">_xll.ciqfunctions.udf.CIQ($B48,"IQ_CDS_mid",K$2)</f>
        <v>52.801600000000001</v>
      </c>
      <c r="L48">
        <f ca="1">_xll.ciqfunctions.udf.CIQ($B48,"IQ_CDS_mid",L$2)</f>
        <v>52.052100000000003</v>
      </c>
      <c r="M48">
        <f ca="1">_xll.ciqfunctions.udf.CIQ($B48,"IQ_CDS_mid",M$2)</f>
        <v>51.656300000000002</v>
      </c>
      <c r="N48">
        <f ca="1">_xll.ciqfunctions.udf.CIQ($B48,"IQ_CDS_mid",N$2)</f>
        <v>51.656300000000002</v>
      </c>
      <c r="O48">
        <f ca="1">_xll.ciqfunctions.udf.CIQ($B48,"IQ_CDS_mid",O$2)</f>
        <v>51.656300000000002</v>
      </c>
      <c r="P48">
        <f ca="1">_xll.ciqfunctions.udf.CIQ($B48,"IQ_CDS_mid",P$2)</f>
        <v>51.73</v>
      </c>
      <c r="Q48">
        <f ca="1">_xll.ciqfunctions.udf.CIQ($B48,"IQ_CDS_mid",Q$2)</f>
        <v>51.767899999999997</v>
      </c>
      <c r="R48">
        <f ca="1">_xll.ciqfunctions.udf.CIQ($B48,"IQ_CDS_mid",R$2)</f>
        <v>57.881900000000002</v>
      </c>
      <c r="S48">
        <f ca="1">_xll.ciqfunctions.udf.CIQ($B48,"IQ_CDS_mid",S$2)</f>
        <v>55.270899999999997</v>
      </c>
      <c r="T48">
        <f t="shared" ref="T48:T54" ca="1" si="14">C48-H48</f>
        <v>-1.5407999999999973</v>
      </c>
      <c r="U48">
        <f t="shared" ref="U48:U54" ca="1" si="15">C48-M48</f>
        <v>0.47209999999999752</v>
      </c>
      <c r="V48">
        <f t="shared" ref="V48:V54" ca="1" si="16">C48-Q48</f>
        <v>0.36050000000000182</v>
      </c>
      <c r="W48">
        <f t="shared" ref="W48:W54" ca="1" si="17">C48-R48</f>
        <v>-5.7535000000000025</v>
      </c>
      <c r="X48">
        <f t="shared" ca="1" si="13"/>
        <v>-3.1424999999999983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55.371400000000001</v>
      </c>
      <c r="D49">
        <f ca="1">_xll.ciqfunctions.udf.CIQ($B49,"IQ_CDS_mid",D$2)</f>
        <v>55.371400000000001</v>
      </c>
      <c r="E49">
        <f ca="1">_xll.ciqfunctions.udf.CIQ($B49,"IQ_CDS_mid",E$2)</f>
        <v>55.431800000000003</v>
      </c>
      <c r="F49">
        <f ca="1">_xll.ciqfunctions.udf.CIQ($B49,"IQ_CDS_mid",F$2)</f>
        <v>55.617600000000003</v>
      </c>
      <c r="G49">
        <f ca="1">_xll.ciqfunctions.udf.CIQ($B49,"IQ_CDS_mid",G$2)</f>
        <v>55.617600000000003</v>
      </c>
      <c r="H49">
        <f ca="1">_xll.ciqfunctions.udf.CIQ($B49,"IQ_CDS_mid",H$2)</f>
        <v>55.617600000000003</v>
      </c>
      <c r="I49">
        <f ca="1">_xll.ciqfunctions.udf.CIQ($B49,"IQ_CDS_mid",I$2)</f>
        <v>54.933399999999999</v>
      </c>
      <c r="J49">
        <f ca="1">_xll.ciqfunctions.udf.CIQ($B49,"IQ_CDS_mid",J$2)</f>
        <v>54.99</v>
      </c>
      <c r="K49">
        <f ca="1">_xll.ciqfunctions.udf.CIQ($B49,"IQ_CDS_mid",K$2)</f>
        <v>54.603999999999999</v>
      </c>
      <c r="L49">
        <f ca="1">_xll.ciqfunctions.udf.CIQ($B49,"IQ_CDS_mid",L$2)</f>
        <v>54.226500000000001</v>
      </c>
      <c r="M49">
        <f ca="1">_xll.ciqfunctions.udf.CIQ($B49,"IQ_CDS_mid",M$2)</f>
        <v>54.299599999999998</v>
      </c>
      <c r="N49">
        <f ca="1">_xll.ciqfunctions.udf.CIQ($B49,"IQ_CDS_mid",N$2)</f>
        <v>54.299599999999998</v>
      </c>
      <c r="O49">
        <f ca="1">_xll.ciqfunctions.udf.CIQ($B49,"IQ_CDS_mid",O$2)</f>
        <v>54.299599999999998</v>
      </c>
      <c r="P49">
        <f ca="1">_xll.ciqfunctions.udf.CIQ($B49,"IQ_CDS_mid",P$2)</f>
        <v>54.503300000000003</v>
      </c>
      <c r="Q49">
        <f ca="1">_xll.ciqfunctions.udf.CIQ($B49,"IQ_CDS_mid",Q$2)</f>
        <v>54.147199999999998</v>
      </c>
      <c r="R49">
        <f ca="1">_xll.ciqfunctions.udf.CIQ($B49,"IQ_CDS_mid",R$2)</f>
        <v>59.337899999999998</v>
      </c>
      <c r="S49">
        <f ca="1">_xll.ciqfunctions.udf.CIQ($B49,"IQ_CDS_mid",S$2)</f>
        <v>53.661499999999997</v>
      </c>
      <c r="T49">
        <f t="shared" ca="1" si="14"/>
        <v>-0.24620000000000175</v>
      </c>
      <c r="U49">
        <f t="shared" ca="1" si="15"/>
        <v>1.0718000000000032</v>
      </c>
      <c r="V49">
        <f t="shared" ca="1" si="16"/>
        <v>1.2242000000000033</v>
      </c>
      <c r="W49">
        <f t="shared" ca="1" si="17"/>
        <v>-3.9664999999999964</v>
      </c>
      <c r="X49">
        <f t="shared" ca="1" si="13"/>
        <v>1.7099000000000046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40.859499999999997</v>
      </c>
      <c r="D50">
        <f ca="1">_xll.ciqfunctions.udf.CIQ($B50,"IQ_CDS_mid",D$2)</f>
        <v>40.859499999999997</v>
      </c>
      <c r="E50">
        <f ca="1">_xll.ciqfunctions.udf.CIQ($B50,"IQ_CDS_mid",E$2)</f>
        <v>40.800600000000003</v>
      </c>
      <c r="F50">
        <f ca="1">_xll.ciqfunctions.udf.CIQ($B50,"IQ_CDS_mid",F$2)</f>
        <v>40.803199999999997</v>
      </c>
      <c r="G50">
        <f ca="1">_xll.ciqfunctions.udf.CIQ($B50,"IQ_CDS_mid",G$2)</f>
        <v>40.803199999999997</v>
      </c>
      <c r="H50">
        <f ca="1">_xll.ciqfunctions.udf.CIQ($B50,"IQ_CDS_mid",H$2)</f>
        <v>40.803199999999997</v>
      </c>
      <c r="I50">
        <f ca="1">_xll.ciqfunctions.udf.CIQ($B50,"IQ_CDS_mid",I$2)</f>
        <v>40.466700000000003</v>
      </c>
      <c r="J50">
        <f ca="1">_xll.ciqfunctions.udf.CIQ($B50,"IQ_CDS_mid",J$2)</f>
        <v>40.655299999999997</v>
      </c>
      <c r="K50">
        <f ca="1">_xll.ciqfunctions.udf.CIQ($B50,"IQ_CDS_mid",K$2)</f>
        <v>40.584200000000003</v>
      </c>
      <c r="L50">
        <f ca="1">_xll.ciqfunctions.udf.CIQ($B50,"IQ_CDS_mid",L$2)</f>
        <v>40.046799999999998</v>
      </c>
      <c r="M50">
        <f ca="1">_xll.ciqfunctions.udf.CIQ($B50,"IQ_CDS_mid",M$2)</f>
        <v>40.430300000000003</v>
      </c>
      <c r="N50">
        <f ca="1">_xll.ciqfunctions.udf.CIQ($B50,"IQ_CDS_mid",N$2)</f>
        <v>40.430300000000003</v>
      </c>
      <c r="O50">
        <f ca="1">_xll.ciqfunctions.udf.CIQ($B50,"IQ_CDS_mid",O$2)</f>
        <v>40.430300000000003</v>
      </c>
      <c r="P50">
        <f ca="1">_xll.ciqfunctions.udf.CIQ($B50,"IQ_CDS_mid",P$2)</f>
        <v>39.799199999999999</v>
      </c>
      <c r="Q50">
        <f ca="1">_xll.ciqfunctions.udf.CIQ($B50,"IQ_CDS_mid",Q$2)</f>
        <v>39.764099999999999</v>
      </c>
      <c r="R50">
        <f ca="1">_xll.ciqfunctions.udf.CIQ($B50,"IQ_CDS_mid",R$2)</f>
        <v>40.470399999999998</v>
      </c>
      <c r="S50">
        <f ca="1">_xll.ciqfunctions.udf.CIQ($B50,"IQ_CDS_mid",S$2)</f>
        <v>40.796199999999999</v>
      </c>
      <c r="T50">
        <f t="shared" ca="1" si="14"/>
        <v>5.6300000000000239E-2</v>
      </c>
      <c r="U50">
        <f t="shared" ca="1" si="15"/>
        <v>0.42919999999999447</v>
      </c>
      <c r="V50">
        <f t="shared" ca="1" si="16"/>
        <v>1.0953999999999979</v>
      </c>
      <c r="W50">
        <f t="shared" ca="1" si="17"/>
        <v>0.38909999999999911</v>
      </c>
      <c r="X50">
        <f t="shared" ca="1" si="13"/>
        <v>6.3299999999998136E-2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55.2</v>
      </c>
      <c r="D51">
        <f ca="1">_xll.ciqfunctions.udf.CIQ($B51,"IQ_CDS_mid",D$2)</f>
        <v>55.2</v>
      </c>
      <c r="E51">
        <f ca="1">_xll.ciqfunctions.udf.CIQ($B51,"IQ_CDS_mid",E$2)</f>
        <v>55.226500000000001</v>
      </c>
      <c r="F51">
        <f ca="1">_xll.ciqfunctions.udf.CIQ($B51,"IQ_CDS_mid",F$2)</f>
        <v>55.264099999999999</v>
      </c>
      <c r="G51">
        <f ca="1">_xll.ciqfunctions.udf.CIQ($B51,"IQ_CDS_mid",G$2)</f>
        <v>55.264099999999999</v>
      </c>
      <c r="H51">
        <f ca="1">_xll.ciqfunctions.udf.CIQ($B51,"IQ_CDS_mid",H$2)</f>
        <v>55.264099999999999</v>
      </c>
      <c r="I51">
        <f ca="1">_xll.ciqfunctions.udf.CIQ($B51,"IQ_CDS_mid",I$2)</f>
        <v>55.012</v>
      </c>
      <c r="J51">
        <f ca="1">_xll.ciqfunctions.udf.CIQ($B51,"IQ_CDS_mid",J$2)</f>
        <v>54.687399999999997</v>
      </c>
      <c r="K51">
        <f ca="1">_xll.ciqfunctions.udf.CIQ($B51,"IQ_CDS_mid",K$2)</f>
        <v>54.431199999999997</v>
      </c>
      <c r="L51">
        <f ca="1">_xll.ciqfunctions.udf.CIQ($B51,"IQ_CDS_mid",L$2)</f>
        <v>54.126199999999997</v>
      </c>
      <c r="M51">
        <f ca="1">_xll.ciqfunctions.udf.CIQ($B51,"IQ_CDS_mid",M$2)</f>
        <v>53.862699999999997</v>
      </c>
      <c r="N51">
        <f ca="1">_xll.ciqfunctions.udf.CIQ($B51,"IQ_CDS_mid",N$2)</f>
        <v>53.862699999999997</v>
      </c>
      <c r="O51">
        <f ca="1">_xll.ciqfunctions.udf.CIQ($B51,"IQ_CDS_mid",O$2)</f>
        <v>53.862699999999997</v>
      </c>
      <c r="P51">
        <f ca="1">_xll.ciqfunctions.udf.CIQ($B51,"IQ_CDS_mid",P$2)</f>
        <v>53.3</v>
      </c>
      <c r="Q51">
        <f ca="1">_xll.ciqfunctions.udf.CIQ($B51,"IQ_CDS_mid",Q$2)</f>
        <v>53.323</v>
      </c>
      <c r="R51">
        <f ca="1">_xll.ciqfunctions.udf.CIQ($B51,"IQ_CDS_mid",R$2)</f>
        <v>58.128300000000003</v>
      </c>
      <c r="S51">
        <f ca="1">_xll.ciqfunctions.udf.CIQ($B51,"IQ_CDS_mid",S$2)</f>
        <v>57.8705</v>
      </c>
      <c r="T51">
        <f t="shared" ca="1" si="14"/>
        <v>-6.4099999999996271E-2</v>
      </c>
      <c r="U51">
        <f t="shared" ca="1" si="15"/>
        <v>1.3373000000000062</v>
      </c>
      <c r="V51">
        <f t="shared" ca="1" si="16"/>
        <v>1.8770000000000024</v>
      </c>
      <c r="W51">
        <f t="shared" ca="1" si="17"/>
        <v>-2.9283000000000001</v>
      </c>
      <c r="X51">
        <f t="shared" ca="1" si="13"/>
        <v>-2.670499999999997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57.930500000000002</v>
      </c>
      <c r="D52">
        <f ca="1">_xll.ciqfunctions.udf.CIQ($B52,"IQ_CDS_mid",D$2)</f>
        <v>57.930500000000002</v>
      </c>
      <c r="E52">
        <f ca="1">_xll.ciqfunctions.udf.CIQ($B52,"IQ_CDS_mid",E$2)</f>
        <v>58.177799999999998</v>
      </c>
      <c r="F52">
        <f ca="1">_xll.ciqfunctions.udf.CIQ($B52,"IQ_CDS_mid",F$2)</f>
        <v>58.314</v>
      </c>
      <c r="G52">
        <f ca="1">_xll.ciqfunctions.udf.CIQ($B52,"IQ_CDS_mid",G$2)</f>
        <v>58.314</v>
      </c>
      <c r="H52">
        <f ca="1">_xll.ciqfunctions.udf.CIQ($B52,"IQ_CDS_mid",H$2)</f>
        <v>58.314</v>
      </c>
      <c r="I52">
        <f ca="1">_xll.ciqfunctions.udf.CIQ($B52,"IQ_CDS_mid",I$2)</f>
        <v>57.456099999999999</v>
      </c>
      <c r="J52">
        <f ca="1">_xll.ciqfunctions.udf.CIQ($B52,"IQ_CDS_mid",J$2)</f>
        <v>57.236800000000002</v>
      </c>
      <c r="K52">
        <f ca="1">_xll.ciqfunctions.udf.CIQ($B52,"IQ_CDS_mid",K$2)</f>
        <v>56.741100000000003</v>
      </c>
      <c r="L52">
        <f ca="1">_xll.ciqfunctions.udf.CIQ($B52,"IQ_CDS_mid",L$2)</f>
        <v>55.769300000000001</v>
      </c>
      <c r="M52">
        <f ca="1">_xll.ciqfunctions.udf.CIQ($B52,"IQ_CDS_mid",M$2)</f>
        <v>55.974899999999998</v>
      </c>
      <c r="N52">
        <f ca="1">_xll.ciqfunctions.udf.CIQ($B52,"IQ_CDS_mid",N$2)</f>
        <v>55.974899999999998</v>
      </c>
      <c r="O52">
        <f ca="1">_xll.ciqfunctions.udf.CIQ($B52,"IQ_CDS_mid",O$2)</f>
        <v>55.974899999999998</v>
      </c>
      <c r="P52">
        <f ca="1">_xll.ciqfunctions.udf.CIQ($B52,"IQ_CDS_mid",P$2)</f>
        <v>55.024299999999997</v>
      </c>
      <c r="Q52">
        <f ca="1">_xll.ciqfunctions.udf.CIQ($B52,"IQ_CDS_mid",Q$2)</f>
        <v>55.054200000000002</v>
      </c>
      <c r="R52">
        <f ca="1">_xll.ciqfunctions.udf.CIQ($B52,"IQ_CDS_mid",R$2)</f>
        <v>59.148899999999998</v>
      </c>
      <c r="S52">
        <f ca="1">_xll.ciqfunctions.udf.CIQ($B52,"IQ_CDS_mid",S$2)</f>
        <v>56.049799999999998</v>
      </c>
      <c r="T52">
        <f t="shared" ca="1" si="14"/>
        <v>-0.38349999999999795</v>
      </c>
      <c r="U52">
        <f t="shared" ca="1" si="15"/>
        <v>1.955600000000004</v>
      </c>
      <c r="V52">
        <f t="shared" ca="1" si="16"/>
        <v>2.8763000000000005</v>
      </c>
      <c r="W52">
        <f t="shared" ca="1" si="17"/>
        <v>-1.2183999999999955</v>
      </c>
      <c r="X52">
        <f t="shared" ca="1" si="13"/>
        <v>1.8807000000000045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49.003</v>
      </c>
      <c r="D53">
        <f ca="1">_xll.ciqfunctions.udf.CIQ($B53,"IQ_CDS_mid",D$2)</f>
        <v>49.003</v>
      </c>
      <c r="E53">
        <f ca="1">_xll.ciqfunctions.udf.CIQ($B53,"IQ_CDS_mid",E$2)</f>
        <v>49.430999999999997</v>
      </c>
      <c r="F53">
        <f ca="1">_xll.ciqfunctions.udf.CIQ($B53,"IQ_CDS_mid",F$2)</f>
        <v>49.766399999999997</v>
      </c>
      <c r="G53">
        <f ca="1">_xll.ciqfunctions.udf.CIQ($B53,"IQ_CDS_mid",G$2)</f>
        <v>49.766399999999997</v>
      </c>
      <c r="H53">
        <f ca="1">_xll.ciqfunctions.udf.CIQ($B53,"IQ_CDS_mid",H$2)</f>
        <v>49.766399999999997</v>
      </c>
      <c r="I53">
        <f ca="1">_xll.ciqfunctions.udf.CIQ($B53,"IQ_CDS_mid",I$2)</f>
        <v>49.697600000000001</v>
      </c>
      <c r="J53">
        <f ca="1">_xll.ciqfunctions.udf.CIQ($B53,"IQ_CDS_mid",J$2)</f>
        <v>49.7881</v>
      </c>
      <c r="K53">
        <f ca="1">_xll.ciqfunctions.udf.CIQ($B53,"IQ_CDS_mid",K$2)</f>
        <v>49.850200000000001</v>
      </c>
      <c r="L53">
        <f ca="1">_xll.ciqfunctions.udf.CIQ($B53,"IQ_CDS_mid",L$2)</f>
        <v>49.295900000000003</v>
      </c>
      <c r="M53">
        <f ca="1">_xll.ciqfunctions.udf.CIQ($B53,"IQ_CDS_mid",M$2)</f>
        <v>49.431100000000001</v>
      </c>
      <c r="N53">
        <f ca="1">_xll.ciqfunctions.udf.CIQ($B53,"IQ_CDS_mid",N$2)</f>
        <v>49.431100000000001</v>
      </c>
      <c r="O53">
        <f ca="1">_xll.ciqfunctions.udf.CIQ($B53,"IQ_CDS_mid",O$2)</f>
        <v>49.431100000000001</v>
      </c>
      <c r="P53">
        <f ca="1">_xll.ciqfunctions.udf.CIQ($B53,"IQ_CDS_mid",P$2)</f>
        <v>48.299199999999999</v>
      </c>
      <c r="Q53">
        <f ca="1">_xll.ciqfunctions.udf.CIQ($B53,"IQ_CDS_mid",Q$2)</f>
        <v>48.369399999999999</v>
      </c>
      <c r="R53">
        <f ca="1">_xll.ciqfunctions.udf.CIQ($B53,"IQ_CDS_mid",R$2)</f>
        <v>53.861699999999999</v>
      </c>
      <c r="S53">
        <f ca="1">_xll.ciqfunctions.udf.CIQ($B53,"IQ_CDS_mid",S$2)</f>
        <v>48.4983</v>
      </c>
      <c r="T53">
        <f t="shared" ca="1" si="14"/>
        <v>-0.76339999999999719</v>
      </c>
      <c r="U53">
        <f t="shared" ca="1" si="15"/>
        <v>-0.42810000000000059</v>
      </c>
      <c r="V53">
        <f t="shared" ca="1" si="16"/>
        <v>0.63360000000000127</v>
      </c>
      <c r="W53">
        <f t="shared" ca="1" si="17"/>
        <v>-4.8586999999999989</v>
      </c>
      <c r="X53">
        <f t="shared" ca="1" si="13"/>
        <v>0.5046999999999997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52.011600000000001</v>
      </c>
      <c r="D54">
        <f ca="1">_xll.ciqfunctions.udf.CIQ($B54,"IQ_CDS_mid",D$2)</f>
        <v>52.011600000000001</v>
      </c>
      <c r="E54">
        <f ca="1">_xll.ciqfunctions.udf.CIQ($B54,"IQ_CDS_mid",E$2)</f>
        <v>52.311799999999998</v>
      </c>
      <c r="F54">
        <f ca="1">_xll.ciqfunctions.udf.CIQ($B54,"IQ_CDS_mid",F$2)</f>
        <v>51.447800000000001</v>
      </c>
      <c r="G54">
        <f ca="1">_xll.ciqfunctions.udf.CIQ($B54,"IQ_CDS_mid",G$2)</f>
        <v>51.447800000000001</v>
      </c>
      <c r="H54">
        <f ca="1">_xll.ciqfunctions.udf.CIQ($B54,"IQ_CDS_mid",H$2)</f>
        <v>51.447800000000001</v>
      </c>
      <c r="I54">
        <f ca="1">_xll.ciqfunctions.udf.CIQ($B54,"IQ_CDS_mid",I$2)</f>
        <v>51.436399999999999</v>
      </c>
      <c r="J54">
        <f ca="1">_xll.ciqfunctions.udf.CIQ($B54,"IQ_CDS_mid",J$2)</f>
        <v>51.862000000000002</v>
      </c>
      <c r="K54">
        <f ca="1">_xll.ciqfunctions.udf.CIQ($B54,"IQ_CDS_mid",K$2)</f>
        <v>52.4953</v>
      </c>
      <c r="L54">
        <f ca="1">_xll.ciqfunctions.udf.CIQ($B54,"IQ_CDS_mid",L$2)</f>
        <v>52.8553</v>
      </c>
      <c r="M54">
        <f ca="1">_xll.ciqfunctions.udf.CIQ($B54,"IQ_CDS_mid",M$2)</f>
        <v>52.533499999999997</v>
      </c>
      <c r="N54">
        <f ca="1">_xll.ciqfunctions.udf.CIQ($B54,"IQ_CDS_mid",N$2)</f>
        <v>52.533499999999997</v>
      </c>
      <c r="O54">
        <f ca="1">_xll.ciqfunctions.udf.CIQ($B54,"IQ_CDS_mid",O$2)</f>
        <v>52.533499999999997</v>
      </c>
      <c r="P54">
        <f ca="1">_xll.ciqfunctions.udf.CIQ($B54,"IQ_CDS_mid",P$2)</f>
        <v>52.4148</v>
      </c>
      <c r="Q54">
        <f ca="1">_xll.ciqfunctions.udf.CIQ($B54,"IQ_CDS_mid",Q$2)</f>
        <v>52.562399999999997</v>
      </c>
      <c r="R54">
        <f ca="1">_xll.ciqfunctions.udf.CIQ($B54,"IQ_CDS_mid",R$2)</f>
        <v>54.296599999999998</v>
      </c>
      <c r="S54">
        <f ca="1">_xll.ciqfunctions.udf.CIQ($B54,"IQ_CDS_mid",S$2)</f>
        <v>50.1417</v>
      </c>
      <c r="T54">
        <f t="shared" ca="1" si="14"/>
        <v>0.56380000000000052</v>
      </c>
      <c r="U54">
        <f t="shared" ca="1" si="15"/>
        <v>-0.52189999999999515</v>
      </c>
      <c r="V54">
        <f t="shared" ca="1" si="16"/>
        <v>-0.55079999999999529</v>
      </c>
      <c r="W54">
        <f t="shared" ca="1" si="17"/>
        <v>-2.2849999999999966</v>
      </c>
      <c r="X54">
        <f t="shared" ca="1" si="13"/>
        <v>1.8699000000000012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43.959600000000002</v>
      </c>
      <c r="D56">
        <f ca="1">_xll.ciqfunctions.udf.CIQ($B56,"IQ_CDS_mid",D$2)</f>
        <v>43.959600000000002</v>
      </c>
      <c r="E56">
        <f ca="1">_xll.ciqfunctions.udf.CIQ($B56,"IQ_CDS_mid",E$2)</f>
        <v>43.866</v>
      </c>
      <c r="F56">
        <f ca="1">_xll.ciqfunctions.udf.CIQ($B56,"IQ_CDS_mid",F$2)</f>
        <v>43.5488</v>
      </c>
      <c r="G56">
        <f ca="1">_xll.ciqfunctions.udf.CIQ($B56,"IQ_CDS_mid",G$2)</f>
        <v>43.5488</v>
      </c>
      <c r="H56">
        <f ca="1">_xll.ciqfunctions.udf.CIQ($B56,"IQ_CDS_mid",H$2)</f>
        <v>43.5488</v>
      </c>
      <c r="I56">
        <f ca="1">_xll.ciqfunctions.udf.CIQ($B56,"IQ_CDS_mid",I$2)</f>
        <v>42.543799999999997</v>
      </c>
      <c r="J56">
        <f ca="1">_xll.ciqfunctions.udf.CIQ($B56,"IQ_CDS_mid",J$2)</f>
        <v>42.1143</v>
      </c>
      <c r="K56">
        <f ca="1">_xll.ciqfunctions.udf.CIQ($B56,"IQ_CDS_mid",K$2)</f>
        <v>42.162100000000002</v>
      </c>
      <c r="L56">
        <f ca="1">_xll.ciqfunctions.udf.CIQ($B56,"IQ_CDS_mid",L$2)</f>
        <v>41.708199999999998</v>
      </c>
      <c r="M56">
        <f ca="1">_xll.ciqfunctions.udf.CIQ($B56,"IQ_CDS_mid",M$2)</f>
        <v>41.4191</v>
      </c>
      <c r="N56">
        <f ca="1">_xll.ciqfunctions.udf.CIQ($B56,"IQ_CDS_mid",N$2)</f>
        <v>41.4191</v>
      </c>
      <c r="O56">
        <f ca="1">_xll.ciqfunctions.udf.CIQ($B56,"IQ_CDS_mid",O$2)</f>
        <v>41.4191</v>
      </c>
      <c r="P56">
        <f ca="1">_xll.ciqfunctions.udf.CIQ($B56,"IQ_CDS_mid",P$2)</f>
        <v>41.276699999999998</v>
      </c>
      <c r="Q56">
        <f ca="1">_xll.ciqfunctions.udf.CIQ($B56,"IQ_CDS_mid",Q$2)</f>
        <v>41.570099999999996</v>
      </c>
      <c r="R56">
        <f ca="1">_xll.ciqfunctions.udf.CIQ($B56,"IQ_CDS_mid",R$2)</f>
        <v>40.253799999999998</v>
      </c>
      <c r="S56">
        <f ca="1">_xll.ciqfunctions.udf.CIQ($B56,"IQ_CDS_mid",S$2)</f>
        <v>43.083300000000001</v>
      </c>
      <c r="T56">
        <f ca="1">C56-H56</f>
        <v>0.41080000000000183</v>
      </c>
      <c r="U56">
        <f ca="1">C56-M56</f>
        <v>2.5405000000000015</v>
      </c>
      <c r="V56">
        <f ca="1">C56-Q56</f>
        <v>2.3895000000000053</v>
      </c>
      <c r="W56">
        <f ca="1">C56-R56</f>
        <v>3.7058000000000035</v>
      </c>
      <c r="X56">
        <f t="shared" ca="1" si="13"/>
        <v>0.87630000000000052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35.580599999999997</v>
      </c>
      <c r="D57">
        <f ca="1">_xll.ciqfunctions.udf.CIQ($B57,"IQ_CDS_mid",D$2)</f>
        <v>35.580599999999997</v>
      </c>
      <c r="E57">
        <f ca="1">_xll.ciqfunctions.udf.CIQ($B57,"IQ_CDS_mid",E$2)</f>
        <v>35.32</v>
      </c>
      <c r="F57">
        <f ca="1">_xll.ciqfunctions.udf.CIQ($B57,"IQ_CDS_mid",F$2)</f>
        <v>35.233699999999999</v>
      </c>
      <c r="G57">
        <f ca="1">_xll.ciqfunctions.udf.CIQ($B57,"IQ_CDS_mid",G$2)</f>
        <v>35.233699999999999</v>
      </c>
      <c r="H57">
        <f ca="1">_xll.ciqfunctions.udf.CIQ($B57,"IQ_CDS_mid",H$2)</f>
        <v>35.233699999999999</v>
      </c>
      <c r="I57">
        <f ca="1">_xll.ciqfunctions.udf.CIQ($B57,"IQ_CDS_mid",I$2)</f>
        <v>35.06</v>
      </c>
      <c r="J57">
        <f ca="1">_xll.ciqfunctions.udf.CIQ($B57,"IQ_CDS_mid",J$2)</f>
        <v>34.434600000000003</v>
      </c>
      <c r="K57">
        <f ca="1">_xll.ciqfunctions.udf.CIQ($B57,"IQ_CDS_mid",K$2)</f>
        <v>34.1</v>
      </c>
      <c r="L57">
        <f ca="1">_xll.ciqfunctions.udf.CIQ($B57,"IQ_CDS_mid",L$2)</f>
        <v>33.725000000000001</v>
      </c>
      <c r="M57">
        <f ca="1">_xll.ciqfunctions.udf.CIQ($B57,"IQ_CDS_mid",M$2)</f>
        <v>33.6066</v>
      </c>
      <c r="N57">
        <f ca="1">_xll.ciqfunctions.udf.CIQ($B57,"IQ_CDS_mid",N$2)</f>
        <v>33.6066</v>
      </c>
      <c r="O57">
        <f ca="1">_xll.ciqfunctions.udf.CIQ($B57,"IQ_CDS_mid",O$2)</f>
        <v>33.6066</v>
      </c>
      <c r="P57">
        <f ca="1">_xll.ciqfunctions.udf.CIQ($B57,"IQ_CDS_mid",P$2)</f>
        <v>33.814999999999998</v>
      </c>
      <c r="Q57">
        <f ca="1">_xll.ciqfunctions.udf.CIQ($B57,"IQ_CDS_mid",Q$2)</f>
        <v>33.950000000000003</v>
      </c>
      <c r="R57">
        <f ca="1">_xll.ciqfunctions.udf.CIQ($B57,"IQ_CDS_mid",R$2)</f>
        <v>34.997500000000002</v>
      </c>
      <c r="S57">
        <f ca="1">_xll.ciqfunctions.udf.CIQ($B57,"IQ_CDS_mid",S$2)</f>
        <v>38.7194</v>
      </c>
      <c r="T57">
        <f ca="1">C57-H57</f>
        <v>0.34689999999999799</v>
      </c>
      <c r="U57">
        <f ca="1">C57-M57</f>
        <v>1.9739999999999966</v>
      </c>
      <c r="V57">
        <f ca="1">C57-Q57</f>
        <v>1.6305999999999941</v>
      </c>
      <c r="W57">
        <f ca="1">C57-R57</f>
        <v>0.58309999999999462</v>
      </c>
      <c r="X57">
        <f t="shared" ca="1" si="13"/>
        <v>-3.1388000000000034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44.74</v>
      </c>
      <c r="D58">
        <f ca="1">_xll.ciqfunctions.udf.CIQ($B58,"IQ_CDS_mid",D$2)</f>
        <v>44.74</v>
      </c>
      <c r="E58">
        <f ca="1">_xll.ciqfunctions.udf.CIQ($B58,"IQ_CDS_mid",E$2)</f>
        <v>44.251100000000001</v>
      </c>
      <c r="F58">
        <f ca="1">_xll.ciqfunctions.udf.CIQ($B58,"IQ_CDS_mid",F$2)</f>
        <v>43.881100000000004</v>
      </c>
      <c r="G58">
        <f ca="1">_xll.ciqfunctions.udf.CIQ($B58,"IQ_CDS_mid",G$2)</f>
        <v>43.881100000000004</v>
      </c>
      <c r="H58">
        <f ca="1">_xll.ciqfunctions.udf.CIQ($B58,"IQ_CDS_mid",H$2)</f>
        <v>43.881100000000004</v>
      </c>
      <c r="I58">
        <f ca="1">_xll.ciqfunctions.udf.CIQ($B58,"IQ_CDS_mid",I$2)</f>
        <v>43.142200000000003</v>
      </c>
      <c r="J58">
        <f ca="1">_xll.ciqfunctions.udf.CIQ($B58,"IQ_CDS_mid",J$2)</f>
        <v>42.128900000000002</v>
      </c>
      <c r="K58">
        <f ca="1">_xll.ciqfunctions.udf.CIQ($B58,"IQ_CDS_mid",K$2)</f>
        <v>42.4</v>
      </c>
      <c r="L58">
        <f ca="1">_xll.ciqfunctions.udf.CIQ($B58,"IQ_CDS_mid",L$2)</f>
        <v>41.86</v>
      </c>
      <c r="M58">
        <f ca="1">_xll.ciqfunctions.udf.CIQ($B58,"IQ_CDS_mid",M$2)</f>
        <v>41.677599999999998</v>
      </c>
      <c r="N58">
        <f ca="1">_xll.ciqfunctions.udf.CIQ($B58,"IQ_CDS_mid",N$2)</f>
        <v>41.677599999999998</v>
      </c>
      <c r="O58">
        <f ca="1">_xll.ciqfunctions.udf.CIQ($B58,"IQ_CDS_mid",O$2)</f>
        <v>41.677599999999998</v>
      </c>
      <c r="P58">
        <f ca="1">_xll.ciqfunctions.udf.CIQ($B58,"IQ_CDS_mid",P$2)</f>
        <v>41.637500000000003</v>
      </c>
      <c r="Q58">
        <f ca="1">_xll.ciqfunctions.udf.CIQ($B58,"IQ_CDS_mid",Q$2)</f>
        <v>42.0441</v>
      </c>
      <c r="R58">
        <f ca="1">_xll.ciqfunctions.udf.CIQ($B58,"IQ_CDS_mid",R$2)</f>
        <v>44.032499999999999</v>
      </c>
      <c r="S58">
        <f ca="1">_xll.ciqfunctions.udf.CIQ($B58,"IQ_CDS_mid",S$2)</f>
        <v>47.346200000000003</v>
      </c>
      <c r="T58">
        <f ca="1">C58-H58</f>
        <v>0.85889999999999844</v>
      </c>
      <c r="U58">
        <f ca="1">C58-M58</f>
        <v>3.0624000000000038</v>
      </c>
      <c r="V58">
        <f ca="1">C58-Q58</f>
        <v>2.6959000000000017</v>
      </c>
      <c r="W58">
        <f ca="1">C58-R58</f>
        <v>0.70750000000000313</v>
      </c>
      <c r="X58">
        <f t="shared" ca="1" si="13"/>
        <v>-2.6062000000000012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47.017400000000002</v>
      </c>
      <c r="D60">
        <f ca="1">_xll.ciqfunctions.udf.CIQ($B60,"IQ_CDS_mid",D$2)</f>
        <v>47.017400000000002</v>
      </c>
      <c r="E60">
        <f ca="1">_xll.ciqfunctions.udf.CIQ($B60,"IQ_CDS_mid",E$2)</f>
        <v>47.860199999999999</v>
      </c>
      <c r="F60">
        <f ca="1">_xll.ciqfunctions.udf.CIQ($B60,"IQ_CDS_mid",F$2)</f>
        <v>47.959400000000002</v>
      </c>
      <c r="G60">
        <f ca="1">_xll.ciqfunctions.udf.CIQ($B60,"IQ_CDS_mid",G$2)</f>
        <v>47.959400000000002</v>
      </c>
      <c r="H60">
        <f ca="1">_xll.ciqfunctions.udf.CIQ($B60,"IQ_CDS_mid",H$2)</f>
        <v>47.959400000000002</v>
      </c>
      <c r="I60">
        <f ca="1">_xll.ciqfunctions.udf.CIQ($B60,"IQ_CDS_mid",I$2)</f>
        <v>47.282699999999998</v>
      </c>
      <c r="J60">
        <f ca="1">_xll.ciqfunctions.udf.CIQ($B60,"IQ_CDS_mid",J$2)</f>
        <v>47.254100000000001</v>
      </c>
      <c r="K60">
        <f ca="1">_xll.ciqfunctions.udf.CIQ($B60,"IQ_CDS_mid",K$2)</f>
        <v>47.4893</v>
      </c>
      <c r="L60">
        <f ca="1">_xll.ciqfunctions.udf.CIQ($B60,"IQ_CDS_mid",L$2)</f>
        <v>46.8643</v>
      </c>
      <c r="M60">
        <f ca="1">_xll.ciqfunctions.udf.CIQ($B60,"IQ_CDS_mid",M$2)</f>
        <v>46.726999999999997</v>
      </c>
      <c r="N60">
        <f ca="1">_xll.ciqfunctions.udf.CIQ($B60,"IQ_CDS_mid",N$2)</f>
        <v>46.726999999999997</v>
      </c>
      <c r="O60">
        <f ca="1">_xll.ciqfunctions.udf.CIQ($B60,"IQ_CDS_mid",O$2)</f>
        <v>46.726999999999997</v>
      </c>
      <c r="P60">
        <f ca="1">_xll.ciqfunctions.udf.CIQ($B60,"IQ_CDS_mid",P$2)</f>
        <v>46.920900000000003</v>
      </c>
      <c r="Q60">
        <f ca="1">_xll.ciqfunctions.udf.CIQ($B60,"IQ_CDS_mid",Q$2)</f>
        <v>47.0319</v>
      </c>
      <c r="R60">
        <f ca="1">_xll.ciqfunctions.udf.CIQ($B60,"IQ_CDS_mid",R$2)</f>
        <v>56.051299999999998</v>
      </c>
      <c r="S60">
        <f ca="1">_xll.ciqfunctions.udf.CIQ($B60,"IQ_CDS_mid",S$2)</f>
        <v>47.8767</v>
      </c>
      <c r="T60">
        <f ca="1">C60-H60</f>
        <v>-0.94200000000000017</v>
      </c>
      <c r="U60">
        <f ca="1">C60-M60</f>
        <v>0.29040000000000532</v>
      </c>
      <c r="V60">
        <f ca="1">C60-Q60</f>
        <v>-1.4499999999998181E-2</v>
      </c>
      <c r="W60">
        <f ca="1">C60-R60</f>
        <v>-9.0338999999999956</v>
      </c>
      <c r="X60">
        <f t="shared" ca="1" si="13"/>
        <v>-0.85929999999999751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59.75</v>
      </c>
      <c r="D63">
        <f ca="1">_xll.ciqfunctions.udf.CIQ($B63,"IQ_CDS_mid",D$2)</f>
        <v>59.75</v>
      </c>
      <c r="E63">
        <f ca="1">_xll.ciqfunctions.udf.CIQ($B63,"IQ_CDS_mid",E$2)</f>
        <v>60.25</v>
      </c>
      <c r="F63">
        <f ca="1">_xll.ciqfunctions.udf.CIQ($B63,"IQ_CDS_mid",F$2)</f>
        <v>60.666699999999999</v>
      </c>
      <c r="G63">
        <f ca="1">_xll.ciqfunctions.udf.CIQ($B63,"IQ_CDS_mid",G$2)</f>
        <v>60.666699999999999</v>
      </c>
      <c r="H63">
        <f ca="1">_xll.ciqfunctions.udf.CIQ($B63,"IQ_CDS_mid",H$2)</f>
        <v>60.666699999999999</v>
      </c>
      <c r="I63">
        <f ca="1">_xll.ciqfunctions.udf.CIQ($B63,"IQ_CDS_mid",I$2)</f>
        <v>59.799199999999999</v>
      </c>
      <c r="J63">
        <f ca="1">_xll.ciqfunctions.udf.CIQ($B63,"IQ_CDS_mid",J$2)</f>
        <v>60.664400000000001</v>
      </c>
      <c r="K63">
        <f ca="1">_xll.ciqfunctions.udf.CIQ($B63,"IQ_CDS_mid",K$2)</f>
        <v>60.900700000000001</v>
      </c>
      <c r="L63">
        <f ca="1">_xll.ciqfunctions.udf.CIQ($B63,"IQ_CDS_mid",L$2)</f>
        <v>60.703299999999999</v>
      </c>
      <c r="M63">
        <f ca="1">_xll.ciqfunctions.udf.CIQ($B63,"IQ_CDS_mid",M$2)</f>
        <v>60.189399999999999</v>
      </c>
      <c r="N63">
        <f ca="1">_xll.ciqfunctions.udf.CIQ($B63,"IQ_CDS_mid",N$2)</f>
        <v>60.189399999999999</v>
      </c>
      <c r="O63">
        <f ca="1">_xll.ciqfunctions.udf.CIQ($B63,"IQ_CDS_mid",O$2)</f>
        <v>60.189399999999999</v>
      </c>
      <c r="P63">
        <f ca="1">_xll.ciqfunctions.udf.CIQ($B63,"IQ_CDS_mid",P$2)</f>
        <v>60.837699999999998</v>
      </c>
      <c r="Q63">
        <f ca="1">_xll.ciqfunctions.udf.CIQ($B63,"IQ_CDS_mid",Q$2)</f>
        <v>61.0807</v>
      </c>
      <c r="R63">
        <f ca="1">_xll.ciqfunctions.udf.CIQ($B63,"IQ_CDS_mid",R$2)</f>
        <v>68.97</v>
      </c>
      <c r="S63">
        <f ca="1">_xll.ciqfunctions.udf.CIQ($B63,"IQ_CDS_mid",S$2)</f>
        <v>63.15</v>
      </c>
      <c r="T63">
        <f ca="1">C63-H63</f>
        <v>-0.91669999999999874</v>
      </c>
      <c r="U63">
        <f ca="1">C63-M63</f>
        <v>-0.43939999999999912</v>
      </c>
      <c r="V63">
        <f ca="1">C63-Q63</f>
        <v>-1.3307000000000002</v>
      </c>
      <c r="W63">
        <f ca="1">C63-R63</f>
        <v>-9.2199999999999989</v>
      </c>
      <c r="X63">
        <f t="shared" ca="1" si="13"/>
        <v>-3.3999999999999986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38.505899999999997</v>
      </c>
      <c r="D64">
        <f ca="1">_xll.ciqfunctions.udf.CIQ($B64,"IQ_CDS_mid",D$2)</f>
        <v>38.505899999999997</v>
      </c>
      <c r="E64">
        <f ca="1">_xll.ciqfunctions.udf.CIQ($B64,"IQ_CDS_mid",E$2)</f>
        <v>39.0777</v>
      </c>
      <c r="F64">
        <f ca="1">_xll.ciqfunctions.udf.CIQ($B64,"IQ_CDS_mid",F$2)</f>
        <v>39.036700000000003</v>
      </c>
      <c r="G64">
        <f ca="1">_xll.ciqfunctions.udf.CIQ($B64,"IQ_CDS_mid",G$2)</f>
        <v>39.036700000000003</v>
      </c>
      <c r="H64">
        <f ca="1">_xll.ciqfunctions.udf.CIQ($B64,"IQ_CDS_mid",H$2)</f>
        <v>39.036700000000003</v>
      </c>
      <c r="I64">
        <f ca="1">_xll.ciqfunctions.udf.CIQ($B64,"IQ_CDS_mid",I$2)</f>
        <v>38.414999999999999</v>
      </c>
      <c r="J64">
        <f ca="1">_xll.ciqfunctions.udf.CIQ($B64,"IQ_CDS_mid",J$2)</f>
        <v>38.5015</v>
      </c>
      <c r="K64">
        <f ca="1">_xll.ciqfunctions.udf.CIQ($B64,"IQ_CDS_mid",K$2)</f>
        <v>38.765599999999999</v>
      </c>
      <c r="L64">
        <f ca="1">_xll.ciqfunctions.udf.CIQ($B64,"IQ_CDS_mid",L$2)</f>
        <v>38.46</v>
      </c>
      <c r="M64">
        <f ca="1">_xll.ciqfunctions.udf.CIQ($B64,"IQ_CDS_mid",M$2)</f>
        <v>38.0349</v>
      </c>
      <c r="N64">
        <f ca="1">_xll.ciqfunctions.udf.CIQ($B64,"IQ_CDS_mid",N$2)</f>
        <v>38.0349</v>
      </c>
      <c r="O64">
        <f ca="1">_xll.ciqfunctions.udf.CIQ($B64,"IQ_CDS_mid",O$2)</f>
        <v>38.0349</v>
      </c>
      <c r="P64">
        <f ca="1">_xll.ciqfunctions.udf.CIQ($B64,"IQ_CDS_mid",P$2)</f>
        <v>38.285400000000003</v>
      </c>
      <c r="Q64">
        <f ca="1">_xll.ciqfunctions.udf.CIQ($B64,"IQ_CDS_mid",Q$2)</f>
        <v>38.423400000000001</v>
      </c>
      <c r="R64">
        <f ca="1">_xll.ciqfunctions.udf.CIQ($B64,"IQ_CDS_mid",R$2)</f>
        <v>47.844999999999999</v>
      </c>
      <c r="S64">
        <f ca="1">_xll.ciqfunctions.udf.CIQ($B64,"IQ_CDS_mid",S$2)</f>
        <v>48.732599999999998</v>
      </c>
      <c r="T64">
        <f ca="1">C64-H64</f>
        <v>-0.53080000000000638</v>
      </c>
      <c r="U64">
        <f ca="1">C64-M64</f>
        <v>0.47099999999999653</v>
      </c>
      <c r="V64">
        <f ca="1">C64-Q64</f>
        <v>8.2499999999996021E-2</v>
      </c>
      <c r="W64">
        <f ca="1">C64-R64</f>
        <v>-9.339100000000002</v>
      </c>
      <c r="X64">
        <f t="shared" ca="1" si="13"/>
        <v>-10.226700000000001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55.125</v>
      </c>
      <c r="D65">
        <f ca="1">_xll.ciqfunctions.udf.CIQ($B65,"IQ_CDS_mid",D$2)</f>
        <v>55.125</v>
      </c>
      <c r="E65">
        <f ca="1">_xll.ciqfunctions.udf.CIQ($B65,"IQ_CDS_mid",E$2)</f>
        <v>55.688800000000001</v>
      </c>
      <c r="F65">
        <f ca="1">_xll.ciqfunctions.udf.CIQ($B65,"IQ_CDS_mid",F$2)</f>
        <v>55.879399999999997</v>
      </c>
      <c r="G65">
        <f ca="1">_xll.ciqfunctions.udf.CIQ($B65,"IQ_CDS_mid",G$2)</f>
        <v>55.879399999999997</v>
      </c>
      <c r="H65">
        <f ca="1">_xll.ciqfunctions.udf.CIQ($B65,"IQ_CDS_mid",H$2)</f>
        <v>55.879399999999997</v>
      </c>
      <c r="I65">
        <f ca="1">_xll.ciqfunctions.udf.CIQ($B65,"IQ_CDS_mid",I$2)</f>
        <v>55.098700000000001</v>
      </c>
      <c r="J65">
        <f ca="1">_xll.ciqfunctions.udf.CIQ($B65,"IQ_CDS_mid",J$2)</f>
        <v>55.1267</v>
      </c>
      <c r="K65">
        <f ca="1">_xll.ciqfunctions.udf.CIQ($B65,"IQ_CDS_mid",K$2)</f>
        <v>55.5715</v>
      </c>
      <c r="L65">
        <f ca="1">_xll.ciqfunctions.udf.CIQ($B65,"IQ_CDS_mid",L$2)</f>
        <v>55.329700000000003</v>
      </c>
      <c r="M65">
        <f ca="1">_xll.ciqfunctions.udf.CIQ($B65,"IQ_CDS_mid",M$2)</f>
        <v>54.994399999999999</v>
      </c>
      <c r="N65">
        <f ca="1">_xll.ciqfunctions.udf.CIQ($B65,"IQ_CDS_mid",N$2)</f>
        <v>54.994399999999999</v>
      </c>
      <c r="O65">
        <f ca="1">_xll.ciqfunctions.udf.CIQ($B65,"IQ_CDS_mid",O$2)</f>
        <v>54.994399999999999</v>
      </c>
      <c r="P65">
        <f ca="1">_xll.ciqfunctions.udf.CIQ($B65,"IQ_CDS_mid",P$2)</f>
        <v>55.333300000000001</v>
      </c>
      <c r="Q65">
        <f ca="1">_xll.ciqfunctions.udf.CIQ($B65,"IQ_CDS_mid",Q$2)</f>
        <v>55.3384</v>
      </c>
      <c r="R65">
        <f ca="1">_xll.ciqfunctions.udf.CIQ($B65,"IQ_CDS_mid",R$2)</f>
        <v>62.965000000000003</v>
      </c>
      <c r="S65">
        <f ca="1">_xll.ciqfunctions.udf.CIQ($B65,"IQ_CDS_mid",S$2)</f>
        <v>56.85</v>
      </c>
      <c r="T65">
        <f ca="1">C65-H65</f>
        <v>-0.75439999999999685</v>
      </c>
      <c r="U65">
        <f ca="1">C65-M65</f>
        <v>0.13060000000000116</v>
      </c>
      <c r="V65">
        <f ca="1">C65-Q65</f>
        <v>-0.21340000000000003</v>
      </c>
      <c r="W65">
        <f ca="1">C65-R65</f>
        <v>-7.8400000000000034</v>
      </c>
      <c r="X65">
        <f t="shared" ca="1" si="13"/>
        <v>-1.7250000000000014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42.7438</v>
      </c>
      <c r="D66">
        <f ca="1">_xll.ciqfunctions.udf.CIQ($B66,"IQ_CDS_mid",D$2)</f>
        <v>42.7438</v>
      </c>
      <c r="E66">
        <f ca="1">_xll.ciqfunctions.udf.CIQ($B66,"IQ_CDS_mid",E$2)</f>
        <v>43.200800000000001</v>
      </c>
      <c r="F66">
        <f ca="1">_xll.ciqfunctions.udf.CIQ($B66,"IQ_CDS_mid",F$2)</f>
        <v>43.3386</v>
      </c>
      <c r="G66">
        <f ca="1">_xll.ciqfunctions.udf.CIQ($B66,"IQ_CDS_mid",G$2)</f>
        <v>43.3386</v>
      </c>
      <c r="H66">
        <f ca="1">_xll.ciqfunctions.udf.CIQ($B66,"IQ_CDS_mid",H$2)</f>
        <v>43.3386</v>
      </c>
      <c r="I66">
        <f ca="1">_xll.ciqfunctions.udf.CIQ($B66,"IQ_CDS_mid",I$2)</f>
        <v>43</v>
      </c>
      <c r="J66">
        <f ca="1">_xll.ciqfunctions.udf.CIQ($B66,"IQ_CDS_mid",J$2)</f>
        <v>43.125</v>
      </c>
      <c r="K66">
        <f ca="1">_xll.ciqfunctions.udf.CIQ($B66,"IQ_CDS_mid",K$2)</f>
        <v>43.497</v>
      </c>
      <c r="L66">
        <f ca="1">_xll.ciqfunctions.udf.CIQ($B66,"IQ_CDS_mid",L$2)</f>
        <v>43.1</v>
      </c>
      <c r="M66">
        <f ca="1">_xll.ciqfunctions.udf.CIQ($B66,"IQ_CDS_mid",M$2)</f>
        <v>42.7014</v>
      </c>
      <c r="N66">
        <f ca="1">_xll.ciqfunctions.udf.CIQ($B66,"IQ_CDS_mid",N$2)</f>
        <v>42.7014</v>
      </c>
      <c r="O66">
        <f ca="1">_xll.ciqfunctions.udf.CIQ($B66,"IQ_CDS_mid",O$2)</f>
        <v>42.7014</v>
      </c>
      <c r="P66">
        <f ca="1">_xll.ciqfunctions.udf.CIQ($B66,"IQ_CDS_mid",P$2)</f>
        <v>42.925600000000003</v>
      </c>
      <c r="Q66">
        <f ca="1">_xll.ciqfunctions.udf.CIQ($B66,"IQ_CDS_mid",Q$2)</f>
        <v>43.365000000000002</v>
      </c>
      <c r="R66">
        <f ca="1">_xll.ciqfunctions.udf.CIQ($B66,"IQ_CDS_mid",R$2)</f>
        <v>55.25</v>
      </c>
      <c r="S66">
        <f ca="1">_xll.ciqfunctions.udf.CIQ($B66,"IQ_CDS_mid",S$2)</f>
        <v>56.541699999999999</v>
      </c>
      <c r="T66">
        <f ca="1">C66-H66</f>
        <v>-0.59479999999999933</v>
      </c>
      <c r="U66">
        <f ca="1">C66-M66</f>
        <v>4.2400000000000659E-2</v>
      </c>
      <c r="V66">
        <f ca="1">C66-Q66</f>
        <v>-0.62120000000000175</v>
      </c>
      <c r="W66">
        <f ca="1">C66-R66</f>
        <v>-12.5062</v>
      </c>
      <c r="X66">
        <f t="shared" ca="1" si="13"/>
        <v>-13.797899999999998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44.851300000000002</v>
      </c>
      <c r="D68">
        <f ca="1">_xll.ciqfunctions.udf.CIQ($B68,"IQ_CDS_mid",D$2)</f>
        <v>44.851300000000002</v>
      </c>
      <c r="E68">
        <f ca="1">_xll.ciqfunctions.udf.CIQ($B68,"IQ_CDS_mid",E$2)</f>
        <v>45.375</v>
      </c>
      <c r="F68">
        <f ca="1">_xll.ciqfunctions.udf.CIQ($B68,"IQ_CDS_mid",F$2)</f>
        <v>45.833300000000001</v>
      </c>
      <c r="G68">
        <f ca="1">_xll.ciqfunctions.udf.CIQ($B68,"IQ_CDS_mid",G$2)</f>
        <v>45.833300000000001</v>
      </c>
      <c r="H68">
        <f ca="1">_xll.ciqfunctions.udf.CIQ($B68,"IQ_CDS_mid",H$2)</f>
        <v>45.833300000000001</v>
      </c>
      <c r="I68">
        <f ca="1">_xll.ciqfunctions.udf.CIQ($B68,"IQ_CDS_mid",I$2)</f>
        <v>45.355499999999999</v>
      </c>
      <c r="J68">
        <f ca="1">_xll.ciqfunctions.udf.CIQ($B68,"IQ_CDS_mid",J$2)</f>
        <v>46.150799999999997</v>
      </c>
      <c r="K68">
        <f ca="1">_xll.ciqfunctions.udf.CIQ($B68,"IQ_CDS_mid",K$2)</f>
        <v>46.210500000000003</v>
      </c>
      <c r="L68">
        <f ca="1">_xll.ciqfunctions.udf.CIQ($B68,"IQ_CDS_mid",L$2)</f>
        <v>46.432499999999997</v>
      </c>
      <c r="M68">
        <f ca="1">_xll.ciqfunctions.udf.CIQ($B68,"IQ_CDS_mid",M$2)</f>
        <v>45.856099999999998</v>
      </c>
      <c r="N68">
        <f ca="1">_xll.ciqfunctions.udf.CIQ($B68,"IQ_CDS_mid",N$2)</f>
        <v>45.856099999999998</v>
      </c>
      <c r="O68">
        <f ca="1">_xll.ciqfunctions.udf.CIQ($B68,"IQ_CDS_mid",O$2)</f>
        <v>45.856099999999998</v>
      </c>
      <c r="P68">
        <f ca="1">_xll.ciqfunctions.udf.CIQ($B68,"IQ_CDS_mid",P$2)</f>
        <v>46.745800000000003</v>
      </c>
      <c r="Q68">
        <f ca="1">_xll.ciqfunctions.udf.CIQ($B68,"IQ_CDS_mid",Q$2)</f>
        <v>47.5486</v>
      </c>
      <c r="R68">
        <f ca="1">_xll.ciqfunctions.udf.CIQ($B68,"IQ_CDS_mid",R$2)</f>
        <v>56.807299999999998</v>
      </c>
      <c r="S68">
        <f ca="1">_xll.ciqfunctions.udf.CIQ($B68,"IQ_CDS_mid",S$2)</f>
        <v>53.75</v>
      </c>
      <c r="T68">
        <f ca="1">C68-H68</f>
        <v>-0.98199999999999932</v>
      </c>
      <c r="U68">
        <f ca="1">C68-M68</f>
        <v>-1.0047999999999959</v>
      </c>
      <c r="V68">
        <f ca="1">C68-Q68</f>
        <v>-2.6972999999999985</v>
      </c>
      <c r="W68">
        <f ca="1">C68-R68</f>
        <v>-11.955999999999996</v>
      </c>
      <c r="X68">
        <f t="shared" ca="1" si="13"/>
        <v>-8.8986999999999981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36.5</v>
      </c>
      <c r="D69">
        <f ca="1">_xll.ciqfunctions.udf.CIQ($B69,"IQ_CDS_mid",D$2)</f>
        <v>36.5</v>
      </c>
      <c r="E69">
        <f ca="1">_xll.ciqfunctions.udf.CIQ($B69,"IQ_CDS_mid",E$2)</f>
        <v>36.75</v>
      </c>
      <c r="F69">
        <f ca="1">_xll.ciqfunctions.udf.CIQ($B69,"IQ_CDS_mid",F$2)</f>
        <v>36.5</v>
      </c>
      <c r="G69">
        <f ca="1">_xll.ciqfunctions.udf.CIQ($B69,"IQ_CDS_mid",G$2)</f>
        <v>36.5</v>
      </c>
      <c r="H69">
        <f ca="1">_xll.ciqfunctions.udf.CIQ($B69,"IQ_CDS_mid",H$2)</f>
        <v>36.5</v>
      </c>
      <c r="I69">
        <f ca="1">_xll.ciqfunctions.udf.CIQ($B69,"IQ_CDS_mid",I$2)</f>
        <v>37.1</v>
      </c>
      <c r="J69">
        <f ca="1">_xll.ciqfunctions.udf.CIQ($B69,"IQ_CDS_mid",J$2)</f>
        <v>37.5</v>
      </c>
      <c r="K69">
        <f ca="1">_xll.ciqfunctions.udf.CIQ($B69,"IQ_CDS_mid",K$2)</f>
        <v>37.5</v>
      </c>
      <c r="L69">
        <f ca="1">_xll.ciqfunctions.udf.CIQ($B69,"IQ_CDS_mid",L$2)</f>
        <v>37.375999999999998</v>
      </c>
      <c r="M69">
        <f ca="1">_xll.ciqfunctions.udf.CIQ($B69,"IQ_CDS_mid",M$2)</f>
        <v>36.8705</v>
      </c>
      <c r="N69">
        <f ca="1">_xll.ciqfunctions.udf.CIQ($B69,"IQ_CDS_mid",N$2)</f>
        <v>36.8705</v>
      </c>
      <c r="O69">
        <f ca="1">_xll.ciqfunctions.udf.CIQ($B69,"IQ_CDS_mid",O$2)</f>
        <v>36.8705</v>
      </c>
      <c r="P69">
        <f ca="1">_xll.ciqfunctions.udf.CIQ($B69,"IQ_CDS_mid",P$2)</f>
        <v>37.043199999999999</v>
      </c>
      <c r="Q69">
        <f ca="1">_xll.ciqfunctions.udf.CIQ($B69,"IQ_CDS_mid",Q$2)</f>
        <v>37.200000000000003</v>
      </c>
      <c r="R69">
        <f ca="1">_xll.ciqfunctions.udf.CIQ($B69,"IQ_CDS_mid",R$2)</f>
        <v>44.75</v>
      </c>
      <c r="S69">
        <f ca="1">_xll.ciqfunctions.udf.CIQ($B69,"IQ_CDS_mid",S$2)</f>
        <v>43.541699999999999</v>
      </c>
      <c r="T69">
        <f ca="1">C69-H69</f>
        <v>0</v>
      </c>
      <c r="U69">
        <f ca="1">C69-M69</f>
        <v>-0.37049999999999983</v>
      </c>
      <c r="V69">
        <f ca="1">C69-Q69</f>
        <v>-0.70000000000000284</v>
      </c>
      <c r="W69">
        <f ca="1">C69-R69</f>
        <v>-8.25</v>
      </c>
      <c r="X69">
        <f t="shared" ca="1" si="13"/>
        <v>-7.0416999999999987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25.074999999999999</v>
      </c>
      <c r="D71">
        <f ca="1">_xll.ciqfunctions.udf.CIQ($B71,"IQ_CDS_mid",D$2)</f>
        <v>25.074999999999999</v>
      </c>
      <c r="E71">
        <f ca="1">_xll.ciqfunctions.udf.CIQ($B71,"IQ_CDS_mid",E$2)</f>
        <v>25.1</v>
      </c>
      <c r="F71">
        <f ca="1">_xll.ciqfunctions.udf.CIQ($B71,"IQ_CDS_mid",F$2)</f>
        <v>25.16</v>
      </c>
      <c r="G71">
        <f ca="1">_xll.ciqfunctions.udf.CIQ($B71,"IQ_CDS_mid",G$2)</f>
        <v>25.16</v>
      </c>
      <c r="H71">
        <f ca="1">_xll.ciqfunctions.udf.CIQ($B71,"IQ_CDS_mid",H$2)</f>
        <v>25.16</v>
      </c>
      <c r="I71">
        <f ca="1">_xll.ciqfunctions.udf.CIQ($B71,"IQ_CDS_mid",I$2)</f>
        <v>25</v>
      </c>
      <c r="J71">
        <f ca="1">_xll.ciqfunctions.udf.CIQ($B71,"IQ_CDS_mid",J$2)</f>
        <v>24.86</v>
      </c>
      <c r="K71">
        <f ca="1">_xll.ciqfunctions.udf.CIQ($B71,"IQ_CDS_mid",K$2)</f>
        <v>25.02</v>
      </c>
      <c r="L71">
        <f ca="1">_xll.ciqfunctions.udf.CIQ($B71,"IQ_CDS_mid",L$2)</f>
        <v>24.98</v>
      </c>
      <c r="M71">
        <f ca="1">_xll.ciqfunctions.udf.CIQ($B71,"IQ_CDS_mid",M$2)</f>
        <v>24.86</v>
      </c>
      <c r="N71">
        <f ca="1">_xll.ciqfunctions.udf.CIQ($B71,"IQ_CDS_mid",N$2)</f>
        <v>24.86</v>
      </c>
      <c r="O71">
        <f ca="1">_xll.ciqfunctions.udf.CIQ($B71,"IQ_CDS_mid",O$2)</f>
        <v>24.86</v>
      </c>
      <c r="P71">
        <f ca="1">_xll.ciqfunctions.udf.CIQ($B71,"IQ_CDS_mid",P$2)</f>
        <v>24.66</v>
      </c>
      <c r="Q71">
        <f ca="1">_xll.ciqfunctions.udf.CIQ($B71,"IQ_CDS_mid",Q$2)</f>
        <v>25</v>
      </c>
      <c r="R71">
        <f ca="1">_xll.ciqfunctions.udf.CIQ($B71,"IQ_CDS_mid",R$2)</f>
        <v>28.625</v>
      </c>
      <c r="S71">
        <f ca="1">_xll.ciqfunctions.udf.CIQ($B71,"IQ_CDS_mid",S$2)</f>
        <v>38.166699999999999</v>
      </c>
      <c r="T71">
        <f ca="1">C71-H71</f>
        <v>-8.5000000000000853E-2</v>
      </c>
      <c r="U71">
        <f ca="1">C71-M71</f>
        <v>0.21499999999999986</v>
      </c>
      <c r="V71">
        <f ca="1">C71-Q71</f>
        <v>7.4999999999999289E-2</v>
      </c>
      <c r="W71">
        <f ca="1">C71-R71</f>
        <v>-3.5500000000000007</v>
      </c>
      <c r="X71">
        <f t="shared" ca="1" si="13"/>
        <v>-13.091699999999999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43.393099999999997</v>
      </c>
      <c r="D73">
        <f ca="1">_xll.ciqfunctions.udf.CIQ($B73,"IQ_CDS_mid",D$2)</f>
        <v>43.393099999999997</v>
      </c>
      <c r="E73">
        <f ca="1">_xll.ciqfunctions.udf.CIQ($B73,"IQ_CDS_mid",E$2)</f>
        <v>43.315399999999997</v>
      </c>
      <c r="F73">
        <f ca="1">_xll.ciqfunctions.udf.CIQ($B73,"IQ_CDS_mid",F$2)</f>
        <v>43.433900000000001</v>
      </c>
      <c r="G73">
        <f ca="1">_xll.ciqfunctions.udf.CIQ($B73,"IQ_CDS_mid",G$2)</f>
        <v>43.433900000000001</v>
      </c>
      <c r="H73">
        <f ca="1">_xll.ciqfunctions.udf.CIQ($B73,"IQ_CDS_mid",H$2)</f>
        <v>43.433900000000001</v>
      </c>
      <c r="I73">
        <f ca="1">_xll.ciqfunctions.udf.CIQ($B73,"IQ_CDS_mid",I$2)</f>
        <v>43.392099999999999</v>
      </c>
      <c r="J73">
        <f ca="1">_xll.ciqfunctions.udf.CIQ($B73,"IQ_CDS_mid",J$2)</f>
        <v>43.332000000000001</v>
      </c>
      <c r="K73">
        <f ca="1">_xll.ciqfunctions.udf.CIQ($B73,"IQ_CDS_mid",K$2)</f>
        <v>43.197099999999999</v>
      </c>
      <c r="L73">
        <f ca="1">_xll.ciqfunctions.udf.CIQ($B73,"IQ_CDS_mid",L$2)</f>
        <v>41.173699999999997</v>
      </c>
      <c r="M73">
        <f ca="1">_xll.ciqfunctions.udf.CIQ($B73,"IQ_CDS_mid",M$2)</f>
        <v>40.276600000000002</v>
      </c>
      <c r="N73">
        <f ca="1">_xll.ciqfunctions.udf.CIQ($B73,"IQ_CDS_mid",N$2)</f>
        <v>40.276600000000002</v>
      </c>
      <c r="O73">
        <f ca="1">_xll.ciqfunctions.udf.CIQ($B73,"IQ_CDS_mid",O$2)</f>
        <v>40.276600000000002</v>
      </c>
      <c r="P73">
        <f ca="1">_xll.ciqfunctions.udf.CIQ($B73,"IQ_CDS_mid",P$2)</f>
        <v>40.391100000000002</v>
      </c>
      <c r="Q73">
        <f ca="1">_xll.ciqfunctions.udf.CIQ($B73,"IQ_CDS_mid",Q$2)</f>
        <v>40.516100000000002</v>
      </c>
      <c r="R73">
        <f ca="1">_xll.ciqfunctions.udf.CIQ($B73,"IQ_CDS_mid",R$2)</f>
        <v>42.827199999999998</v>
      </c>
      <c r="S73">
        <f ca="1">_xll.ciqfunctions.udf.CIQ($B73,"IQ_CDS_mid",S$2)</f>
        <v>36.1</v>
      </c>
      <c r="T73">
        <f ca="1">C73-H73</f>
        <v>-4.0800000000004388E-2</v>
      </c>
      <c r="U73">
        <f ca="1">C73-M73</f>
        <v>3.1164999999999949</v>
      </c>
      <c r="V73">
        <f ca="1">C73-Q73</f>
        <v>2.8769999999999953</v>
      </c>
      <c r="W73">
        <f ca="1">C73-R73</f>
        <v>0.56589999999999918</v>
      </c>
      <c r="X73">
        <f t="shared" ca="1" si="13"/>
        <v>7.2930999999999955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41.339500000000001</v>
      </c>
      <c r="D74">
        <f ca="1">_xll.ciqfunctions.udf.CIQ($B74,"IQ_CDS_mid",D$2)</f>
        <v>41.339500000000001</v>
      </c>
      <c r="E74">
        <f ca="1">_xll.ciqfunctions.udf.CIQ($B74,"IQ_CDS_mid",E$2)</f>
        <v>41.657699999999998</v>
      </c>
      <c r="F74">
        <f ca="1">_xll.ciqfunctions.udf.CIQ($B74,"IQ_CDS_mid",F$2)</f>
        <v>41.3125</v>
      </c>
      <c r="G74">
        <f ca="1">_xll.ciqfunctions.udf.CIQ($B74,"IQ_CDS_mid",G$2)</f>
        <v>41.3125</v>
      </c>
      <c r="H74">
        <f ca="1">_xll.ciqfunctions.udf.CIQ($B74,"IQ_CDS_mid",H$2)</f>
        <v>41.3125</v>
      </c>
      <c r="I74">
        <f ca="1">_xll.ciqfunctions.udf.CIQ($B74,"IQ_CDS_mid",I$2)</f>
        <v>41.3309</v>
      </c>
      <c r="J74">
        <f ca="1">_xll.ciqfunctions.udf.CIQ($B74,"IQ_CDS_mid",J$2)</f>
        <v>41.817799999999998</v>
      </c>
      <c r="K74">
        <f ca="1">_xll.ciqfunctions.udf.CIQ($B74,"IQ_CDS_mid",K$2)</f>
        <v>43.6434</v>
      </c>
      <c r="L74">
        <f ca="1">_xll.ciqfunctions.udf.CIQ($B74,"IQ_CDS_mid",L$2)</f>
        <v>41.251800000000003</v>
      </c>
      <c r="M74">
        <f ca="1">_xll.ciqfunctions.udf.CIQ($B74,"IQ_CDS_mid",M$2)</f>
        <v>41.522599999999997</v>
      </c>
      <c r="N74">
        <f ca="1">_xll.ciqfunctions.udf.CIQ($B74,"IQ_CDS_mid",N$2)</f>
        <v>41.522599999999997</v>
      </c>
      <c r="O74">
        <f ca="1">_xll.ciqfunctions.udf.CIQ($B74,"IQ_CDS_mid",O$2)</f>
        <v>41.522599999999997</v>
      </c>
      <c r="P74">
        <f ca="1">_xll.ciqfunctions.udf.CIQ($B74,"IQ_CDS_mid",P$2)</f>
        <v>40.308799999999998</v>
      </c>
      <c r="Q74">
        <f ca="1">_xll.ciqfunctions.udf.CIQ($B74,"IQ_CDS_mid",Q$2)</f>
        <v>43.139099999999999</v>
      </c>
      <c r="R74">
        <f ca="1">_xll.ciqfunctions.udf.CIQ($B74,"IQ_CDS_mid",R$2)</f>
        <v>39.319499999999998</v>
      </c>
      <c r="S74">
        <f ca="1">_xll.ciqfunctions.udf.CIQ($B74,"IQ_CDS_mid",S$2)</f>
        <v>31.613900000000001</v>
      </c>
      <c r="T74">
        <f ca="1">C74-H74</f>
        <v>2.7000000000001023E-2</v>
      </c>
      <c r="U74">
        <f ca="1">C74-M74</f>
        <v>-0.18309999999999604</v>
      </c>
      <c r="V74">
        <f ca="1">C74-Q74</f>
        <v>-1.7995999999999981</v>
      </c>
      <c r="W74">
        <f ca="1">C74-R74</f>
        <v>2.0200000000000031</v>
      </c>
      <c r="X74">
        <f t="shared" ca="1" si="13"/>
        <v>9.7256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41.008400000000002</v>
      </c>
      <c r="D75">
        <f ca="1">_xll.ciqfunctions.udf.CIQ($B75,"IQ_CDS_mid",D$2)</f>
        <v>41.008400000000002</v>
      </c>
      <c r="E75">
        <f ca="1">_xll.ciqfunctions.udf.CIQ($B75,"IQ_CDS_mid",E$2)</f>
        <v>41.039200000000001</v>
      </c>
      <c r="F75">
        <f ca="1">_xll.ciqfunctions.udf.CIQ($B75,"IQ_CDS_mid",F$2)</f>
        <v>41.042499999999997</v>
      </c>
      <c r="G75">
        <f ca="1">_xll.ciqfunctions.udf.CIQ($B75,"IQ_CDS_mid",G$2)</f>
        <v>41.042499999999997</v>
      </c>
      <c r="H75">
        <f ca="1">_xll.ciqfunctions.udf.CIQ($B75,"IQ_CDS_mid",H$2)</f>
        <v>41.042499999999997</v>
      </c>
      <c r="I75">
        <f ca="1">_xll.ciqfunctions.udf.CIQ($B75,"IQ_CDS_mid",I$2)</f>
        <v>41.052500000000002</v>
      </c>
      <c r="J75">
        <f ca="1">_xll.ciqfunctions.udf.CIQ($B75,"IQ_CDS_mid",J$2)</f>
        <v>41.089199999999998</v>
      </c>
      <c r="K75">
        <f ca="1">_xll.ciqfunctions.udf.CIQ($B75,"IQ_CDS_mid",K$2)</f>
        <v>41.145000000000003</v>
      </c>
      <c r="L75">
        <f ca="1">_xll.ciqfunctions.udf.CIQ($B75,"IQ_CDS_mid",L$2)</f>
        <v>41.148099999999999</v>
      </c>
      <c r="M75">
        <f ca="1">_xll.ciqfunctions.udf.CIQ($B75,"IQ_CDS_mid",M$2)</f>
        <v>41.293100000000003</v>
      </c>
      <c r="N75">
        <f ca="1">_xll.ciqfunctions.udf.CIQ($B75,"IQ_CDS_mid",N$2)</f>
        <v>41.293100000000003</v>
      </c>
      <c r="O75">
        <f ca="1">_xll.ciqfunctions.udf.CIQ($B75,"IQ_CDS_mid",O$2)</f>
        <v>41.293100000000003</v>
      </c>
      <c r="P75">
        <f ca="1">_xll.ciqfunctions.udf.CIQ($B75,"IQ_CDS_mid",P$2)</f>
        <v>41.466500000000003</v>
      </c>
      <c r="Q75">
        <f ca="1">_xll.ciqfunctions.udf.CIQ($B75,"IQ_CDS_mid",Q$2)</f>
        <v>41.888199999999998</v>
      </c>
      <c r="R75">
        <f ca="1">_xll.ciqfunctions.udf.CIQ($B75,"IQ_CDS_mid",R$2)</f>
        <v>46.113799999999998</v>
      </c>
      <c r="S75">
        <f ca="1">_xll.ciqfunctions.udf.CIQ($B75,"IQ_CDS_mid",S$2)</f>
        <v>55.467700000000001</v>
      </c>
      <c r="T75">
        <f ca="1">C75-H75</f>
        <v>-3.4099999999995134E-2</v>
      </c>
      <c r="U75">
        <f ca="1">C75-M75</f>
        <v>-0.28470000000000084</v>
      </c>
      <c r="V75">
        <f ca="1">C75-Q75</f>
        <v>-0.87979999999999592</v>
      </c>
      <c r="W75">
        <f ca="1">C75-R75</f>
        <v>-5.1053999999999959</v>
      </c>
      <c r="X75">
        <f t="shared" ca="1" si="13"/>
        <v>-14.459299999999999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62.207799999999999</v>
      </c>
      <c r="D76">
        <f ca="1">_xll.ciqfunctions.udf.CIQ($B76,"IQ_CDS_mid",D$2)</f>
        <v>62.207799999999999</v>
      </c>
      <c r="E76">
        <f ca="1">_xll.ciqfunctions.udf.CIQ($B76,"IQ_CDS_mid",E$2)</f>
        <v>62.165799999999997</v>
      </c>
      <c r="F76">
        <f ca="1">_xll.ciqfunctions.udf.CIQ($B76,"IQ_CDS_mid",F$2)</f>
        <v>63.653300000000002</v>
      </c>
      <c r="G76">
        <f ca="1">_xll.ciqfunctions.udf.CIQ($B76,"IQ_CDS_mid",G$2)</f>
        <v>63.653300000000002</v>
      </c>
      <c r="H76">
        <f ca="1">_xll.ciqfunctions.udf.CIQ($B76,"IQ_CDS_mid",H$2)</f>
        <v>63.653300000000002</v>
      </c>
      <c r="I76">
        <f ca="1">_xll.ciqfunctions.udf.CIQ($B76,"IQ_CDS_mid",I$2)</f>
        <v>63.594999999999999</v>
      </c>
      <c r="J76">
        <f ca="1">_xll.ciqfunctions.udf.CIQ($B76,"IQ_CDS_mid",J$2)</f>
        <v>64.0749</v>
      </c>
      <c r="K76">
        <f ca="1">_xll.ciqfunctions.udf.CIQ($B76,"IQ_CDS_mid",K$2)</f>
        <v>64.131299999999996</v>
      </c>
      <c r="L76">
        <f ca="1">_xll.ciqfunctions.udf.CIQ($B76,"IQ_CDS_mid",L$2)</f>
        <v>64.544399999999996</v>
      </c>
      <c r="M76">
        <f ca="1">_xll.ciqfunctions.udf.CIQ($B76,"IQ_CDS_mid",M$2)</f>
        <v>65.461699999999993</v>
      </c>
      <c r="N76">
        <f ca="1">_xll.ciqfunctions.udf.CIQ($B76,"IQ_CDS_mid",N$2)</f>
        <v>65.461699999999993</v>
      </c>
      <c r="O76">
        <f ca="1">_xll.ciqfunctions.udf.CIQ($B76,"IQ_CDS_mid",O$2)</f>
        <v>65.461699999999993</v>
      </c>
      <c r="P76">
        <f ca="1">_xll.ciqfunctions.udf.CIQ($B76,"IQ_CDS_mid",P$2)</f>
        <v>64.956400000000002</v>
      </c>
      <c r="Q76">
        <f ca="1">_xll.ciqfunctions.udf.CIQ($B76,"IQ_CDS_mid",Q$2)</f>
        <v>64.746799999999993</v>
      </c>
      <c r="R76">
        <f ca="1">_xll.ciqfunctions.udf.CIQ($B76,"IQ_CDS_mid",R$2)</f>
        <v>70.273700000000005</v>
      </c>
      <c r="S76">
        <f ca="1">_xll.ciqfunctions.udf.CIQ($B76,"IQ_CDS_mid",S$2)</f>
        <v>69.323800000000006</v>
      </c>
      <c r="T76">
        <f ca="1">C76-H76</f>
        <v>-1.4455000000000027</v>
      </c>
      <c r="U76">
        <f ca="1">C76-M76</f>
        <v>-3.2538999999999945</v>
      </c>
      <c r="V76">
        <f ca="1">C76-Q76</f>
        <v>-2.5389999999999944</v>
      </c>
      <c r="W76">
        <f ca="1">C76-R76</f>
        <v>-8.0659000000000063</v>
      </c>
      <c r="X76">
        <f t="shared" ca="1" si="13"/>
        <v>-7.1160000000000068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75.209900000000005</v>
      </c>
      <c r="D77">
        <f ca="1">_xll.ciqfunctions.udf.CIQ($B77,"IQ_CDS_mid",D$2)</f>
        <v>75.209900000000005</v>
      </c>
      <c r="E77">
        <f ca="1">_xll.ciqfunctions.udf.CIQ($B77,"IQ_CDS_mid",E$2)</f>
        <v>74.622</v>
      </c>
      <c r="F77">
        <f ca="1">_xll.ciqfunctions.udf.CIQ($B77,"IQ_CDS_mid",F$2)</f>
        <v>75.218100000000007</v>
      </c>
      <c r="G77">
        <f ca="1">_xll.ciqfunctions.udf.CIQ($B77,"IQ_CDS_mid",G$2)</f>
        <v>75.218100000000007</v>
      </c>
      <c r="H77">
        <f ca="1">_xll.ciqfunctions.udf.CIQ($B77,"IQ_CDS_mid",H$2)</f>
        <v>75.218100000000007</v>
      </c>
      <c r="I77">
        <f ca="1">_xll.ciqfunctions.udf.CIQ($B77,"IQ_CDS_mid",I$2)</f>
        <v>75.213499999999996</v>
      </c>
      <c r="J77">
        <f ca="1">_xll.ciqfunctions.udf.CIQ($B77,"IQ_CDS_mid",J$2)</f>
        <v>75.210700000000003</v>
      </c>
      <c r="K77">
        <f ca="1">_xll.ciqfunctions.udf.CIQ($B77,"IQ_CDS_mid",K$2)</f>
        <v>74.631799999999998</v>
      </c>
      <c r="L77">
        <f ca="1">_xll.ciqfunctions.udf.CIQ($B77,"IQ_CDS_mid",L$2)</f>
        <v>75.213800000000006</v>
      </c>
      <c r="M77">
        <f ca="1">_xll.ciqfunctions.udf.CIQ($B77,"IQ_CDS_mid",M$2)</f>
        <v>74.887900000000002</v>
      </c>
      <c r="N77">
        <f ca="1">_xll.ciqfunctions.udf.CIQ($B77,"IQ_CDS_mid",N$2)</f>
        <v>74.887900000000002</v>
      </c>
      <c r="O77">
        <f ca="1">_xll.ciqfunctions.udf.CIQ($B77,"IQ_CDS_mid",O$2)</f>
        <v>74.887900000000002</v>
      </c>
      <c r="P77">
        <f ca="1">_xll.ciqfunctions.udf.CIQ($B77,"IQ_CDS_mid",P$2)</f>
        <v>75.887900000000002</v>
      </c>
      <c r="Q77">
        <f ca="1">_xll.ciqfunctions.udf.CIQ($B77,"IQ_CDS_mid",Q$2)</f>
        <v>75.878399999999999</v>
      </c>
      <c r="R77">
        <f ca="1">_xll.ciqfunctions.udf.CIQ($B77,"IQ_CDS_mid",R$2)</f>
        <v>74.135499999999993</v>
      </c>
      <c r="S77">
        <f ca="1">_xll.ciqfunctions.udf.CIQ($B77,"IQ_CDS_mid",S$2)</f>
        <v>78.5244</v>
      </c>
      <c r="T77">
        <f ca="1">C77-H77</f>
        <v>-8.2000000000022055E-3</v>
      </c>
      <c r="U77">
        <f ca="1">C77-M77</f>
        <v>0.32200000000000273</v>
      </c>
      <c r="V77">
        <f ca="1">C77-Q77</f>
        <v>-0.66849999999999454</v>
      </c>
      <c r="W77">
        <f ca="1">C77-R77</f>
        <v>1.0744000000000113</v>
      </c>
      <c r="X77">
        <f t="shared" ca="1" si="13"/>
        <v>-3.3144999999999953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61.166699999999999</v>
      </c>
      <c r="D79">
        <f ca="1">_xll.ciqfunctions.udf.CIQ($B79,"IQ_CDS_mid",D$2)</f>
        <v>61.166699999999999</v>
      </c>
      <c r="E79">
        <f ca="1">_xll.ciqfunctions.udf.CIQ($B79,"IQ_CDS_mid",E$2)</f>
        <v>61.166699999999999</v>
      </c>
      <c r="F79">
        <f ca="1">_xll.ciqfunctions.udf.CIQ($B79,"IQ_CDS_mid",F$2)</f>
        <v>61.166699999999999</v>
      </c>
      <c r="G79">
        <f ca="1">_xll.ciqfunctions.udf.CIQ($B79,"IQ_CDS_mid",G$2)</f>
        <v>61.166699999999999</v>
      </c>
      <c r="H79">
        <f ca="1">_xll.ciqfunctions.udf.CIQ($B79,"IQ_CDS_mid",H$2)</f>
        <v>61.166699999999999</v>
      </c>
      <c r="I79">
        <f ca="1">_xll.ciqfunctions.udf.CIQ($B79,"IQ_CDS_mid",I$2)</f>
        <v>61.166699999999999</v>
      </c>
      <c r="J79">
        <f ca="1">_xll.ciqfunctions.udf.CIQ($B79,"IQ_CDS_mid",J$2)</f>
        <v>61.5</v>
      </c>
      <c r="K79">
        <f ca="1">_xll.ciqfunctions.udf.CIQ($B79,"IQ_CDS_mid",K$2)</f>
        <v>61.5</v>
      </c>
      <c r="L79">
        <f ca="1">_xll.ciqfunctions.udf.CIQ($B79,"IQ_CDS_mid",L$2)</f>
        <v>61.5</v>
      </c>
      <c r="M79">
        <f ca="1">_xll.ciqfunctions.udf.CIQ($B79,"IQ_CDS_mid",M$2)</f>
        <v>61.5</v>
      </c>
      <c r="N79">
        <f ca="1">_xll.ciqfunctions.udf.CIQ($B79,"IQ_CDS_mid",N$2)</f>
        <v>61.5</v>
      </c>
      <c r="O79">
        <f ca="1">_xll.ciqfunctions.udf.CIQ($B79,"IQ_CDS_mid",O$2)</f>
        <v>61.5</v>
      </c>
      <c r="P79">
        <f ca="1">_xll.ciqfunctions.udf.CIQ($B79,"IQ_CDS_mid",P$2)</f>
        <v>61.5</v>
      </c>
      <c r="Q79">
        <f ca="1">_xll.ciqfunctions.udf.CIQ($B79,"IQ_CDS_mid",Q$2)</f>
        <v>61.666699999999999</v>
      </c>
      <c r="R79">
        <f ca="1">_xll.ciqfunctions.udf.CIQ($B79,"IQ_CDS_mid",R$2)</f>
        <v>63.5</v>
      </c>
      <c r="S79">
        <f ca="1">_xll.ciqfunctions.udf.CIQ($B79,"IQ_CDS_mid",S$2)</f>
        <v>40.875500000000002</v>
      </c>
      <c r="T79">
        <f t="shared" ref="T79:T84" ca="1" si="18">C79-H79</f>
        <v>0</v>
      </c>
      <c r="U79">
        <f t="shared" ref="U79:U84" ca="1" si="19">C79-M79</f>
        <v>-0.33330000000000126</v>
      </c>
      <c r="V79">
        <f t="shared" ref="V79:V84" ca="1" si="20">C79-Q79</f>
        <v>-0.5</v>
      </c>
      <c r="W79">
        <f t="shared" ref="W79:W84" ca="1" si="21">C79-R79</f>
        <v>-2.3333000000000013</v>
      </c>
      <c r="X79">
        <f t="shared" ca="1" si="13"/>
        <v>20.291199999999996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57.834099999999999</v>
      </c>
      <c r="D80">
        <f ca="1">_xll.ciqfunctions.udf.CIQ($B80,"IQ_CDS_mid",D$2)</f>
        <v>57.834099999999999</v>
      </c>
      <c r="E80">
        <f ca="1">_xll.ciqfunctions.udf.CIQ($B80,"IQ_CDS_mid",E$2)</f>
        <v>57.834899999999998</v>
      </c>
      <c r="F80">
        <f ca="1">_xll.ciqfunctions.udf.CIQ($B80,"IQ_CDS_mid",F$2)</f>
        <v>57.836399999999998</v>
      </c>
      <c r="G80">
        <f ca="1">_xll.ciqfunctions.udf.CIQ($B80,"IQ_CDS_mid",G$2)</f>
        <v>57.836399999999998</v>
      </c>
      <c r="H80">
        <f ca="1">_xll.ciqfunctions.udf.CIQ($B80,"IQ_CDS_mid",H$2)</f>
        <v>57.836399999999998</v>
      </c>
      <c r="I80">
        <f ca="1">_xll.ciqfunctions.udf.CIQ($B80,"IQ_CDS_mid",I$2)</f>
        <v>57.837000000000003</v>
      </c>
      <c r="J80">
        <f ca="1">_xll.ciqfunctions.udf.CIQ($B80,"IQ_CDS_mid",J$2)</f>
        <v>56.5</v>
      </c>
      <c r="K80">
        <f ca="1">_xll.ciqfunctions.udf.CIQ($B80,"IQ_CDS_mid",K$2)</f>
        <v>56.5</v>
      </c>
      <c r="L80">
        <f ca="1">_xll.ciqfunctions.udf.CIQ($B80,"IQ_CDS_mid",L$2)</f>
        <v>56.5</v>
      </c>
      <c r="M80">
        <f ca="1">_xll.ciqfunctions.udf.CIQ($B80,"IQ_CDS_mid",M$2)</f>
        <v>56.5</v>
      </c>
      <c r="N80">
        <f ca="1">_xll.ciqfunctions.udf.CIQ($B80,"IQ_CDS_mid",N$2)</f>
        <v>56.5</v>
      </c>
      <c r="O80">
        <f ca="1">_xll.ciqfunctions.udf.CIQ($B80,"IQ_CDS_mid",O$2)</f>
        <v>56.5</v>
      </c>
      <c r="P80">
        <f ca="1">_xll.ciqfunctions.udf.CIQ($B80,"IQ_CDS_mid",P$2)</f>
        <v>56.5</v>
      </c>
      <c r="Q80">
        <f ca="1">_xll.ciqfunctions.udf.CIQ($B80,"IQ_CDS_mid",Q$2)</f>
        <v>56.5</v>
      </c>
      <c r="R80">
        <f ca="1">_xll.ciqfunctions.udf.CIQ($B80,"IQ_CDS_mid",R$2)</f>
        <v>55.5</v>
      </c>
      <c r="S80">
        <f ca="1">_xll.ciqfunctions.udf.CIQ($B80,"IQ_CDS_mid",S$2)</f>
        <v>42.358400000000003</v>
      </c>
      <c r="T80">
        <f t="shared" ca="1" si="18"/>
        <v>-2.2999999999981924E-3</v>
      </c>
      <c r="U80">
        <f t="shared" ca="1" si="19"/>
        <v>1.3340999999999994</v>
      </c>
      <c r="V80">
        <f t="shared" ca="1" si="20"/>
        <v>1.3340999999999994</v>
      </c>
      <c r="W80">
        <f t="shared" ca="1" si="21"/>
        <v>2.3340999999999994</v>
      </c>
      <c r="X80">
        <f t="shared" ca="1" si="13"/>
        <v>15.475699999999996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61.837000000000003</v>
      </c>
      <c r="D81">
        <f ca="1">_xll.ciqfunctions.udf.CIQ($B81,"IQ_CDS_mid",D$2)</f>
        <v>61.837000000000003</v>
      </c>
      <c r="E81">
        <f ca="1">_xll.ciqfunctions.udf.CIQ($B81,"IQ_CDS_mid",E$2)</f>
        <v>62.167299999999997</v>
      </c>
      <c r="F81">
        <f ca="1">_xll.ciqfunctions.udf.CIQ($B81,"IQ_CDS_mid",F$2)</f>
        <v>62.128599999999999</v>
      </c>
      <c r="G81">
        <f ca="1">_xll.ciqfunctions.udf.CIQ($B81,"IQ_CDS_mid",G$2)</f>
        <v>62.128599999999999</v>
      </c>
      <c r="H81">
        <f ca="1">_xll.ciqfunctions.udf.CIQ($B81,"IQ_CDS_mid",H$2)</f>
        <v>62.128599999999999</v>
      </c>
      <c r="I81">
        <f ca="1">_xll.ciqfunctions.udf.CIQ($B81,"IQ_CDS_mid",I$2)</f>
        <v>62.166600000000003</v>
      </c>
      <c r="J81">
        <f ca="1">_xll.ciqfunctions.udf.CIQ($B81,"IQ_CDS_mid",J$2)</f>
        <v>62.506599999999999</v>
      </c>
      <c r="K81">
        <f ca="1">_xll.ciqfunctions.udf.CIQ($B81,"IQ_CDS_mid",K$2)</f>
        <v>62.501300000000001</v>
      </c>
      <c r="L81">
        <f ca="1">_xll.ciqfunctions.udf.CIQ($B81,"IQ_CDS_mid",L$2)</f>
        <v>62.333300000000001</v>
      </c>
      <c r="M81">
        <f ca="1">_xll.ciqfunctions.udf.CIQ($B81,"IQ_CDS_mid",M$2)</f>
        <v>62.100900000000003</v>
      </c>
      <c r="N81">
        <f ca="1">_xll.ciqfunctions.udf.CIQ($B81,"IQ_CDS_mid",N$2)</f>
        <v>62.100900000000003</v>
      </c>
      <c r="O81">
        <f ca="1">_xll.ciqfunctions.udf.CIQ($B81,"IQ_CDS_mid",O$2)</f>
        <v>62.100900000000003</v>
      </c>
      <c r="P81">
        <f ca="1">_xll.ciqfunctions.udf.CIQ($B81,"IQ_CDS_mid",P$2)</f>
        <v>62.1021</v>
      </c>
      <c r="Q81">
        <f ca="1">_xll.ciqfunctions.udf.CIQ($B81,"IQ_CDS_mid",Q$2)</f>
        <v>62.6402</v>
      </c>
      <c r="R81">
        <f ca="1">_xll.ciqfunctions.udf.CIQ($B81,"IQ_CDS_mid",R$2)</f>
        <v>61.8309</v>
      </c>
      <c r="S81">
        <f ca="1">_xll.ciqfunctions.udf.CIQ($B81,"IQ_CDS_mid",S$2)</f>
        <v>43.185400000000001</v>
      </c>
      <c r="T81">
        <f t="shared" ca="1" si="18"/>
        <v>-0.29159999999999542</v>
      </c>
      <c r="U81">
        <f t="shared" ca="1" si="19"/>
        <v>-0.26389999999999958</v>
      </c>
      <c r="V81">
        <f t="shared" ca="1" si="20"/>
        <v>-0.80319999999999681</v>
      </c>
      <c r="W81">
        <f t="shared" ca="1" si="21"/>
        <v>6.100000000003547E-3</v>
      </c>
      <c r="X81">
        <f t="shared" ca="1" si="13"/>
        <v>18.651600000000002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56.315600000000003</v>
      </c>
      <c r="D82">
        <f ca="1">_xll.ciqfunctions.udf.CIQ($B82,"IQ_CDS_mid",D$2)</f>
        <v>56.315600000000003</v>
      </c>
      <c r="E82">
        <f ca="1">_xll.ciqfunctions.udf.CIQ($B82,"IQ_CDS_mid",E$2)</f>
        <v>56</v>
      </c>
      <c r="F82">
        <f ca="1">_xll.ciqfunctions.udf.CIQ($B82,"IQ_CDS_mid",F$2)</f>
        <v>56</v>
      </c>
      <c r="G82">
        <f ca="1">_xll.ciqfunctions.udf.CIQ($B82,"IQ_CDS_mid",G$2)</f>
        <v>56</v>
      </c>
      <c r="H82">
        <f ca="1">_xll.ciqfunctions.udf.CIQ($B82,"IQ_CDS_mid",H$2)</f>
        <v>56</v>
      </c>
      <c r="I82">
        <f ca="1">_xll.ciqfunctions.udf.CIQ($B82,"IQ_CDS_mid",I$2)</f>
        <v>56</v>
      </c>
      <c r="J82">
        <f ca="1">_xll.ciqfunctions.udf.CIQ($B82,"IQ_CDS_mid",J$2)</f>
        <v>56.5</v>
      </c>
      <c r="K82">
        <f ca="1">_xll.ciqfunctions.udf.CIQ($B82,"IQ_CDS_mid",K$2)</f>
        <v>56.5</v>
      </c>
      <c r="L82">
        <f ca="1">_xll.ciqfunctions.udf.CIQ($B82,"IQ_CDS_mid",L$2)</f>
        <v>56.5</v>
      </c>
      <c r="M82">
        <f ca="1">_xll.ciqfunctions.udf.CIQ($B82,"IQ_CDS_mid",M$2)</f>
        <v>56.5</v>
      </c>
      <c r="N82">
        <f ca="1">_xll.ciqfunctions.udf.CIQ($B82,"IQ_CDS_mid",N$2)</f>
        <v>56.5</v>
      </c>
      <c r="O82">
        <f ca="1">_xll.ciqfunctions.udf.CIQ($B82,"IQ_CDS_mid",O$2)</f>
        <v>56.5</v>
      </c>
      <c r="P82">
        <f ca="1">_xll.ciqfunctions.udf.CIQ($B82,"IQ_CDS_mid",P$2)</f>
        <v>56.5</v>
      </c>
      <c r="Q82">
        <f ca="1">_xll.ciqfunctions.udf.CIQ($B82,"IQ_CDS_mid",Q$2)</f>
        <v>56.5</v>
      </c>
      <c r="R82">
        <f ca="1">_xll.ciqfunctions.udf.CIQ($B82,"IQ_CDS_mid",R$2)</f>
        <v>55.5</v>
      </c>
      <c r="S82">
        <f ca="1">_xll.ciqfunctions.udf.CIQ($B82,"IQ_CDS_mid",S$2)</f>
        <v>46.029800000000002</v>
      </c>
      <c r="T82">
        <f t="shared" ca="1" si="18"/>
        <v>0.31560000000000343</v>
      </c>
      <c r="U82">
        <f t="shared" ca="1" si="19"/>
        <v>-0.18439999999999657</v>
      </c>
      <c r="V82">
        <f t="shared" ca="1" si="20"/>
        <v>-0.18439999999999657</v>
      </c>
      <c r="W82">
        <f t="shared" ca="1" si="21"/>
        <v>0.81560000000000343</v>
      </c>
      <c r="X82">
        <f t="shared" ca="1" si="13"/>
        <v>10.285800000000002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60.128599999999999</v>
      </c>
      <c r="D83">
        <f ca="1">_xll.ciqfunctions.udf.CIQ($B83,"IQ_CDS_mid",D$2)</f>
        <v>60.128599999999999</v>
      </c>
      <c r="E83">
        <f ca="1">_xll.ciqfunctions.udf.CIQ($B83,"IQ_CDS_mid",E$2)</f>
        <v>60.285200000000003</v>
      </c>
      <c r="F83">
        <f ca="1">_xll.ciqfunctions.udf.CIQ($B83,"IQ_CDS_mid",F$2)</f>
        <v>60.8123</v>
      </c>
      <c r="G83">
        <f ca="1">_xll.ciqfunctions.udf.CIQ($B83,"IQ_CDS_mid",G$2)</f>
        <v>60.8123</v>
      </c>
      <c r="H83">
        <f ca="1">_xll.ciqfunctions.udf.CIQ($B83,"IQ_CDS_mid",H$2)</f>
        <v>60.8123</v>
      </c>
      <c r="I83">
        <f ca="1">_xll.ciqfunctions.udf.CIQ($B83,"IQ_CDS_mid",I$2)</f>
        <v>60.219499999999996</v>
      </c>
      <c r="J83">
        <f ca="1">_xll.ciqfunctions.udf.CIQ($B83,"IQ_CDS_mid",J$2)</f>
        <v>60.520600000000002</v>
      </c>
      <c r="K83">
        <f ca="1">_xll.ciqfunctions.udf.CIQ($B83,"IQ_CDS_mid",K$2)</f>
        <v>60.506</v>
      </c>
      <c r="L83">
        <f ca="1">_xll.ciqfunctions.udf.CIQ($B83,"IQ_CDS_mid",L$2)</f>
        <v>60.502299999999998</v>
      </c>
      <c r="M83">
        <f ca="1">_xll.ciqfunctions.udf.CIQ($B83,"IQ_CDS_mid",M$2)</f>
        <v>60.500300000000003</v>
      </c>
      <c r="N83">
        <f ca="1">_xll.ciqfunctions.udf.CIQ($B83,"IQ_CDS_mid",N$2)</f>
        <v>60.500300000000003</v>
      </c>
      <c r="O83">
        <f ca="1">_xll.ciqfunctions.udf.CIQ($B83,"IQ_CDS_mid",O$2)</f>
        <v>60.500300000000003</v>
      </c>
      <c r="P83">
        <f ca="1">_xll.ciqfunctions.udf.CIQ($B83,"IQ_CDS_mid",P$2)</f>
        <v>60.453499999999998</v>
      </c>
      <c r="Q83">
        <f ca="1">_xll.ciqfunctions.udf.CIQ($B83,"IQ_CDS_mid",Q$2)</f>
        <v>60.325299999999999</v>
      </c>
      <c r="R83">
        <f ca="1">_xll.ciqfunctions.udf.CIQ($B83,"IQ_CDS_mid",R$2)</f>
        <v>56.1584</v>
      </c>
      <c r="S83">
        <f ca="1">_xll.ciqfunctions.udf.CIQ($B83,"IQ_CDS_mid",S$2)</f>
        <v>41.171599999999998</v>
      </c>
      <c r="T83">
        <f t="shared" ca="1" si="18"/>
        <v>-0.68370000000000175</v>
      </c>
      <c r="U83">
        <f t="shared" ca="1" si="19"/>
        <v>-0.37170000000000414</v>
      </c>
      <c r="V83">
        <f t="shared" ca="1" si="20"/>
        <v>-0.19669999999999987</v>
      </c>
      <c r="W83">
        <f t="shared" ca="1" si="21"/>
        <v>3.9701999999999984</v>
      </c>
      <c r="X83">
        <f t="shared" ca="1" si="13"/>
        <v>18.957000000000001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59.969299999999997</v>
      </c>
      <c r="D84">
        <f ca="1">_xll.ciqfunctions.udf.CIQ($B84,"IQ_CDS_mid",D$2)</f>
        <v>59.969299999999997</v>
      </c>
      <c r="E84">
        <f ca="1">_xll.ciqfunctions.udf.CIQ($B84,"IQ_CDS_mid",E$2)</f>
        <v>59.9754</v>
      </c>
      <c r="F84">
        <f ca="1">_xll.ciqfunctions.udf.CIQ($B84,"IQ_CDS_mid",F$2)</f>
        <v>60.006599999999999</v>
      </c>
      <c r="G84">
        <f ca="1">_xll.ciqfunctions.udf.CIQ($B84,"IQ_CDS_mid",G$2)</f>
        <v>60.006599999999999</v>
      </c>
      <c r="H84">
        <f ca="1">_xll.ciqfunctions.udf.CIQ($B84,"IQ_CDS_mid",H$2)</f>
        <v>60.006599999999999</v>
      </c>
      <c r="I84">
        <f ca="1">_xll.ciqfunctions.udf.CIQ($B84,"IQ_CDS_mid",I$2)</f>
        <v>60.068199999999997</v>
      </c>
      <c r="J84">
        <f ca="1">_xll.ciqfunctions.udf.CIQ($B84,"IQ_CDS_mid",J$2)</f>
        <v>60.554099999999998</v>
      </c>
      <c r="K84">
        <f ca="1">_xll.ciqfunctions.udf.CIQ($B84,"IQ_CDS_mid",K$2)</f>
        <v>60.538899999999998</v>
      </c>
      <c r="L84">
        <f ca="1">_xll.ciqfunctions.udf.CIQ($B84,"IQ_CDS_mid",L$2)</f>
        <v>60.4801</v>
      </c>
      <c r="M84">
        <f ca="1">_xll.ciqfunctions.udf.CIQ($B84,"IQ_CDS_mid",M$2)</f>
        <v>60.514899999999997</v>
      </c>
      <c r="N84">
        <f ca="1">_xll.ciqfunctions.udf.CIQ($B84,"IQ_CDS_mid",N$2)</f>
        <v>60.514899999999997</v>
      </c>
      <c r="O84">
        <f ca="1">_xll.ciqfunctions.udf.CIQ($B84,"IQ_CDS_mid",O$2)</f>
        <v>60.514899999999997</v>
      </c>
      <c r="P84">
        <f ca="1">_xll.ciqfunctions.udf.CIQ($B84,"IQ_CDS_mid",P$2)</f>
        <v>60.530200000000001</v>
      </c>
      <c r="Q84">
        <f ca="1">_xll.ciqfunctions.udf.CIQ($B84,"IQ_CDS_mid",Q$2)</f>
        <v>60.465000000000003</v>
      </c>
      <c r="R84">
        <f ca="1">_xll.ciqfunctions.udf.CIQ($B84,"IQ_CDS_mid",R$2)</f>
        <v>54.200899999999997</v>
      </c>
      <c r="S84">
        <f ca="1">_xll.ciqfunctions.udf.CIQ($B84,"IQ_CDS_mid",S$2)</f>
        <v>52.0242</v>
      </c>
      <c r="T84">
        <f t="shared" ca="1" si="18"/>
        <v>-3.7300000000001887E-2</v>
      </c>
      <c r="U84">
        <f t="shared" ca="1" si="19"/>
        <v>-0.54560000000000031</v>
      </c>
      <c r="V84">
        <f t="shared" ca="1" si="20"/>
        <v>-0.49570000000000647</v>
      </c>
      <c r="W84">
        <f t="shared" ca="1" si="21"/>
        <v>5.7683999999999997</v>
      </c>
      <c r="X84">
        <f t="shared" ca="1" si="13"/>
        <v>7.9450999999999965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2026-07-22T17:43:17Z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