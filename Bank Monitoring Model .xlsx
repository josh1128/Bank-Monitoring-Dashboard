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nkofcanada-my.sharepoint.com/personal/evjo_bank-banque-canada_ca/Documents/Monitoring Database/"/>
    </mc:Choice>
  </mc:AlternateContent>
  <xr:revisionPtr revIDLastSave="9428" documentId="8_{CDDB89CF-5CE4-4A65-99F7-7EF0C0A12C4C}" xr6:coauthVersionLast="47" xr6:coauthVersionMax="47" xr10:uidLastSave="{EA540298-03AC-49FA-804D-E55217908C50}"/>
  <bookViews>
    <workbookView minimized="1" xWindow="4700" yWindow="2300" windowWidth="14400" windowHeight="8980" firstSheet="1" activeTab="1" xr2:uid="{A93B9CC2-92A3-4946-B0CF-93E1751ADFB7}"/>
  </bookViews>
  <sheets>
    <sheet name="_CIQHiddenCacheSheet" sheetId="497" state="veryHidden" r:id="rId1"/>
    <sheet name="Report" sheetId="1" r:id="rId2"/>
    <sheet name="Risk Score Model" sheetId="466" r:id="rId3"/>
    <sheet name="CDS from CapitalIQ" sheetId="3" r:id="rId4"/>
  </sheets>
  <externalReferences>
    <externalReference r:id="rId5"/>
  </externalReferences>
  <definedNames>
    <definedName name="bank_bloom">'[1]Bloomberg Codes'!$N$2:$U$23</definedName>
    <definedName name="CIQWBGuid" hidden="1">"3bb31577-ff3c-46f1-b22e-06a03609f214"</definedName>
    <definedName name="CIQWBInfo" hidden="1">"{ ""CIQVersion"":""9.51.3510.3078"" }"</definedName>
    <definedName name="date_cds">OFFSET(#REF!,0,0,1,COUNTA(#REF!))</definedName>
    <definedName name="date_fx">OFFSET(#REF!,0,0,1,COUNTA(#REF!))</definedName>
    <definedName name="date_lookup">'[1]Sovereign Indicators'!$C$1</definedName>
    <definedName name="date_stock">OFFSET(#REF!,0,0,1,COUNTA(#REF!))</definedName>
    <definedName name="graph_cds_change">OFFSET(#REF!,0,0,1,COUNTA(#REF!))</definedName>
    <definedName name="graph_cds_level">OFFSET(#REF!,0,0,1,COUNTA(#REF!))</definedName>
    <definedName name="graph_fx_change">OFFSET(#REF!,0,0,1,COUNTA(#REF!))</definedName>
    <definedName name="graph_stock_change">OFFSET(#REF!,0,0,1,COUNTA(#REF!))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"06/17/2026 20:53:41"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sov_bloom">'[1]Bloomberg Codes'!$A$3:$J$43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3" l="1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X7" i="3"/>
  <c r="X21" i="3"/>
  <c r="X30" i="3"/>
  <c r="X43" i="3"/>
  <c r="X45" i="3"/>
  <c r="X46" i="3"/>
  <c r="X47" i="3"/>
  <c r="X55" i="3"/>
  <c r="X59" i="3"/>
  <c r="X62" i="3"/>
  <c r="X67" i="3"/>
  <c r="X70" i="3"/>
  <c r="X72" i="3"/>
  <c r="X78" i="3"/>
  <c r="C3" i="3"/>
  <c r="C4" i="3"/>
  <c r="C5" i="3"/>
  <c r="C6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2" i="3"/>
  <c r="C23" i="3"/>
  <c r="C24" i="3"/>
  <c r="C25" i="3"/>
  <c r="C26" i="3"/>
  <c r="C27" i="3"/>
  <c r="C28" i="3"/>
  <c r="C29" i="3"/>
  <c r="C31" i="3"/>
  <c r="C32" i="3"/>
  <c r="C33" i="3"/>
  <c r="C34" i="3"/>
  <c r="C35" i="3"/>
  <c r="C36" i="3"/>
  <c r="C37" i="3"/>
  <c r="C38" i="3"/>
  <c r="C39" i="3"/>
  <c r="C40" i="3"/>
  <c r="C42" i="3"/>
  <c r="C44" i="3"/>
  <c r="C48" i="3"/>
  <c r="C49" i="3"/>
  <c r="C50" i="3"/>
  <c r="C51" i="3"/>
  <c r="C52" i="3"/>
  <c r="C53" i="3"/>
  <c r="C54" i="3"/>
  <c r="C56" i="3"/>
  <c r="C57" i="3"/>
  <c r="C58" i="3"/>
  <c r="C60" i="3"/>
  <c r="C61" i="3"/>
  <c r="C63" i="3"/>
  <c r="C64" i="3"/>
  <c r="C65" i="3"/>
  <c r="C66" i="3"/>
  <c r="C68" i="3"/>
  <c r="C69" i="3"/>
  <c r="C71" i="3"/>
  <c r="C73" i="3"/>
  <c r="C74" i="3"/>
  <c r="C75" i="3"/>
  <c r="C76" i="3"/>
  <c r="C77" i="3"/>
  <c r="C79" i="3"/>
  <c r="C80" i="3"/>
  <c r="C81" i="3"/>
  <c r="C82" i="3"/>
  <c r="C83" i="3"/>
  <c r="C84" i="3"/>
  <c r="D3" i="3"/>
  <c r="D4" i="3"/>
  <c r="D5" i="3"/>
  <c r="D6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3" i="3"/>
  <c r="D24" i="3"/>
  <c r="D25" i="3"/>
  <c r="D26" i="3"/>
  <c r="D27" i="3"/>
  <c r="D28" i="3"/>
  <c r="D29" i="3"/>
  <c r="D31" i="3"/>
  <c r="D32" i="3"/>
  <c r="D33" i="3"/>
  <c r="D34" i="3"/>
  <c r="D35" i="3"/>
  <c r="D36" i="3"/>
  <c r="D37" i="3"/>
  <c r="D38" i="3"/>
  <c r="D39" i="3"/>
  <c r="D40" i="3"/>
  <c r="D42" i="3"/>
  <c r="D44" i="3"/>
  <c r="D48" i="3"/>
  <c r="D49" i="3"/>
  <c r="D50" i="3"/>
  <c r="D51" i="3"/>
  <c r="D52" i="3"/>
  <c r="D53" i="3"/>
  <c r="D54" i="3"/>
  <c r="D56" i="3"/>
  <c r="D57" i="3"/>
  <c r="D58" i="3"/>
  <c r="D60" i="3"/>
  <c r="D61" i="3"/>
  <c r="D63" i="3"/>
  <c r="D64" i="3"/>
  <c r="D65" i="3"/>
  <c r="D66" i="3"/>
  <c r="D68" i="3"/>
  <c r="D69" i="3"/>
  <c r="D71" i="3"/>
  <c r="D73" i="3"/>
  <c r="D74" i="3"/>
  <c r="D75" i="3"/>
  <c r="D76" i="3"/>
  <c r="D77" i="3"/>
  <c r="D79" i="3"/>
  <c r="D80" i="3"/>
  <c r="D81" i="3"/>
  <c r="D82" i="3"/>
  <c r="D83" i="3"/>
  <c r="D84" i="3"/>
  <c r="J3" i="3"/>
  <c r="J4" i="3"/>
  <c r="J5" i="3"/>
  <c r="J6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2" i="3"/>
  <c r="J23" i="3"/>
  <c r="J24" i="3"/>
  <c r="J25" i="3"/>
  <c r="J26" i="3"/>
  <c r="J27" i="3"/>
  <c r="J28" i="3"/>
  <c r="J29" i="3"/>
  <c r="J31" i="3"/>
  <c r="J32" i="3"/>
  <c r="J33" i="3"/>
  <c r="J34" i="3"/>
  <c r="J35" i="3"/>
  <c r="J36" i="3"/>
  <c r="J37" i="3"/>
  <c r="J38" i="3"/>
  <c r="J39" i="3"/>
  <c r="J40" i="3"/>
  <c r="J42" i="3"/>
  <c r="J44" i="3"/>
  <c r="J48" i="3"/>
  <c r="J49" i="3"/>
  <c r="J50" i="3"/>
  <c r="J51" i="3"/>
  <c r="J52" i="3"/>
  <c r="J53" i="3"/>
  <c r="J54" i="3"/>
  <c r="J56" i="3"/>
  <c r="J57" i="3"/>
  <c r="J58" i="3"/>
  <c r="J60" i="3"/>
  <c r="J61" i="3"/>
  <c r="J63" i="3"/>
  <c r="J64" i="3"/>
  <c r="J65" i="3"/>
  <c r="J66" i="3"/>
  <c r="J68" i="3"/>
  <c r="J69" i="3"/>
  <c r="J71" i="3"/>
  <c r="J73" i="3"/>
  <c r="J74" i="3"/>
  <c r="J75" i="3"/>
  <c r="J76" i="3"/>
  <c r="J77" i="3"/>
  <c r="J79" i="3"/>
  <c r="J80" i="3"/>
  <c r="J81" i="3"/>
  <c r="J82" i="3"/>
  <c r="J83" i="3"/>
  <c r="J84" i="3"/>
  <c r="E3" i="3"/>
  <c r="E4" i="3"/>
  <c r="E5" i="3"/>
  <c r="E6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2" i="3"/>
  <c r="E23" i="3"/>
  <c r="E24" i="3"/>
  <c r="E25" i="3"/>
  <c r="E26" i="3"/>
  <c r="E27" i="3"/>
  <c r="E28" i="3"/>
  <c r="E29" i="3"/>
  <c r="E31" i="3"/>
  <c r="E32" i="3"/>
  <c r="E33" i="3"/>
  <c r="E34" i="3"/>
  <c r="E35" i="3"/>
  <c r="E36" i="3"/>
  <c r="E37" i="3"/>
  <c r="E38" i="3"/>
  <c r="E39" i="3"/>
  <c r="E40" i="3"/>
  <c r="E42" i="3"/>
  <c r="E44" i="3"/>
  <c r="E48" i="3"/>
  <c r="E49" i="3"/>
  <c r="E50" i="3"/>
  <c r="E51" i="3"/>
  <c r="E52" i="3"/>
  <c r="E53" i="3"/>
  <c r="E54" i="3"/>
  <c r="E56" i="3"/>
  <c r="E57" i="3"/>
  <c r="E58" i="3"/>
  <c r="E60" i="3"/>
  <c r="E61" i="3"/>
  <c r="E63" i="3"/>
  <c r="E64" i="3"/>
  <c r="E65" i="3"/>
  <c r="E66" i="3"/>
  <c r="E68" i="3"/>
  <c r="E69" i="3"/>
  <c r="E71" i="3"/>
  <c r="E73" i="3"/>
  <c r="E74" i="3"/>
  <c r="E75" i="3"/>
  <c r="E76" i="3"/>
  <c r="E77" i="3"/>
  <c r="E79" i="3"/>
  <c r="E80" i="3"/>
  <c r="E81" i="3"/>
  <c r="E82" i="3"/>
  <c r="E83" i="3"/>
  <c r="E84" i="3"/>
  <c r="H3" i="3"/>
  <c r="H4" i="3"/>
  <c r="H5" i="3"/>
  <c r="H6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2" i="3"/>
  <c r="H23" i="3"/>
  <c r="H24" i="3"/>
  <c r="H25" i="3"/>
  <c r="H26" i="3"/>
  <c r="H27" i="3"/>
  <c r="H28" i="3"/>
  <c r="H29" i="3"/>
  <c r="H31" i="3"/>
  <c r="H32" i="3"/>
  <c r="H33" i="3"/>
  <c r="H34" i="3"/>
  <c r="H35" i="3"/>
  <c r="H36" i="3"/>
  <c r="H37" i="3"/>
  <c r="H38" i="3"/>
  <c r="H39" i="3"/>
  <c r="H40" i="3"/>
  <c r="H42" i="3"/>
  <c r="H44" i="3"/>
  <c r="H48" i="3"/>
  <c r="H49" i="3"/>
  <c r="H50" i="3"/>
  <c r="H51" i="3"/>
  <c r="H52" i="3"/>
  <c r="H53" i="3"/>
  <c r="H54" i="3"/>
  <c r="H56" i="3"/>
  <c r="H57" i="3"/>
  <c r="H58" i="3"/>
  <c r="H60" i="3"/>
  <c r="H61" i="3"/>
  <c r="H63" i="3"/>
  <c r="H64" i="3"/>
  <c r="H65" i="3"/>
  <c r="H66" i="3"/>
  <c r="H68" i="3"/>
  <c r="H69" i="3"/>
  <c r="H71" i="3"/>
  <c r="H73" i="3"/>
  <c r="H74" i="3"/>
  <c r="H75" i="3"/>
  <c r="H76" i="3"/>
  <c r="H77" i="3"/>
  <c r="H79" i="3"/>
  <c r="H80" i="3"/>
  <c r="H81" i="3"/>
  <c r="H82" i="3"/>
  <c r="H83" i="3"/>
  <c r="H84" i="3"/>
  <c r="F3" i="3"/>
  <c r="F4" i="3"/>
  <c r="F5" i="3"/>
  <c r="F6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2" i="3"/>
  <c r="F23" i="3"/>
  <c r="F24" i="3"/>
  <c r="F25" i="3"/>
  <c r="F26" i="3"/>
  <c r="F27" i="3"/>
  <c r="F28" i="3"/>
  <c r="F29" i="3"/>
  <c r="F31" i="3"/>
  <c r="F32" i="3"/>
  <c r="F33" i="3"/>
  <c r="F34" i="3"/>
  <c r="F35" i="3"/>
  <c r="F36" i="3"/>
  <c r="F37" i="3"/>
  <c r="F38" i="3"/>
  <c r="F39" i="3"/>
  <c r="F40" i="3"/>
  <c r="F42" i="3"/>
  <c r="F44" i="3"/>
  <c r="F48" i="3"/>
  <c r="F49" i="3"/>
  <c r="F50" i="3"/>
  <c r="F51" i="3"/>
  <c r="F52" i="3"/>
  <c r="F53" i="3"/>
  <c r="F54" i="3"/>
  <c r="F56" i="3"/>
  <c r="F57" i="3"/>
  <c r="F58" i="3"/>
  <c r="F60" i="3"/>
  <c r="F61" i="3"/>
  <c r="F63" i="3"/>
  <c r="F64" i="3"/>
  <c r="F65" i="3"/>
  <c r="F66" i="3"/>
  <c r="F68" i="3"/>
  <c r="F69" i="3"/>
  <c r="F71" i="3"/>
  <c r="F73" i="3"/>
  <c r="F74" i="3"/>
  <c r="F75" i="3"/>
  <c r="F76" i="3"/>
  <c r="F77" i="3"/>
  <c r="F79" i="3"/>
  <c r="F80" i="3"/>
  <c r="F81" i="3"/>
  <c r="F82" i="3"/>
  <c r="F83" i="3"/>
  <c r="F84" i="3"/>
  <c r="G3" i="3"/>
  <c r="G4" i="3"/>
  <c r="G5" i="3"/>
  <c r="G6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2" i="3"/>
  <c r="G23" i="3"/>
  <c r="G24" i="3"/>
  <c r="G25" i="3"/>
  <c r="G26" i="3"/>
  <c r="G27" i="3"/>
  <c r="G28" i="3"/>
  <c r="G29" i="3"/>
  <c r="G31" i="3"/>
  <c r="G32" i="3"/>
  <c r="G33" i="3"/>
  <c r="G34" i="3"/>
  <c r="G35" i="3"/>
  <c r="G36" i="3"/>
  <c r="G37" i="3"/>
  <c r="G38" i="3"/>
  <c r="G39" i="3"/>
  <c r="G40" i="3"/>
  <c r="G42" i="3"/>
  <c r="G44" i="3"/>
  <c r="G48" i="3"/>
  <c r="G49" i="3"/>
  <c r="G50" i="3"/>
  <c r="G51" i="3"/>
  <c r="G52" i="3"/>
  <c r="G53" i="3"/>
  <c r="G54" i="3"/>
  <c r="G56" i="3"/>
  <c r="G57" i="3"/>
  <c r="G58" i="3"/>
  <c r="G60" i="3"/>
  <c r="G61" i="3"/>
  <c r="G63" i="3"/>
  <c r="G64" i="3"/>
  <c r="G65" i="3"/>
  <c r="G66" i="3"/>
  <c r="G68" i="3"/>
  <c r="G69" i="3"/>
  <c r="G71" i="3"/>
  <c r="G73" i="3"/>
  <c r="G74" i="3"/>
  <c r="G75" i="3"/>
  <c r="G76" i="3"/>
  <c r="G77" i="3"/>
  <c r="G79" i="3"/>
  <c r="G80" i="3"/>
  <c r="G81" i="3"/>
  <c r="G82" i="3"/>
  <c r="G83" i="3"/>
  <c r="G84" i="3"/>
  <c r="I3" i="3"/>
  <c r="I4" i="3"/>
  <c r="I5" i="3"/>
  <c r="I6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2" i="3"/>
  <c r="I23" i="3"/>
  <c r="I24" i="3"/>
  <c r="I25" i="3"/>
  <c r="I26" i="3"/>
  <c r="I27" i="3"/>
  <c r="I28" i="3"/>
  <c r="I29" i="3"/>
  <c r="I31" i="3"/>
  <c r="I32" i="3"/>
  <c r="I33" i="3"/>
  <c r="I34" i="3"/>
  <c r="I35" i="3"/>
  <c r="I36" i="3"/>
  <c r="I37" i="3"/>
  <c r="I38" i="3"/>
  <c r="I39" i="3"/>
  <c r="I40" i="3"/>
  <c r="I42" i="3"/>
  <c r="I44" i="3"/>
  <c r="I48" i="3"/>
  <c r="I49" i="3"/>
  <c r="I50" i="3"/>
  <c r="I51" i="3"/>
  <c r="I52" i="3"/>
  <c r="I53" i="3"/>
  <c r="I54" i="3"/>
  <c r="I56" i="3"/>
  <c r="I57" i="3"/>
  <c r="I58" i="3"/>
  <c r="I60" i="3"/>
  <c r="I61" i="3"/>
  <c r="I63" i="3"/>
  <c r="I64" i="3"/>
  <c r="I65" i="3"/>
  <c r="I66" i="3"/>
  <c r="I68" i="3"/>
  <c r="I69" i="3"/>
  <c r="I71" i="3"/>
  <c r="I73" i="3"/>
  <c r="I74" i="3"/>
  <c r="I75" i="3"/>
  <c r="I76" i="3"/>
  <c r="I77" i="3"/>
  <c r="I79" i="3"/>
  <c r="I80" i="3"/>
  <c r="I81" i="3"/>
  <c r="I82" i="3"/>
  <c r="I83" i="3"/>
  <c r="I84" i="3"/>
  <c r="K3" i="3"/>
  <c r="K4" i="3"/>
  <c r="K5" i="3"/>
  <c r="K6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2" i="3"/>
  <c r="K23" i="3"/>
  <c r="K24" i="3"/>
  <c r="K25" i="3"/>
  <c r="K26" i="3"/>
  <c r="K27" i="3"/>
  <c r="K28" i="3"/>
  <c r="K29" i="3"/>
  <c r="K31" i="3"/>
  <c r="K32" i="3"/>
  <c r="K33" i="3"/>
  <c r="K34" i="3"/>
  <c r="K35" i="3"/>
  <c r="K36" i="3"/>
  <c r="K37" i="3"/>
  <c r="K38" i="3"/>
  <c r="K39" i="3"/>
  <c r="K40" i="3"/>
  <c r="K42" i="3"/>
  <c r="K44" i="3"/>
  <c r="K48" i="3"/>
  <c r="K49" i="3"/>
  <c r="K50" i="3"/>
  <c r="K51" i="3"/>
  <c r="K52" i="3"/>
  <c r="K53" i="3"/>
  <c r="K54" i="3"/>
  <c r="K56" i="3"/>
  <c r="K57" i="3"/>
  <c r="K58" i="3"/>
  <c r="K60" i="3"/>
  <c r="K61" i="3"/>
  <c r="K63" i="3"/>
  <c r="K64" i="3"/>
  <c r="K65" i="3"/>
  <c r="K66" i="3"/>
  <c r="K68" i="3"/>
  <c r="K69" i="3"/>
  <c r="K71" i="3"/>
  <c r="K73" i="3"/>
  <c r="K74" i="3"/>
  <c r="K75" i="3"/>
  <c r="K76" i="3"/>
  <c r="K77" i="3"/>
  <c r="K79" i="3"/>
  <c r="K80" i="3"/>
  <c r="K81" i="3"/>
  <c r="K82" i="3"/>
  <c r="K83" i="3"/>
  <c r="K84" i="3"/>
  <c r="M3" i="3"/>
  <c r="M4" i="3"/>
  <c r="M5" i="3"/>
  <c r="M6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2" i="3"/>
  <c r="M23" i="3"/>
  <c r="M24" i="3"/>
  <c r="M25" i="3"/>
  <c r="M26" i="3"/>
  <c r="M27" i="3"/>
  <c r="M28" i="3"/>
  <c r="M29" i="3"/>
  <c r="M31" i="3"/>
  <c r="M32" i="3"/>
  <c r="M33" i="3"/>
  <c r="M34" i="3"/>
  <c r="M35" i="3"/>
  <c r="M36" i="3"/>
  <c r="M37" i="3"/>
  <c r="M38" i="3"/>
  <c r="M39" i="3"/>
  <c r="M40" i="3"/>
  <c r="M42" i="3"/>
  <c r="M44" i="3"/>
  <c r="M48" i="3"/>
  <c r="M49" i="3"/>
  <c r="M50" i="3"/>
  <c r="M51" i="3"/>
  <c r="M52" i="3"/>
  <c r="M53" i="3"/>
  <c r="M54" i="3"/>
  <c r="M56" i="3"/>
  <c r="M57" i="3"/>
  <c r="M58" i="3"/>
  <c r="M60" i="3"/>
  <c r="M61" i="3"/>
  <c r="M63" i="3"/>
  <c r="M64" i="3"/>
  <c r="M65" i="3"/>
  <c r="M66" i="3"/>
  <c r="M68" i="3"/>
  <c r="M69" i="3"/>
  <c r="M71" i="3"/>
  <c r="M73" i="3"/>
  <c r="M74" i="3"/>
  <c r="M75" i="3"/>
  <c r="M76" i="3"/>
  <c r="M77" i="3"/>
  <c r="M79" i="3"/>
  <c r="M80" i="3"/>
  <c r="M81" i="3"/>
  <c r="M82" i="3"/>
  <c r="M83" i="3"/>
  <c r="M84" i="3"/>
  <c r="N3" i="3"/>
  <c r="N4" i="3"/>
  <c r="N5" i="3"/>
  <c r="N6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2" i="3"/>
  <c r="N23" i="3"/>
  <c r="N24" i="3"/>
  <c r="N25" i="3"/>
  <c r="N26" i="3"/>
  <c r="N27" i="3"/>
  <c r="N28" i="3"/>
  <c r="N29" i="3"/>
  <c r="N31" i="3"/>
  <c r="N32" i="3"/>
  <c r="N33" i="3"/>
  <c r="N34" i="3"/>
  <c r="N35" i="3"/>
  <c r="N36" i="3"/>
  <c r="N37" i="3"/>
  <c r="N38" i="3"/>
  <c r="N39" i="3"/>
  <c r="N40" i="3"/>
  <c r="N42" i="3"/>
  <c r="N44" i="3"/>
  <c r="N48" i="3"/>
  <c r="N49" i="3"/>
  <c r="N50" i="3"/>
  <c r="N51" i="3"/>
  <c r="N52" i="3"/>
  <c r="N53" i="3"/>
  <c r="N54" i="3"/>
  <c r="N56" i="3"/>
  <c r="N57" i="3"/>
  <c r="N58" i="3"/>
  <c r="N60" i="3"/>
  <c r="N61" i="3"/>
  <c r="N63" i="3"/>
  <c r="N64" i="3"/>
  <c r="N65" i="3"/>
  <c r="N66" i="3"/>
  <c r="N68" i="3"/>
  <c r="N69" i="3"/>
  <c r="N71" i="3"/>
  <c r="N73" i="3"/>
  <c r="N74" i="3"/>
  <c r="N75" i="3"/>
  <c r="N76" i="3"/>
  <c r="N77" i="3"/>
  <c r="N79" i="3"/>
  <c r="N80" i="3"/>
  <c r="N81" i="3"/>
  <c r="N82" i="3"/>
  <c r="N83" i="3"/>
  <c r="N84" i="3"/>
  <c r="P3" i="3"/>
  <c r="P4" i="3"/>
  <c r="P5" i="3"/>
  <c r="P6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2" i="3"/>
  <c r="P23" i="3"/>
  <c r="P24" i="3"/>
  <c r="P25" i="3"/>
  <c r="P26" i="3"/>
  <c r="P27" i="3"/>
  <c r="P28" i="3"/>
  <c r="P29" i="3"/>
  <c r="P31" i="3"/>
  <c r="P32" i="3"/>
  <c r="P33" i="3"/>
  <c r="P34" i="3"/>
  <c r="P35" i="3"/>
  <c r="P36" i="3"/>
  <c r="P37" i="3"/>
  <c r="P38" i="3"/>
  <c r="P39" i="3"/>
  <c r="P40" i="3"/>
  <c r="P42" i="3"/>
  <c r="P44" i="3"/>
  <c r="P48" i="3"/>
  <c r="P49" i="3"/>
  <c r="P50" i="3"/>
  <c r="P51" i="3"/>
  <c r="P52" i="3"/>
  <c r="P53" i="3"/>
  <c r="P54" i="3"/>
  <c r="P56" i="3"/>
  <c r="P57" i="3"/>
  <c r="P58" i="3"/>
  <c r="P60" i="3"/>
  <c r="P61" i="3"/>
  <c r="P63" i="3"/>
  <c r="P64" i="3"/>
  <c r="P65" i="3"/>
  <c r="P66" i="3"/>
  <c r="P68" i="3"/>
  <c r="P69" i="3"/>
  <c r="P71" i="3"/>
  <c r="P73" i="3"/>
  <c r="P74" i="3"/>
  <c r="P75" i="3"/>
  <c r="P76" i="3"/>
  <c r="P77" i="3"/>
  <c r="P79" i="3"/>
  <c r="P80" i="3"/>
  <c r="P81" i="3"/>
  <c r="P82" i="3"/>
  <c r="P83" i="3"/>
  <c r="P84" i="3"/>
  <c r="L3" i="3"/>
  <c r="L4" i="3"/>
  <c r="L5" i="3"/>
  <c r="L6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2" i="3"/>
  <c r="L23" i="3"/>
  <c r="L24" i="3"/>
  <c r="L25" i="3"/>
  <c r="L26" i="3"/>
  <c r="L27" i="3"/>
  <c r="L28" i="3"/>
  <c r="L29" i="3"/>
  <c r="L31" i="3"/>
  <c r="L32" i="3"/>
  <c r="L33" i="3"/>
  <c r="L34" i="3"/>
  <c r="L35" i="3"/>
  <c r="L36" i="3"/>
  <c r="L37" i="3"/>
  <c r="L38" i="3"/>
  <c r="L39" i="3"/>
  <c r="L40" i="3"/>
  <c r="L42" i="3"/>
  <c r="L44" i="3"/>
  <c r="L48" i="3"/>
  <c r="L49" i="3"/>
  <c r="L50" i="3"/>
  <c r="L51" i="3"/>
  <c r="L52" i="3"/>
  <c r="L53" i="3"/>
  <c r="L54" i="3"/>
  <c r="L56" i="3"/>
  <c r="L57" i="3"/>
  <c r="L58" i="3"/>
  <c r="L60" i="3"/>
  <c r="L61" i="3"/>
  <c r="L63" i="3"/>
  <c r="L64" i="3"/>
  <c r="L65" i="3"/>
  <c r="L66" i="3"/>
  <c r="L68" i="3"/>
  <c r="L69" i="3"/>
  <c r="L71" i="3"/>
  <c r="L73" i="3"/>
  <c r="L74" i="3"/>
  <c r="L75" i="3"/>
  <c r="L76" i="3"/>
  <c r="L77" i="3"/>
  <c r="L79" i="3"/>
  <c r="L80" i="3"/>
  <c r="L81" i="3"/>
  <c r="L82" i="3"/>
  <c r="L83" i="3"/>
  <c r="L84" i="3"/>
  <c r="O3" i="3"/>
  <c r="O4" i="3"/>
  <c r="O5" i="3"/>
  <c r="O6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2" i="3"/>
  <c r="O23" i="3"/>
  <c r="O24" i="3"/>
  <c r="O25" i="3"/>
  <c r="O26" i="3"/>
  <c r="O27" i="3"/>
  <c r="O28" i="3"/>
  <c r="O29" i="3"/>
  <c r="O31" i="3"/>
  <c r="O32" i="3"/>
  <c r="O33" i="3"/>
  <c r="O34" i="3"/>
  <c r="O35" i="3"/>
  <c r="O36" i="3"/>
  <c r="O37" i="3"/>
  <c r="O38" i="3"/>
  <c r="O39" i="3"/>
  <c r="O40" i="3"/>
  <c r="O42" i="3"/>
  <c r="O44" i="3"/>
  <c r="O48" i="3"/>
  <c r="O49" i="3"/>
  <c r="O50" i="3"/>
  <c r="O51" i="3"/>
  <c r="O52" i="3"/>
  <c r="O53" i="3"/>
  <c r="O54" i="3"/>
  <c r="O56" i="3"/>
  <c r="O57" i="3"/>
  <c r="O58" i="3"/>
  <c r="O60" i="3"/>
  <c r="O61" i="3"/>
  <c r="O63" i="3"/>
  <c r="O64" i="3"/>
  <c r="O65" i="3"/>
  <c r="O66" i="3"/>
  <c r="O68" i="3"/>
  <c r="O69" i="3"/>
  <c r="O71" i="3"/>
  <c r="O73" i="3"/>
  <c r="O74" i="3"/>
  <c r="O75" i="3"/>
  <c r="O76" i="3"/>
  <c r="O77" i="3"/>
  <c r="O79" i="3"/>
  <c r="O80" i="3"/>
  <c r="O81" i="3"/>
  <c r="O82" i="3"/>
  <c r="O83" i="3"/>
  <c r="O84" i="3"/>
  <c r="Q3" i="3"/>
  <c r="Q4" i="3"/>
  <c r="Q5" i="3"/>
  <c r="Q6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2" i="3"/>
  <c r="Q23" i="3"/>
  <c r="Q24" i="3"/>
  <c r="Q25" i="3"/>
  <c r="Q26" i="3"/>
  <c r="Q27" i="3"/>
  <c r="Q28" i="3"/>
  <c r="Q29" i="3"/>
  <c r="Q31" i="3"/>
  <c r="Q32" i="3"/>
  <c r="Q33" i="3"/>
  <c r="Q34" i="3"/>
  <c r="Q35" i="3"/>
  <c r="Q36" i="3"/>
  <c r="Q37" i="3"/>
  <c r="Q38" i="3"/>
  <c r="Q39" i="3"/>
  <c r="Q40" i="3"/>
  <c r="Q42" i="3"/>
  <c r="Q44" i="3"/>
  <c r="Q48" i="3"/>
  <c r="Q49" i="3"/>
  <c r="Q50" i="3"/>
  <c r="Q51" i="3"/>
  <c r="Q52" i="3"/>
  <c r="Q53" i="3"/>
  <c r="Q54" i="3"/>
  <c r="Q56" i="3"/>
  <c r="Q57" i="3"/>
  <c r="Q58" i="3"/>
  <c r="Q60" i="3"/>
  <c r="Q61" i="3"/>
  <c r="Q63" i="3"/>
  <c r="Q64" i="3"/>
  <c r="Q65" i="3"/>
  <c r="Q66" i="3"/>
  <c r="Q68" i="3"/>
  <c r="Q69" i="3"/>
  <c r="Q71" i="3"/>
  <c r="Q73" i="3"/>
  <c r="Q74" i="3"/>
  <c r="Q75" i="3"/>
  <c r="Q76" i="3"/>
  <c r="Q77" i="3"/>
  <c r="Q79" i="3"/>
  <c r="Q80" i="3"/>
  <c r="Q81" i="3"/>
  <c r="Q82" i="3"/>
  <c r="Q83" i="3"/>
  <c r="Q84" i="3"/>
  <c r="R3" i="3"/>
  <c r="R4" i="3"/>
  <c r="R5" i="3"/>
  <c r="R6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2" i="3"/>
  <c r="R23" i="3"/>
  <c r="R24" i="3"/>
  <c r="R25" i="3"/>
  <c r="R26" i="3"/>
  <c r="R27" i="3"/>
  <c r="R28" i="3"/>
  <c r="R29" i="3"/>
  <c r="R31" i="3"/>
  <c r="R32" i="3"/>
  <c r="R33" i="3"/>
  <c r="R34" i="3"/>
  <c r="R35" i="3"/>
  <c r="R36" i="3"/>
  <c r="R37" i="3"/>
  <c r="R38" i="3"/>
  <c r="R39" i="3"/>
  <c r="R40" i="3"/>
  <c r="R42" i="3"/>
  <c r="R44" i="3"/>
  <c r="R48" i="3"/>
  <c r="R49" i="3"/>
  <c r="R50" i="3"/>
  <c r="R51" i="3"/>
  <c r="R52" i="3"/>
  <c r="R53" i="3"/>
  <c r="R54" i="3"/>
  <c r="R56" i="3"/>
  <c r="R57" i="3"/>
  <c r="R58" i="3"/>
  <c r="R60" i="3"/>
  <c r="R61" i="3"/>
  <c r="R63" i="3"/>
  <c r="R64" i="3"/>
  <c r="R65" i="3"/>
  <c r="R66" i="3"/>
  <c r="R68" i="3"/>
  <c r="R69" i="3"/>
  <c r="R71" i="3"/>
  <c r="R73" i="3"/>
  <c r="R74" i="3"/>
  <c r="R75" i="3"/>
  <c r="R76" i="3"/>
  <c r="R77" i="3"/>
  <c r="R79" i="3"/>
  <c r="R80" i="3"/>
  <c r="R81" i="3"/>
  <c r="R82" i="3"/>
  <c r="R83" i="3"/>
  <c r="R84" i="3"/>
  <c r="S3" i="3"/>
  <c r="S4" i="3"/>
  <c r="S5" i="3"/>
  <c r="S6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2" i="3"/>
  <c r="S23" i="3"/>
  <c r="S24" i="3"/>
  <c r="S25" i="3"/>
  <c r="S26" i="3"/>
  <c r="S27" i="3"/>
  <c r="S28" i="3"/>
  <c r="S29" i="3"/>
  <c r="S31" i="3"/>
  <c r="S32" i="3"/>
  <c r="S33" i="3"/>
  <c r="S34" i="3"/>
  <c r="S35" i="3"/>
  <c r="S36" i="3"/>
  <c r="S37" i="3"/>
  <c r="S38" i="3"/>
  <c r="S39" i="3"/>
  <c r="S40" i="3"/>
  <c r="S42" i="3"/>
  <c r="S44" i="3"/>
  <c r="S48" i="3"/>
  <c r="S49" i="3"/>
  <c r="S50" i="3"/>
  <c r="S51" i="3"/>
  <c r="S52" i="3"/>
  <c r="S53" i="3"/>
  <c r="S54" i="3"/>
  <c r="S56" i="3"/>
  <c r="S57" i="3"/>
  <c r="S58" i="3"/>
  <c r="S60" i="3"/>
  <c r="S61" i="3"/>
  <c r="S63" i="3"/>
  <c r="S64" i="3"/>
  <c r="S65" i="3"/>
  <c r="S66" i="3"/>
  <c r="S68" i="3"/>
  <c r="S69" i="3"/>
  <c r="S71" i="3"/>
  <c r="S73" i="3"/>
  <c r="S74" i="3"/>
  <c r="S75" i="3"/>
  <c r="S76" i="3"/>
  <c r="S77" i="3"/>
  <c r="S79" i="3"/>
  <c r="S80" i="3"/>
  <c r="S81" i="3"/>
  <c r="S82" i="3"/>
  <c r="S83" i="3"/>
  <c r="S84" i="3"/>
  <c r="M2" i="1" a="1"/>
  <c r="T84" i="3" l="1"/>
  <c r="U84" i="3"/>
  <c r="W84" i="3"/>
  <c r="V84" i="3"/>
  <c r="X84" i="3"/>
  <c r="X83" i="3"/>
  <c r="W83" i="3"/>
  <c r="T83" i="3"/>
  <c r="U83" i="3"/>
  <c r="V83" i="3"/>
  <c r="T82" i="3"/>
  <c r="V82" i="3"/>
  <c r="U82" i="3"/>
  <c r="X82" i="3"/>
  <c r="W82" i="3"/>
  <c r="T81" i="3"/>
  <c r="U81" i="3"/>
  <c r="V81" i="3"/>
  <c r="W81" i="3"/>
  <c r="X81" i="3"/>
  <c r="T80" i="3"/>
  <c r="U80" i="3"/>
  <c r="W80" i="3"/>
  <c r="V80" i="3"/>
  <c r="X80" i="3"/>
  <c r="U79" i="3"/>
  <c r="T79" i="3"/>
  <c r="V79" i="3"/>
  <c r="W79" i="3"/>
  <c r="X79" i="3"/>
  <c r="T77" i="3"/>
  <c r="U77" i="3"/>
  <c r="V77" i="3"/>
  <c r="W77" i="3"/>
  <c r="X77" i="3"/>
  <c r="V76" i="3"/>
  <c r="T76" i="3"/>
  <c r="U76" i="3"/>
  <c r="W76" i="3"/>
  <c r="X76" i="3"/>
  <c r="U75" i="3"/>
  <c r="V75" i="3"/>
  <c r="X75" i="3"/>
  <c r="W75" i="3"/>
  <c r="T75" i="3"/>
  <c r="V74" i="3"/>
  <c r="T74" i="3"/>
  <c r="X74" i="3"/>
  <c r="W74" i="3"/>
  <c r="U74" i="3"/>
  <c r="U73" i="3"/>
  <c r="V73" i="3"/>
  <c r="W73" i="3"/>
  <c r="T73" i="3"/>
  <c r="X73" i="3"/>
  <c r="T71" i="3"/>
  <c r="V71" i="3"/>
  <c r="U71" i="3"/>
  <c r="W71" i="3"/>
  <c r="X71" i="3"/>
  <c r="W69" i="3"/>
  <c r="X69" i="3"/>
  <c r="U69" i="3"/>
  <c r="T69" i="3"/>
  <c r="V69" i="3"/>
  <c r="T68" i="3"/>
  <c r="U68" i="3"/>
  <c r="X68" i="3"/>
  <c r="V68" i="3"/>
  <c r="W68" i="3"/>
  <c r="T66" i="3"/>
  <c r="U66" i="3"/>
  <c r="W66" i="3"/>
  <c r="X66" i="3"/>
  <c r="V66" i="3"/>
  <c r="X65" i="3"/>
  <c r="T65" i="3"/>
  <c r="V65" i="3"/>
  <c r="U65" i="3"/>
  <c r="W65" i="3"/>
  <c r="X64" i="3"/>
  <c r="T64" i="3"/>
  <c r="W64" i="3"/>
  <c r="U64" i="3"/>
  <c r="V64" i="3"/>
  <c r="U63" i="3"/>
  <c r="T63" i="3"/>
  <c r="V63" i="3"/>
  <c r="W63" i="3"/>
  <c r="X63" i="3"/>
  <c r="U61" i="3"/>
  <c r="T61" i="3"/>
  <c r="V61" i="3"/>
  <c r="W61" i="3"/>
  <c r="X61" i="3"/>
  <c r="T60" i="3"/>
  <c r="W60" i="3"/>
  <c r="U60" i="3"/>
  <c r="V60" i="3"/>
  <c r="X60" i="3"/>
  <c r="V58" i="3"/>
  <c r="X58" i="3"/>
  <c r="T58" i="3"/>
  <c r="U58" i="3"/>
  <c r="W58" i="3"/>
  <c r="T57" i="3"/>
  <c r="U57" i="3"/>
  <c r="V57" i="3"/>
  <c r="W57" i="3"/>
  <c r="X57" i="3"/>
  <c r="T56" i="3"/>
  <c r="V56" i="3"/>
  <c r="U56" i="3"/>
  <c r="W56" i="3"/>
  <c r="X56" i="3"/>
  <c r="V54" i="3"/>
  <c r="W54" i="3"/>
  <c r="X54" i="3"/>
  <c r="T54" i="3"/>
  <c r="U54" i="3"/>
  <c r="W53" i="3"/>
  <c r="V53" i="3"/>
  <c r="X53" i="3"/>
  <c r="T53" i="3"/>
  <c r="U53" i="3"/>
  <c r="V52" i="3"/>
  <c r="X52" i="3"/>
  <c r="T52" i="3"/>
  <c r="U52" i="3"/>
  <c r="W52" i="3"/>
  <c r="T51" i="3"/>
  <c r="V51" i="3"/>
  <c r="U51" i="3"/>
  <c r="W51" i="3"/>
  <c r="X51" i="3"/>
  <c r="V50" i="3"/>
  <c r="W50" i="3"/>
  <c r="X50" i="3"/>
  <c r="U50" i="3"/>
  <c r="T50" i="3"/>
  <c r="T49" i="3"/>
  <c r="W49" i="3"/>
  <c r="U49" i="3"/>
  <c r="V49" i="3"/>
  <c r="X49" i="3"/>
  <c r="U48" i="3"/>
  <c r="V48" i="3"/>
  <c r="X48" i="3"/>
  <c r="T48" i="3"/>
  <c r="W48" i="3"/>
  <c r="T44" i="3"/>
  <c r="U44" i="3"/>
  <c r="W44" i="3"/>
  <c r="V44" i="3"/>
  <c r="X44" i="3"/>
  <c r="W42" i="3"/>
  <c r="U42" i="3"/>
  <c r="V42" i="3"/>
  <c r="T42" i="3"/>
  <c r="X42" i="3"/>
  <c r="U40" i="3"/>
  <c r="T40" i="3"/>
  <c r="V40" i="3"/>
  <c r="W40" i="3"/>
  <c r="X40" i="3"/>
  <c r="U39" i="3"/>
  <c r="T39" i="3"/>
  <c r="V39" i="3"/>
  <c r="W39" i="3"/>
  <c r="X39" i="3"/>
  <c r="T38" i="3"/>
  <c r="U38" i="3"/>
  <c r="V38" i="3"/>
  <c r="X38" i="3"/>
  <c r="W38" i="3"/>
  <c r="X37" i="3"/>
  <c r="T37" i="3"/>
  <c r="W37" i="3"/>
  <c r="U37" i="3"/>
  <c r="V37" i="3"/>
  <c r="T36" i="3"/>
  <c r="U36" i="3"/>
  <c r="W36" i="3"/>
  <c r="X36" i="3"/>
  <c r="V36" i="3"/>
  <c r="V35" i="3"/>
  <c r="T35" i="3"/>
  <c r="U35" i="3"/>
  <c r="W35" i="3"/>
  <c r="X35" i="3"/>
  <c r="T34" i="3"/>
  <c r="U34" i="3"/>
  <c r="V34" i="3"/>
  <c r="X34" i="3"/>
  <c r="W34" i="3"/>
  <c r="T33" i="3"/>
  <c r="U33" i="3"/>
  <c r="V33" i="3"/>
  <c r="W33" i="3"/>
  <c r="X33" i="3"/>
  <c r="U32" i="3"/>
  <c r="W32" i="3"/>
  <c r="T32" i="3"/>
  <c r="V32" i="3"/>
  <c r="X32" i="3"/>
  <c r="U31" i="3"/>
  <c r="T31" i="3"/>
  <c r="V31" i="3"/>
  <c r="W31" i="3"/>
  <c r="X31" i="3"/>
  <c r="U29" i="3"/>
  <c r="V29" i="3"/>
  <c r="W29" i="3"/>
  <c r="X29" i="3"/>
  <c r="T29" i="3"/>
  <c r="T28" i="3"/>
  <c r="X28" i="3"/>
  <c r="U28" i="3"/>
  <c r="V28" i="3"/>
  <c r="W28" i="3"/>
  <c r="U27" i="3"/>
  <c r="V27" i="3"/>
  <c r="T27" i="3"/>
  <c r="W27" i="3"/>
  <c r="X27" i="3"/>
  <c r="T26" i="3"/>
  <c r="W26" i="3"/>
  <c r="U26" i="3"/>
  <c r="V26" i="3"/>
  <c r="X26" i="3"/>
  <c r="U25" i="3"/>
  <c r="V25" i="3"/>
  <c r="W25" i="3"/>
  <c r="X25" i="3"/>
  <c r="T25" i="3"/>
  <c r="T24" i="3"/>
  <c r="U24" i="3"/>
  <c r="X24" i="3"/>
  <c r="V24" i="3"/>
  <c r="W24" i="3"/>
  <c r="V23" i="3"/>
  <c r="X23" i="3"/>
  <c r="T23" i="3"/>
  <c r="U23" i="3"/>
  <c r="W23" i="3"/>
  <c r="T22" i="3"/>
  <c r="U22" i="3"/>
  <c r="V22" i="3"/>
  <c r="W22" i="3"/>
  <c r="X22" i="3"/>
  <c r="V20" i="3"/>
  <c r="W20" i="3"/>
  <c r="X20" i="3"/>
  <c r="T20" i="3"/>
  <c r="U20" i="3"/>
  <c r="T19" i="3"/>
  <c r="U19" i="3"/>
  <c r="V19" i="3"/>
  <c r="W19" i="3"/>
  <c r="X19" i="3"/>
  <c r="T18" i="3"/>
  <c r="V18" i="3"/>
  <c r="W18" i="3"/>
  <c r="U18" i="3"/>
  <c r="X18" i="3"/>
  <c r="U17" i="3"/>
  <c r="X17" i="3"/>
  <c r="T17" i="3"/>
  <c r="V17" i="3"/>
  <c r="W17" i="3"/>
  <c r="V16" i="3"/>
  <c r="W16" i="3"/>
  <c r="X16" i="3"/>
  <c r="T16" i="3"/>
  <c r="U16" i="3"/>
  <c r="T15" i="3"/>
  <c r="U15" i="3"/>
  <c r="V15" i="3"/>
  <c r="X15" i="3"/>
  <c r="W15" i="3"/>
  <c r="T14" i="3"/>
  <c r="W14" i="3"/>
  <c r="U14" i="3"/>
  <c r="V14" i="3"/>
  <c r="X14" i="3"/>
  <c r="U13" i="3"/>
  <c r="T13" i="3"/>
  <c r="V13" i="3"/>
  <c r="W13" i="3"/>
  <c r="X13" i="3"/>
  <c r="V12" i="3"/>
  <c r="W12" i="3"/>
  <c r="X12" i="3"/>
  <c r="U12" i="3"/>
  <c r="T12" i="3"/>
  <c r="T11" i="3"/>
  <c r="U11" i="3"/>
  <c r="V11" i="3"/>
  <c r="X11" i="3"/>
  <c r="W11" i="3"/>
  <c r="T10" i="3"/>
  <c r="V10" i="3"/>
  <c r="W10" i="3"/>
  <c r="U10" i="3"/>
  <c r="X10" i="3"/>
  <c r="U9" i="3"/>
  <c r="W9" i="3"/>
  <c r="T9" i="3"/>
  <c r="V9" i="3"/>
  <c r="X9" i="3"/>
  <c r="V8" i="3"/>
  <c r="W8" i="3"/>
  <c r="X8" i="3"/>
  <c r="T8" i="3"/>
  <c r="U8" i="3"/>
  <c r="T6" i="3"/>
  <c r="V6" i="3"/>
  <c r="U6" i="3"/>
  <c r="X6" i="3"/>
  <c r="W6" i="3"/>
  <c r="T5" i="3"/>
  <c r="U5" i="3"/>
  <c r="V5" i="3"/>
  <c r="W5" i="3"/>
  <c r="X5" i="3"/>
  <c r="W4" i="3"/>
  <c r="X4" i="3"/>
  <c r="T4" i="3"/>
  <c r="V4" i="3"/>
  <c r="U4" i="3"/>
  <c r="W3" i="3"/>
  <c r="X3" i="3"/>
  <c r="U3" i="3"/>
  <c r="T3" i="3"/>
  <c r="V3" i="3"/>
  <c r="M2" i="1"/>
  <c r="M5" i="1" a="1"/>
  <c r="M5" i="1"/>
  <c r="C8" i="1"/>
  <c r="C8" i="466" s="1"/>
  <c r="D8" i="1"/>
  <c r="E8" i="1"/>
  <c r="F8" i="1"/>
  <c r="G8" i="1"/>
  <c r="H8" i="1" a="1"/>
  <c r="H8" i="1" l="1"/>
  <c r="I8" i="1" a="1"/>
  <c r="I8" i="1"/>
  <c r="D8" i="466" s="1"/>
  <c r="J8" i="1" a="1"/>
  <c r="J8" i="1" l="1"/>
  <c r="K8" i="1" a="1"/>
  <c r="K8" i="1"/>
  <c r="C9" i="1"/>
  <c r="C9" i="466" s="1"/>
  <c r="D9" i="1"/>
  <c r="E9" i="1"/>
  <c r="F9" i="1"/>
  <c r="G9" i="1"/>
  <c r="H9" i="1" a="1"/>
  <c r="H9" i="1" l="1"/>
  <c r="I9" i="1" a="1"/>
  <c r="I9" i="1"/>
  <c r="D9" i="466" s="1"/>
  <c r="J9" i="1" a="1"/>
  <c r="J9" i="1" l="1"/>
  <c r="K9" i="1" a="1"/>
  <c r="K9" i="1"/>
  <c r="C10" i="1"/>
  <c r="C10" i="466" s="1"/>
  <c r="D10" i="1"/>
  <c r="E10" i="1"/>
  <c r="F10" i="1"/>
  <c r="G10" i="1"/>
  <c r="H10" i="1" a="1"/>
  <c r="H10" i="1" l="1"/>
  <c r="I10" i="1" a="1"/>
  <c r="I10" i="1"/>
  <c r="D10" i="466" s="1"/>
  <c r="J10" i="1" a="1"/>
  <c r="J10" i="1" l="1"/>
  <c r="K10" i="1" a="1"/>
  <c r="K10" i="1"/>
  <c r="C11" i="1"/>
  <c r="C11" i="466" s="1"/>
  <c r="D11" i="1"/>
  <c r="E11" i="1"/>
  <c r="F11" i="1"/>
  <c r="G11" i="1"/>
  <c r="H11" i="1" a="1"/>
  <c r="H11" i="1" l="1"/>
  <c r="I11" i="1" a="1"/>
  <c r="I11" i="1"/>
  <c r="D11" i="466" s="1"/>
  <c r="J11" i="1" a="1"/>
  <c r="J11" i="1" l="1"/>
  <c r="K11" i="1" a="1"/>
  <c r="K11" i="1"/>
  <c r="C12" i="1"/>
  <c r="C12" i="466" s="1"/>
  <c r="D12" i="1"/>
  <c r="E12" i="1"/>
  <c r="F12" i="1"/>
  <c r="G12" i="1"/>
  <c r="H12" i="1" a="1"/>
  <c r="H12" i="1" l="1"/>
  <c r="I12" i="1" a="1"/>
  <c r="I12" i="1"/>
  <c r="D12" i="466" s="1"/>
  <c r="J12" i="1" a="1"/>
  <c r="J12" i="1" l="1"/>
  <c r="K12" i="1" a="1"/>
  <c r="K12" i="1"/>
  <c r="C13" i="1"/>
  <c r="C13" i="466" s="1"/>
  <c r="D13" i="1"/>
  <c r="E13" i="1"/>
  <c r="F13" i="1"/>
  <c r="G13" i="1"/>
  <c r="H13" i="1" a="1"/>
  <c r="H13" i="1" l="1"/>
  <c r="I13" i="1" a="1"/>
  <c r="I13" i="1"/>
  <c r="D13" i="466" s="1"/>
  <c r="J13" i="1" a="1"/>
  <c r="J13" i="1" l="1"/>
  <c r="K13" i="1" a="1"/>
  <c r="K13" i="1"/>
  <c r="C14" i="1"/>
  <c r="C14" i="466" s="1"/>
  <c r="D14" i="1"/>
  <c r="E14" i="1"/>
  <c r="F14" i="1"/>
  <c r="G14" i="1"/>
  <c r="H14" i="1" a="1"/>
  <c r="E14" i="466" l="1"/>
  <c r="E8" i="466"/>
  <c r="E13" i="466"/>
  <c r="E12" i="466"/>
  <c r="E11" i="466"/>
  <c r="E9" i="466"/>
  <c r="E10" i="466"/>
  <c r="H14" i="1"/>
  <c r="I14" i="1" a="1"/>
  <c r="I14" i="1" l="1"/>
  <c r="D14" i="466" s="1"/>
  <c r="J14" i="1" a="1"/>
  <c r="F14" i="466" l="1"/>
  <c r="G14" i="466" s="1"/>
  <c r="H14" i="466" s="1"/>
  <c r="F8" i="466"/>
  <c r="G8" i="466" s="1"/>
  <c r="H8" i="466" s="1"/>
  <c r="F13" i="466"/>
  <c r="G13" i="466" s="1"/>
  <c r="H13" i="466" s="1"/>
  <c r="F12" i="466"/>
  <c r="G12" i="466" s="1"/>
  <c r="H12" i="466" s="1"/>
  <c r="F11" i="466"/>
  <c r="G11" i="466" s="1"/>
  <c r="H11" i="466" s="1"/>
  <c r="F10" i="466"/>
  <c r="G10" i="466" s="1"/>
  <c r="H10" i="466" s="1"/>
  <c r="F9" i="466"/>
  <c r="G9" i="466" s="1"/>
  <c r="H9" i="466" s="1"/>
  <c r="J14" i="1"/>
  <c r="K14" i="1" a="1"/>
  <c r="K14" i="1"/>
  <c r="C16" i="1"/>
  <c r="C16" i="466" s="1"/>
  <c r="D16" i="1"/>
  <c r="E16" i="1"/>
  <c r="F16" i="1"/>
  <c r="G16" i="1"/>
  <c r="H16" i="1" a="1"/>
  <c r="H16" i="1" l="1"/>
  <c r="I16" i="1" a="1"/>
  <c r="I16" i="1"/>
  <c r="D16" i="466" s="1"/>
  <c r="J16" i="1" a="1"/>
  <c r="J16" i="1" l="1"/>
  <c r="K16" i="1" a="1"/>
  <c r="K16" i="1"/>
  <c r="C17" i="1"/>
  <c r="C17" i="466" s="1"/>
  <c r="D17" i="1"/>
  <c r="E17" i="1"/>
  <c r="F17" i="1"/>
  <c r="G17" i="1"/>
  <c r="H17" i="1" a="1"/>
  <c r="H17" i="1" l="1"/>
  <c r="I17" i="1" a="1"/>
  <c r="I17" i="1"/>
  <c r="D17" i="466" s="1"/>
  <c r="J17" i="1" a="1"/>
  <c r="J17" i="1" l="1"/>
  <c r="K17" i="1" a="1"/>
  <c r="K17" i="1"/>
  <c r="C18" i="1"/>
  <c r="C18" i="466" s="1"/>
  <c r="D18" i="1"/>
  <c r="E18" i="1"/>
  <c r="F18" i="1"/>
  <c r="G18" i="1"/>
  <c r="H18" i="1" a="1"/>
  <c r="E18" i="466" l="1"/>
  <c r="E17" i="466"/>
  <c r="E16" i="466"/>
  <c r="H18" i="1"/>
  <c r="I18" i="1" a="1"/>
  <c r="I18" i="1" l="1"/>
  <c r="D18" i="466" s="1"/>
  <c r="J18" i="1" a="1"/>
  <c r="F18" i="466" l="1"/>
  <c r="G18" i="466" s="1"/>
  <c r="H18" i="466" s="1"/>
  <c r="F17" i="466"/>
  <c r="G17" i="466" s="1"/>
  <c r="H17" i="466" s="1"/>
  <c r="F16" i="466"/>
  <c r="G16" i="466" s="1"/>
  <c r="H16" i="466" s="1"/>
  <c r="J18" i="1"/>
  <c r="K18" i="1" a="1"/>
  <c r="K18" i="1"/>
  <c r="C20" i="1"/>
  <c r="C20" i="466" s="1"/>
  <c r="E20" i="466" s="1"/>
  <c r="D20" i="1"/>
  <c r="E20" i="1"/>
  <c r="F20" i="1"/>
  <c r="G20" i="1"/>
  <c r="H20" i="1" a="1"/>
  <c r="H20" i="1" l="1"/>
  <c r="I20" i="1" a="1"/>
  <c r="I20" i="1"/>
  <c r="D20" i="466" s="1"/>
  <c r="F20" i="466" s="1"/>
  <c r="G20" i="466" s="1"/>
  <c r="H20" i="466" s="1"/>
  <c r="J20" i="1" a="1"/>
  <c r="J20" i="1"/>
  <c r="K20" i="1" a="1"/>
  <c r="K20" i="1"/>
  <c r="C22" i="1"/>
  <c r="C22" i="466" s="1"/>
  <c r="D22" i="1"/>
  <c r="E22" i="1"/>
  <c r="F22" i="1"/>
  <c r="G22" i="1"/>
  <c r="H22" i="1" a="1"/>
  <c r="H22" i="1" l="1"/>
  <c r="I22" i="1" a="1"/>
  <c r="I22" i="1"/>
  <c r="D22" i="466" s="1"/>
  <c r="J22" i="1" a="1"/>
  <c r="J22" i="1" l="1"/>
  <c r="K22" i="1" a="1"/>
  <c r="K22" i="1"/>
  <c r="C23" i="1"/>
  <c r="C23" i="466" s="1"/>
  <c r="D23" i="1"/>
  <c r="E23" i="1"/>
  <c r="F23" i="1"/>
  <c r="G23" i="1"/>
  <c r="H23" i="1" a="1"/>
  <c r="H23" i="1" l="1"/>
  <c r="I23" i="1" a="1"/>
  <c r="I23" i="1"/>
  <c r="D23" i="466" s="1"/>
  <c r="J23" i="1" a="1"/>
  <c r="J23" i="1" l="1"/>
  <c r="K23" i="1" a="1"/>
  <c r="K23" i="1"/>
  <c r="C24" i="1"/>
  <c r="C24" i="466" s="1"/>
  <c r="D24" i="1"/>
  <c r="E24" i="1"/>
  <c r="F24" i="1"/>
  <c r="G24" i="1"/>
  <c r="H24" i="1" a="1"/>
  <c r="H24" i="1" l="1"/>
  <c r="I24" i="1" a="1"/>
  <c r="I24" i="1"/>
  <c r="D24" i="466" s="1"/>
  <c r="J24" i="1" a="1"/>
  <c r="J24" i="1" l="1"/>
  <c r="K24" i="1" a="1"/>
  <c r="K24" i="1"/>
  <c r="C25" i="1"/>
  <c r="C25" i="466" s="1"/>
  <c r="D25" i="1"/>
  <c r="E25" i="1"/>
  <c r="F25" i="1"/>
  <c r="G25" i="1"/>
  <c r="H25" i="1" a="1"/>
  <c r="E25" i="466" l="1"/>
  <c r="E24" i="466"/>
  <c r="E23" i="466"/>
  <c r="E22" i="466"/>
  <c r="H25" i="1"/>
  <c r="I25" i="1" a="1"/>
  <c r="I25" i="1" l="1"/>
  <c r="D25" i="466" s="1"/>
  <c r="J25" i="1" a="1"/>
  <c r="F25" i="466" l="1"/>
  <c r="G25" i="466" s="1"/>
  <c r="H25" i="466" s="1"/>
  <c r="F24" i="466"/>
  <c r="G24" i="466" s="1"/>
  <c r="H24" i="466" s="1"/>
  <c r="F23" i="466"/>
  <c r="G23" i="466" s="1"/>
  <c r="H23" i="466" s="1"/>
  <c r="F22" i="466"/>
  <c r="G22" i="466" s="1"/>
  <c r="H22" i="466" s="1"/>
  <c r="J25" i="1"/>
  <c r="K25" i="1" a="1"/>
  <c r="K25" i="1"/>
  <c r="C27" i="1"/>
  <c r="C27" i="466" s="1"/>
  <c r="D27" i="1"/>
  <c r="E27" i="1"/>
  <c r="F27" i="1"/>
  <c r="G27" i="1"/>
  <c r="H27" i="1" a="1"/>
  <c r="H27" i="1" l="1"/>
  <c r="I27" i="1" a="1"/>
  <c r="I27" i="1"/>
  <c r="D27" i="466" s="1"/>
  <c r="J27" i="1" a="1"/>
  <c r="J27" i="1" l="1"/>
  <c r="K27" i="1" a="1"/>
  <c r="K27" i="1"/>
  <c r="C28" i="1"/>
  <c r="C28" i="466" s="1"/>
  <c r="D28" i="1"/>
  <c r="E28" i="1"/>
  <c r="F28" i="1"/>
  <c r="G28" i="1"/>
  <c r="H28" i="1" a="1"/>
  <c r="E28" i="466" l="1"/>
  <c r="E27" i="466"/>
  <c r="H28" i="1"/>
  <c r="I28" i="1" a="1"/>
  <c r="I28" i="1" l="1"/>
  <c r="D28" i="466" s="1"/>
  <c r="J28" i="1" a="1"/>
  <c r="F28" i="466" l="1"/>
  <c r="G28" i="466" s="1"/>
  <c r="H28" i="466" s="1"/>
  <c r="F27" i="466"/>
  <c r="G27" i="466" s="1"/>
  <c r="H27" i="466" s="1"/>
  <c r="J28" i="1"/>
  <c r="K28" i="1" a="1"/>
  <c r="K28" i="1"/>
  <c r="C30" i="1"/>
  <c r="C30" i="466" s="1"/>
  <c r="E30" i="466" s="1"/>
  <c r="D30" i="1"/>
  <c r="E30" i="1"/>
  <c r="F30" i="1"/>
  <c r="G30" i="1"/>
  <c r="H30" i="1" a="1"/>
  <c r="H30" i="1" l="1"/>
  <c r="I30" i="1" a="1"/>
  <c r="I30" i="1"/>
  <c r="D30" i="466" s="1"/>
  <c r="F30" i="466" s="1"/>
  <c r="G30" i="466" s="1"/>
  <c r="H30" i="466" s="1"/>
  <c r="J30" i="1" a="1"/>
  <c r="J30" i="1"/>
  <c r="K30" i="1" a="1"/>
  <c r="K30" i="1"/>
  <c r="C32" i="1"/>
  <c r="C32" i="466" s="1"/>
  <c r="D32" i="1"/>
  <c r="E32" i="1"/>
  <c r="F32" i="1"/>
  <c r="G32" i="1"/>
  <c r="H32" i="1" a="1"/>
  <c r="H32" i="1" l="1"/>
  <c r="I32" i="1" a="1"/>
  <c r="I32" i="1"/>
  <c r="D32" i="466" s="1"/>
  <c r="J32" i="1" a="1"/>
  <c r="J32" i="1" l="1"/>
  <c r="K32" i="1" a="1"/>
  <c r="K32" i="1"/>
  <c r="C33" i="1"/>
  <c r="C33" i="466" s="1"/>
  <c r="D33" i="1"/>
  <c r="E33" i="1"/>
  <c r="F33" i="1"/>
  <c r="G33" i="1"/>
  <c r="H33" i="1" a="1"/>
  <c r="H33" i="1" l="1"/>
  <c r="I33" i="1" a="1"/>
  <c r="I33" i="1"/>
  <c r="D33" i="466" s="1"/>
  <c r="J33" i="1" a="1"/>
  <c r="J33" i="1" l="1"/>
  <c r="K33" i="1" a="1"/>
  <c r="K33" i="1"/>
  <c r="C34" i="1"/>
  <c r="C34" i="466" s="1"/>
  <c r="D34" i="1"/>
  <c r="E34" i="1"/>
  <c r="F34" i="1"/>
  <c r="G34" i="1"/>
  <c r="H34" i="1" a="1"/>
  <c r="H34" i="1" l="1"/>
  <c r="I34" i="1" a="1"/>
  <c r="I34" i="1"/>
  <c r="D34" i="466" s="1"/>
  <c r="J34" i="1" a="1"/>
  <c r="J34" i="1" l="1"/>
  <c r="K34" i="1" a="1"/>
  <c r="K34" i="1"/>
  <c r="C35" i="1"/>
  <c r="C35" i="466" s="1"/>
  <c r="D35" i="1"/>
  <c r="E35" i="1"/>
  <c r="F35" i="1"/>
  <c r="G35" i="1"/>
  <c r="H35" i="1" a="1"/>
  <c r="H35" i="1" l="1"/>
  <c r="I35" i="1" a="1"/>
  <c r="I35" i="1"/>
  <c r="D35" i="466" s="1"/>
  <c r="J35" i="1" a="1"/>
  <c r="J35" i="1" l="1"/>
  <c r="K35" i="1" a="1"/>
  <c r="K35" i="1"/>
  <c r="C36" i="1"/>
  <c r="C36" i="466" s="1"/>
  <c r="D36" i="1"/>
  <c r="E36" i="1"/>
  <c r="F36" i="1"/>
  <c r="G36" i="1"/>
  <c r="H36" i="1" a="1"/>
  <c r="E36" i="466" l="1"/>
  <c r="E35" i="466"/>
  <c r="E34" i="466"/>
  <c r="E32" i="466"/>
  <c r="E33" i="466"/>
  <c r="H36" i="1"/>
  <c r="I36" i="1" a="1"/>
  <c r="I36" i="1" l="1"/>
  <c r="D36" i="466" s="1"/>
  <c r="J36" i="1" a="1"/>
  <c r="F36" i="466" l="1"/>
  <c r="G36" i="466" s="1"/>
  <c r="H36" i="466" s="1"/>
  <c r="F35" i="466"/>
  <c r="G35" i="466" s="1"/>
  <c r="H35" i="466" s="1"/>
  <c r="F33" i="466"/>
  <c r="G33" i="466" s="1"/>
  <c r="H33" i="466" s="1"/>
  <c r="F32" i="466"/>
  <c r="G32" i="466" s="1"/>
  <c r="H32" i="466" s="1"/>
  <c r="F34" i="466"/>
  <c r="G34" i="466" s="1"/>
  <c r="H34" i="466" s="1"/>
  <c r="J36" i="1"/>
  <c r="K36" i="1" a="1"/>
  <c r="K36" i="1"/>
  <c r="C38" i="1"/>
  <c r="C38" i="466" s="1"/>
  <c r="D38" i="1"/>
  <c r="E38" i="1"/>
  <c r="F38" i="1"/>
  <c r="G38" i="1"/>
  <c r="H38" i="1" a="1"/>
  <c r="H38" i="1" l="1"/>
  <c r="I38" i="1" a="1"/>
  <c r="I38" i="1"/>
  <c r="D38" i="466" s="1"/>
  <c r="J38" i="1" a="1"/>
  <c r="J38" i="1" l="1"/>
  <c r="K38" i="1" a="1"/>
  <c r="K38" i="1"/>
  <c r="C39" i="1"/>
  <c r="C39" i="466" s="1"/>
  <c r="D39" i="1"/>
  <c r="E39" i="1"/>
  <c r="F39" i="1"/>
  <c r="G39" i="1"/>
  <c r="H39" i="1" a="1"/>
  <c r="H39" i="1" l="1"/>
  <c r="I39" i="1" a="1"/>
  <c r="I39" i="1"/>
  <c r="D39" i="466" s="1"/>
  <c r="J39" i="1" a="1"/>
  <c r="J39" i="1" l="1"/>
  <c r="K39" i="1" a="1"/>
  <c r="K39" i="1"/>
  <c r="C40" i="1"/>
  <c r="C40" i="466" s="1"/>
  <c r="D40" i="1"/>
  <c r="E40" i="1"/>
  <c r="F40" i="1"/>
  <c r="G40" i="1"/>
  <c r="H40" i="1" a="1"/>
  <c r="H40" i="1" l="1"/>
  <c r="I40" i="1" a="1"/>
  <c r="I40" i="1"/>
  <c r="D40" i="466" s="1"/>
  <c r="J40" i="1" a="1"/>
  <c r="J40" i="1" l="1"/>
  <c r="K40" i="1" a="1"/>
  <c r="K40" i="1"/>
  <c r="C41" i="1"/>
  <c r="C41" i="466" s="1"/>
  <c r="D41" i="1"/>
  <c r="E41" i="1"/>
  <c r="F41" i="1"/>
  <c r="G41" i="1"/>
  <c r="H41" i="1" a="1"/>
  <c r="H41" i="1" l="1"/>
  <c r="I41" i="1" a="1"/>
  <c r="I41" i="1"/>
  <c r="D41" i="466" s="1"/>
  <c r="J41" i="1" a="1"/>
  <c r="J41" i="1" l="1"/>
  <c r="K41" i="1" a="1"/>
  <c r="K41" i="1"/>
  <c r="C42" i="1"/>
  <c r="C42" i="466" s="1"/>
  <c r="D42" i="1" a="1"/>
  <c r="D42" i="1" l="1"/>
  <c r="E42" i="1"/>
  <c r="F42" i="1"/>
  <c r="G42" i="1"/>
  <c r="H42" i="1" a="1"/>
  <c r="H42" i="1"/>
  <c r="I42" i="1" a="1"/>
  <c r="I42" i="1"/>
  <c r="D42" i="466" s="1"/>
  <c r="J42" i="1" a="1"/>
  <c r="J42" i="1" l="1"/>
  <c r="K42" i="1" a="1"/>
  <c r="K42" i="1"/>
  <c r="C43" i="1"/>
  <c r="C43" i="466" s="1"/>
  <c r="D43" i="1"/>
  <c r="E43" i="1"/>
  <c r="F43" i="1"/>
  <c r="G43" i="1"/>
  <c r="H43" i="1" a="1"/>
  <c r="E43" i="466" l="1"/>
  <c r="E42" i="466"/>
  <c r="E41" i="466"/>
  <c r="E44" i="466"/>
  <c r="G44" i="466" s="1"/>
  <c r="H44" i="466" s="1"/>
  <c r="E39" i="466"/>
  <c r="E38" i="466"/>
  <c r="E40" i="466"/>
  <c r="H43" i="1"/>
  <c r="I43" i="1" a="1"/>
  <c r="I43" i="1" l="1"/>
  <c r="D43" i="466" s="1"/>
  <c r="J43" i="1" a="1"/>
  <c r="F43" i="466" l="1"/>
  <c r="G43" i="466" s="1"/>
  <c r="H43" i="466" s="1"/>
  <c r="F42" i="466"/>
  <c r="G42" i="466" s="1"/>
  <c r="H42" i="466" s="1"/>
  <c r="F40" i="466"/>
  <c r="G40" i="466" s="1"/>
  <c r="H40" i="466" s="1"/>
  <c r="F38" i="466"/>
  <c r="G38" i="466" s="1"/>
  <c r="H38" i="466" s="1"/>
  <c r="F41" i="466"/>
  <c r="G41" i="466" s="1"/>
  <c r="H41" i="466" s="1"/>
  <c r="F39" i="466"/>
  <c r="G39" i="466" s="1"/>
  <c r="H39" i="466" s="1"/>
  <c r="J43" i="1"/>
  <c r="K43" i="1" a="1"/>
  <c r="K43" i="1"/>
  <c r="C44" i="1" a="1"/>
  <c r="C44" i="1"/>
  <c r="D44" i="1" a="1"/>
  <c r="D44" i="1"/>
  <c r="E44" i="1"/>
  <c r="F44" i="1"/>
  <c r="G44" i="1"/>
  <c r="H44" i="1" a="1"/>
  <c r="H44" i="1"/>
  <c r="I44" i="1" a="1"/>
  <c r="I44" i="1"/>
  <c r="J44" i="1" a="1"/>
  <c r="J44" i="1"/>
  <c r="K44" i="1" a="1"/>
  <c r="K44" i="1"/>
  <c r="H46" i="1"/>
  <c r="I46" i="1"/>
  <c r="J46" i="1"/>
  <c r="K46" i="1"/>
  <c r="H47" i="1"/>
  <c r="I47" i="1"/>
  <c r="J47" i="1"/>
  <c r="K4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<sst xmlns="http://schemas.openxmlformats.org/spreadsheetml/2006/main" count="540" uniqueCount="372">
  <si>
    <t>CDS (bps)</t>
  </si>
  <si>
    <t>Equity Price (%)</t>
  </si>
  <si>
    <t>Bank</t>
  </si>
  <si>
    <t>Now</t>
  </si>
  <si>
    <t>5d Δ</t>
  </si>
  <si>
    <t>2wk Δ</t>
  </si>
  <si>
    <t>3m Δ</t>
  </si>
  <si>
    <t>1yr Δ</t>
  </si>
  <si>
    <t>America</t>
  </si>
  <si>
    <t>Dow Jones US Banks Index</t>
  </si>
  <si>
    <t>Citigroup</t>
  </si>
  <si>
    <t>Bank of America</t>
  </si>
  <si>
    <t>JPMorgan Chase</t>
  </si>
  <si>
    <t>Goldman Sachs</t>
  </si>
  <si>
    <t>Morgan Stanley</t>
  </si>
  <si>
    <t>Wells Fargo</t>
  </si>
  <si>
    <t>State Street Bank</t>
  </si>
  <si>
    <t>France</t>
  </si>
  <si>
    <t>BNP Paribas SA</t>
  </si>
  <si>
    <t>Credit Agricole SA</t>
  </si>
  <si>
    <t>Societe Generale</t>
  </si>
  <si>
    <t>Switzerland</t>
  </si>
  <si>
    <t>UBS Group AG</t>
  </si>
  <si>
    <t>U.K.</t>
  </si>
  <si>
    <t>Barclays Bank PLC</t>
  </si>
  <si>
    <t>HSBC Holdings PLC</t>
  </si>
  <si>
    <t>RBS Group PLC</t>
  </si>
  <si>
    <t>Standard Chartered</t>
  </si>
  <si>
    <t>Germany</t>
  </si>
  <si>
    <t>Deutsche Bank AG</t>
  </si>
  <si>
    <t>Commerzbank</t>
  </si>
  <si>
    <t>Denmark</t>
  </si>
  <si>
    <t>Danske</t>
  </si>
  <si>
    <t>Japan</t>
  </si>
  <si>
    <t>TOPIX Banks Index</t>
  </si>
  <si>
    <t>Mitsubishi</t>
  </si>
  <si>
    <t>Sumitomo</t>
  </si>
  <si>
    <t>Mizuho</t>
  </si>
  <si>
    <t>Daiwa</t>
  </si>
  <si>
    <t>Nomura</t>
  </si>
  <si>
    <t>Canada</t>
  </si>
  <si>
    <t>S&amp;P/TSX Composite Banks Index</t>
  </si>
  <si>
    <t>Bank of Nova Scotia</t>
  </si>
  <si>
    <t>BMO</t>
  </si>
  <si>
    <t>CIBC</t>
  </si>
  <si>
    <t>TD</t>
  </si>
  <si>
    <t>RBC</t>
  </si>
  <si>
    <t>Nationale</t>
  </si>
  <si>
    <t>Laurentian</t>
  </si>
  <si>
    <t>Equity RIC</t>
  </si>
  <si>
    <t>C.N</t>
  </si>
  <si>
    <t>BAC.N</t>
  </si>
  <si>
    <t>JPM.N</t>
  </si>
  <si>
    <t>GS.N</t>
  </si>
  <si>
    <t>MS.N</t>
  </si>
  <si>
    <t>WFC.N</t>
  </si>
  <si>
    <t>STT.N</t>
  </si>
  <si>
    <t>BNPP.PA</t>
  </si>
  <si>
    <t>CAGR.PA</t>
  </si>
  <si>
    <t>SOGN.PA</t>
  </si>
  <si>
    <t>UBSG.S</t>
  </si>
  <si>
    <t>BARC.L</t>
  </si>
  <si>
    <t>HSBA.L</t>
  </si>
  <si>
    <t>NWG.L</t>
  </si>
  <si>
    <t>STAN.L</t>
  </si>
  <si>
    <t>DBKGn.DE</t>
  </si>
  <si>
    <t>CBKG.DE</t>
  </si>
  <si>
    <t>DANSKE.CO</t>
  </si>
  <si>
    <t>Mitsubishi UFJ</t>
  </si>
  <si>
    <t>8306.T</t>
  </si>
  <si>
    <t>8316.T</t>
  </si>
  <si>
    <t>8411.T</t>
  </si>
  <si>
    <t>8601.T</t>
  </si>
  <si>
    <t>8604.T</t>
  </si>
  <si>
    <t>BNS.TO</t>
  </si>
  <si>
    <t>BMO.TO</t>
  </si>
  <si>
    <t>CM.TO</t>
  </si>
  <si>
    <t>TD.TO</t>
  </si>
  <si>
    <t>RY.TO</t>
  </si>
  <si>
    <t>NA.TO</t>
  </si>
  <si>
    <t>LB.TO</t>
  </si>
  <si>
    <t>C5YUSAX=R</t>
  </si>
  <si>
    <t>BAC5YUSAX=R</t>
  </si>
  <si>
    <t>JPM5YUSAX=R</t>
  </si>
  <si>
    <t>GS5YUSAX=R</t>
  </si>
  <si>
    <t>MS5YUSAX=R</t>
  </si>
  <si>
    <t>WFC5YUSAX=R</t>
  </si>
  <si>
    <t>STT5YUSAX=R</t>
  </si>
  <si>
    <t>FORB5YEUAM=R</t>
  </si>
  <si>
    <t>CAGR5YEUAM=R</t>
  </si>
  <si>
    <t>SG5YEUAM=R</t>
  </si>
  <si>
    <t>UBSJ5YEUAM=R</t>
  </si>
  <si>
    <t>BARC5YEUAM=R</t>
  </si>
  <si>
    <t>STAN5YEUAM=R</t>
  </si>
  <si>
    <t>HSBA5YEUAM=R</t>
  </si>
  <si>
    <t>RBS5YEUAM=R</t>
  </si>
  <si>
    <t>DB5YEUAM=R</t>
  </si>
  <si>
    <t>CBKG5YEUAM=R</t>
  </si>
  <si>
    <t>DDBA5YEUAM=R</t>
  </si>
  <si>
    <t>MTFB5YJPAC=R</t>
  </si>
  <si>
    <t>SANG5YJPAC=R</t>
  </si>
  <si>
    <t>MZFC5YUSAC=R</t>
  </si>
  <si>
    <t>DWAS5YJPAC=R</t>
  </si>
  <si>
    <t>NMH5YJPAC=R</t>
  </si>
  <si>
    <t>BNS5YUSAX=R</t>
  </si>
  <si>
    <t>CM5YUSAX=R</t>
  </si>
  <si>
    <t>RY5YUSAX=R</t>
  </si>
  <si>
    <t>NA5YUSAX=R</t>
  </si>
  <si>
    <t>BMO5YUSAX=FN</t>
  </si>
  <si>
    <t>TD5YUSAX=FN</t>
  </si>
  <si>
    <t>LB5YUSAX=FN</t>
  </si>
  <si>
    <t>IQT313313524</t>
  </si>
  <si>
    <t>IQT313317344</t>
  </si>
  <si>
    <t>IQT46220329</t>
  </si>
  <si>
    <t>IQT313315429</t>
  </si>
  <si>
    <t>IQT313314976</t>
  </si>
  <si>
    <t>IQT313310854</t>
  </si>
  <si>
    <t>IQT62270106</t>
  </si>
  <si>
    <t>IQT46200317</t>
  </si>
  <si>
    <t>IQT79634901</t>
  </si>
  <si>
    <t>IQT62270107</t>
  </si>
  <si>
    <t xml:space="preserve">IQT46225715 </t>
  </si>
  <si>
    <t>IQT46200364</t>
  </si>
  <si>
    <t>IQT46225083</t>
  </si>
  <si>
    <t>IQT46200412</t>
  </si>
  <si>
    <t>Deutche Bank AG</t>
  </si>
  <si>
    <t>IQT254955233</t>
  </si>
  <si>
    <t>Standard Chartered Bank</t>
  </si>
  <si>
    <t>IQT263213132</t>
  </si>
  <si>
    <t>IQT46225374</t>
  </si>
  <si>
    <t>IQT286096131</t>
  </si>
  <si>
    <t>IQT46199841</t>
  </si>
  <si>
    <t>Credit Suisse Group AG</t>
  </si>
  <si>
    <t>IQT528936812</t>
  </si>
  <si>
    <t>UBS Group AG**</t>
  </si>
  <si>
    <t>IQT46226132</t>
  </si>
  <si>
    <t>Societe Generale SA</t>
  </si>
  <si>
    <t>IQT46224740</t>
  </si>
  <si>
    <t>IQT46225006</t>
  </si>
  <si>
    <t>IQT323680130</t>
  </si>
  <si>
    <t>State Street Bank &amp; Trust</t>
  </si>
  <si>
    <t>IQT46223646</t>
  </si>
  <si>
    <t>IQT46470877</t>
  </si>
  <si>
    <t>IQT46204957</t>
  </si>
  <si>
    <t>Goldman Sachs Group</t>
  </si>
  <si>
    <t>IQT46207872</t>
  </si>
  <si>
    <t>JPMorgan Chase &amp; Co</t>
  </si>
  <si>
    <t>IQT46195491</t>
  </si>
  <si>
    <t>IQT46197694</t>
  </si>
  <si>
    <t>IQT46218674</t>
  </si>
  <si>
    <t>South Africa</t>
  </si>
  <si>
    <t>Africa</t>
  </si>
  <si>
    <t>IQT46220803</t>
  </si>
  <si>
    <t>Thailand</t>
  </si>
  <si>
    <t>Taiwan</t>
  </si>
  <si>
    <t>IQT46208634</t>
  </si>
  <si>
    <t>South Korea</t>
  </si>
  <si>
    <t>IQT313305879</t>
  </si>
  <si>
    <t>Singapore</t>
  </si>
  <si>
    <t>IQT46216986</t>
  </si>
  <si>
    <t>Russia</t>
  </si>
  <si>
    <t>IQT46213472</t>
  </si>
  <si>
    <t>New Zealand</t>
  </si>
  <si>
    <t>IQT46210032</t>
  </si>
  <si>
    <t>Malaysia</t>
  </si>
  <si>
    <t>IQT46207789</t>
  </si>
  <si>
    <t>IQT60388057</t>
  </si>
  <si>
    <t>India</t>
  </si>
  <si>
    <t>IQT79639953</t>
  </si>
  <si>
    <t>Hong Kong</t>
  </si>
  <si>
    <t>IQT46215111</t>
  </si>
  <si>
    <t>China</t>
  </si>
  <si>
    <t>IQT51023260</t>
  </si>
  <si>
    <t>Australia</t>
  </si>
  <si>
    <t>Asia/Pacific</t>
  </si>
  <si>
    <t>IQT46222292</t>
  </si>
  <si>
    <t>Ukraine</t>
  </si>
  <si>
    <t>IQT60389516</t>
  </si>
  <si>
    <t>IQT46219922</t>
  </si>
  <si>
    <t>Sweden</t>
  </si>
  <si>
    <t>IQT46214879</t>
  </si>
  <si>
    <t>Poland</t>
  </si>
  <si>
    <t>IQT51023480</t>
  </si>
  <si>
    <t>Norway</t>
  </si>
  <si>
    <t>IQT79639913</t>
  </si>
  <si>
    <t>IQT46200276</t>
  </si>
  <si>
    <t>Czech Republic</t>
  </si>
  <si>
    <t>IQT46262378</t>
  </si>
  <si>
    <t>United Kingdom</t>
  </si>
  <si>
    <t>Rest of Europe</t>
  </si>
  <si>
    <t>IQT46206779</t>
  </si>
  <si>
    <t>Spain</t>
  </si>
  <si>
    <t>IQT46218516</t>
  </si>
  <si>
    <t>Slovenia</t>
  </si>
  <si>
    <t>IQT46214954</t>
  </si>
  <si>
    <t>Portugal</t>
  </si>
  <si>
    <t>IQT79640024</t>
  </si>
  <si>
    <t>Netherlands</t>
  </si>
  <si>
    <t>IQT644701797</t>
  </si>
  <si>
    <t>Luxembourg</t>
  </si>
  <si>
    <t>IQT46207571</t>
  </si>
  <si>
    <t>Italy</t>
  </si>
  <si>
    <t>IQT46207308</t>
  </si>
  <si>
    <t>Ireland</t>
  </si>
  <si>
    <t>IQT46204884</t>
  </si>
  <si>
    <t>Greece</t>
  </si>
  <si>
    <t>IQT46204300</t>
  </si>
  <si>
    <t>IQT46203714</t>
  </si>
  <si>
    <t>IQT46203332</t>
  </si>
  <si>
    <t>Finland</t>
  </si>
  <si>
    <t>IQT46196225</t>
  </si>
  <si>
    <t>Belgium</t>
  </si>
  <si>
    <t>IQT46194995</t>
  </si>
  <si>
    <t>Austria</t>
  </si>
  <si>
    <t>Euro Area</t>
  </si>
  <si>
    <t>IQT49751196</t>
  </si>
  <si>
    <t>United States</t>
  </si>
  <si>
    <t>IQT46210560</t>
  </si>
  <si>
    <t>Mexico</t>
  </si>
  <si>
    <t>IQT313310184</t>
  </si>
  <si>
    <t>CDS Change</t>
  </si>
  <si>
    <t>CDS</t>
  </si>
  <si>
    <t>IQT46197138</t>
  </si>
  <si>
    <t>Brazil</t>
  </si>
  <si>
    <t>Thresholds</t>
  </si>
  <si>
    <t>1 year change</t>
  </si>
  <si>
    <t>3 month change</t>
  </si>
  <si>
    <t>14 day change</t>
  </si>
  <si>
    <t>10 day change</t>
  </si>
  <si>
    <t xml:space="preserve"> 5 Day Change</t>
  </si>
  <si>
    <t>Americas</t>
  </si>
  <si>
    <t>CIQ Code</t>
  </si>
  <si>
    <t>Country</t>
  </si>
  <si>
    <t>CDS RIC</t>
  </si>
  <si>
    <t>CDS Change (%)</t>
  </si>
  <si>
    <t>Threshold Green</t>
  </si>
  <si>
    <t>Threshold Red</t>
  </si>
  <si>
    <t>Distribution</t>
  </si>
  <si>
    <t>US</t>
  </si>
  <si>
    <t>High</t>
  </si>
  <si>
    <t>&gt;75–100</t>
  </si>
  <si>
    <t>Elevated</t>
  </si>
  <si>
    <t>&gt;50–75</t>
  </si>
  <si>
    <t>Moderate</t>
  </si>
  <si>
    <t>&gt;25–50</t>
  </si>
  <si>
    <t>Low</t>
  </si>
  <si>
    <t>0–25</t>
  </si>
  <si>
    <t>Risk Category</t>
  </si>
  <si>
    <t>Score</t>
  </si>
  <si>
    <t>Composite Risk Score</t>
  </si>
  <si>
    <t>Equity Risk Percentile</t>
  </si>
  <si>
    <t>CDS Risk Percentile</t>
  </si>
  <si>
    <t>2-Week Equity Return (%)</t>
  </si>
  <si>
    <t>5Y CDS (bps)</t>
  </si>
  <si>
    <t>Region</t>
  </si>
  <si>
    <t>Within-region percentile</t>
  </si>
  <si>
    <t>Scoring Basis</t>
  </si>
  <si>
    <t>2-week return</t>
  </si>
  <si>
    <t>Equity Horizon</t>
  </si>
  <si>
    <t>Equity Weight</t>
  </si>
  <si>
    <t>CDS Weight</t>
  </si>
  <si>
    <t>Model Assumptions</t>
  </si>
  <si>
    <t>Bank Market Risk Monitor — CDS &amp; Equity Composite Score</t>
  </si>
  <si>
    <t xml:space="preserve">America </t>
  </si>
  <si>
    <t>Europe Stoxx 600 Banks Index</t>
  </si>
  <si>
    <t>Asia</t>
  </si>
  <si>
    <t xml:space="preserve">Other Euro </t>
  </si>
  <si>
    <t>BAABTAVMT0NBTAFI/////wFQ1QMAACNDSVEuSVFUNDYyMDMzMzIuSVFfQ0RTX01JRC4yMS8wNy8yNgEAAABfHjcAAgAAAAcxMS4xNjY3ACRnZV3b694IvDx9Ct3r3ggjQ0lRLklRVDQ2MjIzNjQ2LklRX0NEU19NSUQuMjAvMDcvMjYBAAAAG3gEAAIAAAAGNDkuNDMxAIOPZV3b694IbApzCt3r3ggkQ0lRLklRVDMxMzMxNDk3Ni5JUV9DRFNfTUlELjIwLzA3LzI2AQAAAG1KAAACAAAABzU3LjgzNDkAsvkjXdvr3gi5+3MK3eveCCNDSVEuSVFUNDYyMTg1MTYuSVFfQ0RTX01JRC4xNS8wNy8yNgEAAACmVaMBAgAAAAczNS42NDc3AIOPZV3b694I3XuDCt3r3ggjQ0lRLklRVDQ2MjIwODAzLklRX0NEU19NSUQuMTUvMDcvMjYBAAAA1sk2AAIAAAAHNDEuODE1NwCDj2Vd2+veCGHJgwrd694II0NJUS5JUVQ0NjIwMDM2NC5JUV9DRFNfTUlELjE1LzA3LzI2AQAAAFeGCAACAAAABTI0Ljg2AH22ZV3b694IwxaECt3r3ggjQ0lRLklRVDQ2MjA0MzAwLklRX0NEU19NSUQuMTQvMDcvMjYBAAAA9iV9AAIAAAAGNy4xMDAxACRnZV3b694IibWBCt3r3ggjQ0lRLklRVDYwMzg4MDU3LklRX0NEU19NSUQuMTQvMDcvMjYBAAAA38l9AQMAAAAAAIOPZV3b694IewSCCt3r3ggjQ0lRLklRVDQ2MTk5ODQxLklRX0NEU19NSUQuMTQvMDcvMjYBAAAA6zAGAAMAAAAAAH22ZV3b694IcVKCCt3r3ggjQ0lRLklRVDQ2MjE0OTU0LklR</t>
  </si>
  <si>
    <t>X0NEU19NSUQuMjUvMDcvMjYBAAAAOj05AQIAAAAGMTQuNDI5ACRnZV3b694I1cV0Ct3r3ggjQ0lRLklRVDQ2MjA4NjM0LklRX0NEU19NSUQuMjUvMDcvMjYBAAAAAx/CAAIAAAAHMjMuMzI1MQCDj2Vd2+veCFrrdQrd694II0NJUS5JUVQ0NjIyNTA4My5JUV9DRFNfTUlELjI1LzA3LzI2AQAAAFZEBgACAAAAAjM3AH22ZV3b694Iqa52Ct3r3ggjQ0lRLklRVDQ2MjAzNzE0LklRX0NEU19NSUQuMTcvMDcvMjYBAAAAXwU1AAIAAAAFMzEuNDUAJGdlXdvr3ggp/X8K3eveCCNDSVEuSVFUNzk2Mzk5NTMuSVFfQ0RTX01JRC4xNy8wNy8yNgEAAAA0m1YBAgAAAAcyNC45NDI4AIOPZV3b694IKf1/Ct3r3ggkQ0lRLklRVDUyODkzNjgxMi5JUV9DRFNfTUlELjE3LzA3LzI2AQAAAGxbBgACAAAABzQ3Ljk1OTQAfbZlXdvr3ggp/X8K3eveCCNDSVEuSVFUNDYxOTcxMzguSVFfQ0RTX01JRC4xNi8wNy8yNgEAAADulDgBAgAAAAgxMjMuNjQ0MwAkZ2Vd2+veCPDBgArd694II0NJUS5JUVQ1MTAyMzQ4MC5JUV9DRFNfTUlELjE2LzA3LzI2AQAAAMJF8QECAAAABjQuNzkyNwCDj2Vd2+veCPDBgArd694II0NJUS5JUVQ0NjIwNDk1Ny5JUV9DRFNfTUlELjE2LzA3LzI2AQAAACEVBgACAAAABjU1LjAxMgCDj2Vd2+veCPDBgArd694II0NJUS5JUVQ2MjI3MDEwNi5JUV9DRFNfTUlELjE2LzA3LzI2AQAAAK13gwACAAAABzc1</t>
  </si>
  <si>
    <t>LjIxMzUAsvkjXdvr3gjwwYAK3eveCCNDSVEuSVFUNzk2NDAwMjQuSVFfQ0RTX01JRC4xMy8wNy8yNgEAAAA1j5sBAgAAAAM3LjgAJGdlXdvr3gjiZIQK3eveCCRDSVEuSVFUMzEzMzA1ODc5LklRX0NEU19NSUQuMTMvMDcvMjYBAAAAhNbcAQIAAAAGMi4zMzM0AIOPZV3b694I9MaECt3r3ggjQ0lRLklRVDQ2MjAwNDEyLklRX0NEU19NSUQuMTMvMDcvMjYBAAAAY0MGAAIAAAAHNDYuNDMyNQB9tmVd2+veCLoBhQrd694II0NJUS5JUVQ0NjIwMzMzMi5JUV9DRFNfTUlELjI0LzA3LzI2AQAAAF8eNwACAAAABzEwLjgzMzMAJGdlXdvr3gg+R3oK3eveCCNDSVEuSVFUNDYyMTUxMTEuSVFfQ0RTX01JRC4yNC8wNy8yNgEAAACgS7IBAgAAAAczOC41NDYyAIOPZV3b694IR5V6Ct3r3ggjQ0lRLklRVDQ2MjI2MTMyLklRX0NEU19NSUQuMjQvMDcvMjYBAAAA3VkAAAIAAAAHNDUuNTc4NAB9tmVd2+veCFvjegrd694IJENJUS5JUVQzMTMzMTM1MjQuSVFfQ0RTX01JRC4yNC8wNy8yNgEAAADvVQ0AAgAAAAY2MC41MjIAsvkjXdvr3ghvMXsK3eveCCNDSVEuSVFUNzk2Mzk5MTMuSVFfQ0RTX01JRC4yMy8wNy8yNgEAAAAgYxwCAgAAAAU4LjEyNQCDj2Vd2+veCLluewrd694II0NJUS5JUVQ0NjIwNzg3Mi5JUV9DRFNfTUlELjIzLzA3LzI2AQAAAFgNCgACAAAABzQxLjA4NTMAg49lXdvr3ghm8HsK3eveCCNDSVEuSVFU</t>
  </si>
  <si>
    <t>NDYyMDAzMTcuSVFfQ0RTX01JRC4yMy8wNy8yNgEAAAD+VA0AAgAAAAc2MS40NzI5ALL5I13b694Ip7N8Ct3r3ggkQ0lRLklRVDY0NDcwMTc5Ny5JUV9DRFNfTUlELjI3LzA0LzI2AQAAAFM/fQECAAAABjkuOTI5MwAkZ2Vd2+veCK4+hQrd694II0NJUS5JUVQ0NjIxNjk4Ni5JUV9DRFNfTUlELjI3LzA0LzI2AQAAAM5EOAEDAAAAAACDj2Vd2+veCMaMhQrd694IJENJUS5JUVQyNTQ5NTUyMzMuSVFfQ0RTX01JRC4yNy8wNC8yNgEAAAA5VgoAAgAAAAc1NS4xNjUzAH22ZV3b694IRtuFCt3r3ggjQ0lRLklRVDQ2MTk2MjI1LklRX0NEU19NSUQuMjIvMDcvMjYBAAAAvlWjAQIAAAAGMTcuMzc1ACRnZV3b694IGoZ3Ct3r3ggjQ0lRLklRVDUxMDIzMjYwLklRX0NEU19NSUQuMjIvMDcvMjYBAAAAsRF/AQIAAAAHMTQuMTYwNwCDj2Vd2+veCKhleArd694II0NJUS5JUVQ0NjIyNDc0MC5JUV9DRFNfTUlELjIyLzA3LzI2AQAAANNyCAACAAAAAjM2AH22ZV3b694IqGV4Ct3r3ggkQ0lRLklRVDMxMzMxNzM0NC5JUV9DRFNfTUlELjIyLzA3LzI2AQAAAPGsAQACAAAABzYwLjM4NDIAsvkjXdvr3gg+R3oK3eveCCNDSVEuSVFUNDYyMDAyNzYuSVFfQ0RTX01JRC4yMS8wNy8yNgEAAACWd3wBAgAAAAcyOS4zNDkzAIOPZV3b694I37F9Ct3r3ggjQ0lRLklRVDQ2MTk1NDkxLklRX0NEU19NSUQuMjEvMDcvMjYBAAAAaUoA</t>
  </si>
  <si>
    <t>AAIAAAAHNTUuMzcxNACDj2Vd2+veCBd2fgrd694II0NJUS5JUVQ3OTYzNDkwMS5JUV9DRFNfTUlELjIxLzA3LzI2AQAAAJwGEAACAAAABzQxLjAwODQAfbZlXdvr3gjj734K3eveCCNDSVEuSVFUNDYyMDc1NzEuSVFfQ0RTX01JRC4yNy8wNy8yNQEAAABt7zUAAgAAAAczOS42NTE1ACRnZV3b694IvWWGCt3r3ggjQ0lRLklRVDQ2MjEzNDcyLklRX0NEU19NSUQuMjcvMDcvMjUBAAAAuVo4AAIAAAAHMTMuODM1NQCDj2Vd2+veCOO0hgrd694IJENJUS5JUVQyNjMyMTMxMzIuSVFfQ0RTX01JRC4yNy8wNy8yNQEAAADhmggAAgAAAAc1NS4zNjI5AH22ZV3b694Ip/OGCt3r3ggjQ0lRLklRVDQ2MTk0OTk1LklRX0NEU19NSUQuMTkvMDcvMjYBAAAAbhAxAAIAAAAFMTAuOTgAJGdlXdvr3giBGH8K3eveCCNDSVEuSVFUNDYyMjUwMDYuSVFfQ0RTX01JRC4xOS8wNy8yNgEAAAD4VQ0AAgAAAAc0My41NDg4AH22ZV3b694Ippd/Ct3r3ggjQ0lRLklRVDQ2MjIwMzI5LklRX0NEU19NSUQuMTkvMDcvMjYBAAAA21sAAAIAAAACNTYAsvkjXdvr3giml38K3eveCCRDSVEuSVFUMzEzMzE3MzQ0LklRX0NEU19NSUQuMTkvMDcvMjYBAAAA8awBAAIAAAAHNjAuODEyMwCy+SNd2+veCKaXfwrd694II0NJUS5JUVQ3OTYzOTk1My5JUV9DRFNfTUlELjIyLzA3LzI2AQAAADSbVgECAAAABzI0LjkwOTUAg49lXdvr3gioZXgK3eve</t>
  </si>
  <si>
    <t>CCNDSVEuSVFUNDYxOTcxMzguSVFfQ0RTX01JRC4yMS8wNy8yNgEAAADulDgBAgAAAAgxMjIuMzc3OQAkZ2Vd2+veCKsVfQrd694II0NJUS5JUVQ3OTY0MDAyNC5JUV9DRFNfTUlELjI3LzA3LzI1AQAAADWPmwECAAAABjEwLjQ3NgAkZ2Vd2+veCEOOhgrd694IJENJUS5JUVQzMTMzMDU4NzkuSVFfQ0RTX01JRC4yNy8wNy8yNQEAAACE1twBAgAAAAYzLjI3MjYAg49lXdvr3gjjtIYK3eveCCNDSVEuSVFUNDYyMDMzMzIuSVFfQ0RTX01JRC4xOS8wNy8yNgEAAABfHjcAAgAAAAcxMS4xNjY3ACRnZV3b694I7T5/Ct3r3ggjQ0lRLklRVDQ2MjE5OTIyLklRX0NEU19NSUQuMjEvMDcvMjYBAAAA1kc5AQIAAAAENy4yNQCDj2Vd2+veCPHYfQrd694II0NJUS5JUVQ0NjIxODUxNi5JUV9DRFNfTUlELjI3LzA3LzI1AQAAAKZVowECAAAABzMzLjQzMTEAg49lXdvr3ghDjoYK3eveCCNDSVEuSVFUNDYyMDAzNjQuSVFfQ0RTX01JRC4yNy8wNy8yNQEAAABXhggAAgAAAAczNi45NTQzAH22ZV3b694IRhuHCt3r3ggjQ0lRLklRVDQ2MjA0MzAwLklRX0NEU19NSUQuMTkvMDcvMjYBAAAA9iV9AAIAAAAGNy4xMDA5ACRnZV3b694I7T5/Ct3r3ggjQ0lRLklRVDYwMzg4MDU3LklRX0NEU19NSUQuMTkvMDcvMjYBAAAA38l9AQMAAAAAAIOPZV3b694IR2x/Ct3r3ggjQ0lRLklRVDQ2MTk5ODQxLklRX0NEU19NSUQuMTkvMDcv</t>
  </si>
  <si>
    <t>MjYBAAAA6zAGAAMAAAAAAH22ZV3b694Ippd/Ct3r3ggkQ0lRLklRVDMxMzMxMDE4NC5JUV9DRFNfTUlELjE4LzA3LzI2AQAAAGBEPgACAAAABzExLjA5ODcAJGdlXdvr3giWeYIK3eveCCNDSVEuSVFUNDY0NzA4NzcuSVFfQ0RTX01JRC4xOC8wNy8yNgEAAABCNwcAAgAAAAY1OC4zMTQAg49lXdvr3giFHYMK3eveCCNDSVEuSVFUNDYyMTA1NjAuSVFfQ0RTX01JRC4xOC8wNy8yNgEAAAD2GjcAAgAAAAc4Ni45NTQxACRnZV3b694IlnmCCt3r3ggjQ0lRLklRVDQ2MjIzNjQ2LklRX0NEU19NSUQuMTgvMDcvMjYBAAAAG3gEAAIAAAAHNDkuNzY2NACDj2Vd2+veCIUdgwrd694II0NJUS5JUVQ0NjIxNDk1NC5JUV9DRFNfTUlELjE5LzA3LzI2AQAAADo9OQECAAAABDE0LjQAJGdlXdvr3gjtPn8K3eveCCNDSVEuSVFUNDYyMDM3MTQuSVFfQ0RTX01JRC4xOC8wNy8yNgEAAABfBTUAAgAAAAUzMS40NQAkZ2Vd2+veCCuhggrd694II0NJUS5JUVQ0NjE5OTg0MS5JUV9DRFNfTUlELjE4LzA3LzI2AQAAAOswBgADAAAAAAB9tmVd2+veCIUdgwrd694II0NJUS5JUVQ3OTY0MDAyNC5JUV9DRFNfTUlELjIzLzA3LzI2AQAAADWPmwECAAAABjcuODMzMwAkZ2Vd2+veCG8xewrd694II0NJUS5JUVQ3OTYzOTkxMy5JUV9DRFNfTUlELjIyLzA3LzI2AQAAACBjHAICAAAABTguMTI1AIOPZV3b694IugN4Ct3r3ggkQ0lRLklR</t>
  </si>
  <si>
    <t>VDY0NDcwMTc5Ny5JUV9DRFNfTUlELjIxLzA3LzI2AQAAAFM/fQECAAAABzEwLjMzMjQAJGdlXdvr3gjRin0K3eveCCNDSVEuSVFUNDYxOTYyMjUuSVFfQ0RTX01JRC4yNy8wNy8yNQEAAAC+VaMBAgAAAAcyMi42NjY3ACRnZV3b694IxT6GCt3r3ggjQ0lRLklRVDQ2MjI0NzQwLklRX0NEU19NSUQuMjcvMDcvMjUBAAAA03IIAAIAAAAHMzcuODM4MwB9tmVd2+veCKfzhgrd694II0NJUS5JUVQ1MTAyMzQ4MC5JUV9DRFNfTUlELjIyLzA3LzI2AQAAAMJF8QECAAAABjQuNjg1MgCDj2Vd2+veCLoDeArd694IJENJUS5JUVQzMjM2ODAxMzAuSVFfQ0RTX01JRC4yMC8wNy8yNgEAAABx4QIAAgAAAAc1Mi4zMTE4AIOPZV3b694IbApzCt3r3ggkQ0lRLklRVDMxMzMxNTQyOS5JUV9DRFNfTUlELjIwLzA3LzI2AQAAADnnBQACAAAABzYyLjE2NzMAsvkjXdvr3gi5+3MK3eveCCNDSVEuSVFUNDYyMDY3NzkuSVFfQ0RTX01JRC4xNS8wNy8yNgEAAAD87zYAAgAAAAcxNi41ODM3AIOPZV3b694I3XuDCt3r3ggjQ0lRLklRVDQ2MjE4Njc0LklRX0NEU19NSUQuMTUvMDcvMjYBAAAAV8o2AAIAAAAIMTI0Ljg0MjMAg49lXdvr3ghhyYMK3eveCCNDSVEuSVFUNDYyMjU3MTUuSVFfQ0RTX01JRC4xNS8wNy8yNgEAAAC35QQAAgAAAAY0My4zMzIAfbZlXdvr3gjDFoQK3eveCCNDSVEuSVFUNDYyMDQ4ODQuSVFfQ0RTX01JRC4x</t>
  </si>
  <si>
    <t>NC8wNy8yNgEAAACBUcABAgAAAAcyOS4zNTA3ACRnZV3b694IibWBCt3r3ggjQ0lRLklRVDQ2MjA3Nzg5LklRX0NEU19NSUQuMTQvMDcvMjYBAAAAKlijAQIAAAAHMjYuNTg4NgCDj2Vd2+veCHsEggrd694IJENJUS5JUVQyODYwOTYxMzEuSVFfQ0RTX01JRC4xNC8wNy8yNgEAAAA78QQAAgAAAAc2MC45MDA3AH22ZV3b694IcVKCCt3r3ggjQ0lRLklRVDQ2MjE4NTE2LklRX0NEU19NSUQuMjUvMDcvMjYBAAAAplWjAQIAAAAGMzUuMzc4AIOPZV3b694I0+x0Ct3r3ggjQ0lRLklRVDQ2MjIwODAzLklRX0NEU19NSUQuMjUvMDcvMjYBAAAA1sk2AAIAAAAHNDQuMzkwMwCDj2Vd2+veCFrrdQrd694II0NJUS5JUVQ0NjIwMDM2NC5JUV9DRFNfTUlELjI1LzA3LzI2AQAAAFeGCAACAAAABzI1LjU5MjQAfbZlXdvr3giprnYK3eveCCNDSVEuSVFUNDYyMDQzMDAuSVFfQ0RTX01JRC4xNy8wNy8yNgEAAAD2JX0AAgAAAAY3LjEwMDkAJGdlXdvr3ggp/X8K3eveCCNDSVEuSVFUNjAzODgwNTcuSVFfQ0RTX01JRC4xNy8wNy8yNgEAAADfyX0BAwAAAAAAg49lXdvr3ggp/X8K3eveCCNDSVEuSVFUNDYxOTk4NDEuSVFfQ0RTX01JRC4xNy8wNy8yNgEAAADrMAYAAwAAAAAAfbZlXdvr3ggp/X8K3eveCCRDSVEuSVFUMzEzMzEwMTg0LklRX0NEU19NSUQuMTYvMDcvMjYBAAAAYEQ+AAIAAAAHMTEuMTMyMQAkZ2Vd2+veCPDB</t>
  </si>
  <si>
    <t>gArd694II0NJUS5JUVQ0NjIxNDg3OS5JUV9DRFNfTUlELjE2LzA3LzI2AQAAAPUaNwACAAAABzUwLjY2MjIAg49lXdvr3gjwwYAK3eveCCNDSVEuSVFUNDY0NzA4NzcuSVFfQ0RTX01JRC4xNi8wNy8yNgEAAABCNwcAAgAAAAc1Ny40NTYxAIOPZV3b694I8MGACt3r3ggkQ0lRLklRVDMxMzMxMDg1NC5JUV9DRFNfTUlELjE2LzA3LzI2AQAAAK9UDQACAAAABzYxLjE2NjcAsvkjXdvr3ghbhoEK3eveCCNDSVEuSVFUNDYyMTQ5NTQuSVFfQ0RTX01JRC4xMy8wNy8yNgEAAAA6PTkBAgAAAAUxNC4yNQCDj2Vd2+veCOJkhArd694II0NJUS5JUVQ0NjIwODYzNC5JUV9DRFNfTUlELjEzLzA3LzI2AQAAAAMfwgACAAAABzIyLjc3MzQAg49lXdvr3gj0xoQK3eveCCNDSVEuSVFUNDYyMjUwODMuSVFfQ0RTX01JRC4xMy8wNy8yNgEAAABWRAYAAgAAAAYzNy4zNzYAfbZlXdvr3gi6AYUK3eveCCNDSVEuSVFUNDYyMDM3MTQuSVFfQ0RTX01JRC4yNC8wNy8yNgEAAABfBTUAAgAAAAczMS43NTYzACRnZV3b694IPkd6Ct3r3ggjQ0lRLklRVDc5NjM5OTUzLklRX0NEU19NSUQuMjQvMDcvMjYBAAAANJtWAQIAAAAHMjQuODg3MQCDj2Vd2+veCEeVegrd694IJENJUS5JUVQ1Mjg5MzY4MTIuSVFfQ0RTX01JRC4yNC8wNy8yNgEAAABsWwYAAgAAAAc0OC4yOTk3AH22ZV3b694IW+N6Ct3r3ggjQ0lRLklRVDQ2MTk3MTM4LklR</t>
  </si>
  <si>
    <t>X0NEU19NSUQuMjMvMDcvMjYBAAAA7pQ4AQIAAAAIMTI1LjQzOTkAJGdlXdvr3ghvMXsK3eveCCNDSVEuSVFUNTEwMjM0ODAuSVFfQ0RTX01JRC4yMy8wNy8yNgEAAADCRfEBAgAAAAY0LjY4MzcAg49lXdvr3gi5bnsK3eveCCNDSVEuSVFUNDYyMDQ5NTcuSVFfQ0RTX01JRC4yMy8wNy8yNgEAAAAhFQYAAgAAAAc1NS43NjQ0AIOPZV3b694IZvB7Ct3r3ggjQ0lRLklRVDYyMjcwMTA2LklRX0NEU19NSUQuMjMvMDcvMjYBAAAArXeDAAIAAAAHNzUuMjAzNQCy+SNd2+veCKezfArd694II0NJUS5JUVQ3OTY0MDAyNC5JUV9DRFNfTUlELjI3LzA0LzI2AQAAADWPmwECAAAABDguOTIAJGdlXdvr3giuPoUK3eveCCRDSVEuSVFUMzEzMzA1ODc5LklRX0NEU19NSUQuMjcvMDQvMjYBAAAAhNbcAQIAAAAGMi4zMzM0AIOPZV3b694IxoyFCt3r3ggjQ0lRLklRVDQ2MjAwNDEyLklRX0NEU19NSUQuMjcvMDQvMjYBAAAAY0MGAAIAAAAENTcuNwB9tmVd2+veCEbbhQrd694II0NJUS5JUVQ0NjIwMzMzMi5JUV9DRFNfTUlELjIyLzA3LzI2AQAAAF8eNwACAAAABzExLjE2NjcAJGdlXdvr3ggahncK3eveCCNDSVEuSVFUNDYyMTUxMTEuSVFfQ0RTX01JRC4yMi8wNy8yNgEAAACgS7IBAgAAAAczNy43NDE1AIOPZV3b694IqGV4Ct3r3ggjQ0lRLklRVDQ2MjI2MTMyLklRX0NEU19NSUQuMjIvMDcvMjYBAAAA3VkAAAIAAAAH</t>
  </si>
  <si>
    <t>NDQuNzQ4NgB9tmVd2+veCKhleArd694IJENJUS5JUVQzMTMzMTM1MjQuSVFfQ0RTX01JRC4yMi8wNy8yNgEAAADvVQ0AAgAAAAc2MC40Njg3ALL5I13b694IPkd6Ct3r3ggjQ0lRLklRVDc5NjM5OTEzLklRX0NEU19NSUQuMjEvMDcvMjYBAAAAIGMcAgIAAAAFOC4xMjUAg49lXdvr3gjfsX0K3eveCCNDSVEuSVFUNDYyMDc4NzIuSVFfQ0RTX01JRC4yMS8wNy8yNgEAAABYDQoAAgAAAAc0MC44NTk1AIOPZV3b694IF3Z+Ct3r3ggjQ0lRLklRVDQ2MjAwMzE3LklRX0NEU19NSUQuMjEvMDcvMjYBAAAA/lQNAAIAAAAHNjIuMjA3OACy+SNd2+veCOPvfgrd694IJENJUS5JUVQ2NDQ3MDE3OTcuSVFfQ0RTX01JRC4yNy8wNy8yNQEAAABTP30BAgAAAAcxNS4yMTg2ACRnZV3b694IvWWGCt3r3ggjQ0lRLklRVDQ2MjE2OTg2LklRX0NEU19NSUQuMjcvMDcvMjUBAAAAzkQ4AQMAAAAAAIOPZV3b694I47SGCt3r3ggkQ0lRLklRVDI1NDk1NTIzMy5JUV9DRFNfTUlELjI3LzA3LzI1AQAAADlWCgACAAAABjU1LjExNwB9tmVd2+veCKfzhgrd694II0NJUS5JUVQ0NjE5NjIyNS5JUV9DRFNfTUlELjE5LzA3LzI2AQAAAL5VowECAAAABjE3LjM3NQAkZ2Vd2+veCO0+fwrd694II0NJUS5JUVQ1MTAyMzI2MC5JUV9DRFNfTUlELjE5LzA3LzI2AQAAALERfwECAAAABzE0LjA0NTgAg49lXdvr3ghHbH8K3eveCCNDSVEuSVFU</t>
  </si>
  <si>
    <t>NDYyMjQ3NDAuSVFfQ0RTX01JRC4xOS8wNy8yNgEAAADTcggAAgAAAAczNS4yMzM3AH22ZV3b694Ippd/Ct3r3ggkQ0lRLklRVDUyODkzNjgxMi5JUV9DRFNfTUlELjIyLzA3LzI2AQAAAGxbBgACAAAABzQ2Ljk4NDEAfbZlXdvr3gioZXgK3eveCCNDSVEuSVFUNTEwMjM0ODAuSVFfQ0RTX01JRC4yMS8wNy8yNgEAAADCRfEBAgAAAAY0LjY4NDYAg49lXdvr3gjx2H0K3eveCCNDSVEuSVFUNDYyMDQ5NTcuSVFfQ0RTX01JRC4yMS8wNy8yNgEAAAAhFQYAAgAAAAQ1NS4yAIOPZV3b694IF3Z+Ct3r3ggjQ0lRLklRVDYyMjcwMTA2LklRX0NEU19NSUQuMjEvMDcvMjYBAAAArXeDAAIAAAAHNzUuMjA5OQCy+SNd2+veCIEYfwrd694II0NJUS5JUVQ0NjIwMDQxMi5JUV9DRFNfTUlELjI3LzA3LzI1AQAAAGNDBgACAAAABjUyLjEyNAB9tmVd2+veCKfzhgrd694IJENJUS5JUVQzMTMzMTM1MjQuSVFfQ0RTX01JRC4xOS8wNy8yNgEAAADvVQ0AAgAAAAc2MC4wMDY2ALL5I13b694Ippd/Ct3r3ggjQ0lRLklRVDc5NjM5OTEzLklRX0NEU19NSUQuMTgvMDcvMjYBAAAAIGMcAgIAAAAFOC4xMjUAg49lXdvr3gj2xoIK3eveCCNDSVEuSVFUNjIyNzAxMDYuSVFfQ0RTX01JRC4xOC8wNy8yNgEAAACtd4MAAgAAAAc3NS4yMTgxALL5I13b694Id1ODCt3r3ggjQ0lRLklRVDYwMzg5NTE2LklRX0NEU19NSUQuMjMvMDcvMjYB</t>
  </si>
  <si>
    <t>AAAApfDDAQIAAAAGNy4yNDI5AIOPZV3b694IuW57Ct3r3ggkQ0lRLklRVDMxMzMxMDg1NC5JUV9DRFNfTUlELjE4LzA3LzI2AQAAAK9UDQACAAAABzYxLjE2NjcAsvkjXdvr3gh3U4MK3eveCCNDSVEuSVFUNDYyMjUzNzQuSVFfQ0RTX01JRC4yMi8wNy8yNgEAAAC11gUAAgAAAAczOC41ODQ1AH22ZV3b694IqGV4Ct3r3ggjQ0lRLklRVDQ2MjA2Nzc5LklRX0NEU19NSUQuMjcvMDcvMjUBAAAA/O82AAIAAAAHMjcuMDU4NgCDj2Vd2+veCEOOhgrd694II0NJUS5JUVQ0NjE5NTQ5MS5JUV9DRFNfTUlELjI3LzA0LzI2AQAAAGlKAAACAAAABjU4Ljg3NQCDj2Vd2+veCNazhQrd694II0NJUS5JUVQ0NjIxOTkyMi5JUV9DRFNfTUlELjI0LzA3LzI2AQAAANZHOQECAAAABjYuNjg2MgCDj2Vd2+veCEeVegrd694II0NJUS5JUVQ0NjIyMzY0Ni5JUV9DRFNfTUlELjI0LzA3LzI2AQAAABt4BAACAAAABzQ5LjkzNTQAg49lXdvr3ghb43oK3eveCCRDSVEuSVFUMzEzMzE0OTc2LklRX0NEU19NSUQuMjQvMDcvMjYBAAAAbUoAAAIAAAAHNTguMTY1MQCy+SNd2+veCHYKewrd694II0NJUS5JUVQ0NjIxODUxNi5JUV9DRFNfTUlELjIzLzA3LzI2AQAAAKZVowECAAAABzM0Ljg1NjQAg49lXdvr3ghvMXsK3eveCCNDSVEuSVFUNDYyMjA4MDMuSVFfQ0RTX01JRC4yMy8wNy8yNgEAAADWyTYAAgAAAAY0My4zMTgAg49lXdvr</t>
  </si>
  <si>
    <t>3ghHyXsK3eveCCNDSVEuSVFUNDYyMDAzNjQuSVFfQ0RTX01JRC4yMy8wNy8yNgEAAABXhggAAgAAAAcyNS41MzY2AH22ZV3b694IlYx8Ct3r3ggjQ0lRLklRVDQ2MjA0MzAwLklRX0NEU19NSUQuMjcvMDQvMjYBAAAA9iV9AAIAAAAGOS4wNjY0ACRnZV3b694Irj6FCt3r3ggjQ0lRLklRVDQ2MjEwNTYwLklRX0NEU19NSUQuMjQvMDcvMjYBAAAA9ho3AAIAAAAHODcuODAxMQAkZ2Vd2+veCD5Hegrd694II0NJUS5JUVQ2MDM4ODA1Ny5JUV9DRFNfTUlELjI3LzA0LzI2AQAAAN/JfQEDAAAAAACDj2Vd2+veCMaMhQrd694IJENJUS5JUVQ2NDQ3MDE3OTcuSVFfQ0RTX01JRC4xOS8wNy8yNgEAAABTP30BAgAAAAcxMC4zODE3ACRnZV3b694I7T5/Ct3r3ggjQ0lRLklRVDQ2MTk5ODQxLklRX0NEU19NSUQuMjcvMDQvMjYBAAAA6zAGAAMAAAAAAH22ZV3b694IRtuFCt3r3ggjQ0lRLklRVDQ2MTk2MjI1LklRX0NEU19NSUQuMTgvMDcvMjYBAAAAvlWjAQIAAAAGMTcuMzc1ACRnZV3b694IK6GCCt3r3ggkQ0lRLklRVDMxMzMxMDE4NC5JUV9DRFNfTUlELjIyLzA3LzI2AQAAAGBEPgACAAAABzExLjAwMTUAJGdlXdvr3ggMX3cK3eveCCNDSVEuSVFUNDYyMDM3MTQuSVFfQ0RTX01JRC4yMS8wNy8yNgEAAABfBTUAAgAAAAUzMS40NQAkZ2Vd2+veCLw8fQrd694II0NJUS5JUVQ0NjIxNDg3OS5JUV9DRFNfTUlELjIy</t>
  </si>
  <si>
    <t>LzA3LzI2AQAAAPUaNwACAAAABzUwLjkyNzUAg49lXdvr3gioZXgK3eveCCNDSVEuSVFUNDYyMDMzMzIuSVFfQ0RTX01JRC4xOC8wNy8yNgEAAABfHjcAAgAAAAcxMS4xNjY3ACRnZV3b694IK6GCCt3r3ggjQ0lRLklRVDQ2NDcwODc3LklRX0NEU19NSUQuMjIvMDcvMjYBAAAAQjcHAAIAAAAHNTcuNDY3MwCDj2Vd2+veCKhleArd694IJENJUS5JUVQzMTMzMTM1MjQuSVFfQ0RTX01JRC4xOC8wNy8yNgEAAADvVQ0AAgAAAAc2MC4wMDY2ALL5I13b694Id1ODCt3r3ggkQ0lRLklRVDMxMzMxMDg1NC5JUV9DRFNfTUlELjIyLzA3LzI2AQAAAK9UDQACAAAABDYxLjUAsvkjXdvr3gjJH3oK3eveCCRDSVEuSVFUMjg2MDk2MTMxLklRX0NEU19NSUQuMjMvMDcvMjYBAAAAO/EEAAIAAAAHNjAuNzk1MQB9tmVd2+veCKBlfArd694II0NJUS5JUVQ0NjIxNDk1NC5JUV9DRFNfTUlELjIxLzA3LzI2AQAAADo9OQECAAAABDE0LjQAJGdlXdvr3gjRin0K3eveCCNDSVEuSVFUNDYyMTM0NzIuSVFfQ0RTX01JRC4yMi8wNy8yNgEAAAC5WjgAAgAAAAYxNS4wMzQAg49lXdvr3gioZXgK3eveCCNDSVEuSVFUNDYyMDg2MzQuSVFfQ0RTX01JRC4yMS8wNy8yNgEAAAADH8IAAgAAAAcyMi43MDgzAIOPZV3b694IWU9+Ct3r3ggjQ0lRLklRVDQ2MjIyMjkyLklRX0NEU19NSUQuMjEvMDcvMjYBAAAA0ZGbAQIAAAAINzYxLjUyOTQA</t>
  </si>
  <si>
    <t>g49lXdvr3gjx2H0K3eveCCNDSVEuSVFUNDYxOTk4NDEuSVFfQ0RTX01JRC4yMS8wNy8yNgEAAADrMAYAAwAAAAAAfbZlXdvr3gjmyH4K3eveCCNDSVEuSVFUNDYyMjAzMjkuSVFfQ0RTX01JRC4yMS8wNy8yNgEAAADbWwAAAgAAAAc1Ni4zMTU2ALL5I13b694IgRh/Ct3r3ggjQ0lRLklRVDQ2MjE0ODc5LklRX0NEU19NSUQuMjcvMDcvMjUBAAAA9Ro3AAIAAAAHNjUuNjA5OQCDj2Vd2+veCEOOhgrd694II0NJUS5JUVQ0NjE5NzY5NC5JUV9DRFNfTUlELjI3LzA3LzI1AQAAAAf6BQACAAAABzUzLjUzMDEAg49lXdvr3gjjtIYK3eveCCNDSVEuSVFUNDYyMDg2MzQuSVFfQ0RTX01JRC4xOS8wNy8yNgEAAAADH8IAAgAAAAYyMi44MjUAg49lXdvr3giml38K3eveCCNDSVEuSVFUNDYyMDczMDguSVFfQ0RTX01JRC4xOS8wNy8yNgEAAAA5iXoBAgAAAAcxNC41NjI1ACRnZV3b694I7T5/Ct3r3ggjQ0lRLklRVDQ2MjA3ODcyLklRX0NEU19NSUQuMjIvMDcvMjYBAAAAWA0KAAIAAAAENDAuNgCDj2Vd2+veCKhleArd694II0NJUS5JUVQ0NjIyNTM3NC5JUV9DRFNfTUlELjE5LzA3LzI2AQAAALXWBQACAAAABzM5LjAzNjcAfbZlXdvr3giml38K3eveCCRDSVEuSVFUMzEzMzE3MzQ0LklRX0NEU19NSUQuMjcvMDcvMjUBAAAA8awBAAIAAAAHMzcuODIxOQCy+SNd2+veCEYbhwrd694II0NJUS5JUVQ0OTc1MTE5Ni5J</t>
  </si>
  <si>
    <t>UV9DRFNfTUlELjE4LzA3LzI2AQAAAM2ZvQACAAAABzQxLjgzMzMAJGdlXdvr3ggroYIK3eveCCNDSVEuSVFUNDYyMDc1NzEuSVFfQ0RTX01JRC4xOC8wNy8yNgEAAABt7zUAAgAAAAczMC4yOTE3ACRnZV3b694IK6GCCt3r3ggkQ0lRLklRVDMyMzY4MDEzMC5JUV9DRFNfTUlELjE4LzA3LzI2AQAAAHHhAgACAAAABzUxLjQ0NzgAg49lXdvr3giFHYMK3eveCCNDSVEuSVFUNDYyMTQ4NzkuSVFfQ0RTX01JRC4yNC8wNy8yNgEAAAD1GjcAAgAAAAc1MC45MjIxAIOPZV3b694IR5V6Ct3r3ggjQ0lRLklRVDQ2MjI1MDgzLklRX0NEU19NSUQuMTcvMDcvMjYBAAAAVkQGAAIAAAAEMzYuNQB9tmVd2+veCCn9fwrd694II0NJUS5JUVQ0NjIwNDk1Ny5JUV9DRFNfTUlELjIyLzA3LzI2AQAAACEVBgACAAAABDU0LjgAg49lXdvr3gioZXgK3eveCCNDSVEuSVFUNTEwMjM0ODAuSVFfQ0RTX01JRC4xMy8wNy8yNgEAAADCRfEBAgAAAAY0LjQ5NTgAg49lXdvr3gjiZIQK3eveCCNDSVEuSVFUNzk2NDAwMjQuSVFfQ0RTX01JRC4yMS8wNy8yNgEAAAA1j5sBAgAAAAY3LjgzMzMAJGdlXdvr3gjRin0K3eveCCNDSVEuSVFUNjIyNzAxMDYuSVFfQ0RTX01JRC4xMy8wNy8yNgEAAACtd4MAAgAAAAc3NS4yMTM4ALL5I13b694IKhaFCt3r3ggjQ0lRLklRVDQ2MjAzMzMyLklRX0NEU19NSUQuMjcvMDcvMjUBAAAAXx43AAIAAAAH</t>
  </si>
  <si>
    <t>MTUuNDk1MgAkZ2Vd2+veCL1lhgrd694IJENJUS5JUVQzMTMzMDU4NzkuSVFfQ0RTX01JRC4yNC8wNy8yNgEAAACE1twBAgAAAAYyLjE1MjEAg49lXdvr3ghMvHoK3eveCCNDSVEuSVFUNzk2Mzk5MTMuSVFfQ0RTX01JRC4xOS8wNy8yNgEAAAAgYxwCAgAAAAU4LjEyNQCDj2Vd2+veCEppfwrd694II0NJUS5JUVQ0NjIxNTExMS5JUV9DRFNfTUlELjIzLzA3LzI2AQAAAKBLsgECAAAABzM4LjEyNjkAg49lXdvr3gi5bnsK3eveCCRDSVEuSVFUMjU0OTU1MjMzLklRX0NEU19NSUQuMTgvMDcvMjYBAAAAOVYKAAIAAAAHNDMuMzM4NgB9tmVd2+veCIUdgwrd694II0NJUS5JUVQ0NjIyNjEzMi5JUV9DRFNfTUlELjIzLzA3LzI2AQAAAN1ZAAACAAAABzQ1LjQ2MjIAfbZlXdvr3gh2PnwK3eveCCNDSVEuSVFUNzk2Mzk5MTMuSVFfQ0RTX01JRC4yNy8wNC8yNgEAAAAgYxwCAgAAAAE5AIOPZV3b694ItWWFCt3r3ggjQ0lRLklRVDQ2MjA3ODcyLklRX0NEU19NSUQuMjcvMDQvMjYBAAAAWA0KAAIAAAAHNDEuNDk2OQCDj2Vd2+veCNazhQrd694II0NJUS5JUVQ0NjIwNDk1Ny5JUV9DRFNfTUlELjIwLzA3LzI2AQAAACEVBgACAAAABzU1LjIyNjUAg49lXdvr3ghg43IK3eveCCNDSVEuSVFUNjIyNzAxMDYuSVFfQ0RTX01JRC4yMC8wNy8yNgEAAACtd4MAAgAAAAY3NC42MjIAsvkjXdvr3gig1HMK3eveCCNDSVEuSVFU</t>
  </si>
  <si>
    <t>Nzk2NDAwMjQuSVFfQ0RTX01JRC4xNS8wNy8yNgEAAAA1j5sBAgAAAAU3Ljg3NQAkZ2Vd2+veCN17gwrd694II0NJUS5JUVQ0NjIxNjk4Ni5JUV9DRFNfTUlELjIyLzA3LzI2AQAAAM5EOAEDAAAAAACDj2Vd2+veCKhleArd694IJENJUS5JUVQzMTMzMDU4NzkuSVFfQ0RTX01JRC4xNS8wNy8yNgEAAACE1twBAgAAAAYyLjMzMzQAg49lXdvr3ghhyYMK3eveCCRDSVEuSVFUMjU0OTU1MjMzLklRX0NEU19NSUQuMjIvMDcvMjYBAAAAOVYKAAIAAAAFNDIuNzUAfbZlXdvr3gioZXgK3eveCCNDSVEuSVFUNDYyMDA0MTIuSVFfQ0RTX01JRC4xNS8wNy8yNgEAAABjQwYAAgAAAAc0Ni4xNTA4AH22ZV3b694IwxaECt3r3ggkQ0lRLklRVDMxMzMxNzM0NC5JUV9DRFNfTUlELjIxLzA3LzI2AQAAAPGsAQACAAAABzYwLjEyODYAsvkjXdvr3giBGH8K3eveCCNDSVEuSVFUNDYyMDMzMzIuSVFfQ0RTX01JRC4xNC8wNy8yNgEAAABfHjcAAgAAAAcxMS4xNjY3ACRnZV3b694IibWBCt3r3ggjQ0lRLklRVDc5NjM0OTAxLklRX0NEU19NSUQuMjcvMDcvMjUBAAAAnAYQAAIAAAAHNTQuNTI5OQCy+SNd2+veCEYbhwrd694II0NJUS5JUVQ0NjIxNTExMS5JUV9DRFNfTUlELjE0LzA3LzI2AQAAAKBLsgECAAAABzM2Ljk3NTkAg49lXdvr3gh7BIIK3eveCCNDSVEuSVFUNDYxOTcxMzguSVFfQ0RTX01JRC4yNy8wNC8yNgEAAADu</t>
  </si>
  <si>
    <t>lDgBAgAAAAgxMjMuNzA2OQAkZ2Vd2+veCCoWhQrd694II0NJUS5JUVQ0NjIyNjEzMi5JUV9DRFNfTUlELjE0LzA3LzI2AQAAAN1ZAAACAAAABDQyLjQAfbZlXdvr3ghgK4IK3eveCCRDSVEuSVFUMzEzMzA1ODc5LklRX0NEU19NSUQuMjIvMDcvMjYBAAAAhNbcAQIAAAAGMi4zMzM0AIOPZV3b694IqGV4Ct3r3ggkQ0lRLklRVDMxMzMxMzUyNC5JUV9DRFNfTUlELjE0LzA3LzI2AQAAAO9VDQACAAAABzYwLjUzODkAsvkjXdvr3giWeYIK3eveCCNDSVEuSVFUNDYyMTY5ODYuSVFfQ0RTX01JRC4xOS8wNy8yNgEAAADORDgBAwAAAAAAg49lXdvr3ghHbH8K3eveCCRDSVEuSVFUMzEzMzE3MzQ0LklRX0NEU19NSUQuMTgvMDcvMjYBAAAA8awBAAIAAAAHNjAuODEyMwCy+SNd2+veCHdTgwrd694II0NJUS5JUVQ0NjIyMDgwMy5JUV9DRFNfTUlELjI0LzA3LzI2AQAAANbJNgACAAAABzQ0LjM5MDMAg49lXdvr3ghMvHoK3eveCCNDSVEuSVFUNjAzODgwNTcuSVFfQ0RTX01JRC4yMy8wNy8yNgEAAADfyX0BAwAAAAAAg49lXdvr3gi5bnsK3eveCCRDSVEuSVFUNjQ0NzAxNzk3LklRX0NEU19NSUQuMjUvMDcvMjYBAAAAUz99AQIAAAAGOS43NjI4ACRnZV3b694IVp90Ct3r3ggjQ0lRLklRVDQ2NDcwODc3LklRX0NEU19NSUQuMjcvMDQvMjYBAAAAQjcHAAIAAAAENTkuNQCDj2Vd2+veCNazhQrd694II0NJUS5JUVQ0</t>
  </si>
  <si>
    <t>NjIxNjk4Ni5JUV9DRFNfTUlELjI1LzA3LzI2AQAAAM5EOAEDAAAAAACDj2Vd2+veCFHEdQrd694IJENJUS5JUVQzMTMzMTA4NTQuSVFfQ0RTX01JRC4yNy8wNC8yNgEAAACvVA0AAgAAAAI2MwCy+SNd2+veCEbbhQrd694IJENJUS5JUVQyNTQ5NTUyMzMuSVFfQ0RTX01JRC4yNS8wNy8yNgEAAAA5VgoAAgAAAAc0My43MDUzAH22ZV3b694ImYd2Ct3r3ggjQ0lRLklRVDc5NjM5OTUzLklRX0NEU19NSUQuMjEvMDcvMjYBAAAANJtWAQIAAAAHMjQuOTI1MgCDj2Vd2+veCLQAfgrd694II0NJUS5JUVQ0NjE5NjIyNS5JUV9DRFNfTUlELjE3LzA3LzI2AQAAAL5VowECAAAABjE3LjM3NQAkZ2Vd2+veCCn9fwrd694II0NJUS5JUVQ0NjE5NzEzOC5JUV9DRFNfTUlELjI3LzA3LzI1AQAAAO6UOAECAAAACDE0OC4zODc4ACRnZV3b694IGB+GCt3r3ggjQ0lRLklRVDUxMDIzMjYwLklRX0NEU19NSUQuMTcvMDcvMjYBAAAAsRF/AQIAAAAHMTQuMDQ1OACDj2Vd2+veCCn9fwrd694II0NJUS5JUVQ0NjIwNDk1Ny5JUV9DRFNfTUlELjI3LzA3LzI1AQAAACEVBgACAAAABzU3LjQzMjMAg49lXdvr3gjjtIYK3eveCCNDSVEuSVFUNDYyMjQ3NDAuSVFfQ0RTX01JRC4xNy8wNy8yNgEAAADTcggAAgAAAAczNS4yMzM3AH22ZV3b694IKf1/Ct3r3ggkQ0lRLklRVDMxMzMwNTg3OS5JUV9DRFNfTUlELjE5LzA3LzI2AQAAAITW</t>
  </si>
  <si>
    <t>3AECAAAABjIuMzMzNACDj2Vd2+veCHGUfwrd694IJENJUS5JUVQzMTMzMTczNDQuSVFfQ0RTX01JRC4xNy8wNy8yNgEAAADxrAEAAgAAAAc2MC44MTIzALL5I13b694I8MGACt3r3ggjQ0lRLklRVDQ2MjE4NTE2LklRX0NEU19NSUQuMjIvMDcvMjYBAAAAplWjAQIAAAAHMzUuMTE1OACDj2Vd2+veCLoDeArd694II0NJUS5JUVQ0NjIwMDI3Ni5JUV9DRFNfTUlELjE2LzA3LzI2AQAAAJZ3fAECAAAABzI5LjgyODgAg49lXdvr3gjwwYAK3eveCCNDSVEuSVFUNDYyMjA4MDMuSVFfQ0RTX01JRC4yMi8wNy8yNgEAAADWyTYAAgAAAAc0My4wODQxAIOPZV3b694IqGV4Ct3r3ggjQ0lRLklRVDQ2MTk1NDkxLklRX0NEU19NSUQuMTYvMDcvMjYBAAAAaUoAAAIAAAAHNTQuOTMzNACDj2Vd2+veCPDBgArd694II0NJUS5JUVQ2MDM4ODA1Ny5JUV9DRFNfTUlELjIxLzA3LzI2AQAAAN/JfQEDAAAAAACDj2Vd2+veCCwofgrd694II0NJUS5JUVQ3OTYzNDkwMS5JUV9DRFNfTUlELjE2LzA3LzI2AQAAAJwGEAACAAAABzQxLjA1MjUAfbZlXdvr3gjwwYAK3eveCCRDSVEuSVFUNTI4OTM2ODEyLklRX0NEU19NSUQuMTgvMDcvMjYBAAAAbFsGAAIAAAAHNDcuOTU5NAB9tmVd2+veCIUdgwrd694II0NJUS5JUVQ0NjIwNzU3MS5JUV9DRFNfTUlELjEzLzA3LzI2AQAAAG3vNQACAAAABzI5LjE1MjcAJGdlXdvr3gjiZIQK3eve</t>
  </si>
  <si>
    <t>CCNDSVEuSVFUNDYyMTY5ODYuSVFfQ0RTX01JRC4yMS8wNy8yNgEAAADORDgBAwAAAAAAg49lXdvr3ghZT34K3eveCCNDSVEuSVFUNDYyMTM0NzIuSVFfQ0RTX01JRC4xMy8wNy8yNgEAAAC5WjgAAgAAAAYxNC45NzMAg49lXdvr3gi1n4QK3eveCCNDSVEuSVFUNDYyMDM3MTQuSVFfQ0RTX01JRC4yNy8wNC8yNgEAAABfBTUAAgAAAAcyNy44NDc3ACRnZV3b694Irj6FCt3r3ggkQ0lRLklRVDI2MzIxMzEzMi5JUV9DRFNfTUlELjEzLzA3LzI2AQAAAOGaCAACAAAABzU1LjMyOTcAfbZlXdvr3gj+7YQK3eveCCNDSVEuSVFUNDYyMDAzMTcuSVFfQ0RTX01JRC4xOS8wNy8yNgEAAAD+VA0AAgAAAAc2My42NTMzALL5I13b694Ippd/Ct3r3ggjQ0lRLklRVDQ2MTk0OTk1LklRX0NEU19NSUQuMjQvMDcvMjYBAAAAbhAxAAIAAAAHMTEuMTgyNAAkZ2Vd2+veCD5Hegrd694II0NJUS5JUVQ0NjIyMjI5Mi5JUV9DRFNfTUlELjI0LzA3LzI2AQAAANGRmwECAAAACDc3Ny4xNjI0AIOPZV3b694IR5V6Ct3r3ggjQ0lRLklRVDQ2MjI1MDA2LklRX0NEU19NSUQuMjQvMDcvMjYBAAAA+FUNAAIAAAAGNDQuNzEyAIOPZV3b694IW+N6Ct3r3ggjQ0lRLklRVDQ2MjIwMzI5LklRX0NEU19NSUQuMjQvMDcvMjYBAAAA21sAAAIAAAAGNTYuNjc0ALL5I13b694IbzF7Ct3r3ggjQ0lRLklRVDQ2MjYyMzc4LklRX0NEU19NSUQuMjMv</t>
  </si>
  <si>
    <t>MDcvMjYBAAAAQNKJAQIAAAAGMTguMTI1AIOPZV3b694IuW57Ct3r3ggjQ0lRLklRVDQ2MTk3Njk0LklRX0NEU19NSUQuMjMvMDcvMjYBAAAAB/oFAAIAAAAHNTMuNDU4NgCDj2Vd2+veCGbwewrd694II0NJUS5JUVQ0NjIyNTAwNi5JUV9DRFNfTUlELjIwLzA3LzI2AQAAAPhVDQACAAAABjQzLjg2NgB9tmVd2+veCHYxcwrd694II0NJUS5JUVQ2MjI3MDEwNy5JUV9DRFNfTUlELjIzLzA3LzI2AQAAABVZAAACAAAABjQyLjM0MQB9tmVd2+veCKezfArd694II0NJUS5JUVQ0NjIyMDMyOS5JUV9DRFNfTUlELjIwLzA3LzI2AQAAANtbAAACAAAAAjU2ALL5I13b694IuftzCt3r3ggjQ0lRLklRVDQ2MjA3MzA4LklRX0NEU19NSUQuMjcvMDQvMjYBAAAAOYl6AQIAAAAFMTUuNzUAJGdlXdvr3giuPoUK3eveCCNDSVEuSVFUNDYyNjIzNzguSVFfQ0RTX01JRC4xNS8wNy8yNgEAAABA0okBAgAAAAcxOC41NDk3AIOPZV3b694I3XuDCt3r3ggjQ0lRLklRVDQ2MjEwMDMyLklRX0NEU19NSUQuMjcvMDQvMjYBAAAAj1WjAQIAAAAHMzguMjU2NgCDj2Vd2+veCMaMhQrd694II0NJUS5JUVQ0NjE5NzY5NC5JUV9DRFNfTUlELjE1LzA3LzI2AQAAAAf6BQACAAAABzUyLjkzNDYAg49lXdvr3ghhyYMK3eveCCNDSVEuSVFUNDYyMjUzNzQuSVFfQ0RTX01JRC4yNy8wNC8yNgEAAAC11gUAAgAAAAc0Ny44NTY0AH22ZV3b694I</t>
  </si>
  <si>
    <t>RtuFCt3r3ggjQ0lRLklRVDYyMjcwMTA3LklRX0NEU19NSUQuMTUvMDcvMjYBAAAAFVkAAAIAAAAHNDEuODE3OAB9tmVd2+veCMMWhArd694II0NJUS5JUVQ0OTc1MTE5Ni5JUV9DRFNfTUlELjIyLzA3LzI2AQAAAM2ZvQACAAAABzQxLjE5NTIAJGdlXdvr3ggMX3cK3eveCCNDSVEuSVFUNDYyMDczMDguSVFfQ0RTX01JRC4xNC8wNy8yNgEAAAA5iXoBAgAAAAQxNC41ACRnZV3b694IibWBCt3r3ggjQ0lRLklRVDYwMzg5NTE2LklRX0NEU19NSUQuMjIvMDcvMjYBAAAApfDDAQIAAAAFNy4yNDMAg49lXdvr3gioZXgK3eveCCNDSVEuSVFUNDYyMTAwMzIuSVFfQ0RTX01JRC4xNC8wNy8yNgEAAACPVaMBAgAAAAUzNy4wNQCDj2Vd2+veCHsEggrd694IJENJUS5JUVQzMjM2ODAxMzAuSVFfQ0RTX01JRC4yMi8wNy8yNgEAAABx4QIAAgAAAAc1MS41MzkyAIOPZV3b694IqGV4Ct3r3ggjQ0lRLklRVDQ2MjI1Mzc0LklRX0NEU19NSUQuMTQvMDcvMjYBAAAAtdYFAAIAAAAHMzguNzY1NgB9tmVd2+veCHFSggrd694IJENJUS5JUVQzMTMzMTU0MjkuSVFfQ0RTX01JRC4yMi8wNy8yNgEAAAA55wUAAgAAAAc2Mi4xNzEzALL5I13b694IyR96Ct3r3ggjQ0lRLklRVDQ2MjA2Nzc5LklRX0NEU19NSUQuMjEvMDcvMjYBAAAA/O82AAIAAAAHMTYuMDYyNQCDj2Vd2+veCN+xfQrd694II0NJUS5JUVQ0NjIxODY3NC5JUV9D</t>
  </si>
  <si>
    <t>RFNfTUlELjIxLzA3LzI2AQAAAFfKNgACAAAACDEyOS42NDc3AIOPZV3b694IF3Z+Ct3r3ggjQ0lRLklRVDQ2MjI1NzE1LklRX0NEU19NSUQuMjEvMDcvMjYBAAAAt+UEAAIAAAAHNDMuMzkzMQB9tmVd2+veCOPvfgrd694II0NJUS5JUVQ0NjIwNDg4NC5JUV9DRFNfTUlELjI3LzA3LzI1AQAAAIFRwAECAAAABzQyLjQwNTgAJGdlXdvr3gi9ZYYK3eveCCNDSVEuSVFUNDYyMDY3NzkuSVFfQ0RTX01JRC4yNS8wNy8yNgEAAAD87zYAAgAAAAcxNi40NzI2AIOPZV3b694I0+x0Ct3r3ggkQ0lRLklRVDMxMzMxNDk3Ni5JUV9DRFNfTUlELjE5LzA3LzI2AQAAAG1KAAACAAAABzU3LjgzNjQAsvkjXdvr3giml38K3eveCCNDSVEuSVFUNDYyMTg2NzQuSVFfQ0RTX01JRC4yNS8wNy8yNgEAAABXyjYAAgAAAAgxMzQuNDEzMgCDj2Vd2+veCFrrdQrd694IJENJUS5JUVQyNjMyMTMxMzIuSVFfQ0RTX01JRC4yNy8wNC8yNgEAAADhmggAAgAAAAU2My40NQB9tmVd2+veCEbbhQrd694II0NJUS5JUVQ0NjIyNTcxNS5JUV9DRFNfTUlELjI1LzA3LzI2AQAAALflBAACAAAABzQzLjQ2MTUAfbZlXdvr3giprnYK3eveCCNDSVEuSVFUNDYxOTQ5OTUuSVFfQ0RTX01JRC4yMi8wNy8yNgEAAABuEDEAAgAAAAcxMS4wNTk4ACRnZV3b694IGoZ3Ct3r3ggjQ0lRLklRVDQ2MjA0ODg0LklRX0NEU19NSUQuMTcvMDcvMjYBAAAAgVHA</t>
  </si>
  <si>
    <t>AQIAAAAGMjkuNjI1ACRnZV3b694IKf1/Ct3r3ggjQ0lRLklRVDQ2MjI1MDA2LklRX0NEU19NSUQuMjIvMDcvMjYBAAAA+FUNAAIAAAAHNDMuOTU5NwB9tmVd2+veCKhleArd694II0NJUS5JUVQ0NjIwNzc4OS5JUV9DRFNfTUlELjE3LzA3LzI2AQAAACpYowECAAAABzI2LjY4NzkAg49lXdvr3ggp/X8K3eveCCNDSVEuSVFUNDYyMjAzMjkuSVFfQ0RTX01JRC4yMi8wNy8yNgEAAADbWwAAAgAAAAc1Ni42NTM2ALL5I13b694IyR96Ct3r3ggkQ0lRLklRVDI4NjA5NjEzMS5JUV9DRFNfTUlELjE3LzA3LzI2AQAAADvxBAACAAAABzYwLjY2NjcAfbZlXdvr3ggp/X8K3eveCCNDSVEuSVFUNDYyMDczMDguSVFfQ0RTX01JRC4yNy8wNy8yNQEAAAA5iXoBAgAAAAcxNy42NjY3ACRnZV3b694IvWWGCt3r3ggjQ0lRLklRVDQ2MjEwNTYwLklRX0NEU19NSUQuMTYvMDcvMjYBAAAA9ho3AAIAAAAHODYuMTAwMwAkZ2Vd2+veCPDBgArd694II0NJUS5JUVQ0NjIxMDAzMi5JUV9DRFNfTUlELjI3LzA3LzI1AQAAAI9VowECAAAABDQwLjQAg49lXdvr3gjjtIYK3eveCCNDSVEuSVFUNDYyMTk5MjIuSVFfQ0RTX01JRC4xNi8wNy8yNgEAAADWRzkBAgAAAAY2LjQ4MDkAg49lXdvr3gjwwYAK3eveCCNDSVEuSVFUNDk3NTExOTYuSVFfQ0RTX01JRC4xOS8wNy8yNgEAAADNmb0AAgAAAAc0MS44MzMzACRnZV3b694IgRh/Ct3r</t>
  </si>
  <si>
    <t>3ggjQ0lRLklRVDQ2MjIzNjQ2LklRX0NEU19NSUQuMTYvMDcvMjYBAAAAG3gEAAIAAAAHNDkuNjk3NgCDj2Vd2+veCPDBgArd694II0NJUS5JUVQ2MDM4OTUxNi5JUV9DRFNfTUlELjE5LzA3LzI2AQAAAKXwwwECAAAABjcuMjQ3NwCDj2Vd2+veCEdsfwrd694IJENJUS5JUVQzMTMzMTQ5NzYuSVFfQ0RTX01JRC4xNi8wNy8yNgEAAABtSgAAAgAAAAY1Ny44MzcAsvkjXdvr3ggrjoEK3eveCCRDSVEuSVFUMzIzNjgwMTMwLklRX0NEU19NSUQuMTkvMDcvMjYBAAAAceECAAIAAAAHNTEuNDQ3OACDj2Vd2+veCKaXfwrd694II0NJUS5JUVQ0NjIxODUxNi5JUV9DRFNfTUlELjEzLzA3LzI2AQAAAKZVowECAAAABzM2LjE0OTMAg49lXdvr3gjiZIQK3eveCCNDSVEuSVFUNDYyMjA4MDMuSVFfQ0RTX01JRC4xMy8wNy8yNgEAAADWyTYAAgAAAAc0MS4zNjc4AIOPZV3b694I9MaECt3r3ggjQ0lRLklRVDQ2MjAwMzY0LklRX0NEU19NSUQuMTMvMDcvMjYBAAAAV4YIAAIAAAAFMjQuOTgAfbZlXdvr3gi6AYUK3eveCCNDSVEuSVFUNDYyMDQzMDAuSVFfQ0RTX01JRC4yNC8wNy8yNgEAAAD2JX0AAgAAAAY3LjAyNjEAJGdlXdvr3gg4bnoK3eveCCNDSVEuSVFUNjAzODgwNTcuSVFfQ0RTX01JRC4yNC8wNy8yNgEAAADfyX0BAwAAAAAAg49lXdvr3ghMvHoK3eveCCNDSVEuSVFUNDYxOTk4NDEuSVFfQ0RTX01JRC4yNC8w</t>
  </si>
  <si>
    <t>Ny8yNgEAAADrMAYAAwAAAAAAfbZlXdvr3ghb43oK3eveCCNDSVEuSVFUNDY0NzA4NzcuSVFfQ0RTX01JRC4yMC8wNy8yNgEAAABCNwcAAgAAAAc1OC4xNzc4AIOPZV3b694IbApzCt3r3ggkQ0lRLklRVDMxMzMxMDE4NC5JUV9DRFNfTUlELjIzLzA3LzI2AQAAAGBEPgACAAAABzEwLjk3OTQAJGdlXdvr3ghvMXsK3eveCCRDSVEuSVFUMzEzMzEwODU0LklRX0NEU19NSUQuMjAvMDcvMjYBAAAAr1QNAAIAAAAHNjEuMTY2NwCy+SNd2+veCKDUcwrd694II0NJUS5JUVQ0NjIxNDg3OS5JUV9DRFNfTUlELjIzLzA3LzI2AQAAAPUaNwACAAAABzUwLjk0MDIAg49lXdvr3gi5bnsK3eveCCNDSVEuSVFUNDYyMTQ5NTQuSVFfQ0RTX01JRC4xNS8wNy8yNgEAAAA6PTkBAgAAAAcxNC4zMTI1AIOPZV3b694I3XuDCt3r3ggjQ0lRLklRVDQ2NDcwODc3LklRX0NEU19NSUQuMjMvMDcvMjYBAAAAQjcHAAIAAAAHNTguNDEzOQCDj2Vd2+veCGUXfArd694II0NJUS5JUVQ0NjIwODYzNC5JUV9DRFNfTUlELjE1LzA3LzI2AQAAAAMfwgACAAAABzIyLjY1NjMAg49lXdvr3ghhyYMK3eveCCRDSVEuSVFUMzEzMzEwODU0LklRX0NEU19NSUQuMjMvMDcvMjYBAAAAr1QNAAIAAAAHNjEuNjY2NwCy+SNd2+veCKezfArd694II0NJUS5JUVQ0NjIyNTA4My5JUV9DRFNfTUlELjE1LzA3LzI2AQAAAFZEBgACAAAABDM3LjUAfbZlXdvr</t>
  </si>
  <si>
    <t>3gjDFoQK3eveCCNDSVEuSVFUNDYyMTQ5NTQuSVFfQ0RTX01JRC4yNy8wNC8yNgEAAAA6PTkBAgAAAAYxNi40MTUAg49lXdvr3giuPoUK3eveCCNDSVEuSVFUNDYyMDM3MTQuSVFfQ0RTX01JRC4xNC8wNy8yNgEAAABfBTUAAgAAAAczMS4yMjI0ACRnZV3b694IibWBCt3r3ggjQ0lRLklRVDQ2MjA4NjM0LklRX0NEU19NSUQuMjcvMDQvMjYBAAAAAx/CAAIAAAAHMjguODM3NQCDj2Vd2+veCMaMhQrd694II0NJUS5JUVQ3OTYzOTk1My5JUV9DRFNfTUlELjE0LzA3LzI2AQAAADSbVgECAAAABzI0Ljg3NzIAg49lXdvr3gh7BIIK3eveCCNDSVEuSVFUNDYyMjUwODMuSVFfQ0RTX01JRC4yNy8wNC8yNgEAAABWRAYAAgAAAAY0Ni4zNzUAfbZlXdvr3ghG24UK3eveCCRDSVEuSVFUNTI4OTM2ODEyLklRX0NEU19NSUQuMTQvMDcvMjYBAAAAbFsGAAIAAAAHNDcuNDg5MwB9tmVd2+veCGArggrd694II0NJUS5JUVQ0NjIwMzcxNC5JUV9DRFNfTUlELjIyLzA3LzI2AQAAAF8FNQACAAAABTMxLjQxACRnZV3b694IjLJ3Ct3r3ggkQ0lRLklRVDI4NjA5NjEzMS5JUV9DRFNfTUlELjIyLzA3LzI2AQAAADvxBAACAAAABzU5LjY2MzcAfbZlXdvr3gioZXgK3eveCCNDSVEuSVFUNDYyMjM2NDYuSVFfQ0RTX01JRC4yMS8wNy8yNgEAAAAbeAQAAgAAAAY0OS4wMDMAg49lXdvr3ggXdn4K3eveCCNDSVEuSVFUNDYyMjA4MDMu</t>
  </si>
  <si>
    <t>SVFfQ0RTX01JRC4yNy8wNy8yNQEAAADWyTYAAgAAAAc0MS4wOTM4AIOPZV3b694I47SGCt3r3ggjQ0lRLklRVDQ2MjI1NzE1LklRX0NEU19NSUQuMjcvMDcvMjUBAAAAt+UEAAIAAAAHMzYuMDUzMwB9tmVd2+veCEYbhwrd694II0NJUS5JUVQ3OTY0MDAyNC5JUV9DRFNfTUlELjI1LzA3LzI2AQAAADWPmwECAAAABjcuODMzMwAkZ2Vd2+veCNXFdArd694II0NJUS5JUVQ0NjIwNDg4NC5JUV9DRFNfTUlELjE5LzA3LzI2AQAAAIFRwAECAAAABjI5LjYyNQAkZ2Vd2+veCO0+fwrd694IJENJUS5JUVQzMTMzMDU4NzkuSVFfQ0RTX01JRC4yNS8wNy8yNgEAAACE1twBAgAAAAYyLjE1MjEAg49lXdvr3ghRxHUK3eveCCRDSVEuSVFUMjg2MDk2MTMxLklRX0NEU19NSUQuMTkvMDcvMjYBAAAAO/EEAAIAAAAHNjAuNjY2NwB9tmVd2+veCKaXfwrd694II0NJUS5JUVQ0NjIwMDQxMi5JUV9DRFNfTUlELjI1LzA3LzI2AQAAAGNDBgACAAAABzQ2LjM0NDkAfbZlXdvr3giprnYK3eveCCRDSVEuSVFUMzEzMzE0OTc2LklRX0NEU19NSUQuMTgvMDcvMjYBAAAAbUoAAAIAAAAHNTcuODM2NACy+SNd2+veCHdTgwrd694II0NJUS5JUVQ0NjIwMzMzMi5JUV9DRFNfTUlELjE3LzA3LzI2AQAAAF8eNwACAAAABzExLjE2NjcAJGdlXdvr3ggp/X8K3eveCCNDSVEuSVFUNDYxOTYyMjUuSVFfQ0RTX01JRC4yMy8wNy8yNgEAAAC+</t>
  </si>
  <si>
    <t>VaMBAgAAAAYxNy4zNzUAJGdlXdvr3ghvMXsK3eveCCNDSVEuSVFUNDYyMTUxMTEuSVFfQ0RTX01JRC4xNy8wNy8yNgEAAACgS7IBAgAAAAczNy42OTE1AIOPZV3b694IKf1/Ct3r3ggjQ0lRLklRVDQ2MjI0NzQwLklRX0NEU19NSUQuMjMvMDcvMjYBAAAA03IIAAIAAAAHMzYuNDI3NwB9tmVd2+veCHY+fArd694II0NJUS5JUVQ0NjIyNjEzMi5JUV9DRFNfTUlELjE3LzA3LzI2AQAAAN1ZAAACAAAABzQzLjg4MTEAfbZlXdvr3ggp/X8K3eveCCNDSVEuSVFUNDYyMDAyNzYuSVFfQ0RTX01JRC4yNy8wNC8yNgEAAACWd3wBAgAAAAcyOS40NjY1AIOPZV3b694ItWWFCt3r3ggkQ0lRLklRVDMxMzMxMzUyNC5JUV9DRFNfTUlELjE3LzA3LzI2AQAAAO9VDQACAAAABzYwLjAwNjYAsvkjXdvr3gjwwYAK3eveCCNDSVEuSVFUNzk2MzQ5MDEuSVFfQ0RTX01JRC4yNy8wNC8yNgEAAACcBhAAAgAAAAc0Ni4wMjMxALL5I13b694IRtuFCt3r3ggjQ0lRLklRVDc5NjM5OTEzLklRX0NEU19NSUQuMTYvMDcvMjYBAAAAIGMcAgIAAAAGNy44MzMzAIOPZV3b694I8MGACt3r3ggjQ0lRLklRVDQ2MjA3NTcxLklRX0NEU19NSUQuMjIvMDcvMjYBAAAAbe81AAIAAAAFMzAuMzUAJGdlXdvr3giW2XcK3eveCCNDSVEuSVFUNDYyMDc4NzIuSVFfQ0RTX01JRC4xNi8wNy8yNgEAAABYDQoAAgAAAAc0MC40NjY3AIOPZV3b694I8MGA</t>
  </si>
  <si>
    <t>Ct3r3ggkQ0lRLklRVDI2MzIxMzEzMi5JUV9DRFNfTUlELjIyLzA3LzI2AQAAAOGaCAACAAAABzU1LjI5NjUAfbZlXdvr3gioZXgK3eveCCNDSVEuSVFUNDYyMDAzMTcuSVFfQ0RTX01JRC4xNi8wNy8yNgEAAAD+VA0AAgAAAAY2My41OTUAsvkjXdvr3gjwwYAK3eveCCNDSVEuSVFUNDYxOTQ5OTUuSVFfQ0RTX01JRC4yMS8wNy8yNgEAAABuEDEAAgAAAAYxMS4wNDkAJGdlXdvr3gi8PH0K3eveCCRDSVEuSVFUNjQ0NzAxNzk3LklRX0NEU19NSUQuMTMvMDcvMjYBAAAAUz99AQIAAAAGOS45OTY4ACRnZV3b694I4mSECt3r3ggjQ0lRLklRVDQ2MjI1MDA2LklRX0NEU19NSUQuMjEvMDcvMjYBAAAA+FUNAAIAAAAHNDMuOTU5NgB9tmVd2+veCBd2fgrd694II0NJUS5JUVQ0NjIxNjk4Ni5JUV9DRFNfTUlELjEzLzA3LzI2AQAAAM5EOAEDAAAAAACDj2Vd2+veCLWfhArd694II0NJUS5JUVQ0NjI2MjM3OC5JUV9DRFNfTUlELjI3LzA3LzI1AQAAAEDSiQECAAAABDE2LjUAg49lXdvr3ghDjoYK3eveCCRDSVEuSVFUMjU0OTU1MjMzLklRX0NEU19NSUQuMTMvMDcvMjYBAAAAOVYKAAIAAAAENDMuMQB9tmVd2+veCLoBhQrd694II0NJUS5JUVQ2MjI3MDEwNy5JUV9DRFNfTUlELjI3LzA3LzI1AQAAABVZAAACAAAABzMwLjMxNTYAfbZlXdvr3ghGG4cK3eveCCNDSVEuSVFUNDYxOTYyMjUuSVFfQ0RTX01JRC4yNC8w</t>
  </si>
  <si>
    <t>Ny8yNgEAAAC+VaMBAgAAAAcxNy41NTI0ACRnZV3b694IPkd6Ct3r3ggjQ0lRLklRVDQ2MjEwMDMyLklRX0NEU19NSUQuMTkvMDcvMjYBAAAAj1WjAQIAAAAHMzcuMzA1MQCDj2Vd2+veCEdsfwrd694II0NJUS5JUVQ1MTAyMzI2MC5JUV9DRFNfTUlELjI0LzA3LzI2AQAAALERfwECAAAABzE0LjY4MTYAg49lXdvr3ghHlXoK3eveCCRDSVEuSVFUNTI4OTM2ODEyLklRX0NEU19NSUQuMTYvMDcvMjYBAAAAbFsGAAIAAAAHNDcuMjgyNwB9tmVd2+veCPDBgArd694II0NJUS5JUVQ0NjIyNDc0MC5JUV9DRFNfTUlELjI0LzA3LzI2AQAAANNyCAACAAAABzM2LjYzNTQAfbZlXdvr3ghb43oK3eveCCNDSVEuSVFUNDYyMjQ3NDAuSVFfQ0RTX01JRC4yMS8wNy8yNgEAAADTcggAAgAAAAczNS41ODA2AH22ZV3b694IeKJ+Ct3r3ggkQ0lRLklRVDMxMzMxNzM0NC5JUV9DRFNfTUlELjI0LzA3LzI2AQAAAPGsAQACAAAABzYxLjI5MjgAsvkjXdvr3ghvMXsK3eveCCNDSVEuSVFUNDYyMDc1NzEuSVFfQ0RTX01JRC4xOS8wNy8yNgEAAABt7zUAAgAAAAczMC4yOTE3ACRnZV3b694I7T5/Ct3r3ggjQ0lRLklRVDQ2MjAwMjc2LklRX0NEU19NSUQuMjMvMDcvMjYBAAAAlnd8AQIAAAAHMjkuMjU3NACDj2Vd2+veCLluewrd694II0NJUS5JUVQ0NjIwMzcxNC5JUV9DRFNfTUlELjIzLzA3LzI2AQAAAF8FNQACAAAABzMxLjYx</t>
  </si>
  <si>
    <t>MDQAJGdlXdvr3ghvMXsK3eveCCNDSVEuSVFUNDYxOTU0OTEuSVFfQ0RTX01JRC4yMy8wNy8yNgEAAABpSgAAAgAAAAc1NS45NTc3AIOPZV3b694IZvB7Ct3r3ggjQ0lRLklRVDc5NjM5OTEzLklRX0NEU19NSUQuMjcvMDcvMjUBAAAAIGMcAgIAAAAGOC43Nzk1AIOPZV3b694IQ46GCt3r3ggjQ0lRLklRVDc5NjM0OTAxLklRX0NEU19NSUQuMjMvMDcvMjYBAAAAnAYQAAIAAAAHNDAuOTQ5MwB9tmVd2+veCKezfArd694IJENJUS5JUVQyNTQ5NTUyMzMuSVFfQ0RTX01JRC4xOS8wNy8yNgEAAAA5VgoAAgAAAAc0My4zMzg2AH22ZV3b694Ippd/Ct3r3ggjQ0lRLklRVDQ2MjA3NTcxLklRX0NEU19NSUQuMjcvMDQvMjYBAAAAbe81AAIAAAAGMzEuMzM1ACRnZV3b694Irj6FCt3r3ggjQ0lRLklRVDQ2MjI0NzQwLklRX0NEU19NSUQuMTgvMDcvMjYBAAAA03IIAAIAAAAHMzUuMjMzNwB9tmVd2+veCIUdgwrd694II0NJUS5JUVQ0NjIxMzQ3Mi5JUV9DRFNfTUlELjI3LzA0LzI2AQAAALlaOAACAAAABzE2LjE4MjUAg49lXdvr3gjGjIUK3eveCCNDSVEuSVFUNDYyMjM2NDYuSVFfQ0RTX01JRC4xMy8wNy8yNgEAAAAbeAQAAgAAAAc0OS4yOTU5AIOPZV3b694I9MaECt3r3ggjQ0lRLklRVDQ2MjIyMjkyLklRX0NEU19NSUQuMjIvMDcvMjYBAAAA0ZGbAQIAAAAINzYyLjA5MjMAg49lXdvr3gioZXgK3eveCCNDSVEu</t>
  </si>
  <si>
    <t>SVFUNDYyMDA0MTIuSVFfQ0RTX01JRC4xOS8wNy8yNgEAAABjQwYAAgAAAAc0NS44MzMzAH22ZV3b694Ippd/Ct3r3ggjQ0lRLklRVDQ2MTk3Njk0LklRX0NEU19NSUQuMjEvMDcvMjYBAAAAB/oFAAIAAAAHNTIuMTI4NACDj2Vd2+veCBd2fgrd694II0NJUS5JUVQ0NjIxODY3NC5JUV9DRFNfTUlELjI0LzA3LzI2AQAAAFfKNgACAAAACDEzNC40MTMyAIOPZV3b694ITLx6Ct3r3ggjQ0lRLklRVDQ2MjE4Njc0LklRX0NEU19NSUQuMTgvMDcvMjYBAAAAV8o2AAIAAAAIMTI5LjI3ODUAg49lXdvr3gib74IK3eveCCRDSVEuSVFUMzEzMzE0OTc2LklRX0NEU19NSUQuMjcvMDQvMjYBAAAAbUoAAAIAAAACNTUAsvkjXdvr3ghG24UK3eveCCNDSVEuSVFUNDYxOTU0OTEuSVFfQ0RTX01JRC4xOC8wNy8yNgEAAABpSgAAAgAAAAc1NS42MTc2AIOPZV3b694I3xWDCt3r3ggjQ0lRLklRVDQ2MjA0MzAwLklRX0NEU19NSUQuMjEvMDcvMjYBAAAA9iV9AAIAAAAENy4xMgAkZ2Vd2+veCMBjfQrd694II0NJUS5JUVQ3OTYzNDkwMS5JUV9DRFNfTUlELjE4LzA3LzI2AQAAAJwGEAACAAAABzQxLjA0MjUAfbZlXdvr3gj7RYMK3eveCCNDSVEuSVFUNDYyMTUxMTEuSVFfQ0RTX01JRC4xOS8wNy8yNgEAAACgS7IBAgAAAAczNy42OTE1AIOPZV3b694IR2x/Ct3r3ggjQ0lRLklRVDQ2MjI2MTMyLklRX0NEU19NSUQuMTkvMDcv</t>
  </si>
  <si>
    <t>MjYBAAAA3VkAAAIAAAAHNDMuODgxMQB9tmVd2+veCKaXfwrd694II0NJUS5JUVQ0NjIwNzg3Mi5JUV9DRFNfTUlELjE4LzA3LzI2AQAAAFgNCgACAAAABzQwLjgwMzIAg49lXdvr3gjfFYMK3eveCCNDSVEuSVFUNDYyMDAzMTcuSVFfQ0RTX01JRC4xOC8wNy8yNgEAAAD+VA0AAgAAAAc2My42NTMzALL5I13b694Id1ODCt3r3ggjQ0lRLklRVDUxMDIzMjYwLklRX0NEU19NSUQuMjAvMDcvMjYBAAAAsRF/AQIAAAAHMTQuMDYzMgCDj2Vd2+veCBBFcgrd694II0NJUS5JUVQ1MTAyMzQ4MC5JUV9DRFNfTUlELjE4LzA3LzI2AQAAAMJF8QECAAAABjQuNzYyNwCDj2Vd2+veCPbGggrd694II0NJUS5JUVQ0NjIyNDc0MC5JUV9DRFNfTUlELjIwLzA3LzI2AQAAANNyCAACAAAABTM1LjMyAH22ZV3b694IdjFzCt3r3ggjQ0lRLklRVDQ2MjA0OTU3LklRX0NEU19NSUQuMTgvMDcvMjYBAAAAIRUGAAIAAAAHNTUuMjY0MQCDj2Vd2+veCAIbgwrd694IJENJUS5JUVQzMTMzMTczNDQuSVFfQ0RTX01JRC4yMC8wNy8yNgEAAADxrAEAAgAAAAc2MC4yODUyALL5I13b694IhSN0Ct3r3ggkQ0lRLklRVDMxMzMxNTQyOS5JUV9DRFNfTUlELjIzLzA3LzI2AQAAADnnBQACAAAABzYyLjUwMzUAsvkjXdvr3ghF8XwK3eveCCNDSVEuSVFUNDYyMDAyNzYuSVFfQ0RTX01JRC4xNS8wNy8yNgEAAACWd3wBAgAAAAcyOS43NDg1AIOP</t>
  </si>
  <si>
    <t>ZV3b694I3XuDCt3r3ggjQ0lRLklRVDQ2MjAzMzMyLklRX0NEU19NSUQuMjMvMDcvMjYBAAAAXx43AAIAAAAHMTAuODMzMwAkZ2Vd2+veCG8xewrd694II0NJUS5JUVQ0NjE5NTQ5MS5JUV9DRFNfTUlELjE1LzA3LzI2AQAAAGlKAAACAAAABTU0Ljk5AIOPZV3b694IYcmDCt3r3ggjQ0lRLklRVDQ2MjEzNDcyLklRX0NEU19NSUQuMTkvMDcvMjYBAAAAuVo4AAIAAAACMTUAg49lXdvr3ghHbH8K3eveCCNDSVEuSVFUNzk2MzQ5MDEuSVFfQ0RTX01JRC4xNS8wNy8yNgEAAACcBhAAAgAAAAc0MS4wODkyAH22ZV3b694IwxaECt3r3ggjQ0lRLklRVDQ2MjIyMjkyLklRX0NEU19NSUQuMTgvMDcvMjYBAAAA0ZGbAQIAAAAINzYwLjgxNDgAg49lXdvr3gj2xoIK3eveCCNDSVEuSVFUNDYyMDc1NzEuSVFfQ0RTX01JRC4xNC8wNy8yNgEAAABt7zUAAgAAAAcyOS44NDU2ACRnZV3b694IibWBCt3r3ggjQ0lRLklRVDQ2MjA0ODg0LklRX0NEU19NSUQuMjMvMDcvMjYBAAAAgVHAAQIAAAAFMjkuNzUAJGdlXdvr3ghvMXsK3eveCCNDSVEuSVFUNDYyMTM0NzIuSVFfQ0RTX01JRC4xNC8wNy8yNgEAAAC5WjgAAgAAAAcxNC45NTM1AIOPZV3b694IewSCCt3r3ggjQ0lRLklRVDYwMzg4MDU3LklRX0NEU19NSUQuMTgvMDcvMjYBAAAA38l9AQMAAAAAAIOPZV3b694Im++CCt3r3ggkQ0lRLklRVDI2MzIxMzEzMi5JUV9DRFNf</t>
  </si>
  <si>
    <t>TUlELjE0LzA3LzI2AQAAAOGaCAACAAAABzU1LjU3MTUAfbZlXdvr3ghxUoIK3eveCCNDSVEuSVFUNDYyMDMzMzIuSVFfQ0RTX01JRC4yNy8wNC8yNgEAAABfHjcAAgAAAAcxMi44MzMzACRnZV3b694Irj6FCt3r3ggkQ0lRLklRVDI1NDk1NTIzMy5JUV9DRFNfTUlELjIxLzA3LzI2AQAAADlWCgACAAAABzQyLjc0MzgAfbZlXdvr3gjmyH4K3eveCCNDSVEuSVFUNDYxOTk4NDEuSVFfQ0RTX01JRC4xMy8wNy8yNgEAAADrMAYAAwAAAAAAfbZlXdvr3gj+7YQK3eveCCNDSVEuSVFUNDYyMDg2MzQuSVFfQ0RTX01JRC4yMy8wNy8yNgEAAAADH8IAAgAAAAYyMi44MzUAg49lXdvr3ghHyXsK3eveCCNDSVEuSVFUNDYxOTcxMzguSVFfQ0RTX01JRC4yMi8wNy8yNgEAAADulDgBAgAAAAgxMjAuNzM5NAAkZ2Vd2+veCOQ3dwrd694II0NJUS5JUVQ0NjI2MjM3OC5JUV9DRFNfTUlELjI1LzA3LzI2AQAAAEDSiQECAAAAAjE4AIOPZV3b694I0+x0Ct3r3ggjQ0lRLklRVDQ2MjA3ODcyLklRX0NEU19NSUQuMTkvMDcvMjYBAAAAWA0KAAIAAAAHNDAuODAzMgCDj2Vd2+veCKaXfwrd694II0NJUS5JUVQ0NjE5NzY5NC5JUV9DRFNfTUlELjI1LzA3LzI2AQAAAAf6BQACAAAABzUzLjk4NjgAg49lXdvr3gha63UK3eveCCNDSVEuSVFUNjIyNzAxMDcuSVFfQ0RTX01JRC4yNS8wNy8yNgEAAAAVWQAAAgAAAAc0Mi40MTE1AH22</t>
  </si>
  <si>
    <t>ZV3b694Iu9V2Ct3r3ggjQ0lRLklRVDQ2MjA3MzA4LklRX0NEU19NSUQuMTcvMDcvMjYBAAAAOYl6AQIAAAAHMTQuNTYyNQAkZ2Vd2+veCCn9fwrd694II0NJUS5JUVQ0NjIxMDAzMi5JUV9DRFNfTUlELjE3LzA3LzI2AQAAAI9VowECAAAABzM3LjMwNTEAg49lXdvr3ggp/X8K3eveCCNDSVEuSVFUNDYyMjUzNzQuSVFfQ0RTX01JRC4xNy8wNy8yNgEAAAC11gUAAgAAAAczOS4wMzY3AH22ZV3b694IKf1/Ct3r3ggjQ0lRLklRVDQ5NzUxMTk2LklRX0NEU19NSUQuMTYvMDcvMjYBAAAAzZm9AAIAAAAHNDEuOTM4MwAkZ2Vd2+veCPDBgArd694II0NJUS5JUVQ2MDM4OTUxNi5JUV9DRFNfTUlELjE2LzA3LzI2AQAAAKXwwwECAAAABjcuMjQ4OACDj2Vd2+veCPDBgArd694IJENJUS5JUVQzMjM2ODAxMzAuSVFfQ0RTX01JRC4xNi8wNy8yNgEAAABx4QIAAgAAAAc1MS40MzY0AIOPZV3b694I8MGACt3r3ggkQ0lRLklRVDMxMzMxNTQyOS5JUV9DRFNfTUlELjE2LzA3LzI2AQAAADnnBQACAAAABzYyLjE2NjYAsvkjXdvr3ggrjoEK3eveCCNDSVEuSVFUNDYyMDY3NzkuSVFfQ0RTX01JRC4xMy8wNy8yNgEAAAD87zYAAgAAAAcxNi4wMjA2AIOPZV3b694I4mSECt3r3ggjQ0lRLklRVDQ2MjE4Njc0LklRX0NEU19NSUQuMTMvMDcvMjYBAAAAV8o2AAIAAAAIMTI0LjM4MTYAg49lXdvr3gj0xoQK3eveCCNDSVEuSVFU</t>
  </si>
  <si>
    <t>NDYyMjU3MTUuSVFfQ0RTX01JRC4xMy8wNy8yNgEAAAC35QQAAgAAAAc0MS4xNzM3AH22ZV3b694IugGFCt3r3ggjQ0lRLklRVDQ2MjA0ODg0LklRX0NEU19NSUQuMjQvMDcvMjYBAAAAgVHAAQIAAAAHMjkuODMzMwAkZ2Vd2+veCDhuegrd694II0NJUS5JUVQ0NjIwNzc4OS5JUV9DRFNfTUlELjI0LzA3LzI2AQAAACpYowECAAAABzI3LjExMjMAg49lXdvr3ghMvHoK3eveCCRDSVEuSVFUMjg2MDk2MTMxLklRX0NEU19NSUQuMjQvMDcvMjYBAAAAO/EEAAIAAAAHNjAuOTA0NwB9tmVd2+veCFvjegrd694II0NJUS5JUVQ0NjIxMDU2MC5JUV9DRFNfTUlELjIzLzA3LzI2AQAAAPYaNwACAAAABzg4Ljk0MDQAJGdlXdvr3ghvMXsK3eveCCNDSVEuSVFUNDYyMTk5MjIuSVFfQ0RTX01JRC4yMy8wNy8yNgEAAADWRzkBAgAAAAQ3LjI1AIOPZV3b694IuW57Ct3r3ggjQ0lRLklRVDQ2MjIzNjQ2LklRX0NEU19NSUQuMjMvMDcvMjYBAAAAG3gEAAIAAAAHNDkuNzY5MwCDj2Vd2+veCGUXfArd694IJENJUS5JUVQzMTMzMTQ5NzYuSVFfQ0RTX01JRC4yMy8wNy8yNgEAAABtSgAAAgAAAAc1OC4xNjU5ALL5I13b694IRfF8Ct3r3ggjQ0lRLklRVDQ2MjE4NTE2LklRX0NEU19NSUQuMjcvMDQvMjYBAAAAplWjAQIAAAAHMzguNTU2MwCDj2Vd2+veCK4+hQrd694II0NJUS5JUVQ0NjIyMDgwMy5JUV9DRFNfTUlELjI3LzA0</t>
  </si>
  <si>
    <t>LzI2AQAAANbJNgACAAAABzUyLjA0NzQAg49lXdvr3gjWs4UK3eveCCNDSVEuSVFUNDYyMDAzNjQuSVFfQ0RTX01JRC4yNy8wNC8yNgEAAABXhggAAgAAAAQyOS41AH22ZV3b694IRtuFCt3r3ggjQ0lRLklRVDQ2MjA0MzAwLklRX0NEU19NSUQuMjIvMDcvMjYBAAAA9iV9AAIAAAAGNy4wMjEyACRnZV3b694IjLJ3Ct3r3ggjQ0lRLklRVDYwMzg4MDU3LklRX0NEU19NSUQuMjIvMDcvMjYBAAAA38l9AQMAAAAAAIOPZV3b694IqGV4Ct3r3ggjQ0lRLklRVDQ2MTk5ODQxLklRX0NEU19NSUQuMjIvMDcvMjYBAAAA6zAGAAMAAAAAAH22ZV3b694IqGV4Ct3r3ggkQ0lRLklRVDMxMzMxMDE4NC5JUV9DRFNfTUlELjIxLzA3LzI2AQAAAGBEPgACAAAABzEwLjk5NTcAJGdlXdvr3girFX0K3eveCCNDSVEuSVFUNDYyMTQ4NzkuSVFfQ0RTX01JRC4yMS8wNy8yNgEAAAD1GjcAAgAAAAc1MC45NDA3AIOPZV3b694I8dh9Ct3r3ggjQ0lRLklRVDQ2NDcwODc3LklRX0NEU19NSUQuMjEvMDcvMjYBAAAAQjcHAAIAAAAHNTcuOTMwNQCDj2Vd2+veCBd2fgrd694IJENJUS5JUVQzMTMzMTA4NTQuSVFfQ0RTX01JRC4yMS8wNy8yNgEAAACvVA0AAgAAAAc2MS4xNjY3ALL5I13b694IgRh/Ct3r3ggjQ0lRLklRVDQ2MjE0OTU0LklRX0NEU19NSUQuMjcvMDcvMjUBAAAAOj05AQIAAAAGMjIuODc1AIOPZV3b694IQ46GCt3r3ggj</t>
  </si>
  <si>
    <t>Q0lRLklRVDQ2MjA4NjM0LklRX0NEU19NSUQuMjcvMDcvMjUBAAAAAx/CAAIAAAAHMjIuNTc0MwCDj2Vd2+veCOO0hgrd694II0NJUS5JUVQ0NjIyNTA4My5JUV9DRFNfTUlELjI3LzA3LzI1AQAAAFZEBgACAAAABzQyLjI4MTIAfbZlXdvr3ghGG4cK3eveCCNDSVEuSVFUNDYyMDM3MTQuSVFfQ0RTX01JRC4xOS8wNy8yNgEAAABfBTUAAgAAAAUzMS40NQAkZ2Vd2+veCO0+fwrd694II0NJUS5JUVQ3OTYzOTk1My5JUV9DRFNfTUlELjE5LzA3LzI2AQAAADSbVgECAAAABzI0Ljk0MjgAg49lXdvr3ghHbH8K3eveCCRDSVEuSVFUNTI4OTM2ODEyLklRX0NEU19NSUQuMTkvMDcvMjYBAAAAbFsGAAIAAAAHNDcuOTU5NAB9tmVd2+veCKaXfwrd694II0NJUS5JUVQ0NjE5NzEzOC5JUV9DRFNfTUlELjE4LzA3LzI2AQAAAO6UOAECAAAACDEyNS40NzMyACRnZV3b694IlnmCCt3r3ggjQ0lRLklRVDQ2MjE0ODc5LklRX0NEU19NSUQuMTgvMDcvMjYBAAAA9Ro3AAIAAAAHNTAuOTEzNACDj2Vd2+veCPbGggrd694II0NJUS5JUVQ0NjIxNTExMS5JUV9DRFNfTUlELjIwLzA3LzI2AQAAAKBLsgECAAAABzM3LjUwMzYAg49lXdvr3ggQRXIK3eveCCNDSVEuSVFUNDYyMjYxMzIuSVFfQ0RTX01JRC4yMC8wNy8yNgEAAADdWQAAAgAAAAc0NC4yNTExAH22ZV3b694IdjFzCt3r3ggkQ0lRLklRVDMxMzMxMzUyNC5JUV9DRFNf</t>
  </si>
  <si>
    <t>TUlELjIwLzA3LzI2AQAAAO9VDQACAAAABzU5Ljk3NTQAsvkjXdvr3gg0KHQK3eveCCNDSVEuSVFUNzk2Mzk5MTMuSVFfQ0RTX01JRC4xNS8wNy8yNgEAAAAgYxwCAgAAAAY4LjA4MzMAg49lXdvr3ghkooMK3eveCCNDSVEuSVFUNDYyMDc4NzIuSVFfQ0RTX01JRC4xNS8wNy8yNgEAAABYDQoAAgAAAAc0MC42NTUzAIOPZV3b694I0u+DCt3r3ggjQ0lRLklRVDQ2MjAwMzE3LklRX0NEU19NSUQuMTUvMDcvMjYBAAAA/lQNAAIAAAAHNjQuMDc0OQCy+SNd2+veCNA9hArd694IJENJUS5JUVQ2NDQ3MDE3OTcuSVFfQ0RTX01JRC4xNC8wNy8yNgEAAABTP30BAgAAAAcxMC42MzA0ACRnZV3b694IibWBCt3r3ggjQ0lRLklRVDQ2MjE2OTg2LklRX0NEU19NSUQuMTQvMDcvMjYBAAAAzkQ4AQMAAAAAAIOPZV3b694IewSCCt3r3ggkQ0lRLklRVDI1NDk1NTIzMy5JUV9DRFNfTUlELjE0LzA3LzI2AQAAADlWCgACAAAABjQzLjQ5NwB9tmVd2+veCHFSggrd694II0NJUS5JUVQ0NjIwMDI3Ni5JUV9DRFNfTUlELjI1LzA3LzI2AQAAAJZ3fAECAAAABzI5LjI1NjMAg49lXdvr3ggOFHUK3eveCCNDSVEuSVFUNDYxOTU0OTEuSVFfQ0RTX01JRC4yNS8wNy8yNgEAAABpSgAAAgAAAAc1Ni40MTU5AIOPZV3b694IbhJ2Ct3r3ggjQ0lRLklRVDc5NjM0OTAxLklRX0NEU19NSUQuMjUvMDcvMjYBAAAAnAYQAAIAAAAHNDEuMjE0</t>
  </si>
  <si>
    <t>NgB9tmVd2+veCLvVdgrd694II0NJUS5JUVQ0NjIwNzU3MS5JUV9DRFNfTUlELjE3LzA3LzI2AQAAAG3vNQACAAAABzMwLjI5MTcAJGdlXdvr3ggp/X8K3eveCCNDSVEuSVFUNDYyMTM0NzIuSVFfQ0RTX01JRC4xNy8wNy8yNgEAAAC5WjgAAgAAAAIxNQCDj2Vd2+veCCn9fwrd694IJENJUS5JUVQyNjMyMTMxMzIuSVFfQ0RTX01JRC4xNy8wNy8yNgEAAADhmggAAgAAAAc1NS44Nzk0AH22ZV3b694IKf1/Ct3r3ggjQ0lRLklRVDQ2MTk0OTk1LklRX0NEU19NSUQuMTYvMDcvMjYBAAAAbhAxAAIAAAAEMTAuOQAkZ2Vd2+veCPDBgArd694II0NJUS5JUVQ0NjIyMjI5Mi5JUV9DRFNfTUlELjE2LzA3LzI2AQAAANGRmwECAAAACDc2MC41NzIzAIOPZV3b694I8MGACt3r3ggjQ0lRLklRVDQ2MjI1MDA2LklRX0NEU19NSUQuMTYvMDcvMjYBAAAA+FUNAAIAAAAHNDIuNTQzOAB9tmVd2+veCPDBgArd694II0NJUS5JUVQ0NjIyMDMyOS5JUV9DRFNfTUlELjE2LzA3LzI2AQAAANtbAAACAAAAAjU2ALL5I13b694IK46BCt3r3ggjQ0lRLklRVDQ2MjYyMzc4LklRX0NEU19NSUQuMTMvMDcvMjYBAAAAQNKJAQIAAAAHMTcuODMzMwCDj2Vd2+veCOJkhArd694II0NJUS5JUVQ0NjE5NzY5NC5JUV9DRFNfTUlELjEzLzA3LzI2AQAAAAf6BQACAAAABzUyLjA1MjEAg49lXdvr3gj0xoQK3eveCCNDSVEuSVFUNjIyNzAxMDcu</t>
  </si>
  <si>
    <t>SVFfQ0RTX01JRC4xMy8wNy8yNgEAAAAVWQAAAgAAAAc0MS4yNTE4AH22ZV3b694IugGFCt3r3ggjQ0lRLklRVDQ2MjA3MzA4LklRX0NEU19NSUQuMjQvMDcvMjYBAAAAOYl6AQIAAAAHMTQuNTYyNQAkZ2Vd2+veCDhuegrd694II0NJUS5JUVQ0NjIxMDAzMi5JUV9DRFNfTUlELjI0LzA3LzI2AQAAAI9VowECAAAABzM4LjE5NDUAg49lXdvr3ghMvHoK3eveCCNDSVEuSVFUNDYyMjUzNzQuSVFfQ0RTX01JRC4yNC8wNy8yNgEAAAC11gUAAgAAAAczOS41NTQ0AH22ZV3b694IW+N6Ct3r3ggjQ0lRLklRVDQ5NzUxMTk2LklRX0NEU19NSUQuMjMvMDcvMjYBAAAAzZm9AAIAAAAFNDAuNzUAJGdlXdvr3ghvMXsK3eveCCRDSVEuSVFUMzIzNjgwMTMwLklRX0NEU19NSUQuMjMvMDcvMjYBAAAAceECAAIAAAAHNTIuMTIwMgCDj2Vd2+veCGUXfArd694II0NJUS5JUVQ0NjIwNjc3OS5JUV9DRFNfTUlELjI3LzA0LzI2AQAAAPzvNgACAAAABzE2LjQyMjUAg49lXdvr3giuPoUK3eveCCNDSVEuSVFUNDYyMTg2NzQuSVFfQ0RTX01JRC4yNy8wNC8yNgEAAABXyjYAAgAAAAgxNTQuNTkwOACDj2Vd2+veCNazhQrd694II0NJUS5JUVQ0NjIyNTcxNS5JUV9DRFNfTUlELjI3LzA0LzI2AQAAALflBAACAAAABzQyLjgyNzIAfbZlXdvr3ghG24UK3eveCCNDSVEuSVFUNDYyMDQ4ODQuSVFfQ0RTX01JRC4yMi8wNy8yNgEAAACB</t>
  </si>
  <si>
    <t>UcABAgAAAAQyOS41ACRnZV3b694IjLJ3Ct3r3ggjQ0lRLklRVDYwMzg5NTE2LklRX0NEU19NSUQuMjEvMDcvMjYBAAAApfDDAQIAAAAGNy4yNDI4AIOPZV3b694I8dh9Ct3r3ggkQ0lRLklRVDMxMzMxNTQyOS5JUV9DRFNfTUlELjIxLzA3LzI2AQAAADnnBQACAAAABjYxLjgzNwCy+SNd2+veCIEYfwrd694II0NJUS5JUVQ0NjIxOTkyMi5JUV9DRFNfTUlELjE4LzA3LzI2AQAAANZHOQECAAAABDcuMjUAg49lXdvr3gj2xoIK3eveCCRDSVEuSVFUMjU0OTU1MjMzLklRX0NEU19NSUQuMjQvMDcvMjYBAAAAOVYKAAIAAAAHNDMuNzA1MwB9tmVd2+veCHYKewrd694IJENJUS5JUVQzMTMzMTczNDQuSVFfQ0RTX01JRC4yMy8wNy8yNgEAAADxrAEAAgAAAAc2MC45Nzg4ALL5I13b694IRfF8Ct3r3ggjQ0lRLklRVDQ2MTk3MTM4LklRX0NEU19NSUQuMTMvMDcvMjYBAAAA7pQ4AQIAAAAHMTI0LjczMgAkZ2Vd2+veCNA9hArd694II0NJUS5JUVQ0NjIxMDU2MC5JUV9DRFNfTUlELjEzLzA3LzI2AQAAAPYaNwACAAAABzg1Ljg0ODUAJGdlXdvr3gjiZIQK3eveCCRDSVEuSVFUMzEzMzE0OTc2LklRX0NEU19NSUQuMTMvMDcvMjYBAAAAbUoAAAIAAAAENTYuNQCy+SNd2+veCCoWhQrd694IJENJUS5JUVQ1Mjg5MzY4MTIuSVFfQ0RTX01JRC4yMS8wNy8yNgEAAABsWwYAAgAAAAc0Ny4wMTc0AH22ZV3b694IeKJ+Ct3r</t>
  </si>
  <si>
    <t>3ggjQ0lRLklRVDc5NjQwMDI0LklRX0NEU19NSUQuMTkvMDcvMjYBAAAANY+bAQIAAAAGNy44MzMzACRnZV3b694I7T5/Ct3r3ggjQ0lRLklRVDQ2MjA2Nzc5LklRX0NEU19NSUQuMjQvMDcvMjYBAAAA/O82AAIAAAAHMTYuNDcyNgCDj2Vd2+veCDhuegrd694II0NJUS5JUVQ0NjIwNzc4OS5JUV9DRFNfTUlELjIzLzA3LzI2AQAAACpYowECAAAABzI2LjkxMzUAg49lXdvr3giEnHsK3eveCCNDSVEuSVFUNDYyMjM2NDYuSVFfQ0RTX01JRC4yNy8wNC8yNgEAAAAbeAQAAgAAAAc1NC4zNjU4AIOPZV3b694I1rOFCt3r3ggjQ0lRLklRVDUxMDIzMjYwLklRX0NEU19NSUQuMjcvMDcvMjUBAAAAsRF/AQIAAAAHMTAuNjgyNwCDj2Vd2+veCOO0hgrd694II0NJUS5JUVQ0NjIyNTA4My5JUV9DRFNfTUlELjIzLzA3LzI2AQAAAFZEBgACAAAABzM3LjA4MzMAfbZlXdvr3giVjHwK3eveCCRDSVEuSVFUNTI4OTM2ODEyLklRX0NEU19NSUQuMjcvMDQvMjYBAAAAbFsGAAIAAAAHNTUuODc5OQB9tmVd2+veCEbbhQrd694II0NJUS5JUVQ2MjI3MDEwNi5JUV9DRFNfTUlELjIyLzA3LzI2AQAAAK13gwACAAAABzc1LjIwNzQAsvkjXdvr3ghb+HkK3eveCCRDSVEuSVFUMzEzMzA1ODc5LklRX0NEU19NSUQuMjEvMDcvMjYBAAAAhNbcAQIAAAAGMi4zMzM0AIOPZV3b694IWU9+Ct3r3ggjQ0lRLklRVDc5NjM5OTUzLklRX0NE</t>
  </si>
  <si>
    <t>U19NSUQuMjAvMDcvMjYBAAAANJtWAQIAAAAHMjQuOTI2MgCDj2Vd2+veCBBFcgrd694IJENJUS5JUVQ1Mjg5MzY4MTIuSVFfQ0RTX01JRC4yMC8wNy8yNgEAAABsWwYAAgAAAAc0Ny44NjAyAH22ZV3b694IdjFzCt3r3ggjQ0lRLklRVDQ2MTk3MTM4LklRX0NEU19NSUQuMTUvMDcvMjYBAAAA7pQ4AQIAAAAIMTIyLjY2NzgAJGdlXdvr3gh3U4MK3eveCCNDSVEuSVFUNTEwMjM0ODAuSVFfQ0RTX01JRC4xNS8wNy8yNgEAAADCRfEBAgAAAAY0LjUwODIAg49lXdvr3ghkooMK3eveCCNDSVEuSVFUNDYyMDQ5NTcuSVFfQ0RTX01JRC4xNS8wNy8yNgEAAAAhFQYAAgAAAAc1NC42ODc0AIOPZV3b694I0u+DCt3r3ggjQ0lRLklRVDYyMjcwMTA2LklRX0NEU19NSUQuMTUvMDcvMjYBAAAArXeDAAIAAAAHNzUuMjEwNwCy+SNd2+veCNA9hArd694II0NJUS5JUVQ3OTY0MDAyNC5JUV9DRFNfTUlELjE0LzA3LzI2AQAAADWPmwECAAAABTcuODc1ACRnZV3b694IlOKBCt3r3ggkQ0lRLklRVDMxMzMwNTg3OS5JUV9DRFNfTUlELjE0LzA3LzI2AQAAAITW3AECAAAABjIuMzMzNACDj2Vd2+veCHsEggrd694II0NJUS5JUVQ0NjIwMDQxMi5JUV9DRFNfTUlELjE0LzA3LzI2AQAAAGNDBgACAAAABzQ2LjIxMDUAfbZlXdvr3ghxUoIK3eveCCNDSVEuSVFUNzk2Mzk5MTMuSVFfQ0RTX01JRC4yNS8wNy8yNgEAAAAgYxwCAgAA</t>
  </si>
  <si>
    <t>AAY3Ljk2MjcAg49lXdvr3ggOFHUK3eveCCNDSVEuSVFUNDYyMDc4NzIuSVFfQ0RTX01JRC4yNS8wNy8yNgEAAABYDQoAAgAAAAc0MS4wMDUzAIOPZV3b694IbhJ2Ct3r3ggjQ0lRLklRVDQ2MjAwMzE3LklRX0NEU19NSUQuMjUvMDcvMjYBAAAA/lQNAAIAAAAHNjIuMzg0MQCy+SNd2+veCGfpdgrd694IJENJUS5JUVQ2NDQ3MDE3OTcuSVFfQ0RTX01JRC4xNy8wNy8yNgEAAABTP30BAgAAAAcxMC4zODE3ACRnZV3b694IKf1/Ct3r3ggjQ0lRLklRVDQ2MjE2OTg2LklRX0NEU19NSUQuMTcvMDcvMjYBAAAAzkQ4AQMAAAAAAIOPZV3b694IKf1/Ct3r3ggkQ0lRLklRVDI1NDk1NTIzMy5JUV9DRFNfTUlELjE3LzA3LzI2AQAAADlWCgACAAAABzQzLjMzODYAfbZlXdvr3ggp/X8K3eveCCNDSVEuSVFUNDYxOTYyMjUuSVFfQ0RTX01JRC4xNi8wNy8yNgEAAAC+VaMBAgAAAAYxNy4zNzUAJGdlXdvr3gjwwYAK3eveCCNDSVEuSVFUNTEwMjMyNjAuSVFfQ0RTX01JRC4xNi8wNy8yNgEAAACxEX8BAgAAAAIxNACDj2Vd2+veCPDBgArd694II0NJUS5JUVQ0NjIyNDc0MC5JUV9DRFNfTUlELjE2LzA3LzI2AQAAANNyCAACAAAABTM1LjA2AH22ZV3b694I8MGACt3r3ggkQ0lRLklRVDMxMzMxNzM0NC5JUV9DRFNfTUlELjE2LzA3LzI2AQAAAPGsAQACAAAABzYwLjIxOTUAsvkjXdvr3ggrjoEK3eveCCNDSVEuSVFUNDYy</t>
  </si>
  <si>
    <t>MDAyNzYuSVFfQ0RTX01JRC4xMy8wNy8yNgEAAACWd3wBAgAAAAcyOC45NjkzAIOPZV3b694I4mSECt3r3ggjQ0lRLklRVDQ2MTk1NDkxLklRX0NEU19NSUQuMTMvMDcvMjYBAAAAaUoAAAIAAAAHNTQuMjI2NQCDj2Vd2+veCPTGhArd694II0NJUS5JUVQ3OTYzNDkwMS5JUV9DRFNfTUlELjEzLzA3LzI2AQAAAJwGEAACAAAABzQxLjE0ODEAJGdlXdvr3gi6AYUK3eveCCNDSVEuSVFUNDYyMDc1NzEuSVFfQ0RTX01JRC4yNC8wNy8yNgEAAABt7zUAAgAAAAQzMC41ACRnZV3b694IOG56Ct3r3ggjQ0lRLklRVDQ2MjEzNDcyLklRX0NEU19NSUQuMjQvMDcvMjYBAAAAuVo4AAIAAAAGMTUuNDEyAIOPZV3b694ITLx6Ct3r3ggkQ0lRLklRVDI2MzIxMzEzMi5JUV9DRFNfTUlELjI0LzA3LzI2AQAAAOGaCAACAAAABzU2LjUzOTEAfbZlXdvr3ghb43oK3eveCCNDSVEuSVFUNDYxOTQ5OTUuSVFfQ0RTX01JRC4yMy8wNy8yNgEAAABuEDEAAgAAAAYxMS4xNjIAJGdlXdvr3ghvMXsK3eveCCNDSVEuSVFUNDYyMjIyOTIuSVFfQ0RTX01JRC4yMy8wNy8yNgEAAADRkZsBAgAAAAg3NzAuNzg5NwCDj2Vd2+veCLluewrd694II0NJUS5JUVQ0NjIyNTAwNi5JUV9DRFNfTUlELjIzLzA3LzI2AQAAAPhVDQACAAAABzQ0LjQ5ODcAfbZlXdvr3ghlF3wK3eveCCNDSVEuSVFUNDYyMjAzMjkuSVFfQ0RTX01JRC4yMy8wNy8yNgEA</t>
  </si>
  <si>
    <t>AADbWwAAAgAAAAc1Ni42NTM2ALL5I13b694IRfF8Ct3r3ggjQ0lRLklRVDQ2MjYyMzc4LklRX0NEU19NSUQuMjcvMDQvMjYBAAAAQNKJAQIAAAAHMTguODMzMwCDj2Vd2+veCLVlhQrd694II0NJUS5JUVQ0NjE5NzY5NC5JUV9DRFNfTUlELjI3LzA0LzI2AQAAAAf6BQACAAAABzU3Ljc1NjEAg49lXdvr3gjWs4UK3eveCCNDSVEuSVFUNjIyNzAxMDcuSVFfQ0RTX01JRC4yNy8wNC8yNgEAAAAVWQAAAgAAAAczOS42OTU4AH22ZV3b694IRtuFCt3r3ggjQ0lRLklRVDQ2MjA3MzA4LklRX0NEU19NSUQuMjIvMDcvMjYBAAAAOYl6AQIAAAAHMTQuNTYyNQAkZ2Vd2+veCJbZdwrd694II0NJUS5JUVQ0NjIxMDAzMi5JUV9DRFNfTUlELjIyLzA3LzI2AQAAAI9VowECAAAABzM2LjgxNjkAg49lXdvr3gioZXgK3eveCCNDSVEuSVFUNDk3NTExOTYuSVFfQ0RTX01JRC4yMS8wNy8yNgEAAADNmb0AAgAAAAc0MS4zMzMzACRnZV3b694IvDx9Ct3r3ggkQ0lRLklRVDMyMzY4MDEzMC5JUV9DRFNfTUlELjIxLzA3LzI2AQAAAHHhAgACAAAABzUyLjAxMTYAg49lXdvr3ggXdn4K3eveCCNDSVEuSVFUNDYyMTg2NzQuSVFfQ0RTX01JRC4yNy8wNy8yNQEAAABXyjYAAgAAAAgxODUuNzYzNQCDj2Vd2+veCOO0hgrd694II0NJUS5JUVQ1MTAyMzI2MC5JUV9DRFNfTUlELjE4LzA3LzI2AQAAALERfwECAAAABzE0LjA0NTgAg49l</t>
  </si>
  <si>
    <t>Xdvr3gib74IK3eveCCNDSVEuSVFUNDYyMTk5MjIuSVFfQ0RTX01JRC4xMy8wNy8yNgEAAADWRzkBAgAAAAY2LjgyOTMAg49lXdvr3gi1n4QK3eveCCNDSVEuSVFUNDYyMDAzNjQuSVFfQ0RTX01JRC4yNC8wNy8yNgEAAABXhggAAgAAAAcyNS41OTI0AH22ZV3b694Idgp7Ct3r3ggjQ0lRLklRVDYwMzg4MDU3LklRX0NEU19NSUQuMjAvMDcvMjYBAAAA38l9AQMAAAAAAIOPZV3b694I4m1yCt3r3ggjQ0lRLklRVDQ2MTk5ODQxLklRX0NEU19NSUQuMjAvMDcvMjYBAAAA6zAGAAMAAAAAAH22ZV3b694IeVhzCt3r3ggkQ0lRLklRVDMxMzMxMDE4NC5JUV9DRFNfTUlELjE1LzA3LzI2AQAAAGBEPgACAAAABzExLjE0NDQAJGdlXdvr3gh3U4MK3eveCCNDSVEuSVFUNDYyMTQ4NzkuSVFfQ0RTX01JRC4xNS8wNy8yNgEAAAD1GjcAAgAAAAc1MC41NTM1AIOPZV3b694IZKKDCt3r3ggjQ0lRLklRVDQ2NDcwODc3LklRX0NEU19NSUQuMTUvMDcvMjYBAAAAQjcHAAIAAAAHNTcuMjM2OACDj2Vd2+veCNLvgwrd694IJENJUS5JUVQzMTMzMTA4NTQuSVFfQ0RTX01JRC4xNS8wNy8yNgEAAACvVA0AAgAAAAQ2MS41ALL5I13b694I0D2ECt3r3ggjQ0lRLklRVDQ2MjE0OTU0LklRX0NEU19NSUQuMTQvMDcvMjYBAAAAOj05AQIAAAAFMTQuMzUAg49lXdvr3giU4oEK3eveCCNDSVEuSVFUNDYyMDg2MzQuSVFfQ0RTX01JRC4x</t>
  </si>
  <si>
    <t>NC8wNy8yNgEAAAADH8IAAgAAAAcyMi41MjU4AIOPZV3b694IewSCCt3r3ggjQ0lRLklRVDQ2MjI1MDgzLklRX0NEU19NSUQuMTQvMDcvMjYBAAAAVkQGAAIAAAAEMzcuNQB9tmVd2+veCHFSggrd694II0NJUS5JUVQ0NjE5NzEzOC5JUV9DRFNfTUlELjI1LzA3LzI2AQAAAO6UOAECAAAABzEyNC4zNTYAJGdlXdvr3gg0KHQK3eveCCNDSVEuSVFUNTEwMjM0ODAuSVFfQ0RTX01JRC4yNS8wNy8yNgEAAADCRfEBAgAAAAY0LjY4ODUAg49lXdvr3ggOFHUK3eveCCNDSVEuSVFUNDYyMDQ5NTcuSVFfQ0RTX01JRC4yNS8wNy8yNgEAAAAhFQYAAgAAAAc1NS44MjM3AIOPZV3b694IbhJ2Ct3r3ggjQ0lRLklRVDYyMjcwMTA2LklRX0NEU19NSUQuMjUvMDcvMjYBAAAArXeDAAIAAAAHNzUuMjEwMgCy+SNd2+veCGfpdgrd694II0NJUS5JUVQ3OTY0MDAyNC5JUV9DRFNfTUlELjE3LzA3LzI2AQAAADWPmwECAAAABjcuODMzMwAkZ2Vd2+veCCn9fwrd694IJENJUS5JUVQzMTMzMDU4NzkuSVFfQ0RTX01JRC4xNy8wNy8yNgEAAACE1twBAgAAAAYyLjMzMzQAg49lXdvr3ggp/X8K3eveCCNDSVEuSVFUNDYyMDA0MTIuSVFfQ0RTX01JRC4xNy8wNy8yNgEAAABjQwYAAgAAAAc0NS44MzMzAH22ZV3b694IKf1/Ct3r3ggjQ0lRLklRVDQ2MjAzMzMyLklRX0NEU19NSUQuMTYvMDcvMjYBAAAAXx43AAIAAAAHMTEuMzkzOAAk</t>
  </si>
  <si>
    <t>Z2Vd2+veCPDBgArd694II0NJUS5JUVQ0NjIxNTExMS5JUV9DRFNfTUlELjE2LzA3LzI2AQAAAKBLsgECAAAABzM3LjA3MjkAg49lXdvr3gjwwYAK3eveCCNDSVEuSVFUNDYyMjYxMzIuSVFfQ0RTX01JRC4xNi8wNy8yNgEAAADdWQAAAgAAAAc0My4xNDIyAH22ZV3b694I8MGACt3r3ggkQ0lRLklRVDMxMzMxMzUyNC5JUV9DRFNfTUlELjE2LzA3LzI2AQAAAO9VDQACAAAABzYwLjA2ODIAsvkjXdvr3ggrjoEK3eveCCNDSVEuSVFUNzk2Mzk5MTMuSVFfQ0RTX01JRC4xMy8wNy8yNgEAAAAgYxwCAgAAAAY3LjkxMjcAg49lXdvr3gjiZIQK3eveCCNDSVEuSVFUNDYyMDc4NzIuSVFfQ0RTX01JRC4xMy8wNy8yNgEAAABYDQoAAgAAAAc0MC4wNDY4AIOPZV3b694I9MaECt3r3ggjQ0lRLklRVDQ2MjAwMzE3LklRX0NEU19NSUQuMTMvMDcvMjYBAAAA/lQNAAIAAAAHNjQuNTQ0NACy+SNd2+veCCoWhQrd694IJENJUS5JUVQ2NDQ3MDE3OTcuSVFfQ0RTX01JRC4yNC8wNy8yNgEAAABTP30BAgAAAAY5Ljc2MjgAJGdlXdvr3gg4bnoK3eveCCNDSVEuSVFUNDYyMTY5ODYuSVFfQ0RTX01JRC4yNC8wNy8yNgEAAADORDgBAwAAAAAAg49lXdvr3ghMvHoK3eveCCNDSVEuSVFUNDYyMTA1NjAuSVFfQ0RTX01JRC4yNy8wNC8yNgEAAAD2GjcAAgAAAAc4OC45NDM3ACRnZV3b694IKhaFCt3r3ggkQ0lRLklRVDMxMzMxMDE4</t>
  </si>
  <si>
    <t>NC5JUV9DRFNfTUlELjI3LzA3LzI1AQAAAGBEPgACAAAABzE1Ljk3MzIAJGdlXdvr3ggYH4YK3eveCCNDSVEuSVFUNDYyMDQzMDAuSVFfQ0RTX01JRC4xOC8wNy8yNgEAAAD2JX0AAgAAAAY3LjEwMDkAJGdlXdvr3ggroYIK3eveCCNDSVEuSVFUNDYyMTM0NzIuSVFfQ0RTX01JRC4xOC8wNy8yNgEAAAC5WjgAAgAAAAIxNQCDj2Vd2+veCJvvggrd694IJENJUS5JUVQzMTMzMTAxODQuSVFfQ0RTX01JRC4yNC8wNy8yNgEAAABgRD4AAgAAAAYxMS4wMzQAJGdlXdvr3gg+R3oK3eveCCNDSVEuSVFUNzk2Mzk5NTMuSVFfQ0RTX01JRC4yNy8wNC8yNgEAAAA0m1YBAgAAAAcyNi4wMDg0AIOPZV3b694IxoyFCt3r3ggkQ0lRLklRVDMxMzMxMzUyNC5JUV9DRFNfTUlELjI3LzA3LzI1AQAAAO9VDQACAAAABzUxLjQ3ODEAsvkjXdvr3ghGG4cK3eveCCNDSVEuSVFUNDYyMDc3ODkuSVFfQ0RTX01JRC4yMC8wNy8yNgEAAAAqWKMBAgAAAAYyNi44MzgAg49lXdvr3gjibXIK3eveCCRDSVEuSVFUMjg2MDk2MTMxLklRX0NEU19NSUQuMjAvMDcvMjYBAAAAO/EEAAIAAAAFNjAuMjUAfbZlXdvr3gh5WHMK3eveCCNDSVEuSVFUNDYyMTA1NjAuSVFfQ0RTX01JRC4xNS8wNy8yNgEAAAD2GjcAAgAAAAc4NS40MzY4ACRnZV3b694Id1ODCt3r3ggjQ0lRLklRVDQ2MjE5OTIyLklRX0NEU19NSUQuMTUvMDcvMjYBAAAA1kc5AQIA</t>
  </si>
  <si>
    <t>AAAGNi44MzIyAIOPZV3b694IZKKDCt3r3ggjQ0lRLklRVDQ2MjIzNjQ2LklRX0NEU19NSUQuMTUvMDcvMjYBAAAAG3gEAAIAAAAHNDkuNzg4MQCDj2Vd2+veCNLvgwrd694IJENJUS5JUVQzMTMzMTQ5NzYuSVFfQ0RTX01JRC4xNS8wNy8yNgEAAABtSgAAAgAAAAQ1Ni41ALL5I13b694I0D2ECt3r3ggjQ0lRLklRVDQ2MjE4NTE2LklRX0NEU19NSUQuMTQvMDcvMjYBAAAAplWjAQIAAAAHMzUuODgxNgCDj2Vd2+veCJTigQrd694II0NJUS5JUVQ0NjIyMDgwMy5JUV9DRFNfTUlELjE0LzA3LzI2AQAAANbJNgACAAAABzQxLjk5ODcAg49lXdvr3gh7BIIK3eveCCNDSVEuSVFUNDYyMDAzNjQuSVFfQ0RTX01JRC4xNC8wNy8yNgEAAABXhggAAgAAAAUyNS4wMgB9tmVd2+veCHFSggrd694IJENJUS5JUVQzMTMzMTAxODQuSVFfQ0RTX01JRC4yNS8wNy8yNgEAAABgRD4AAgAAAAYxMS4wMzQAJGdlXdvr3gg0KHQK3eveCCNDSVEuSVFUNDYyMTQ4NzkuSVFfQ0RTX01JRC4yNS8wNy8yNgEAAAD1GjcAAgAAAAc1MC45MjIxAIOPZV3b694IDhR1Ct3r3ggjQ0lRLklRVDQ2NDcwODc3LklRX0NEU19NSUQuMjUvMDcvMjYBAAAAQjcHAAIAAAAHNTkuNDE4NgCDj2Vd2+veCHk5dgrd694IJENJUS5JUVQzMTMzMTA4NTQuSVFfQ0RTX01JRC4yNS8wNy8yNgEAAACvVA0AAgAAAAc2MS42NjY3ALL5I13b694IZ+l2Ct3r3ggj</t>
  </si>
  <si>
    <t>Q0lRLklRVDQ2MjE0OTU0LklRX0NEU19NSUQuMTcvMDcvMjYBAAAAOj05AQIAAAAEMTQuNACDj2Vd2+veCCn9fwrd694II0NJUS5JUVQ0NjIwODYzNC5JUV9DRFNfTUlELjE3LzA3LzI2AQAAAAMfwgACAAAABjIyLjgyNQCDj2Vd2+veCCn9fwrd694II0NJUS5JUVQ0NjIxNTExMS5JUV9DRFNfTUlELjIxLzA3LzI2AQAAAKBLsgECAAAABzM3LjMzOTMAg49lXdvr3gi0AH4K3eveCCNDSVEuSVFUNDYyMDc4NzIuSVFfQ0RTX01JRC4yNy8wNy8yNQEAAABYDQoAAgAAAAc0MC4wMTQ5AIOPZV3b694I47SGCt3r3ggjQ0lRLklRVDQ2MjE4NTE2LklRX0NEU19NSUQuMjQvMDcvMjYBAAAAplWjAQIAAAAGMzUuMzc4AIOPZV3b694IOG56Ct3r3ggjQ0lRLklRVDQ2MTk5ODQxLklRX0NEU19NSUQuMjMvMDcvMjYBAAAA6zAGAAMAAAAAAH22ZV3b694Idj58Ct3r3ggjQ0lRLklRVDQ2MjE0ODc5LklRX0NEU19NSUQuMjcvMDQvMjYBAAAA9Ro3AAIAAAAHNTIuMDUyNwCDj2Vd2+veCLVlhQrd694II0NJUS5JUVQ0NjIxNDk1NC5JUV9DRFNfTUlELjIyLzA3LzI2AQAAADo9OQECAAAABjE0LjM3NQAkZ2Vd2+veCLoDeArd694II0NJUS5JUVQ0NjIyNTA4My5JUV9DRFNfTUlELjIyLzA3LzI2AQAAAFZEBgACAAAABzM2LjgzMzMAfbZlXdvr3gioZXgK3eveCCNDSVEuSVFUNjIyNzAxMDYuSVFfQ0RTX01JRC4yNy8wNy8yNQEA</t>
  </si>
  <si>
    <t>AACtd4MAAgAAAAc3Ny4xMDQ1ALL5I13b694IRhuHCt3r3ggjQ0lRLklRVDQ2MjAwMzY0LklRX0NEU19NSUQuMjIvMDcvMjYBAAAAV4YIAAIAAAAEMjUuMQB9tmVd2+veCKhleArd694II0NJUS5JUVQ0NjIyNTA4My5JUV9DRFNfTUlELjE5LzA3LzI2AQAAAFZEBgACAAAABDM2LjUAfbZlXdvr3giml38K3eveCCNDSVEuSVFUNDYyMTAwMzIuSVFfQ0RTX01JRC4yMC8wNy8yNgEAAACPVaMBAgAAAAczNi42NjY5AIOPZV3b694I4m1yCt3r3ggjQ0lRLklRVDQ2MjI1Mzc0LklRX0NEU19NSUQuMjAvMDcvMjYBAAAAtdYFAAIAAAAHMzkuMDc3NwB9tmVd2+veCHlYcwrd694II0NJUS5JUVQ0OTc1MTE5Ni5JUV9DRFNfTUlELjE1LzA3LzI2AQAAAM2ZvQACAAAABTQxLjc1ACRnZV3b694Id1ODCt3r3ggjQ0lRLklRVDYwMzg5NTE2LklRX0NEU19NSUQuMTUvMDcvMjYBAAAApfDDAQIAAAAGNy4yNTAzAIOPZV3b694IZKKDCt3r3ggkQ0lRLklRVDMyMzY4MDEzMC5JUV9DRFNfTUlELjE1LzA3LzI2AQAAAHHhAgACAAAABjUxLjg2MgCDj2Vd2+veCNLvgwrd694IJENJUS5JUVQzMTMzMTU0MjkuSVFfQ0RTX01JRC4xNS8wNy8yNgEAAAA55wUAAgAAAAc2Mi41MDY2ALL5I13b694I0D2ECt3r3ggjQ0lRLklRVDQ2MjA2Nzc5LklRX0NEU19NSUQuMTQvMDcvMjYBAAAA/O82AAIAAAAEMTYuNQCDj2Vd2+veCJTigQrd694I</t>
  </si>
  <si>
    <t>I0NJUS5JUVQ0NjIxODY3NC5JUV9DRFNfTUlELjE0LzA3LzI2AQAAAFfKNgACAAAACDEyNC44NTkyAIOPZV3b694IewSCCt3r3ggjQ0lRLklRVDQ2MjI1NzE1LklRX0NEU19NSUQuMTQvMDcvMjYBAAAAt+UEAAIAAAAHNDMuMTk3MQB9tmVd2+veCHFSggrd694II0NJUS5JUVQ0NjIxMDU2MC5JUV9DRFNfTUlELjI1LzA3LzI2AQAAAPYaNwACAAAABzg3LjgwMTEAJGdlXdvr3gg0KHQK3eveCCNDSVEuSVFUNDYyMTk5MjIuSVFfQ0RTX01JRC4yNS8wNy8yNgEAAADWRzkBAgAAAAY2LjY4NjIAg49lXdvr3ghzUXUK3eveCCNDSVEuSVFUNDYyMjM2NDYuSVFfQ0RTX01JRC4yNS8wNy8yNgEAAAAbeAQAAgAAAAc0OS45MzU0AIOPZV3b694IeTl2Ct3r3ggkQ0lRLklRVDMxMzMxNDk3Ni5JUV9DRFNfTUlELjI1LzA3LzI2AQAAAG1KAAACAAAABzU4LjE2NTEAsvkjXdvr3giiEHcK3eveCCNDSVEuSVFUNDYyMTg1MTYuSVFfQ0RTX01JRC4xNy8wNy8yNgEAAACmVaMBAgAAAAczNS40MTcyAIOPZV3b694IKf1/Ct3r3ggjQ0lRLklRVDQ2MjIwODAzLklRX0NEU19NSUQuMTcvMDcvMjYBAAAA1sk2AAIAAAAHNDIuNTAwNQCDj2Vd2+veCCn9fwrd694II0NJUS5JUVQ0NjIwMDM2NC5JUV9DRFNfTUlELjE3LzA3LzI2AQAAAFeGCAACAAAABTI1LjE2AH22ZV3b694IKf1/Ct3r3ggjQ0lRLklRVDQ2MjA0MzAwLklRX0NEU19N</t>
  </si>
  <si>
    <t>SUQuMTYvMDcvMjYBAAAA9iV9AAIAAAAGNy4wMDQzACRnZV3b694I8MGACt3r3ggjQ0lRLklRVDYwMzg4MDU3LklRX0NEU19NSUQuMTYvMDcvMjYBAAAA38l9AQMAAAAAAIOPZV3b694I8MGACt3r3ggjQ0lRLklRVDQ2MTk5ODQxLklRX0NEU19NSUQuMTYvMDcvMjYBAAAA6zAGAAMAAAAAAH22ZV3b694I8MGACt3r3ggkQ0lRLklRVDMxMzMxMDE4NC5JUV9DRFNfTUlELjEzLzA3LzI2AQAAAGBEPgACAAAABzExLjIwMDgAJGdlXdvr3gjQPYQK3eveCCNDSVEuSVFUNDYyMTQ4NzkuSVFfQ0RTX01JRC4xMy8wNy8yNgEAAAD1GjcAAgAAAAY1MC41NTgAg49lXdvr3gjiZIQK3eveCCNDSVEuSVFUNDY0NzA4NzcuSVFfQ0RTX01JRC4xMy8wNy8yNgEAAABCNwcAAgAAAAc1NS43NjkzAIOPZV3b694I9MaECt3r3ggkQ0lRLklRVDMxMzMxMDg1NC5JUV9DRFNfTUlELjEzLzA3LzI2AQAAAK9UDQACAAAABDYxLjUAsvkjXdvr3ggqFoUK3eveCCNDSVEuSVFUNDYyMTQ5NTQuSVFfQ0RTX01JRC4yNC8wNy8yNgEAAAA6PTkBAgAAAAYxNC40MjkAJGdlXdvr3gg4bnoK3eveCCNDSVEuSVFUNDYyMDg2MzQuSVFfQ0RTX01JRC4yNC8wNy8yNgEAAAADH8IAAgAAAAcyMy4zMjUxAIOPZV3b694ITLx6Ct3r3ggjQ0lRLklRVDQ2MjI1MDgzLklRX0NEU19NSUQuMjQvMDcvMjYBAAAAVkQGAAIAAAACMzcAfbZlXdvr3gh2CnsK3eve</t>
  </si>
  <si>
    <t>CCNDSVEuSVFUNjIyNzAxMDYuSVFfQ0RTX01JRC4yNy8wNC8yNgEAAACtd4MAAgAAAAc3NC4xMzQzALL5I13b694IRtuFCt3r3ggjQ0lRLklRVDQ2MjAwMzE3LklRX0NEU19NSUQuMjcvMDcvMjUBAAAA/lQNAAIAAAAHNjguMjk0MgCy+SNd2+veCEYbhwrd694II0NJUS5JUVQ0NjIwNDMwMC5JUV9DRFNfTUlELjIzLzA3LzI2AQAAAPYlfQACAAAABjcuMTA0MgAkZ2Vd2+veCG8xewrd694IJENJUS5JUVQzMTMzMTAxODQuSVFfQ0RTX01JRC4yNy8wNC8yNgEAAABgRD4AAgAAAAcxMi4zNTQ4ACRnZV3b694IKhaFCt3r3ggjQ0lRLklRVDQ2MjEzNDcyLklRX0NEU19NSUQuMjAvMDcvMjYBAAAAuVo4AAIAAAAGMTUuMDIzAIOPZV3b694INJVyCt3r3ggkQ0lRLklRVDI2MzIxMzEzMi5JUV9DRFNfTUlELjIwLzA3LzI2AQAAAOGaCAACAAAABzU1LjY4ODgAfbZlXdvr3giMgHMK3eveCCNDSVEuSVFUNDYxOTQ5OTUuSVFfQ0RTX01JRC4xNS8wNy8yNgEAAABuEDEAAgAAAAIxMQAkZ2Vd2+veCHdTgwrd694II0NJUS5JUVQ0NjIyMjI5Mi5JUV9DRFNfTUlELjE1LzA3LzI2AQAAANGRmwECAAAACDc2MS4xMTI2AIOPZV3b694IZKKDCt3r3ggjQ0lRLklRVDQ2MjI1MDA2LklRX0NEU19NSUQuMTUvMDcvMjYBAAAA+FUNAAIAAAAHNDIuMTE0MwB9tmVd2+veCNLvgwrd694II0NJUS5JUVQ0NjIyMDMyOS5JUV9DRFNfTUlE</t>
  </si>
  <si>
    <t>LjE1LzA3LzI2AQAAANtbAAACAAAABDU2LjUAsvkjXdvr3gjQPYQK3eveCCNDSVEuSVFUNDYyNjIzNzguSVFfQ0RTX01JRC4xNC8wNy8yNgEAAABA0okBAgAAAAQxOC42AIOPZV3b694IlOKBCt3r3ggjQ0lRLklRVDQ2MTk3Njk0LklRX0NEU19NSUQuMTQvMDcvMjYBAAAAB/oFAAIAAAAHNTIuODAxNgCDj2Vd2+veCHsEggrd694II0NJUS5JUVQ2MjI3MDEwNy5JUV9DRFNfTUlELjE0LzA3LzI2AQAAABVZAAACAAAABzQzLjY0MzQAfbZlXdvr3ghxUoIK3eveCCNDSVEuSVFUNDk3NTExOTYuSVFfQ0RTX01JRC4yNS8wNy8yNgEAAADNmb0AAgAAAAc0MC41NzA2ACRnZV3b694IhVF0Ct3r3ggjQ0lRLklRVDYwMzg5NTE2LklRX0NEU19NSUQuMjUvMDcvMjYBAAAApfDDAQIAAAAGNy4yNDcxAIOPZV3b694Ic1F1Ct3r3ggkQ0lRLklRVDMyMzY4MDEzMC5JUV9DRFNfTUlELjI1LzA3LzI2AQAAAHHhAgACAAAABzUyLjQ5MzgAg49lXdvr3gh5OXYK3eveCCRDSVEuSVFUMzEzMzE1NDI5LklRX0NEU19NSUQuMjUvMDcvMjYBAAAAOecFAAIAAAAHNjIuNTA2NwCy+SNd2+veCKIQdwrd694II0NJUS5JUVQ0NjIwNjc3OS5JUV9DRFNfTUlELjE3LzA3LzI2AQAAAPzvNgACAAAABDE2LjUAg49lXdvr3ggp/X8K3eveCCNDSVEuSVFUNDYyMTg2NzQuSVFfQ0RTX01JRC4xNy8wNy8yNgEAAABXyjYAAgAAAAgxMjkuMjc4NQCD</t>
  </si>
  <si>
    <t>j2Vd2+veCCn9fwrd694II0NJUS5JUVQ0NjIyNTcxNS5JUV9DRFNfTUlELjE3LzA3LzI2AQAAALflBAACAAAABzQzLjQzMzkAfbZlXdvr3ggp/X8K3eveCCNDSVEuSVFUNDYyMDQ4ODQuSVFfQ0RTX01JRC4xNi8wNy8yNgEAAACBUcABAgAAAAcyOS4zMzMzACRnZV3b694I8MGACt3r3ggjQ0lRLklRVDQ2MjA3Nzg5LklRX0NEU19NSUQuMTYvMDcvMjYBAAAAKlijAQIAAAAHMjYuNDg1NgCDj2Vd2+veCPDBgArd694IJENJUS5JUVQyODYwOTYxMzEuSVFfQ0RTX01JRC4xNi8wNy8yNgEAAAA78QQAAgAAAAc1OS43OTkyAH22ZV3b694I8MGACt3r3ggjQ0lRLklRVDQ2MjA4NjM0LklRX0NEU19NSUQuMjIvMDcvMjYBAAAAAx/CAAIAAAAHMjIuNjg4OACDj2Vd2+veCKhleArd694II0NJUS5JUVQ1MTAyMzQ4MC5JUV9DRFNfTUlELjI3LzA3LzI1AQAAAMJF8QECAAAABjcuODQyNwCDj2Vd2+veCEOOhgrd694II0NJUS5JUVQ0NjIxNTExMS5JUV9DRFNfTUlELjE4LzA3LzI2AQAAAKBLsgECAAAABzM3LjY5MTUAg49lXdvr3gib74IK3eveCCRDSVEuSVFUMzEzMzE1NDI5LklRX0NEU19NSUQuMTMvMDcvMjYBAAAAOecFAAIAAAAHNjIuMzMzMwCy+SNd2+veCCoWhQrd694II0NJUS5JUVQ0NjIxNDk1NC5JUV9DRFNfTUlELjIzLzA3LzI2AQAAADo9OQECAAAABDE0LjUAJGdlXdvr3ghvMXsK3eveCCNDSVEuSVFUNDYy</t>
  </si>
  <si>
    <t>MTY5ODYuSVFfQ0RTX01JRC4yMC8wNy8yNgEAAADORDgBAwAAAAAAg49lXdvr3gg0lXIK3eveCCRDSVEuSVFUMjU0OTU1MjMzLklRX0NEU19NSUQuMjAvMDcvMjYBAAAAOVYKAAIAAAAHNDMuMjAwOAB9tmVd2+veCIyAcwrd694II0NJUS5JUVQ0NjE5NjIyNS5JUV9DRFNfTUlELjE1LzA3LzI2AQAAAL5VowECAAAABjE3LjM3NQAkZ2Vd2+veCN17gwrd694II0NJUS5JUVQ1MTAyMzI2MC5JUV9DRFNfTUlELjE1LzA3LzI2AQAAALERfwECAAAABjE0LjEyNQCDj2Vd2+veCGSigwrd694II0NJUS5JUVQ0NjIyNDc0MC5JUV9DRFNfTUlELjE1LzA3LzI2AQAAANNyCAACAAAABzM0LjQzNDYAfbZlXdvr3gjS74MK3eveCCRDSVEuSVFUMzEzMzE3MzQ0LklRX0NEU19NSUQuMTUvMDcvMjYBAAAA8awBAAIAAAAHNjAuNTIwNgCy+SNd2+veCNA9hArd694II0NJUS5JUVQ0NjIwMDI3Ni5JUV9DRFNfTUlELjE0LzA3LzI2AQAAAJZ3fAECAAAABzI5LjQzOTIAg49lXdvr3giU4oEK3eveCCNDSVEuSVFUNDYxOTU0OTEuSVFfQ0RTX01JRC4xNC8wNy8yNgEAAABpSgAAAgAAAAY1NC42MDQAg49lXdvr3ghgK4IK3eveCCNDSVEuSVFUNzk2MzQ5MDEuSVFfQ0RTX01JRC4xNC8wNy8yNgEAAACcBhAAAgAAAAY0MS4xNDUAfbZlXdvr3ghxUoIK3eveCCNDSVEuSVFUNDYxOTQ5OTUuSVFfQ0RTX01JRC4yNS8wNy8yNgEAAABuEDEA</t>
  </si>
  <si>
    <t>AgAAAAcxMS4xODI0ACRnZV3b694IhVF0Ct3r3ggjQ0lRLklRVDQ2MjIyMjkyLklRX0NEU19NSUQuMjUvMDcvMjYBAAAA0ZGbAQIAAAAINzc3LjE2MjQAg49lXdvr3ghzUXUK3eveCCNDSVEuSVFUNDYyMjUwMDYuSVFfQ0RTX01JRC4yNS8wNy8yNgEAAAD4VQ0AAgAAAAY0NC43MTIAg49lXdvr3gh5OXYK3eveCCNDSVEuSVFUNDYyMjAzMjkuSVFfQ0RTX01JRC4yNS8wNy8yNgEAAADbWwAAAgAAAAY1Ni42NzQAsvkjXdvr3giiEHcK3eveCCNDSVEuSVFUNDYyNjIzNzguSVFfQ0RTX01JRC4xNy8wNy8yNgEAAABA0okBAgAAAAYxOC4zNzUAg49lXdvr3ggp/X8K3eveCCNDSVEuSVFUNDYxOTc2OTQuSVFfQ0RTX01JRC4xNy8wNy8yNgEAAAAH+gUAAgAAAAc1My42NjkyAIOPZV3b694IKf1/Ct3r3ggjQ0lRLklRVDYyMjcwMTA3LklRX0NEU19NSUQuMTcvMDcvMjYBAAAAFVkAAAIAAAAHNDEuMzEyNQB9tmVd2+veCCn9fwrd694II0NJUS5JUVQ0NjIwNzMwOC5JUV9DRFNfTUlELjE2LzA3LzI2AQAAADmJegECAAAABzE0LjQzNzUAJGdlXdvr3gjwwYAK3eveCCNDSVEuSVFUNDYyMTAwMzIuSVFfQ0RTX01JRC4xNi8wNy8yNgEAAACPVaMBAgAAAAYzNi42NzUAg49lXdvr3gjwwYAK3eveCCNDSVEuSVFUNDYyMjUzNzQuSVFfQ0RTX01JRC4xNi8wNy8yNgEAAAC11gUAAgAAAAYzOC40MTUAfbZlXdvr3gjwwYAK3eve</t>
  </si>
  <si>
    <t>CCNDSVEuSVFUNDk3NTExOTYuSVFfQ0RTX01JRC4xMy8wNy8yNgEAAADNmb0AAgAAAAU0MS43NQAkZ2Vd2+veCOJkhArd694II0NJUS5JUVQ2MDM4OTUxNi5JUV9DRFNfTUlELjEzLzA3LzI2AQAAAKXwwwECAAAABjcuMjQwOACDj2Vd2+veCLWfhArd694IJENJUS5JUVQzMjM2ODAxMzAuSVFfQ0RTX01JRC4xMy8wNy8yNgEAAABx4QIAAgAAAAc1Mi44NTUzAIOPZV3b694I9MaECt3r3ggkQ0lRLklRVDMxMzMxMDg1NC5JUV9DRFNfTUlELjI3LzA3LzI1AQAAAK9UDQACAAAABjM5LjE4OQCy+SNd2+veCEYbhwrd694II0NJUS5JUVQ3OTYzOTk1My5JUV9DRFNfTUlELjE4LzA3LzI2AQAAADSbVgECAAAABzI0Ljk0MjgAg49lXdvr3gib74IK3eveCCNDSVEuSVFUNDYyMTUxMTEuSVFfQ0RTX01JRC4yNy8wNC8yNgEAAACgS7IBAgAAAAc0NC4wOTE3AIOPZV3b694IxoyFCt3r3ggjQ0lRLklRVDc5NjM0OTAxLklRX0NEU19NSUQuMTkvMDcvMjYBAAAAnAYQAAIAAAAHNDEuMDQyNQB9tmVd2+veCKaXfwrd694IJENJUS5JUVQzMTMzMDU4NzkuSVFfQ0RTX01JRC4yMC8wNy8yNgEAAACE1twBAgAAAAYyLjMzMzQAg49lXdvr3gg0lXIK3eveCCNDSVEuSVFUNDYyMDA0MTIuSVFfQ0RTX01JRC4yMC8wNy8yNgEAAABjQwYAAgAAAAY0NS4zNzUAfbZlXdvr3giMgHMK3eveCCNDSVEuSVFUNDYyMDMzMzIuSVFfQ0RTX01J</t>
  </si>
  <si>
    <t>RC4xNS8wNy8yNgEAAABfHjcAAgAAAAcxMS4xNjY3ACRnZV3b694I3XuDCt3r3ggjQ0lRLklRVDQ2MjE1MTExLklRX0NEU19NSUQuMTUvMDcvMjYBAAAAoEuyAQIAAAAHMzcuMDM4NgCDj2Vd2+veCGSigwrd694II0NJUS5JUVQ0NjIyNjEzMi5JUV9DRFNfTUlELjE1LzA3LzI2AQAAAN1ZAAACAAAABzQyLjEyODkAfbZlXdvr3gjS74MK3eveCCRDSVEuSVFUMzEzMzEzNTI0LklRX0NEU19NSUQuMTUvMDcvMjYBAAAA71UNAAIAAAAHNjAuNTU0MQCy+SNd2+veCNA9hArd694II0NJUS5JUVQ3OTYzOTkxMy5JUV9DRFNfTUlELjE0LzA3LzI2AQAAACBjHAICAAAAATgAg49lXdvr3giU4oEK3eveCCNDSVEuSVFUNDYyMDc4NzIuSVFfQ0RTX01JRC4xNC8wNy8yNgEAAABYDQoAAgAAAAc0MC41ODQyAIOPZV3b694IYCuCCt3r3ggjQ0lRLklRVDQ2MjAwMzE3LklRX0NEU19NSUQuMTQvMDcvMjYBAAAA/lQNAAIAAAAHNjQuMTMxMwCy+SNd2+veCHFSggrd694II0NJUS5JUVQ0NjE5NjIyNS5JUV9DRFNfTUlELjI1LzA3LzI2AQAAAL5VowECAAAABzE3LjU1MjQAJGdlXdvr3giFUXQK3eveCCNDSVEuSVFUNTEwMjMyNjAuSVFfQ0RTX01JRC4yNS8wNy8yNgEAAACxEX8BAgAAAAcxNC42ODE2AIOPZV3b694IQ3Z1Ct3r3ggjQ0lRLklRVDQ2MjI0NzQwLklRX0NEU19NSUQuMjUvMDcvMjYBAAAA03IIAAIAAAAHMzYuNjM1</t>
  </si>
  <si>
    <t>NAB9tmVd2+veCIdgdgrd694IJENJUS5JUVQzMTMzMTczNDQuSVFfQ0RTX01JRC4yNS8wNy8yNgEAAADxrAEAAgAAAAc2MS4yOTI4ALL5I13b694I5Dd3Ct3r3ggjQ0lRLklRVDQ2MjAwMjc2LklRX0NEU19NSUQuMTcvMDcvMjYBAAAAlnd8AQIAAAAHMjkuNTEwMwCDj2Vd2+veCCn9fwrd694II0NJUS5JUVQ0NjE5NTQ5MS5JUV9DRFNfTUlELjE3LzA3LzI2AQAAAGlKAAACAAAABzU1LjYxNzYAg49lXdvr3ggp/X8K3eveCCNDSVEuSVFUNzk2MzQ5MDEuSVFfQ0RTX01JRC4xNy8wNy8yNgEAAACcBhAAAgAAAAc0MS4wNDI1AH22ZV3b694IKf1/Ct3r3ggjQ0lRLklRVDQ2MjA3NTcxLklRX0NEU19NSUQuMTYvMDcvMjYBAAAAbe81AAIAAAACMzAAJGdlXdvr3gjwwYAK3eveCCNDSVEuSVFUNDYyMTM0NzIuSVFfQ0RTX01JRC4xNi8wNy8yNgEAAAC5WjgAAgAAAAcxNS4wNjI1AIOPZV3b694I8MGACt3r3ggkQ0lRLklRVDI2MzIxMzEzMi5JUV9DRFNfTUlELjE2LzA3LzI2AQAAAOGaCAACAAAABzU1LjA5ODcAfbZlXdvr3gjwwYAK3eveCCNDSVEuSVFUNDYxOTQ5OTUuSVFfQ0RTX01JRC4xMy8wNy8yNgEAAABuEDEAAgAAAAcxMC45OTk4ACRnZV3b694I4mSECt3r3ggjQ0lRLklRVDQ2MjIyMjkyLklRX0NEU19NSUQuMTMvMDcvMjYBAAAA0ZGbAQIAAAAINzYwLjQ0NzMAg49lXdvr3gi1n4QK3eveCCNDSVEuSVFU</t>
  </si>
  <si>
    <t>NDYyMjUwMDYuSVFfQ0RTX01JRC4xMy8wNy8yNgEAAAD4VQ0AAgAAAAc0MS43MDgyAH22ZV3b694I9MaECt3r3ggjQ0lRLklRVDQ2MjIwMzI5LklRX0NEU19NSUQuMTMvMDcvMjYBAAAA21sAAAIAAAAENTYuNQCy+SNd2+veCCoWhQrd694II0NJUS5JUVQ0NjI2MjM3OC5JUV9DRFNfTUlELjI0LzA3LzI2AQAAAEDSiQECAAAAAjE4AIOPZV3b694IR5V6Ct3r3ggjQ0lRLklRVDQ2MTk3Njk0LklRX0NEU19NSUQuMjQvMDcvMjYBAAAAB/oFAAIAAAAHNTMuOTg2OACDj2Vd2+veCEy8egrd694II0NJUS5JUVQ2MjI3MDEwNy5JUV9DRFNfTUlELjI0LzA3LzI2AQAAABVZAAACAAAABzQyLjQxMTUAfbZlXdvr3gh2CnsK3eveCCNDSVEuSVFUNDYyMDczMDguSVFfQ0RTX01JRC4yMy8wNy8yNgEAAAA5iXoBAgAAAAcxNC41NjI1ACRnZV3b694IbzF7Ct3r3ggjQ0lRLklRVDQ2MjEwMDMyLklRX0NEU19NSUQuMjMvMDcvMjYBAAAAj1WjAQIAAAAHMzcuNjIyMgCDj2Vd2+veCIScewrd694II0NJUS5JUVQ0NjIyNTM3NC5JUV9DRFNfTUlELjIzLzA3LzI2AQAAALXWBQACAAAABzM5LjMzODIAfbZlXdvr3gigZXwK3eveCCNDSVEuSVFUNDk3NTExOTYuSVFfQ0RTX01JRC4yNy8wNC8yNgEAAADNmb0AAgAAAAczOC42MzQ4ACRnZV3b694IKhaFCt3r3ggjQ0lRLklRVDYwMzg5NTE2LklRX0NEU19NSUQuMjcvMDQvMjYBAAAA</t>
  </si>
  <si>
    <t>pfDDAQIAAAAFNy44ODEAg49lXdvr3gi1ZYUK3eveCCRDSVEuSVFUMzIzNjgwMTMwLklRX0NEU19NSUQuMjcvMDQvMjYBAAAAceECAAIAAAAHNTUuMzUyMwCDj2Vd2+veCNazhQrd694IJENJUS5JUVQzMTMzMTU0MjkuSVFfQ0RTX01JRC4yNy8wNC8yNgEAAAA55wUAAgAAAAc2MS4wMDEzALL5I13b694IRtuFCt3r3ggjQ0lRLklRVDQ2MjA2Nzc5LklRX0NEU19NSUQuMjIvMDcvMjYBAAAA/O82AAIAAAAHMTYuMDE5OQCDj2Vd2+veCLoDeArd694II0NJUS5JUVQ0NjIxODY3NC5JUV9DRFNfTUlELjIyLzA3LzI2AQAAAFfKNgACAAAACDEyOS41ODk3AIOPZV3b694IqGV4Ct3r3ggjQ0lRLklRVDQ2MjI1NzE1LklRX0NEU19NSUQuMjIvMDcvMjYBAAAAt+UEAAIAAAAGNDMuNDI2AH22ZV3b694IqGV4Ct3r3ggjQ0lRLklRVDQ2MjA0ODg0LklRX0NEU19NSUQuMjEvMDcvMjYBAAAAgVHAAQIAAAAGMjkuNjI1ACRnZV3b694IwGN9Ct3r3ggjQ0lRLklRVDQ2MjA3Nzg5LklRX0NEU19NSUQuMjEvMDcvMjYBAAAAKlijAQIAAAAHMjYuNzEzNwCDj2Vd2+veCCwofgrd694IJENJUS5JUVQyODYwOTYxMzEuSVFfQ0RTX01JRC4yMS8wNy8yNgEAAAA78QQAAgAAAAU1OS43NQB9tmVd2+veCObIfgrd694II0NJUS5JUVQ0NjIxMDU2MC5JUV9DRFNfTUlELjI3LzA3LzI1AQAAAPYaNwACAAAACDExMi4zOTgyACRnZV3b694I</t>
  </si>
  <si>
    <t>xT6GCt3r3ggjQ0lRLklRVDQ2MjE5OTIyLklRX0NEU19NSUQuMjcvMDcvMjUBAAAA1kc5AQIAAAAGOS44NjE2AIOPZV3b694IQ46GCt3r3ggjQ0lRLklRVDQ2MjIzNjQ2LklRX0NEU19NSUQuMjcvMDcvMjUBAAAAG3gEAAIAAAAHNDguMDQ0MwCDj2Vd2+veCKfzhgrd694IJENJUS5JUVQzMTMzMTQ5NzYuSVFfQ0RTX01JRC4yNy8wNy8yNQEAAABtSgAAAgAAAAc0MS40NDM1ALL5I13b694IRhuHCt3r3ggjQ0lRLklRVDQ2MjE4NTE2LklRX0NEU19NSUQuMTkvMDcvMjYBAAAAplWjAQIAAAAHMzUuNDE3MgCDj2Vd2+veCO0+fwrd694II0NJUS5JUVQ0NjIyMDgwMy5JUV9DRFNfTUlELjE5LzA3LzI2AQAAANbJNgACAAAABzQyLjUwMDUAg49lXdvr3giml38K3eveCCNDSVEuSVFUNDYyMDAzNjQuSVFfQ0RTX01JRC4xOS8wNy8yNgEAAABXhggAAgAAAAUyNS4xNgB9tmVd2+veCKaXfwrd694II0NJUS5JUVQ0NjIwMDI3Ni5JUV9DRFNfTUlELjE5LzA3LzI2AQAAAJZ3fAECAAAABzI5LjUxMDMAg49lXdvr3gjCZX8K3eveCCRDSVEuSVFUMjYzMjEzMTMyLklRX0NEU19NSUQuMTgvMDcvMjYBAAAA4ZoIAAIAAAAHNTUuODc5NAB9tmVd2+veCIUdgwrd694IJENJUS5JUVQzMTMzMTA4NTQuSVFfQ0RTX01JRC4yNC8wNy8yNgEAAACvVA0AAgAAAAc2MS42NjY3ALL5I13b694Idgp7Ct3r3ggjQ0lRLklRVDQ2MjE1MTEx</t>
  </si>
  <si>
    <t>LklRX0NEU19NSUQuMjcvMDcvMjUBAAAAoEuyAQIAAAAHNDAuODc5OACDj2Vd2+veCOO0hgrd694II0NJUS5JUVQ0NjIxNjk4Ni5JUV9DRFNfTUlELjE4LzA3LzI2AQAAAM5EOAEDAAAAAACDj2Vd2+veCJvvggrd694II0NJUS5JUVQ0NjIwODYzNC5JUV9DRFNfTUlELjIwLzA3LzI2AQAAAAMfwgACAAAABzIyLjcxODgAg49lXdvr3ggxvHIK3eveCCNDSVEuSVFUNDYyMjUwODMuSVFfQ0RTX01JRC4yMC8wNy8yNgEAAABWRAYAAgAAAAUzNi43NQB9tmVd2+veCMOmcwrd694II0NJUS5JUVQ0NjIwMzcxNC5JUV9DRFNfTUlELjE1LzA3LzI2AQAAAF8FNQACAAAABzMxLjE2MDkAJGdlXdvr3gjde4MK3eveCCNDSVEuSVFUNzk2Mzk5NTMuSVFfQ0RTX01JRC4xNS8wNy8yNgEAAAA0m1YBAgAAAAcyNC45NTQ4AIOPZV3b694IZKKDCt3r3ggkQ0lRLklRVDUyODkzNjgxMi5JUV9DRFNfTUlELjE1LzA3LzI2AQAAAGxbBgACAAAABzQ3LjI1NDEAfbZlXdvr3gjDFoQK3eveCCNDSVEuSVFUNDYxOTcxMzguSVFfQ0RTX01JRC4xNC8wNy8yNgEAAADulDgBAgAAAAgxMjMuNjExOAAkZ2Vd2+veCCuOgQrd694II0NJUS5JUVQ1MTAyMzQ4MC5JUV9DRFNfTUlELjE0LzA3LzI2AQAAAMJF8QECAAAABjQuNTA2NwCDj2Vd2+veCJTigQrd694II0NJUS5JUVQ0NjIwNDk1Ny5JUV9DRFNfTUlELjE0LzA3LzI2AQAAACEVBgACAAAA</t>
  </si>
  <si>
    <t>BzU0LjQzMTIAg49lXdvr3ghgK4IK3eveCCNDSVEuSVFUNjIyNzAxMDYuSVFfQ0RTX01JRC4xNC8wNy8yNgEAAACtd4MAAgAAAAc3NC42MzE4ALL5I13b694IlnmCCt3r3ggjQ0lRLklRVDQ2MjAzMzMyLklRX0NEU19NSUQuMjUvMDcvMjYBAAAAXx43AAIAAAAHMTAuODMzMwAkZ2Vd2+veCFN4dArd694II0NJUS5JUVQ0NjIxNTExMS5JUV9DRFNfTUlELjI1LzA3LzI2AQAAAKBLsgECAAAABzM4LjU0NjIAg49lXdvr3ghDdnUK3eveCCNDSVEuSVFUNDYyMjYxMzIuSVFfQ0RTX01JRC4yNS8wNy8yNgEAAADdWQAAAgAAAAc0NS41Nzg0AH22ZV3b694Ih2B2Ct3r3ggkQ0lRLklRVDMxMzMxMzUyNC5JUV9DRFNfTUlELjI1LzA3LzI2AQAAAO9VDQACAAAABjYwLjUyMgCy+SNd2+veCOQ3dwrd694II0NJUS5JUVQ3OTYzOTkxMy5JUV9DRFNfTUlELjE3LzA3LzI2AQAAACBjHAICAAAABTguMTI1AIOPZV3b694IKf1/Ct3r3ggjQ0lRLklRVDQ2MjA3ODcyLklRX0NEU19NSUQuMTcvMDcvMjYBAAAAWA0KAAIAAAAHNDAuODAzMgCDj2Vd2+veCCn9fwrd694II0NJUS5JUVQ0NjIwMDMxNy5JUV9DRFNfTUlELjE3LzA3LzI2AQAAAP5UDQACAAAABzYzLjY1MzMAsvkjXdvr3ggp/X8K3eveCCRDSVEuSVFUNjQ0NzAxNzk3LklRX0NEU19NSUQuMTYvMDcvMjYBAAAAUz99AQIAAAAHMTAuMzQxNAAkZ2Vd2+veCPDBgArd694I</t>
  </si>
  <si>
    <t>I0NJUS5JUVQ0NjIxNjk4Ni5JUV9DRFNfTUlELjE2LzA3LzI2AQAAAM5EOAEDAAAAAACDj2Vd2+veCPDBgArd694IJENJUS5JUVQyNTQ5NTUyMzMuSVFfQ0RTX01JRC4xNi8wNy8yNgEAAAA5VgoAAgAAAAI0MwB9tmVd2+veCPDBgArd694II0NJUS5JUVQ0NjE5NjIyNS5JUV9DRFNfTUlELjEzLzA3LzI2AQAAAL5VowECAAAABzE3LjMzMzMAJGdlXdvr3gjiZIQK3eveCCNDSVEuSVFUNTEwMjMyNjAuSVFfQ0RTX01JRC4xMy8wNy8yNgEAAACxEX8BAgAAAAcxMy45MDcyAIOPZV3b694ItZ+ECt3r3ggjQ0lRLklRVDQ2MjI0NzQwLklRX0NEU19NSUQuMTMvMDcvMjYBAAAA03IIAAIAAAAGMzMuNzI1AH22ZV3b694I9MaECt3r3ggkQ0lRLklRVDMxMzMxNzM0NC5JUV9DRFNfTUlELjEzLzA3LzI2AQAAAPGsAQACAAAABzYwLjUwMjMAsvkjXdvr3ggqFoUK3eveCCNDSVEuSVFUNDYyMDAyNzYuSVFfQ0RTX01JRC4yNC8wNy8yNgEAAACWd3wBAgAAAAcyOS4yNTYzAIOPZV3b694IR5V6Ct3r3ggjQ0lRLklRVDQ2MTk1NDkxLklRX0NEU19NSUQuMjQvMDcvMjYBAAAAaUoAAAIAAAAHNTYuNDE1OQCDj2Vd2+veCEy8egrd694II0NJUS5JUVQ3OTYzNDkwMS5JUV9DRFNfTUlELjI0LzA3LzI2AQAAAJwGEAACAAAABzQxLjIxNDYAfbZlXdvr3gh2CnsK3eveCCNDSVEuSVFUNDYyMDc1NzEuSVFfQ0RTX01JRC4yMy8wNy8y</t>
  </si>
  <si>
    <t>NgEAAABt7zUAAgAAAAczMC40ODk3ACRnZV3b694IbzF7Ct3r3ggjQ0lRLklRVDQ2MjEzNDcyLklRX0NEU19NSUQuMjMvMDcvMjYBAAAAuVo4AAIAAAAHMTUuMDgwNQCDj2Vd2+veCIScewrd694IJENJUS5JUVQyNjMyMTMxMzIuSVFfQ0RTX01JRC4yMy8wNy8yNgEAAADhmggAAgAAAAc1Ni41MzQ1AH22ZV3b694IoGV8Ct3r3ggjQ0lRLklRVDQ2MTk0OTk1LklRX0NEU19NSUQuMjcvMDQvMjYBAAAAbhAxAAIAAAAHMTMuMTg3NQAkZ2Vd2+veCCoWhQrd694II0NJUS5JUVQ0NjIyMjI5Mi5JUV9DRFNfTUlELjI3LzA0LzI2AQAAANGRmwECAAAACDc3Mi44NjQ3AIOPZV3b694IxoyFCt3r3ggjQ0lRLklRVDQ2MjI1MDA2LklRX0NEU19NSUQuMjcvMDQvMjYBAAAA+FUNAAIAAAAHNDEuNDMyMQB9tmVd2+veCNazhQrd694II0NJUS5JUVQ0NjIyMDMyOS5JUV9DRFNfTUlELjI3LzA0LzI2AQAAANtbAAACAAAAAjU1ALL5I13b694IRtuFCt3r3ggjQ0lRLklRVDQ2MjYyMzc4LklRX0NEU19NSUQuMjIvMDcvMjYBAAAAQNKJAQIAAAAGMTguMTI1AIOPZV3b694IugN4Ct3r3ggjQ0lRLklRVDQ2MTk3Njk0LklRX0NEU19NSUQuMjIvMDcvMjYBAAAAB/oFAAIAAAAGNTIuNzU0AIOPZV3b694IqGV4Ct3r3ggjQ0lRLklRVDYyMjcwMTA3LklRX0NEU19NSUQuMjIvMDcvMjYBAAAAFVkAAAIAAAAGNDIuMDk5AH22ZV3b694I</t>
  </si>
  <si>
    <t>qGV4Ct3r3ggjQ0lRLklRVDQ2MjA3MzA4LklRX0NEU19NSUQuMjEvMDcvMjYBAAAAOYl6AQIAAAAHMTQuNTYyNQAkZ2Vd2+veCMBjfQrd694II0NJUS5JUVQ0NjIxMDAzMi5JUV9DRFNfTUlELjIxLzA3LzI2AQAAAI9VowECAAAABzM2LjY5OTEAg49lXdvr3ggsKH4K3eveCCNDSVEuSVFUNDYyMjUzNzQuSVFfQ0RTX01JRC4yMS8wNy8yNgEAAAC11gUAAgAAAAczOC41MDU5AH22ZV3b694I5sh+Ct3r3ggjQ0lRLklRVDQ5NzUxMTk2LklRX0NEU19NSUQuMjcvMDcvMjUBAAAAzZm9AAIAAAAGNDAuMjQ3ACRnZV3b694IxT6GCt3r3ggjQ0lRLklRVDYwMzg5NTE2LklRX0NEU19NSUQuMjcvMDcvMjUBAAAApfDDAQIAAAABOACDj2Vd2+veCOO0hgrd694IJENJUS5JUVQzMjM2ODAxMzAuSVFfQ0RTX01JRC4yNy8wNy8yNQEAAABx4QIAAgAAAAc0OC43MjQxAIOPZV3b694Ip/OGCt3r3ggkQ0lRLklRVDMxMzMxNTQyOS5JUV9DRFNfTUlELjI3LzA3LzI1AQAAADnnBQACAAAABzQxLjQzMzMAsvkjXdvr3ghGG4cK3eveCCNDSVEuSVFUNDYyMDY3NzkuSVFfQ0RTX01JRC4xOS8wNy8yNgEAAAD87zYAAgAAAAQxNi41AIOPZV3b694I7T5/Ct3r3ggjQ0lRLklRVDQ2MjE4Njc0LklRX0NEU19NSUQuMTkvMDcvMjYBAAAAV8o2AAIAAAAIMTI5LjI3ODUAg49lXdvr3giml38K3eveCCNDSVEuSVFUNDYyMjU3MTUuSVFfQ0RT</t>
  </si>
  <si>
    <t>X01JRC4xOS8wNy8yNgEAAAC35QQAAgAAAAc0My40MzM5AH22ZV3b694Ippd/Ct3r3ggjQ0lRLklRVDQ2MjA0ODg0LklRX0NEU19NSUQuMTgvMDcvMjYBAAAAgVHAAQIAAAAGMjkuNjI1ACRnZV3b694IK6GCCt3r3ggjQ0lRLklRVDQ2MjA3Nzg5LklRX0NEU19NSUQuMTgvMDcvMjYBAAAAKlijAQIAAAAHMjYuNjg3OQCDj2Vd2+veCJvvggrd694IJENJUS5JUVQyODYwOTYxMzEuSVFfQ0RTX01JRC4xOC8wNy8yNgEAAAA78QQAAgAAAAc2MC42NjY3AH22ZV3b694IhR2DCt3r3ggjQ0lRLklRVDQ2MjAwNDEyLklRX0NEU19NSUQuMTYvMDcvMjYBAAAAY0MGAAIAAAAHNDUuMzU1NQB9tmVd2+veCPDBgArd694II0NJUS5JUVQ0NjIwMzMzMi5JUV9DRFNfTUlELjEzLzA3LzI2AQAAAF8eNwACAAAABzExLjM3NTQAJGdlXdvr3gjiZIQK3eveCCNDSVEuSVFUNDYyMTUxMTEuSVFfQ0RTX01JRC4xMy8wNy8yNgEAAACgS7IBAgAAAAczNy4zOTg5AIOPZV3b694ItZ+ECt3r3ggjQ0lRLklRVDQ2MjI2MTMyLklRX0NEU19NSUQuMTMvMDcvMjYBAAAA3VkAAAIAAAAFNDEuODYAfbZlXdvr3gj+7YQK3eveCCRDSVEuSVFUMzEzMzEzNTI0LklRX0NEU19NSUQuMTMvMDcvMjYBAAAA71UNAAIAAAAHNjAuNDgwMQCy+SNd2+veCCoWhQrd694II0NJUS5JUVQ3OTYzOTkxMy5JUV9DRFNfTUlELjI0LzA3LzI2AQAAACBjHAICAAAA</t>
  </si>
  <si>
    <t>BjcuOTYyNwCDj2Vd2+veCEeVegrd694II0NJUS5JUVQ0NjIwNzg3Mi5JUV9DRFNfTUlELjI0LzA3LzI2AQAAAFgNCgACAAAABzQxLjAwNTMAg49lXdvr3ghb43oK3eveCCNDSVEuSVFUNDYyMDAzMTcuSVFfQ0RTX01JRC4yNC8wNy8yNgEAAAD+VA0AAgAAAAc2Mi4zODQxALL5I13b694Idgp7Ct3r3ggkQ0lRLklRVDY0NDcwMTc5Ny5JUV9DRFNfTUlELjIzLzA3LzI2AQAAAFM/fQECAAAABzEwLjI5MzgAJGdlXdvr3ghvMXsK3eveCCNDSVEuSVFUNDYyMTY5ODYuSVFfQ0RTX01JRC4yMy8wNy8yNgEAAADORDgBAwAAAAAAg49lXdvr3giEnHsK3eveCCRDSVEuSVFUMjU0OTU1MjMzLklRX0NEU19NSUQuMjMvMDcvMjYBAAAAOVYKAAIAAAAHNDMuNTgyMgB9tmVd2+veCKBlfArd694II0NJUS5JUVQ0NjE5NjIyNS5JUV9DRFNfTUlELjI3LzA0LzI2AQAAAL5VowECAAAABzE3LjkzNzUAJGdlXdvr3ggqFoUK3eveCCNDSVEuSVFUNTEwMjMyNjAuSVFfQ0RTX01JRC4yNy8wNC8yNgEAAACxEX8BAgAAAAYxNC4yNTUAg49lXdvr3gjGjIUK3eveCCNDSVEuSVFUNDYyMjQ3NDAuSVFfQ0RTX01JRC4yNy8wNC8yNgEAAADTcggAAgAAAAczNS4zNTcxAH22ZV3b694I1rOFCt3r3ggkQ0lRLklRVDMxMzMxNzM0NC5JUV9DRFNfTUlELjI3LzA0LzI2AQAAAPGsAQACAAAABzU2LjY5OTIAsvkjXdvr3gj9FoYK3eveCCNDSVEu</t>
  </si>
  <si>
    <t>SVFUNDYyMDAyNzYuSVFfQ0RTX01JRC4yMi8wNy8yNgEAAACWd3wBAgAAAAcyOS4yNzI5AIOPZV3b694IugN4Ct3r3ggjQ0lRLklRVDQ2MTk1NDkxLklRX0NEU19NSUQuMjIvMDcvMjYBAAAAaUoAAAIAAAAHNTQuOTYyOACDj2Vd2+veCKhleArd694II0NJUS5JUVQ3OTYzNDkwMS5JUV9DRFNfTUlELjIyLzA3LzI2AQAAAJwGEAACAAAABzQwLjk2NjUAfbZlXdvr3ghb+HkK3eveCCNDSVEuSVFUNDYyMDc1NzEuSVFfQ0RTX01JRC4yMS8wNy8yNgEAAABt7zUAAgAAAAczMC4wMDE4ACRnZV3b694IwGN9Ct3r3ggjQ0lRLklRVDQ2MjEzNDcyLklRX0NEU19NSUQuMjEvMDcvMjYBAAAAuVo4AAIAAAAHMTUuMDMxNQCDj2Vd2+veCCwofgrd694IJENJUS5JUVQyNjMyMTMxMzIuSVFfQ0RTX01JRC4yMS8wNy8yNgEAAADhmggAAgAAAAY1NS4xMjUAfbZlXdvr3gjmyH4K3eveCCNDSVEuSVFUNDYxOTQ5OTUuSVFfQ0RTX01JRC4yNy8wNy8yNQEAAABuEDEAAgAAAAIxNQAkZ2Vd2+veCMU+hgrd694II0NJUS5JUVQ0NjIyMjI5Mi5JUV9DRFNfTUlELjI3LzA3LzI1AQAAANGRmwECAAAACjE0Nzg3LjMyOTMAg49lXdvr3gjjtIYK3eveCCNDSVEuSVFUNDYyMjUwMDYuSVFfQ0RTX01JRC4yNy8wNy8yNQEAAAD4VQ0AAgAAAAc0MS41Njc2AH22ZV3b694Ip/OGCt3r3ggjQ0lRLklRVDQ2MjIwMzI5LklRX0NEU19NSUQuMjcv</t>
  </si>
  <si>
    <t>MDcvMjUBAAAA21sAAAIAAAAHNDQuNTMzNgCy+SNd2+veCEYbhwrd694II0NJUS5JUVQ0NjI2MjM3OC5JUV9DRFNfTUlELjE5LzA3LzI2AQAAAEDSiQECAAAABjE4LjM3NQCDj2Vd2+veCO0+fwrd694II0NJUS5JUVQ0NjE5NzY5NC5JUV9DRFNfTUlELjE5LzA3LzI2AQAAAAf6BQACAAAABzUzLjY2OTIAg49lXdvr3giml38K3eveCCNDSVEuSVFUNjIyNzAxMDcuSVFfQ0RTX01JRC4xOS8wNy8yNgEAAAAVWQAAAgAAAAc0MS4zMTI1AH22ZV3b694Ippd/Ct3r3ggjQ0lRLklRVDQ2MjA3MzA4LklRX0NEU19NSUQuMTgvMDcvMjYBAAAAOYl6AQIAAAAHMTQuNTYyNQAkZ2Vd2+veCCuhggrd694II0NJUS5JUVQ0NjIyNTM3NC5JUV9DRFNfTUlELjE4LzA3LzI2AQAAALXWBQACAAAABzM5LjAzNjcAfbZlXdvr3giFHYMK3eveCCNDSVEuSVFUNDYyMTQ4NzkuSVFfQ0RTX01JRC4xNy8wNy8yNgEAAAD1GjcAAgAAAAc1MC45MTM0AIOPZV3b694IKf1/Ct3r3ggjQ0lRLklRVDQ2NDcwODc3LklRX0NEU19NSUQuMTcvMDcvMjYBAAAAQjcHAAIAAAAGNTguMzE0AIOPZV3b694IKf1/Ct3r3ggjQ0lRLklRVDQ2MjE0OTU0LklRX0NEU19NSUQuMTYvMDcvMjYBAAAAOj05AQIAAAAGMTQuMzc1AIOPZV3b694I8MGACt3r3ggjQ0lRLklRVDQ2MjA4NjM0LklRX0NEU19NSUQuMTYvMDcvMjYBAAAAAx/CAAIAAAAHMjIuNDE4MwCD</t>
  </si>
  <si>
    <t>j2Vd2+veCPDBgArd694II0NJUS5JUVQ3OTYzOTk1My5JUV9DRFNfTUlELjEzLzA3LzI2AQAAADSbVgECAAAABjI0Ljg3OACDj2Vd2+veCLWfhArd694IJENJUS5JUVQ1Mjg5MzY4MTIuSVFfQ0RTX01JRC4xMy8wNy8yNgEAAABsWwYAAgAAAAc0Ni44NjQzAH22ZV3b694I/u2ECt3r3ggjQ0lRLklRVDUxMDIzNDgwLklRX0NEU19NSUQuMjQvMDcvMjYBAAAAwkXxAQIAAAAGNC42ODg1AIOPZV3b694IR5V6Ct3r3ggkQ0lRLklRVDMxMzMwNTg3OS5JUV9DRFNfTUlELjIzLzA3LzI2AQAAAITW3AECAAAABjIuMzMzNACDj2Vd2+veCEfJewrd694II0NJUS5JUVQ0NjIyNjEzMi5JUV9DRFNfTUlELjI3LzA0LzI2AQAAAN1ZAAACAAAABjQ0LjcwNQB9tmVd2+veCEbbhQrd694II0NJUS5JUVQ0NjIwMDMxNy5JUV9DRFNfTUlELjIyLzA3LzI2AQAAAP5UDQACAAAABzYxLjcxODQAsvkjXdvr3ghb+HkK3eveCCNDSVEuSVFUNDYxOTU0OTEuSVFfQ0RTX01JRC4xOS8wNy8yNgEAAABpSgAAAgAAAAc1NS42MTc2AIOPZV3b694Ippd/Ct3r3ggjQ0lRLklRVDYwMzg4MDU3LklRX0NEU19NSUQuMTMvMDcvMjYBAAAA38l9AQMAAAAAAIOPZV3b694ItZ+ECt3r3ggjQ0lRLklRVDQ2MjIwODAzLklRX0NEU19NSUQuMjAvMDcvMjYBAAAA1sk2AAIAAAAHNDMuMDI3NQCDj2Vd2+veCDG8cgrd694II0NJUS5JUVQ0NjIwMDM2NC5J</t>
  </si>
  <si>
    <t>UV9DRFNfTUlELjIwLzA3LzI2AQAAAFeGCAACAAAABDI1LjEAfbZlXdvr3gjDpnMK3eveCCNDSVEuSVFUNDYyMDQzMDAuSVFfQ0RTX01JRC4xNS8wNy8yNgEAAAD2JX0AAgAAAAY3LjAxNzEAJGdlXdvr3gjde4MK3eveCCNDSVEuSVFUNjAzODgwNTcuSVFfQ0RTX01JRC4xNS8wNy8yNgEAAADfyX0BAwAAAAAAg49lXdvr3ghkooMK3eveCCNDSVEuSVFUNDYxOTk4NDEuSVFfQ0RTX01JRC4xNS8wNy8yNgEAAADrMAYAAwAAAAAAfbZlXdvr3gjDFoQK3eveCCRDSVEuSVFUMzEzMzEwMTg0LklRX0NEU19NSUQuMTQvMDcvMjYBAAAAYEQ+AAIAAAAHMTEuMjEwMQAkZ2Vd2+veCIm1gQrd694II0NJUS5JUVQ0NjIxNDg3OS5JUV9DRFNfTUlELjE0LzA3LzI2AQAAAPUaNwACAAAABzUwLjUzNjYAg49lXdvr3giU4oEK3eveCCNDSVEuSVFUNDY0NzA4NzcuSVFfQ0RTX01JRC4xNC8wNy8yNgEAAABCNwcAAgAAAAc1Ni43NDExAIOPZV3b694IYCuCCt3r3ggkQ0lRLklRVDMxMzMxMDg1NC5JUV9DRFNfTUlELjE0LzA3LzI2AQAAAK9UDQACAAAABDYxLjUAsvkjXdvr3giWeYIK3eveCCNDSVEuSVFUNDYyMDM3MTQuSVFfQ0RTX01JRC4yNS8wNy8yNgEAAABfBTUAAgAAAAczMS43NTYzACRnZV3b694IU3h0Ct3r3ggjQ0lRLklRVDc5NjM5OTUzLklRX0NEU19NSUQuMjUvMDcvMjYBAAAANJtWAQIAAAAHMjQuODg3MQCDj2Vd</t>
  </si>
  <si>
    <t>2+veCEN2dQrd694IJENJUS5JUVQ1Mjg5MzY4MTIuSVFfQ0RTX01JRC4yNS8wNy8yNgEAAABsWwYAAgAAAAc0OC4yOTk3AH22ZV3b694Ih2B2Ct3r3ggjQ0lRLklRVDQ2MTk3MTM4LklRX0NEU19NSUQuMTcvMDcvMjYBAAAA7pQ4AQIAAAAIMTI1LjQ3MzIAJGdlXdvr3giml38K3eveCCNDSVEuSVFUNTEwMjM0ODAuSVFfQ0RTX01JRC4xNy8wNy8yNgEAAADCRfEBAgAAAAY0Ljc2MjcAg49lXdvr3ggp/X8K3eveCCNDSVEuSVFUNDYyMDQ5NTcuSVFfQ0RTX01JRC4xNy8wNy8yNgEAAAAhFQYAAgAAAAc1NS4yNjQxAIOPZV3b694IKf1/Ct3r3ggjQ0lRLklRVDYyMjcwMTA2LklRX0NEU19NSUQuMTcvMDcvMjYBAAAArXeDAAIAAAAHNzUuMjE4MQCy+SNd2+veCCn9fwrd694II0NJUS5JUVQ3OTY0MDAyNC5JUV9DRFNfTUlELjE2LzA3LzI2AQAAADWPmwECAAAABjcuODk2NwAkZ2Vd2+veCPDBgArd694IJENJUS5JUVQzMTMzMDU4NzkuSVFfQ0RTX01JRC4xNi8wNy8yNgEAAACE1twBAgAAAAYyLjMzMzQAg49lXdvr3gjwwYAK3eveCCNDSVEuSVFUNDYyMTAwMzIuSVFfQ0RTX01JRC4xOC8wNy8yNgEAAACPVaMBAgAAAAczNy4zMDUxAIOPZV3b694Im++CCt3r3ggkQ0lRLklRVDMxMzMxMDg1NC5JUV9DRFNfTUlELjE3LzA3LzI2AQAAAK9UDQACAAAABzYxLjE2NjcAsvkjXdvr3ggp/X8K3eveCCNDSVEuSVFUNDYy</t>
  </si>
  <si>
    <t>MjUwODMuSVFfQ0RTX01JRC4xNi8wNy8yNgEAAABWRAYAAgAAAAQzNy4xAH22ZV3b694I8MGACt3r3ggjQ0lRLklRVDQ2MjAzNzE0LklRX0NEU19NSUQuMTMvMDcvMjYBAAAAXwU1AAIAAAAHMzAuODU4MQAkZ2Vd2+veCOJkhArd694II0NJUS5JUVQ0NjE5NzEzOC5JUV9DRFNfTUlELjI0LzA3LzI2AQAAAO6UOAECAAAABzEyNC4zNTYAJGdlXdvr3gg+R3oK3eveCCNDSVEuSVFUNDYyMDQ5NTcuSVFfQ0RTX01JRC4yNC8wNy8yNgEAAAAhFQYAAgAAAAc1NS44MjM3AIOPZV3b694IW+N6Ct3r3ggjQ0lRLklRVDYyMjcwMTA2LklRX0NEU19NSUQuMjQvMDcvMjYBAAAArXeDAAIAAAAHNzUuMjEwMgCy+SNd2+veCHYKewrd694II0NJUS5JUVQ0NjIwMDQxMi5JUV9DRFNfTUlELjIzLzA3LzI2AQAAAGNDBgACAAAABzQ1LjkwNDQAfbZlXdvr3giVjHwK3eveCCRDSVEuSVFUMzEzMzEzNTI0LklRX0NEU19NSUQuMjcvMDQvMjYBAAAA71UNAAIAAAAHNTMuOTM5NwCy+SNd2+veCBgfhgrd694II0NJUS5JUVQ0NjIxODY3NC5JUV9DRFNfTUlELjIwLzA3LzI2AQAAAFfKNgACAAAACDEzMC4xMDk5AIOPZV3b694IMbxyCt3r3ggjQ0lRLklRVDQ2MjI1NzE1LklRX0NEU19NSUQuMjAvMDcvMjYBAAAAt+UEAAIAAAAHNDMuMzE1NAB9tmVd2+veCMOmcwrd694II0NJUS5JUVQ0NjIwNDg4NC5JUV9DRFNfTUlELjE1LzA3LzI2</t>
  </si>
  <si>
    <t>AQAAAIFRwAECAAAABzI5LjQzNzUAJGdlXdvr3gjde4MK3eveCCNDSVEuSVFUNDYyMDc3ODkuSVFfQ0RTX01JRC4xNS8wNy8yNgEAAAAqWKMBAgAAAAYyNi40MTEAg49lXdvr3ghkooMK3eveCCRDSVEuSVFUMjg2MDk2MTMxLklRX0NEU19NSUQuMTUvMDcvMjYBAAAAO/EEAAIAAAAHNjAuNjY0NAB9tmVd2+veCMMWhArd694II0NJUS5JUVQ0NjIxMDU2MC5JUV9DRFNfTUlELjE0LzA3LzI2AQAAAPYaNwACAAAABzg1LjQ0MzUAJGdlXdvr3giJtYEK3eveCCNDSVEuSVFUNDYyMTk5MjIuSVFfQ0RTX01JRC4xNC8wNy8yNgEAAADWRzkBAgAAAAQ3LjI1AIOPZV3b694IlOKBCt3r3ggjQ0lRLklRVDQ2MjIzNjQ2LklRX0NEU19NSUQuMTQvMDcvMjYBAAAAG3gEAAIAAAAHNDkuODUwMgCDj2Vd2+veCGArggrd694IJENJUS5JUVQzMTMzMTQ5NzYuSVFfQ0RTX01JRC4xNC8wNy8yNgEAAABtSgAAAgAAAAQ1Ni41ALL5I13b694IlnmCCt3r3ggjQ0lRLklRVDQ2MjA0MzAwLklRX0NEU19NSUQuMjUvMDcvMjYBAAAA9iV9AAIAAAAGNy4wMjYxACRnZV3b694IU3h0Ct3r3ggjQ0lRLklRVDYwMzg4MDU3LklRX0NEU19NSUQuMjUvMDcvMjYBAAAA38l9AQMAAAAAAIOPZV3b694IU511Ct3r3ggjQ0lRLklRVDQ2MTk5ODQxLklRX0NEU19NSUQuMjUvMDcvMjYBAAAA6zAGAAMAAAAAAH22ZV3b694Ih2B2Ct3r3ggkQ0lRLklR</t>
  </si>
  <si>
    <t>VDMxMzMxMDE4NC5JUV9DRFNfTUlELjE3LzA3LzI2AQAAAGBEPgACAAAABzExLjA5ODcAJGdlXdvr3giJ+n8K3eveCCNDSVEuSVFUNDYyMjUwODMuSVFfQ0RTX01JRC4yMS8wNy8yNgEAAABWRAYAAgAAAAQzNi41AH22ZV3b694I4+9+Ct3r3ggjQ0lRLklRVDQ2MjAzNzE0LklRX0NEU19NSUQuMjcvMDcvMjUBAAAAXwU1AAIAAAAHMzIuMTc4MQAkZ2Vd2+veCL1lhgrd694II0NJUS5JUVQ3OTYzOTk1My5JUV9DRFNfTUlELjI3LzA3LzI1AQAAADSbVgECAAAABzMzLjU2NzgAg49lXdvr3gjjtIYK3eveCCRDSVEuSVFUNTI4OTM2ODEyLklRX0NEU19NSUQuMjcvMDcvMjUBAAAAbFsGAAIAAAACNDcAfbZlXdvr3gin84YK3eveCCNDSVEuSVFUNDYxOTcxMzguSVFfQ0RTX01JRC4xOS8wNy8yNgEAAADulDgBAgAAAAgxMjUuNDczMgAkZ2Vd2+veCIEYfwrd694II0NJUS5JUVQ1MTAyMzQ4MC5JUV9DRFNfTUlELjE5LzA3LzI2AQAAAMJF8QECAAAABjQuNzYyNwCDj2Vd2+veCEdsfwrd694II0NJUS5JUVQ0NjIwNDk1Ny5JUV9DRFNfTUlELjE5LzA3LzI2AQAAACEVBgACAAAABzU1LjI2NDEAg49lXdvr3giml38K3eveCCNDSVEuSVFUNjIyNzAxMDYuSVFfQ0RTX01JRC4xOS8wNy8yNgEAAACtd4MAAgAAAAc3NS4yMTgxALL5I13b694Ippd/Ct3r3ggjQ0lRLklRVDc5NjQwMDI0LklRX0NEU19NSUQuMTgvMDcvMjYB</t>
  </si>
  <si>
    <t>AAAANY+bAQIAAAAGNy44MzMzACRnZV3b694I9saCCt3r3ggkQ0lRLklRVDMxMzMwNTg3OS5JUV9DRFNfTUlELjE4LzA3LzI2AQAAAITW3AECAAAABjIuMzMzNACDj2Vd2+veCJvvggrd694II0NJUS5JUVQ0NjIwMDQxMi5JUV9DRFNfTUlELjE4LzA3LzI2AQAAAGNDBgACAAAABzQ1LjgzMzMAfbZlXdvr3giFHYMK3eveCCNDSVEuSVFUNjAzODk1MTYuSVFfQ0RTX01JRC4xOC8wNy8yNgEAAACl8MMBAgAAAAY3LjI0NzcAg49lXdvr3gj2xoIK3eveCCRDSVEuSVFUMzEzMzE1NDI5LklRX0NEU19NSUQuMTgvMDcvMjYBAAAAOecFAAIAAAAHNjIuMTI4NgCy+SNd2+veCHdTgwrd694II0NJUS5JUVQ0NjIwMzcxNC5JUV9DRFNfTUlELjE2LzA3LzI2AQAAAF8FNQACAAAABTMxLjI1ACRnZV3b694I8MGACt3r3ggjQ0lRLklRVDc5NjM5OTUzLklRX0NEU19NSUQuMTYvMDcvMjYBAAAANJtWAQIAAAAHMjQuOTkwNgCDj2Vd2+veCPDBgArd694II0NJUS5JUVQ3OTY0MDAyNC5JUV9DRFNfTUlELjI0LzA3LzI2AQAAADWPmwECAAAABjcuODMzMwAkZ2Vd2+veCDhuegrd694II0NJUS5JUVQ0NjIwMDMxNy5JUV9DRFNfTUlELjI3LzA0LzI2AQAAAP5UDQACAAAABzY3LjkxNTMAsvkjXdvr3ghG24UK3eveCCNDSVEuSVFUNTEwMjMyNjAuSVFfQ0RTX01JRC4yMS8wNy8yNgEAAACxEX8BAgAAAAcxNC4wNjc5AIOPZV3b694I</t>
  </si>
  <si>
    <t>tAB+Ct3r3ggjQ0lRLklRVDQ2MTk1NDkxLklRX0NEU19NSUQuMjcvMDcvMjUBAAAAaUoAAAIAAAAHNTIuOTExNACDj2Vd2+veCOO0hgrd694II0NJUS5JUVQ0NjE5NDk5NS5JUV9DRFNfTUlELjE4LzA3LzI2AQAAAG4QMQACAAAABTEwLjk4ACRnZV3b694IK6GCCt3r3ggjQ0lRLklRVDQ2MjI1MDA2LklRX0NEU19NSUQuMTgvMDcvMjYBAAAA+FUNAAIAAAAHNDMuNTQ4OAB9tmVd2+veCIUdgwrd694IJENJUS5JUVQ1Mjg5MzY4MTIuSVFfQ0RTX01JRC4yMy8wNy8yNgEAAABsWwYAAgAAAAc0OC4wNzE0AH22ZV3b694Idj58Ct3r3ggjQ0lRLklRVDc5NjQwMDI0LklRX0NEU19NSUQuMjIvMDcvMjYBAAAANY+bAQIAAAADNy44ACRnZV3b694IugN4Ct3r3ggjQ0lRLklRVDQ2MjAwNDEyLklRX0NEU19NSUQuMjIvMDcvMjYBAAAAY0MGAAIAAAAFNDQuNzUAfbZlXdvr3gioZXgK3eveCCNDSVEuSVFUNDYyMjYxMzIuSVFfQ0RTX01JRC4yMS8wNy8yNgEAAADdWQAAAgAAAAU0NC43NAB9tmVd2+veCHiifgrd694IJENJUS5JUVQzMTMzMTM1MjQuSVFfQ0RTX01JRC4yMS8wNy8yNgEAAADvVQ0AAgAAAAc1OS45NjkzALL5I13b694IgRh/Ct3r3ggjQ0lRLklRVDQ2MTk3Njk0LklRX0NEU19NSUQuMjAvMDcvMjYBAAAAB/oFAAIAAAAGNTMuMTQ4AIOPZV3b694IYONyCt3r3ggjQ0lRLklRVDYyMjcwMTA3LklRX0NEU19N</t>
  </si>
  <si>
    <t>SUQuMjAvMDcvMjYBAAAAFVkAAAIAAAAHNDEuNjU3NwB9tmVd2+veCMOmcwrd694II0NJUS5JUVQ0NjIwNzMwOC5JUV9DRFNfTUlELjE1LzA3LzI2AQAAADmJegECAAAABzE0LjU2MjUAJGdlXdvr3gjde4MK3eveCCNDSVEuSVFUNDYyMTAwMzIuSVFfQ0RTX01JRC4xNS8wNy8yNgEAAACPVaMBAgAAAAUzNi45MwCDj2Vd2+veCGSigwrd694II0NJUS5JUVQ0NjIyNTM3NC5JUV9DRFNfTUlELjE1LzA3LzI2AQAAALXWBQACAAAABzM4LjUwMTUAfbZlXdvr3gjDFoQK3eveCCNDSVEuSVFUNDk3NTExOTYuSVFfQ0RTX01JRC4xNC8wNy8yNgEAAADNmb0AAgAAAAU0MS43NQAkZ2Vd2+veCIm1gQrd694II0NJUS5JUVQ2MDM4OTUxNi5JUV9DRFNfTUlELjE0LzA3LzI2AQAAAKXwwwECAAAABjcuMjQ5MQCDj2Vd2+veCJTigQrd694IJENJUS5JUVQzMjM2ODAxMzAuSVFfQ0RTX01JRC4xNC8wNy8yNgEAAABx4QIAAgAAAAc1Mi40OTUzAIOPZV3b694IYCuCCt3r3ggjQ0lRLklRVDQ2MjI2MTMyLklRX0NEU19NSUQuMTgvMDcvMjYBAAAA3VkAAAIAAAAHNDMuODgxMQB9tmVd2+veCIUdgwrd694II0NJUS5JUVQ0NjIyNTcxNS5JUV9DRFNfTUlELjI0LzA3LzI2AQAAALflBAACAAAABzQzLjQ2MTUAfbZlXdvr3gh2CnsK3eveCCNDSVEuSVFUNDYyMTk5MjIuSVFfQ0RTX01JRC4yNy8wNC8yNgEAAADWRzkBAgAAAAY4LjA4</t>
  </si>
  <si>
    <t>MzMAg49lXdvr3gi1ZYUK3eveCCNDSVEuSVFUNDY0NzA4NzcuSVFfQ0RTX01JRC4yNy8wNy8yNQEAAABCNwcAAgAAAAc1NC41MjQyAIOPZV3b694IlvCGCt3r3ggjQ0lRLklRVDQ2MjA3ODcyLklRX0NEU19NSUQuMjAvMDcvMjYBAAAAWA0KAAIAAAAHNDAuODAwNgCDj2Vd2+veCGDjcgrd694II0NJUS5JUVQ0NjIwMDMxNy5JUV9DRFNfTUlELjIwLzA3LzI2AQAAAP5UDQACAAAABzYyLjE2NTgAsvkjXdvr3gig1HMK3eveCCRDSVEuSVFUNjQ0NzAxNzk3LklRX0NEU19NSUQuMTUvMDcvMjYBAAAAUz99AQIAAAAHMTAuNjIzOAAkZ2Vd2+veCN17gwrd694II0NJUS5JUVQ0NjIxNjk4Ni5JUV9DRFNfTUlELjE1LzA3LzI2AQAAAM5EOAEDAAAAAACDj2Vd2+veCGHJgwrd694IJENJUS5JUVQyNTQ5NTUyMzMuSVFfQ0RTX01JRC4xNS8wNy8yNgEAAAA5VgoAAgAAAAY0My4xMjUAfbZlXdvr3gjDFoQK3eveCCNDSVEuSVFUNDYxOTYyMjUuSVFfQ0RTX01JRC4xNC8wNy8yNgEAAAC+VaMBAgAAAAYxNy4zNzUAJGdlXdvr3giJtYEK3eveCCNDSVEuSVFUNTEwMjMyNjAuSVFfQ0RTX01JRC4xNC8wNy8yNgEAAACxEX8BAgAAAAIxNACDj2Vd2+veCHsEggrd694II0NJUS5JUVQ0NjIyNDc0MC5JUV9DRFNfTUlELjE0LzA3LzI2AQAAANNyCAACAAAABDM0LjEAfbZlXdvr3ghgK4IK3eveCCRDSVEuSVFUMzEzMzE3MzQ0LklR</t>
  </si>
  <si>
    <t>X0NEU19NSUQuMTQvMDcvMjYBAAAA8awBAAIAAAAGNjAuNTA2ALL5I13b694IlnmCCt3r3ggjQ0lRLklRVDQ2MjA3NTcxLklRX0NEU19NSUQuMjUvMDcvMjYBAAAAbe81AAIAAAAEMzAuNQAkZ2Vd2+veCFafdArd694II0NJUS5JUVQ0NjIxMzQ3Mi5JUV9DRFNfTUlELjI1LzA3LzI2AQAAALlaOAACAAAABjE1LjQxMgCDj2Vd2+veCFHEdQrd694IJENJUS5JUVQyNjMyMTMxMzIuSVFfQ0RTX01JRC4yNS8wNy8yNgEAAADhmggAAgAAAAc1Ni41MzkxAH22ZV3b694ImYd2Ct3r3ggjQ0lRLklRVDQ2MTk0OTk1LklRX0NEU19NSUQuMTcvMDcvMjYBAAAAbhAxAAIAAAAFMTAuOTgAJGdlXdvr3ggp/X8K3eveCCNDSVEuSVFUNDYyMjIyOTIuSVFfQ0RTX01JRC4xNy8wNy8yNgEAAADRkZsBAgAAAAg3NjAuODE0OACDj2Vd2+veCCn9fwrd694II0NJUS5JUVQ0NjIyNTAwNi5JUV9DRFNfTUlELjE3LzA3LzI2AQAAAPhVDQACAAAABzQzLjU0ODgAfbZlXdvr3ggp/X8K3eveCCNDSVEuSVFUNDYyMjAzMjkuSVFfQ0RTX01JRC4xNy8wNy8yNgEAAADbWwAAAgAAAAI1NgCy+SNd2+veCPDBgArd694II0NJUS5JUVQ0NjI2MjM3OC5JUV9DRFNfTUlELjE2LzA3LzI2AQAAAEDSiQECAAAABDE4LjQAg49lXdvr3gjwwYAK3eveCCNDSVEuSVFUNDYxOTc2OTQuSVFfQ0RTX01JRC4xNi8wNy8yNgEAAAAH+gUAAgAAAAc1My4xOTY3</t>
  </si>
  <si>
    <t>AIOPZV3b694I8MGACt3r3ggjQ0lRLklRVDYyMjcwMTA3LklRX0NEU19NSUQuMTYvMDcvMjYBAAAAFVkAAAIAAAAHNDEuMzMwOQB9tmVd2+veCPDBgArd694II0NJUS5JUVQ0NjIwNzMwOC5JUV9DRFNfTUlELjEzLzA3LzI2AQAAADmJegECAAAABzE0LjMzMzMAJGdlXdvr3gjiZIQK3eveCCNDSVEuSVFUNDYyMTAwMzIuSVFfQ0RTX01JRC4xMy8wNy8yNgEAAACPVaMBAgAAAAczNi44ODczAIOPZV3b694ItZ+ECt3r3ggjQ0lRLklRVDQ2MjI1Mzc0LklRX0NEU19NSUQuMTMvMDcvMjYBAAAAtdYFAAIAAAAFMzguNDYAfbZlXdvr3gj+7YQK3eveCCNDSVEuSVFUNDk3NTExOTYuSVFfQ0RTX01JRC4yNC8wNy8yNgEAAADNmb0AAgAAAAc0MC41NzA2ACRnZV3b694IPkd6Ct3r3ggjQ0lRLklRVDYwMzg5NTE2LklRX0NEU19NSUQuMjQvMDcvMjYBAAAApfDDAQIAAAAGNy4yNDcxAIOPZV3b694IR5V6Ct3r3ggkQ0lRLklRVDMyMzY4MDEzMC5JUV9DRFNfTUlELjI0LzA3LzI2AQAAAHHhAgACAAAABzUyLjQ5MzgAg49lXdvr3ghb43oK3eveCCRDSVEuSVFUMzEzMzE1NDI5LklRX0NEU19NSUQuMjQvMDcvMjYBAAAAOecFAAIAAAAHNjIuNTA2NwCy+SNd2+veCHYKewrd694II0NJUS5JUVQ0NjIwNjc3OS5JUV9DRFNfTUlELjIzLzA3LzI2AQAAAPzvNgACAAAABzE2LjMzMzMAg49lXdvr3ggqbHsK3eveCCNDSVEuSVFU</t>
  </si>
  <si>
    <t>NDYyMTg2NzQuSVFfQ0RTX01JRC4yMy8wNy8yNgEAAABXyjYAAgAAAAgxMzMuNjEwOACDj2Vd2+veCEfJewrd694II0NJUS5JUVQ0NjIyNTcxNS5JUV9DRFNfTUlELjIzLzA3LzI2AQAAALflBAACAAAABzQzLjQ0MDcAfbZlXdvr3gins3wK3eveCCNDSVEuSVFUNDYyMDQ4ODQuSVFfQ0RTX01JRC4yNy8wNC8yNgEAAACBUcABAgAAAAczMS4xNjMzACRnZV3b694Irj6FCt3r3ggjQ0lRLklRVDQ2MjA3Nzg5LklRX0NEU19NSUQuMjcvMDQvMjYBAAAAKlijAQIAAAAHMjcuMTU4MwCDj2Vd2+veCMaMhQrd694IJENJUS5JUVQyODYwOTYxMzEuSVFfQ0RTX01JRC4yNy8wNC8yNgEAAAA78QQAAgAAAAc2OS44NzI5AH22ZV3b694IRtuFCt3r3ggjQ0lRLklRVDQ2MjEwNTYwLklRX0NEU19NSUQuMjIvMDcvMjYBAAAA9ho3AAIAAAAHODUuODc0NwAkZ2Vd2+veCAxfdwrd694II0NJUS5JUVQ0NjIxOTkyMi5JUV9DRFNfTUlELjIyLzA3LzI2AQAAANZHOQECAAAABTYuNzAzAIOPZV3b694IqGV4Ct3r3ggjQ0lRLklRVDQ2MjIzNjQ2LklRX0NEU19NSUQuMjIvMDcvMjYBAAAAG3gEAAIAAAAHNDkuMTMzOACDj2Vd2+veCKhleArd694IJENJUS5JUVQzMTMzMTQ5NzYuSVFfQ0RTX01JRC4yMi8wNy8yNgEAAABtSgAAAgAAAAc1OC4xNjY2ALL5I13b694IyR96Ct3r3ggjQ0lRLklRVDQ2MjE4NTE2LklRX0NEU19NSUQuMjEv</t>
  </si>
  <si>
    <t>MDcvMjYBAAAAplWjAQIAAAAHMzUuMjQ4MgCDj2Vd2+veCNGKfQrd694II0NJUS5JUVQ0NjIyMDgwMy5JUV9DRFNfTUlELjIxLzA3LzI2AQAAANbJNgACAAAABzQyLjYzMjYAg49lXdvr3ghZT34K3eveCCNDSVEuSVFUNDYyMDAzNjQuSVFfQ0RTX01JRC4yMS8wNy8yNgEAAABXhggAAgAAAAYyNS4wNzUAfbZlXdvr3gjj734K3eveCCNDSVEuSVFUNDYyMDQzMDAuSVFfQ0RTX01JRC4yNy8wNy8yNQEAAAD2JX0AAgAAAAY4LjMzMzMAJGdlXdvr3gi9ZYYK3eveCCNDSVEuSVFUNjAzODgwNTcuSVFfQ0RTX01JRC4yNy8wNy8yNQEAAADfyX0BAgAAAAc0Ni40ODY1AIOPZV3b694I47SGCt3r3ggjQ0lRLklRVDQ2MTk5ODQxLklRX0NEU19NSUQuMjcvMDcvMjUBAAAA6zAGAAMAAAAAAH22ZV3b694Ip/OGCt3r3ggkQ0lRLklRVDMxMzMxMDE4NC5JUV9DRFNfTUlELjE5LzA3LzI2AQAAAGBEPgACAAAABzExLjA5ODcAJGdlXdvr3giBGH8K3eveCCNDSVEuSVFUNDYyMTQ4NzkuSVFfQ0RTX01JRC4xOS8wNy8yNgEAAAD1GjcAAgAAAAc1MC45MTM0AIOPZV3b694IR2x/Ct3r3ggjQ0lRLklRVDQ2NDcwODc3LklRX0NEU19NSUQuMTkvMDcvMjYBAAAAQjcHAAIAAAAGNTguMzE0AIOPZV3b694Ippd/Ct3r3ggkQ0lRLklRVDMxMzMxMDg1NC5JUV9DRFNfTUlELjE5LzA3LzI2AQAAAK9UDQACAAAABzYxLjE2NjcAsvkjXdvr</t>
  </si>
  <si>
    <t>3giml38K3eveCCNDSVEuSVFUNDYyMTQ5NTQuSVFfQ0RTX01JRC4xOC8wNy8yNgEAAAA6PTkBAgAAAAQxNC40AIOPZV3b694I9saCCt3r3ggjQ0lRLklRVDQ2MjA4NjM0LklRX0NEU19NSUQuMTgvMDcvMjYBAAAAAx/CAAIAAAAGMjIuODI1AIOPZV3b694Im++CCt3r3ggjQ0lRLklRVDQ2MjI1MDgzLklRX0NEU19NSUQuMTgvMDcvMjYBAAAAVkQGAAIAAAAEMzYuNQB9tmVd2+veCPtFgwrd694II0NJUS5JUVQ0NjIwNzc4OS5JUV9DRFNfTUlELjI3LzA3LzI1AQAAACpYowECAAAABjIxLjA3MQCDj2Vd2+veCOO0hgrd694IJENJUS5JUVQyODYwOTYxMzEuSVFfQ0RTX01JRC4yNy8wNy8yNQEAAAA78QQAAgAAAAc2MS45MjQ0AH22ZV3b694Ip/OGCt3r3ggjQ0lRLklRVDQ2MjEwNTYwLklRX0NEU19NSUQuMTkvMDcvMjYBAAAA9ho3AAIAAAAHODYuOTU0MQAkZ2Vd2+veCIEYfwrd694II0NJUS5JUVQ0NjIxOTkyMi5JUV9DRFNfTUlELjE5LzA3LzI2AQAAANZHOQECAAAABDcuMjUAg49lXdvr3ghHbH8K3eveCCNDSVEuSVFUNDYyMjM2NDYuSVFfQ0RTX01JRC4xOS8wNy8yNgEAAAAbeAQAAgAAAAc0OS43NjY0AIOPZV3b694Ippd/Ct3r3ggjQ0lRLklRVDQ2MjE4NTE2LklRX0NEU19NSUQuMTgvMDcvMjYBAAAAplWjAQIAAAAHMzUuNDE3MgCDj2Vd2+veCPbGggrd694II0NJUS5JUVQ0NjIyMDgwMy5JUV9DRFNf</t>
  </si>
  <si>
    <t>TUlELjE4LzA3LzI2AQAAANbJNgACAAAABzQyLjUwMDUAg49lXdvr3gib74IK3eveCCNDSVEuSVFUNDYyMDAzNjQuSVFfQ0RTX01JRC4xOC8wNy8yNgEAAABXhggAAgAAAAUyNS4xNgB9tmVd2+veCPtFgwrd694II0NJUS5JUVQ0NjI2MjM3OC5JUV9DRFNfTUlELjIxLzA3LzI2AQAAAEDSiQECAAAABjE4LjA2NgCDj2Vd2+veCN+xfQrd694II0NJUS5JUVQ2MjI3MDEwNy5JUV9DRFNfTUlELjIxLzA3LzI2AQAAABVZAAACAAAABzQxLjMzOTUAfbZlXdvr3gjj734K3eveCCNDSVEuSVFUNDYyMjUzNzQuSVFfQ0RTX01JRC4yNy8wNy8yNQEAAAC11gUAAgAAAAc0Ny43NjI1AH22ZV3b694Ip/OGCt3r3ggkQ0lRLklRVDMxMzMxNTQyOS5JUV9DRFNfTUlELjE5LzA3LzI2AQAAADnnBQACAAAABzYyLjEyODYAsvkjXdvr3giml38K3eveCCNDSVEuSVFUNDYyMDY3NzkuSVFfQ0RTX01JRC4xOC8wNy8yNgEAAAD87zYAAgAAAAQxNi41AIOPZV3b694I9saCCt3r3ggjQ0lRLklRVDQ2MjI1NzE1LklRX0NEU19NSUQuMTgvMDcvMjYBAAAAt+UEAAIAAAAHNDMuNDMzOQB9tmVd2+veCPtFgwrd694II0NJUS5JUVQ0NjIyMjI5Mi5JUV9DRFNfTUlELjE5LzA3LzI2AQAAANGRmwECAAAACDc2MC44MTQ4AIOPZV3b694IR2x/Ct3r3ggjQ0lRLklRVDQ2MjYyMzc4LklRX0NEU19NSUQuMTgvMDcvMjYBAAAAQNKJAQIAAAAGMTgu</t>
  </si>
  <si>
    <t>Mzc1AIOPZV3b694I9saCCt3r3ggjQ0lRLklRVDQ2MTk3Njk0LklRX0NEU19NSUQuMTgvMDcvMjYBAAAAB/oFAAIAAAAHNTMuNjY5MgCDj2Vd2+veCJvvggrd694II0NJUS5JUVQ2MjI3MDEwNy5JUV9DRFNfTUlELjE4LzA3LzI2AQAAABVZAAACAAAABzQxLjMxMjUAfbZlXdvr3gj7RYMK3eveCCNDSVEuSVFUNDYyMDAyNzYuSVFfQ0RTX01JRC4xOC8wNy8yNgEAAACWd3wBAgAAAAcyOS41MTAzAIOPZV3b694I9saCCt3r3ggjQ0lRLklRVDQ2MjA3Nzg5LklRX0NEU19NSUQuMjIvMDcvMjYBAAAAKlijAQIAAAAHMjYuOTE5NwCDj2Vd2+veCKhleArd694II0NJUS5JUVQ0NjIxMDU2MC5JUV9DRFNfTUlELjIxLzA3LzI2AQAAAPYaNwACAAAABzg1LjY1NzcAJGdlXdvr3girFX0K3eveCCRDSVEuSVFUMzEzMzE0OTc2LklRX0NEU19NSUQuMjEvMDcvMjYBAAAAbUoAAAIAAAAHNTcuODM0MQCy+SNd2+veCIEYfwrd694II0NJUS5JUVQ0NjIwNzc4OS5JUV9DRFNfTUlELjE5LzA3LzI2AQAAACpYowECAAAABzI2LjY4NzkAg49lXdvr3ghHbH8K3eveCCNDSVEuSVFUNTEwMjMyNjAuSVFfQ0RTX01JRC4yMy8wNy8yNgEAAACxEX8BAgAAAAYxNC4zMjQAg49lXdvr3gi5bnsK3eveCCNDSVEuSVFUNDYyMDQ5NTcuSVFfQ0RTX01JRC4xMy8wNy8yNgEAAAAhFQYAAgAAAAc1NC4xMjYyAIOPZV3b694I9MaECt3r3ggjQ0lR</t>
  </si>
  <si>
    <t>LklRVDQ2MjAwNDEyLklRX0NEU19NSUQuMjQvMDcvMjYBAAAAY0MGAAIAAAAHNDYuMzQ0OQB9tmVd2+veCHYKewrd694IJENJUS5JUVQzMTMzMTM1MjQuSVFfQ0RTX01JRC4yMy8wNy8yNgEAAADvVQ0AAgAAAAc2MC41MTkyALL5I13b694IqxV9Ct3r3ggkQ0lRLklRVDY0NDcwMTc5Ny5JUV9DRFNfTUlELjIyLzA3LzI2AQAAAFM/fQECAAAABzEwLjIwOTQAJGdlXdvr3gibAHgK3eveCCNDSVEuSVFUNDYxOTYyMjUuSVFfQ0RTX01JRC4yMS8wNy8yNgEAAAC+VaMBAgAAAAYxNy4zNzUAJGdlXdvr3gi8PH0K3eveCCNDSVEuSVFUNDYyMDAyNzYuSVFfQ0RTX01JRC4yNy8wNy8yNQEAAACWd3wBAgAAAAcyNS43NDUzAIOPZV3b694IQ46GCt3r3ggkQ0lRLklRVDI2MzIxMzEzMi5JUV9DRFNfTUlELjE5LzA3LzI2AQAAAOGaCAACAAAABzU1Ljg3OTQAfbZlXdvr3giml38K3eveCCNDSVEuSVFUNDYyMjAzMjkuSVFfQ0RTX01JRC4xOC8wNy8yNgEAAADbWwAAAgAAAAI1NgCy+SNd2+veCHdTgwrd694II0NJUS5JUVQ3OTYzOTk1My5JUV9DRFNfTUlELjIzLzA3LzI2AQAAADSbVgECAAAABzI0LjkwNjMAg49lXdvr3gi5bnsK3eveCCNDSVEuSVFUNTEwMjM0ODAuSVFfQ0RTX01JRC4yNy8wNC8yNgEAAADCRfEBAgAAAAY1LjcyMDQAg49lXdvr3gi1ZYUK3eveCCNDSVEuSVFUNDYyMDQ5NTcuSVFfQ0RTX01JRC4yNy8w</t>
  </si>
  <si>
    <t>NC8yNgEAAAAhFQYAAgAAAAQ1OC4xAIOPZV3b694I1rOFCt3r3ggkQ0lRLklRVDMxMzMxNTQyOS5JUV9DRFNfTUlELjE0LzA3LzI2AQAAADnnBQACAAAABzYyLjUwMTMAsvkjXdvr3giWeYIK3eveCCNDSVEuSVFUNDYyMDQ4ODQuSVFfQ0RTX01JRC4yNS8wNy8yNgEAAACBUcABAgAAAAcyOS44MzMzACRnZV3b694IU3h0Ct3r3ggjQ0lRLklRVDQ2MjA3Nzg5LklRX0NEU19NSUQuMjUvMDcvMjYBAAAAKlijAQIAAAAHMjcuMTEyMwCDj2Vd2+veCFOddQrd694IJENJUS5JUVQyODYwOTYxMzEuSVFfQ0RTX01JRC4yNS8wNy8yNgEAAAA78QQAAgAAAAc2MC45MDQ3AH22ZV3b694ImYd2Ct3r3ggjQ0lRLklRVDQ2MjEwNTYwLklRX0NEU19NSUQuMTcvMDcvMjYBAAAA9ho3AAIAAAAHODYuOTU0MQAkZ2Vd2+veCCn9fwrd694II0NJUS5JUVQ0NjIxOTkyMi5JUV9DRFNfTUlELjE3LzA3LzI2AQAAANZHOQECAAAABDcuMjUAg49lXdvr3ggp/X8K3eveCCNDSVEuSVFUNDYyMjM2NDYuSVFfQ0RTX01JRC4xNy8wNy8yNgEAAAAbeAQAAgAAAAc0OS43NjY0AIOPZV3b694IKf1/Ct3r3ggkQ0lRLklRVDMxMzMxNDk3Ni5JUV9DRFNfTUlELjE3LzA3LzI2AQAAAG1KAAACAAAABzU3LjgzNjQAsvkjXdvr3ggp/X8K3eveCCNDSVEuSVFUNDYyMTg1MTYuSVFfQ0RTX01JRC4xNi8wNy8yNgEAAACmVaMBAgAAAAczNi4wNTQ1AIOP</t>
  </si>
  <si>
    <t>ZV3b694I8MGACt3r3ggjQ0lRLklRVDQ2MjIwODAzLklRX0NEU19NSUQuMTYvMDcvMjYBAAAA1sk2AAIAAAAHNDEuODEyNQCDj2Vd2+veCPDBgArd694II0NJUS5JUVQ0NjIwMDM2NC5JUV9DRFNfTUlELjE2LzA3LzI2AQAAAFeGCAACAAAAAjI1AH22ZV3b694I8MGACt3r3ggjQ0lRLklRVDQ2MjA0MzAwLklRX0NEU19NSUQuMTMvMDcvMjYBAAAA9iV9AAIAAAAGNy4wMDA1ACRnZV3b694I4mSECt3r3ggjQ0lRLklRVDQ2NDcwODc3LklRX0NEU19NSUQuMjQvMDcvMjYBAAAAQjcHAAIAAAAHNTkuNDE4NgCDj2Vd2+veCFvjegrd694II0NJUS5JUVQ0NjIwMDQxMi5JUV9DRFNfTUlELjIxLzA3LzI2AQAAAGNDBgACAAAABzQ0Ljg1MTMAfbZlXdvr3gjmyH4K3eveCCNDSVEuSVFUNDYyMjYxMzIuSVFfQ0RTX01JRC4yNy8wNy8yNQEAAADdWQAAAgAAAAc0Ni4wMzQ3AH22ZV3b694Ip/OGCt3r3ggkQ0lRLklRVDY0NDcwMTc5Ny5JUV9DRFNfTUlELjE4LzA3LzI2AQAAAFM/fQECAAAABzEwLjM4MTcAJGdlXdvr3gj2xoIK3eveCCNDSVEuSVFUNDYyMDAyNzYuSVFfQ0RTX01JRC4yMC8wNy8yNgEAAACWd3wBAgAAAAcyOS4zNjY1AIOPZV3b694IbshwCt3r3ggjQ0lRLklRVDQ2MTk1NDkxLklRX0NEU19NSUQuMjAvMDcvMjYBAAAAaUoAAAIAAAAHNTUuNDMxOACDj2Vd2+veCGDjcgrd694II0NJUS5JUVQ3OTYzNDkw</t>
  </si>
  <si>
    <t>MS5JUV9DRFNfTUlELjIwLzA3LzI2AQAAAJwGEAACAAAABzQxLjAzOTIAfbZlXdvr3gig1HMK3eveCCNDSVEuSVFUNDYyMDc1NzEuSVFfQ0RTX01JRC4xNS8wNy8yNgEAAABt7zUAAgAAAAUyOS44NQAkZ2Vd2+veCN17gwrd694II0NJUS5JUVQ0NjIxMzQ3Mi5JUV9DRFNfTUlELjE1LzA3LzI2AQAAALlaOAACAAAAAjE1AIOPZV3b694IZKKDCt3r3ggkQ0lRLklRVDI2MzIxMzEzMi5JUV9DRFNfTUlELjE1LzA3LzI2AQAAAOGaCAACAAAABzU1LjEyNjcAfbZlXdvr3gjDFoQK3eveCCNDSVEuSVFUNDYxOTQ5OTUuSVFfQ0RTX01JRC4xNC8wNy8yNgEAAABuEDEAAgAAAAIxMQAkZ2Vd2+veCIm1gQrd694II0NJUS5JUVQ0NjIyMjI5Mi5JUV9DRFNfTUlELjE0LzA3LzI2AQAAANGRmwECAAAABzc2MS42NjQAg49lXdvr3giU4oEK3eveCCNDSVEuSVFUNDYyMjUwMDYuSVFfQ0RTX01JRC4xNC8wNy8yNgEAAAD4VQ0AAgAAAAc0Mi4xNjIxAH22ZV3b694IYCuCCt3r3ggjQ0lRLklRVDQ2MjIwMzI5LklRX0NEU19NSUQuMTQvMDcvMjYBAAAA21sAAAIAAAAENTYuNQCy+SNd2+veCJZ5ggrd694II0NJUS5JUVQ0NjIwNzMwOC5JUV9DRFNfTUlELjI1LzA3LzI2AQAAADmJegECAAAABzE0LjU2MjUAJGdlXdvr3ghWn3QK3eveCCNDSVEuSVFUNDYyMTAwMzIuSVFfQ0RTX01JRC4yNS8wNy8yNgEAAACPVaMBAgAAAAczOC4x</t>
  </si>
  <si>
    <t>OTQ1AIOPZV3b694IU511Ct3r3ggjQ0lRLklRVDQ2MjI1Mzc0LklRX0NEU19NSUQuMjUvMDcvMjYBAAAAtdYFAAIAAAAHMzkuNTU0NAB9tmVd2+veCJmHdgrd694II0NJUS5JUVQ0OTc1MTE5Ni5JUV9DRFNfTUlELjE3LzA3LzI2AQAAAM2ZvQACAAAABzQxLjgzMzMAJGdlXdvr3ggp/X8K3eveCCNDSVEuSVFUNjAzODk1MTYuSVFfQ0RTX01JRC4xNy8wNy8yNgEAAACl8MMBAgAAAAY3LjI0NzcAg49lXdvr3ggp/X8K3eveCCRDSVEuSVFUMzIzNjgwMTMwLklRX0NEU19NSUQuMTcvMDcvMjYBAAAAceECAAIAAAAHNTEuNDQ3OACDj2Vd2+veCCn9fwrd694IJENJUS5JUVQzMTMzMTU0MjkuSVFfQ0RTX01JRC4xNy8wNy8yNgEAAAA55wUAAgAAAAc2Mi4xMjg2ALL5I13b694IKf1/Ct3r3ggjQ0lRLklRVDQ2MjA2Nzc5LklRX0NEU19NSUQuMTYvMDcvMjYBAAAA/O82AAIAAAAEMTYuNQCDj2Vd2+veCPDBgArd694II0NJUS5JUVQ0NjIxODY3NC5JUV9DRFNfTUlELjE2LzA3LzI2AQAAAFfKNgACAAAABjEyNS42NACDj2Vd2+veCPDBgArd694II0NJUS5JUVQ0NjIyNTcxNS5JUV9DRFNfTUlELjE2LzA3LzI2AQAAALflBAACAAAABzQzLjM5MjEAfbZlXdvr3gjwwYAK3eveCCNDSVEuSVFUNDYyMDQ4ODQuSVFfQ0RTX01JRC4xMy8wNy8yNgEAAACBUcABAgAAAAcyOS4xODI3ACRnZV3b694I4mSECt3r3ggjQ0lRLklR</t>
  </si>
  <si>
    <t>VDQ2MjA3Nzg5LklRX0NEU19NSUQuMTMvMDcvMjYBAAAAKlijAQIAAAAHMjYuNjc5MQCDj2Vd2+veCLWfhArd694IJENJUS5JUVQyODYwOTYxMzEuSVFfQ0RTX01JRC4xMy8wNy8yNgEAAAA78QQAAgAAAAc2MC43MDMzAH22ZV3b694I/u2ECt3r3gg=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</si>
</sst>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+0;\-0;&quot;-&quot;"/>
    <numFmt numFmtId="165" formatCode="#,##0.0;\-#,##0.0;&quot;-&quot;"/>
    <numFmt numFmtId="166" formatCode="\+0.0%;\-0.0%;&quot;-&quot;"/>
    <numFmt numFmtId="167" formatCode="#,##0.0_ ;\-#,##0.0\ "/>
    <numFmt numFmtId="168" formatCode="#,##0.000_ ;\-#,##0.000\ "/>
    <numFmt numFmtId="169" formatCode="0.0;[Red]\(0.0\);\-"/>
    <numFmt numFmtId="170" formatCode="0.0%;[Red]\(0.0%\);\-"/>
  </numFmts>
  <fonts count="30">
    <font>
      <sz val="11"/>
      <color theme="1"/>
      <name val="Aptos Narrow"/>
      <family val="2"/>
      <scheme val="minor"/>
    </font>
    <font>
      <sz val="9"/>
      <color rgb="FF000000"/>
      <name val="Arial"/>
      <family val="2"/>
    </font>
    <font>
      <b/>
      <sz val="8"/>
      <color rgb="FF333333"/>
      <name val="Arial"/>
      <family val="2"/>
    </font>
    <font>
      <sz val="8"/>
      <color rgb="FF000000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i/>
      <sz val="8"/>
      <color rgb="FF333333"/>
      <name val="Arial"/>
      <family val="2"/>
    </font>
    <font>
      <i/>
      <sz val="9"/>
      <color rgb="FFFFFFFF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  <font>
      <sz val="10"/>
      <color rgb="FF14181F"/>
      <name val="Aptos Narrow"/>
      <family val="2"/>
      <scheme val="minor"/>
    </font>
    <font>
      <sz val="8"/>
      <color rgb="FF000000"/>
      <name val="Verdana"/>
      <family val="2"/>
    </font>
    <font>
      <sz val="12"/>
      <color theme="1"/>
      <name val="Tahoma"/>
      <family val="2"/>
    </font>
    <font>
      <b/>
      <sz val="12"/>
      <color theme="0"/>
      <name val="Tahoma"/>
      <family val="2"/>
    </font>
    <font>
      <sz val="11"/>
      <color rgb="FF14181F"/>
      <name val="Aptos Narrow"/>
      <family val="2"/>
      <scheme val="minor"/>
    </font>
    <font>
      <sz val="8"/>
      <color theme="1"/>
      <name val="Arial"/>
      <family val="2"/>
    </font>
    <font>
      <sz val="11"/>
      <color rgb="FF000000"/>
      <name val="Verdana"/>
      <family val="2"/>
    </font>
    <font>
      <sz val="5"/>
      <color rgb="FF000000"/>
      <name val="Verdana"/>
      <family val="2"/>
    </font>
    <font>
      <sz val="11"/>
      <color theme="1"/>
      <name val="Aptos Narrow"/>
      <family val="2"/>
      <scheme val="minor"/>
    </font>
    <font>
      <b/>
      <sz val="10"/>
      <color rgb="FF333333"/>
      <name val="Arial"/>
      <family val="2"/>
    </font>
    <font>
      <b/>
      <sz val="10"/>
      <color theme="1"/>
      <name val="Arial"/>
      <family val="2"/>
    </font>
    <font>
      <b/>
      <sz val="11"/>
      <color rgb="FF000000"/>
      <name val="Arial"/>
      <family val="2"/>
    </font>
    <font>
      <b/>
      <sz val="11"/>
      <color theme="1"/>
      <name val="Arial Unicode MS"/>
    </font>
    <font>
      <sz val="11"/>
      <name val="Carlito"/>
    </font>
    <font>
      <sz val="11"/>
      <color rgb="FF0000FF"/>
      <name val="Carlito"/>
    </font>
    <font>
      <sz val="11"/>
      <color rgb="FF000000"/>
      <name val="Carlito"/>
    </font>
    <font>
      <b/>
      <sz val="11"/>
      <color rgb="FF17365D"/>
      <name val="Carlito"/>
    </font>
    <font>
      <b/>
      <sz val="11"/>
      <color rgb="FFFFFFFF"/>
      <name val="Carlito"/>
    </font>
    <font>
      <b/>
      <sz val="11"/>
      <name val="Carlito"/>
    </font>
    <font>
      <b/>
      <sz val="15"/>
      <color rgb="FFFFFFFF"/>
      <name val="Carlito"/>
    </font>
  </fonts>
  <fills count="2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1F5C6B"/>
      </patternFill>
    </fill>
    <fill>
      <patternFill patternType="solid">
        <fgColor rgb="FF4AA8B8"/>
      </patternFill>
    </fill>
    <fill>
      <patternFill patternType="solid">
        <fgColor rgb="FF2F4F7F"/>
      </patternFill>
    </fill>
    <fill>
      <patternFill patternType="solid">
        <fgColor rgb="FFDCE9F5"/>
      </patternFill>
    </fill>
    <fill>
      <patternFill patternType="solid">
        <fgColor rgb="FFFFFFFF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21596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7474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FCE4D6"/>
      </patternFill>
    </fill>
    <fill>
      <patternFill patternType="solid">
        <fgColor rgb="FF4472C4"/>
      </patternFill>
    </fill>
    <fill>
      <patternFill patternType="solid">
        <fgColor rgb="FF17365D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215968"/>
      </left>
      <right style="thin">
        <color rgb="FF215968"/>
      </right>
      <top/>
      <bottom/>
      <diagonal/>
    </border>
    <border>
      <left style="thin">
        <color rgb="FF215968"/>
      </left>
      <right style="thin">
        <color rgb="FF215968"/>
      </right>
      <top style="thin">
        <color rgb="FF215968"/>
      </top>
      <bottom style="thin">
        <color rgb="FF215968"/>
      </bottom>
      <diagonal/>
    </border>
  </borders>
  <cellStyleXfs count="3">
    <xf numFmtId="0" fontId="0" fillId="0" borderId="0"/>
    <xf numFmtId="9" fontId="18" fillId="0" borderId="0" applyFont="0" applyFill="0" applyBorder="0" applyAlignment="0" applyProtection="0"/>
    <xf numFmtId="0" fontId="23" fillId="0" borderId="0"/>
  </cellStyleXfs>
  <cellXfs count="82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165" fontId="1" fillId="6" borderId="1" xfId="0" applyNumberFormat="1" applyFont="1" applyFill="1" applyBorder="1" applyAlignment="1">
      <alignment horizontal="center" vertical="center"/>
    </xf>
    <xf numFmtId="166" fontId="1" fillId="6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0" borderId="0" xfId="0" applyFont="1" applyAlignment="1">
      <alignment vertical="center" wrapText="1"/>
    </xf>
    <xf numFmtId="0" fontId="8" fillId="0" borderId="0" xfId="0" applyFont="1"/>
    <xf numFmtId="166" fontId="1" fillId="8" borderId="1" xfId="0" applyNumberFormat="1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9" fillId="0" borderId="0" xfId="0" applyFont="1"/>
    <xf numFmtId="0" fontId="10" fillId="0" borderId="0" xfId="0" applyFont="1" applyAlignment="1">
      <alignment vertical="center"/>
    </xf>
    <xf numFmtId="165" fontId="1" fillId="8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9" fillId="0" borderId="0" xfId="0" applyFont="1" applyAlignment="1">
      <alignment vertical="center"/>
    </xf>
    <xf numFmtId="0" fontId="11" fillId="0" borderId="0" xfId="0" applyFont="1"/>
    <xf numFmtId="0" fontId="12" fillId="0" borderId="3" xfId="0" applyFont="1" applyBorder="1"/>
    <xf numFmtId="0" fontId="12" fillId="0" borderId="4" xfId="0" applyFont="1" applyBorder="1"/>
    <xf numFmtId="0" fontId="13" fillId="9" borderId="0" xfId="0" applyFont="1" applyFill="1"/>
    <xf numFmtId="0" fontId="12" fillId="0" borderId="0" xfId="0" applyFont="1"/>
    <xf numFmtId="14" fontId="0" fillId="0" borderId="0" xfId="0" applyNumberFormat="1"/>
    <xf numFmtId="165" fontId="14" fillId="0" borderId="0" xfId="0" applyNumberFormat="1" applyFont="1" applyAlignment="1">
      <alignment vertical="center"/>
    </xf>
    <xf numFmtId="167" fontId="14" fillId="0" borderId="0" xfId="0" applyNumberFormat="1" applyFont="1" applyAlignment="1">
      <alignment vertical="center"/>
    </xf>
    <xf numFmtId="167" fontId="0" fillId="0" borderId="0" xfId="0" applyNumberFormat="1"/>
    <xf numFmtId="168" fontId="0" fillId="0" borderId="0" xfId="0" applyNumberFormat="1"/>
    <xf numFmtId="1" fontId="1" fillId="6" borderId="1" xfId="0" applyNumberFormat="1" applyFont="1" applyFill="1" applyBorder="1" applyAlignment="1">
      <alignment horizontal="center" vertical="center"/>
    </xf>
    <xf numFmtId="1" fontId="1" fillId="6" borderId="2" xfId="0" applyNumberFormat="1" applyFont="1" applyFill="1" applyBorder="1" applyAlignment="1">
      <alignment horizontal="center" vertical="center"/>
    </xf>
    <xf numFmtId="1" fontId="1" fillId="8" borderId="1" xfId="0" applyNumberFormat="1" applyFont="1" applyFill="1" applyBorder="1" applyAlignment="1">
      <alignment horizontal="center" vertical="center"/>
    </xf>
    <xf numFmtId="1" fontId="1" fillId="8" borderId="2" xfId="0" applyNumberFormat="1" applyFont="1" applyFill="1" applyBorder="1" applyAlignment="1">
      <alignment horizontal="center" vertical="center"/>
    </xf>
    <xf numFmtId="164" fontId="3" fillId="10" borderId="1" xfId="0" applyNumberFormat="1" applyFont="1" applyFill="1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2" fillId="2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 vertical="center"/>
    </xf>
    <xf numFmtId="0" fontId="19" fillId="2" borderId="1" xfId="0" applyFont="1" applyFill="1" applyBorder="1" applyAlignment="1">
      <alignment horizontal="left" vertical="center"/>
    </xf>
    <xf numFmtId="0" fontId="20" fillId="0" borderId="0" xfId="0" applyFont="1" applyAlignment="1">
      <alignment horizontal="left"/>
    </xf>
    <xf numFmtId="164" fontId="3" fillId="10" borderId="2" xfId="0" applyNumberFormat="1" applyFont="1" applyFill="1" applyBorder="1" applyAlignment="1">
      <alignment horizontal="center" vertical="center"/>
    </xf>
    <xf numFmtId="164" fontId="3" fillId="11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15" fillId="0" borderId="0" xfId="0" applyFont="1"/>
    <xf numFmtId="9" fontId="8" fillId="13" borderId="0" xfId="1" applyFont="1" applyFill="1" applyAlignment="1">
      <alignment horizontal="left"/>
    </xf>
    <xf numFmtId="9" fontId="21" fillId="12" borderId="0" xfId="1" applyFont="1" applyFill="1" applyBorder="1" applyAlignment="1">
      <alignment horizontal="left" vertical="center"/>
    </xf>
    <xf numFmtId="9" fontId="22" fillId="12" borderId="0" xfId="1" applyFont="1" applyFill="1" applyAlignment="1">
      <alignment horizontal="left" vertical="center"/>
    </xf>
    <xf numFmtId="9" fontId="22" fillId="13" borderId="0" xfId="1" applyFont="1" applyFill="1" applyAlignment="1">
      <alignment horizontal="left" vertical="center"/>
    </xf>
    <xf numFmtId="0" fontId="23" fillId="0" borderId="0" xfId="2"/>
    <xf numFmtId="0" fontId="23" fillId="0" borderId="0" xfId="2" applyAlignment="1">
      <alignment horizontal="center"/>
    </xf>
    <xf numFmtId="169" fontId="23" fillId="0" borderId="0" xfId="2" applyNumberFormat="1" applyAlignment="1">
      <alignment horizontal="right"/>
    </xf>
    <xf numFmtId="170" fontId="24" fillId="17" borderId="0" xfId="2" applyNumberFormat="1" applyFont="1" applyFill="1" applyAlignment="1">
      <alignment horizontal="right"/>
    </xf>
    <xf numFmtId="169" fontId="24" fillId="17" borderId="0" xfId="2" applyNumberFormat="1" applyFont="1" applyFill="1" applyAlignment="1">
      <alignment horizontal="right"/>
    </xf>
    <xf numFmtId="0" fontId="24" fillId="0" borderId="0" xfId="2" applyFont="1"/>
    <xf numFmtId="0" fontId="25" fillId="0" borderId="0" xfId="2" applyFont="1" applyAlignment="1">
      <alignment horizontal="center"/>
    </xf>
    <xf numFmtId="169" fontId="25" fillId="0" borderId="0" xfId="2" applyNumberFormat="1" applyFont="1" applyAlignment="1">
      <alignment horizontal="right"/>
    </xf>
    <xf numFmtId="0" fontId="23" fillId="15" borderId="0" xfId="2" applyFill="1"/>
    <xf numFmtId="0" fontId="23" fillId="19" borderId="0" xfId="2" applyFill="1"/>
    <xf numFmtId="0" fontId="23" fillId="16" borderId="0" xfId="2" applyFill="1"/>
    <xf numFmtId="0" fontId="23" fillId="14" borderId="0" xfId="2" applyFill="1"/>
    <xf numFmtId="0" fontId="27" fillId="20" borderId="0" xfId="2" applyFont="1" applyFill="1"/>
    <xf numFmtId="0" fontId="27" fillId="20" borderId="0" xfId="2" applyFont="1" applyFill="1" applyAlignment="1">
      <alignment horizontal="center" vertical="center" wrapText="1"/>
    </xf>
    <xf numFmtId="0" fontId="23" fillId="2" borderId="0" xfId="2" applyFill="1"/>
    <xf numFmtId="0" fontId="28" fillId="18" borderId="0" xfId="2" applyFont="1" applyFill="1"/>
    <xf numFmtId="9" fontId="24" fillId="17" borderId="0" xfId="2" applyNumberFormat="1" applyFont="1" applyFill="1"/>
    <xf numFmtId="0" fontId="6" fillId="2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/>
    <xf numFmtId="0" fontId="0" fillId="0" borderId="2" xfId="0" applyBorder="1"/>
    <xf numFmtId="0" fontId="4" fillId="3" borderId="1" xfId="0" applyFont="1" applyFill="1" applyBorder="1" applyAlignment="1">
      <alignment horizontal="center" vertical="center"/>
    </xf>
    <xf numFmtId="0" fontId="26" fillId="18" borderId="0" xfId="2" applyFont="1" applyFill="1" applyAlignment="1">
      <alignment horizontal="left" vertical="center"/>
    </xf>
    <xf numFmtId="169" fontId="26" fillId="18" borderId="0" xfId="2" applyNumberFormat="1" applyFont="1" applyFill="1" applyAlignment="1">
      <alignment horizontal="left" vertical="center"/>
    </xf>
    <xf numFmtId="170" fontId="26" fillId="18" borderId="0" xfId="2" applyNumberFormat="1" applyFont="1" applyFill="1" applyAlignment="1">
      <alignment horizontal="left" vertical="center"/>
    </xf>
    <xf numFmtId="0" fontId="29" fillId="21" borderId="0" xfId="2" applyFont="1" applyFill="1" applyAlignment="1">
      <alignment horizontal="left" vertical="center"/>
    </xf>
    <xf numFmtId="0" fontId="27" fillId="21" borderId="0" xfId="2" applyFont="1" applyFill="1" applyAlignment="1">
      <alignment horizontal="left"/>
    </xf>
  </cellXfs>
  <cellStyles count="3">
    <cellStyle name="Normal" xfId="0" builtinId="0"/>
    <cellStyle name="Normal 2" xfId="2" xr:uid="{A1D5D424-D9FE-4AC9-A874-619309FC9078}"/>
    <cellStyle name="Percent" xfId="1" builtinId="5"/>
  </cellStyles>
  <dxfs count="2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C65911"/>
      </font>
      <fill>
        <patternFill patternType="solid">
          <bgColor rgb="FFFCE4D6"/>
        </patternFill>
      </fill>
    </dxf>
    <dxf>
      <font>
        <b/>
        <color rgb="FF9C65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tr">
      <tp>
        <v>676</v>
        <stp/>
        <stp>111</stp>
        <stp>10609484</stp>
        <tr r="J24" s="1"/>
      </tp>
      <tp>
        <v>165.68</v>
        <stp/>
        <stp>211</stp>
        <stp>10609484</stp>
        <tr r="K40" s="1"/>
      </tp>
      <tp>
        <v>655</v>
        <stp/>
        <stp>110</stp>
        <stp>10609484</stp>
        <tr r="I24" s="1"/>
        <tr r="I24" s="1"/>
      </tp>
      <tp>
        <v>169.32</v>
        <stp/>
        <stp>210</stp>
        <stp>10609484</stp>
        <tr r="H41" s="1"/>
        <tr r="H41" s="1"/>
      </tp>
      <tp>
        <v>676</v>
        <stp/>
        <stp>113</stp>
        <stp>10609484</stp>
        <tr r="K24" s="1"/>
      </tp>
      <tp>
        <v>169</v>
        <stp/>
        <stp>213</stp>
        <stp>10609484</stp>
        <tr r="I41" s="1"/>
      </tp>
      <tp>
        <v>573.6</v>
        <stp/>
        <stp>112</stp>
        <stp>10609484</stp>
        <tr r="J24" s="1"/>
        <tr r="J24" s="1"/>
      </tp>
      <tp>
        <v>101.44</v>
        <stp/>
        <stp>212</stp>
        <stp>10609484</stp>
        <tr r="K40" s="1"/>
        <tr r="K40" s="1"/>
      </tp>
      <tp>
        <v>2137</v>
        <stp/>
        <stp>115</stp>
        <stp>10609484</stp>
        <tr r="H25" s="1"/>
      </tp>
      <tp>
        <v>169</v>
        <stp/>
        <stp>215</stp>
        <stp>10609484</stp>
        <tr r="J41" s="1"/>
      </tp>
      <tp>
        <v>519.20000000000005</v>
        <stp/>
        <stp>114</stp>
        <stp>10609484</stp>
        <tr r="K24" s="1"/>
        <tr r="K24" s="1"/>
      </tp>
      <tp>
        <v>170.69</v>
        <stp/>
        <stp>214</stp>
        <stp>10609484</stp>
        <tr r="I41" s="1"/>
        <tr r="I41" s="1"/>
      </tp>
      <tp>
        <v>2137</v>
        <stp/>
        <stp>117</stp>
        <stp>10609484</stp>
        <tr r="I25" s="1"/>
      </tp>
      <tp>
        <v>169</v>
        <stp/>
        <stp>217</stp>
        <stp>10609484</stp>
        <tr r="K41" s="1"/>
      </tp>
      <tp>
        <v>2080</v>
        <stp/>
        <stp>116</stp>
        <stp>10609484</stp>
        <tr r="H25" s="1"/>
        <tr r="H25" s="1"/>
      </tp>
      <tp>
        <v>144.13999999999999</v>
        <stp/>
        <stp>216</stp>
        <stp>10609484</stp>
        <tr r="J41" s="1"/>
        <tr r="J41" s="1"/>
      </tp>
      <tp>
        <v>2137</v>
        <stp/>
        <stp>119</stp>
        <stp>10609484</stp>
        <tr r="J25" s="1"/>
      </tp>
      <tp>
        <v>60.154000000000003</v>
        <stp/>
        <stp>219</stp>
        <stp>10609484</stp>
        <tr r="D42" s="1"/>
      </tp>
      <tp>
        <v>2100</v>
        <stp/>
        <stp>118</stp>
        <stp>10609484</stp>
        <tr r="I25" s="1"/>
        <tr r="I25" s="1"/>
      </tp>
      <tp>
        <v>102.65</v>
        <stp/>
        <stp>218</stp>
        <stp>10609484</stp>
        <tr r="K41" s="1"/>
        <tr r="K41" s="1"/>
      </tp>
      <tp>
        <v>1552.8</v>
        <stp/>
        <stp>101</stp>
        <stp>10609484</stp>
        <tr r="I23" s="1"/>
      </tp>
      <tp>
        <v>250.77</v>
        <stp/>
        <stp>201</stp>
        <stp>10609484</stp>
        <tr r="K39" s="1"/>
      </tp>
      <tp>
        <v>1480.8</v>
        <stp/>
        <stp>100</stp>
        <stp>10609484</stp>
        <tr r="H23" s="1"/>
        <tr r="H23" s="1"/>
      </tp>
      <tp>
        <v>207.79</v>
        <stp/>
        <stp>200</stp>
        <stp>10609484</stp>
        <tr r="J39" s="1"/>
        <tr r="J39" s="1"/>
      </tp>
      <tp>
        <v>1552.8</v>
        <stp/>
        <stp>103</stp>
        <stp>10609484</stp>
        <tr r="J23" s="1"/>
      </tp>
      <tp>
        <v>165.68</v>
        <stp/>
        <stp>203</stp>
        <stp>10609484</stp>
        <tr r="H40" s="1"/>
      </tp>
      <tp>
        <v>1462</v>
        <stp/>
        <stp>102</stp>
        <stp>10609484</stp>
        <tr r="I23" s="1"/>
        <tr r="I23" s="1"/>
      </tp>
      <tp>
        <v>156.86000000000001</v>
        <stp/>
        <stp>202</stp>
        <stp>10609484</stp>
        <tr r="K39" s="1"/>
        <tr r="K39" s="1"/>
      </tp>
      <tp>
        <v>1552.8</v>
        <stp/>
        <stp>105</stp>
        <stp>10609484</stp>
        <tr r="K23" s="1"/>
      </tp>
      <tp>
        <v>165.68</v>
        <stp/>
        <stp>205</stp>
        <stp>10609484</stp>
        <tr r="I40" s="1"/>
      </tp>
      <tp>
        <v>1320.2</v>
        <stp/>
        <stp>104</stp>
        <stp>10609484</stp>
        <tr r="J23" s="1"/>
        <tr r="J23" s="1"/>
      </tp>
      <tp>
        <v>165.55</v>
        <stp/>
        <stp>204</stp>
        <stp>10609484</stp>
        <tr r="H40" s="1"/>
        <tr r="H40" s="1"/>
      </tp>
      <tp>
        <v>676</v>
        <stp/>
        <stp>107</stp>
        <stp>10609484</stp>
        <tr r="H24" s="1"/>
      </tp>
      <tp>
        <v>165.68</v>
        <stp/>
        <stp>207</stp>
        <stp>10609484</stp>
        <tr r="J40" s="1"/>
      </tp>
      <tp>
        <v>958.4</v>
        <stp/>
        <stp>106</stp>
        <stp>10609484</stp>
        <tr r="K23" s="1"/>
        <tr r="K23" s="1"/>
      </tp>
      <tp>
        <v>165.97</v>
        <stp/>
        <stp>206</stp>
        <stp>10609484</stp>
        <tr r="I40" s="1"/>
        <tr r="I40" s="1"/>
      </tp>
      <tp>
        <v>676</v>
        <stp/>
        <stp>109</stp>
        <stp>10609484</stp>
        <tr r="I24" s="1"/>
      </tp>
      <tp>
        <v>169</v>
        <stp/>
        <stp>209</stp>
        <stp>10609484</stp>
        <tr r="H41" s="1"/>
      </tp>
      <tp>
        <v>665.4</v>
        <stp/>
        <stp>108</stp>
        <stp>10609484</stp>
        <tr r="H24" s="1"/>
        <tr r="H24" s="1"/>
      </tp>
      <tp>
        <v>150.62</v>
        <stp/>
        <stp>208</stp>
        <stp>10609484</stp>
        <tr r="J40" s="1"/>
        <tr r="J40" s="1"/>
      </tp>
      <tp>
        <v>30.59</v>
        <stp/>
        <stp>131</stp>
        <stp>10609484</stp>
        <tr r="K27" s="1"/>
      </tp>
      <tp>
        <v>227.4</v>
        <stp/>
        <stp>231</stp>
        <stp>10609484</stp>
        <tr r="I43" s="1"/>
      </tp>
      <tp>
        <v>36.909999999999997</v>
        <stp/>
        <stp>130</stp>
        <stp>10609484</stp>
        <tr r="H28" s="1"/>
        <tr r="H28" s="1"/>
      </tp>
      <tp>
        <v>227.63</v>
        <stp/>
        <stp>230</stp>
        <stp>10609484</stp>
        <tr r="H43" s="1"/>
        <tr r="H43" s="1"/>
      </tp>
      <tp>
        <v>36.78</v>
        <stp/>
        <stp>133</stp>
        <stp>10609484</stp>
        <tr r="I28" s="1"/>
      </tp>
      <tp>
        <v>227.4</v>
        <stp/>
        <stp>233</stp>
        <stp>10609484</stp>
        <tr r="J43" s="1"/>
      </tp>
      <tp>
        <v>28.36</v>
        <stp/>
        <stp>132</stp>
        <stp>10609484</stp>
        <tr r="K27" s="1"/>
        <tr r="K27" s="1"/>
      </tp>
      <tp>
        <v>228.33</v>
        <stp/>
        <stp>232</stp>
        <stp>10609484</stp>
        <tr r="I43" s="1"/>
        <tr r="I43" s="1"/>
      </tp>
      <tp>
        <v>36.78</v>
        <stp/>
        <stp>135</stp>
        <stp>10609484</stp>
        <tr r="J28" s="1"/>
      </tp>
      <tp>
        <v>40.29</v>
        <stp/>
        <stp>235</stp>
        <stp>10609484</stp>
        <tr r="J44" s="1"/>
      </tp>
      <tp>
        <v>38.85</v>
        <stp/>
        <stp>134</stp>
        <stp>10609484</stp>
        <tr r="I28" s="1"/>
        <tr r="I28" s="1"/>
      </tp>
      <tp>
        <v>202.67</v>
        <stp/>
        <stp>234</stp>
        <stp>10609484</stp>
        <tr r="J43" s="1"/>
        <tr r="J43" s="1"/>
      </tp>
      <tp>
        <v>36.78</v>
        <stp/>
        <stp>137</stp>
        <stp>10609484</stp>
        <tr r="K28" s="1"/>
      </tp>
      <tp>
        <v>40.29</v>
        <stp/>
        <stp>237</stp>
        <stp>10609484</stp>
        <tr r="K44" s="1"/>
      </tp>
      <tp>
        <v>34.75</v>
        <stp/>
        <stp>136</stp>
        <stp>10609484</stp>
        <tr r="J28" s="1"/>
        <tr r="J28" s="1"/>
      </tp>
      <tp>
        <v>40.25</v>
        <stp/>
        <stp>236</stp>
        <stp>10609484</stp>
        <tr r="J44" s="1"/>
        <tr r="J44" s="1"/>
      </tp>
      <tp>
        <v>365</v>
        <stp/>
        <stp>139</stp>
        <stp>10609484</stp>
        <tr r="H30" s="1"/>
      </tp>
      <tp>
        <v>227.4</v>
        <stp/>
        <stp>239</stp>
        <stp>10609484</stp>
        <tr r="K43" s="1"/>
      </tp>
      <tp>
        <v>30.05</v>
        <stp/>
        <stp>138</stp>
        <stp>10609484</stp>
        <tr r="K28" s="1"/>
        <tr r="K28" s="1"/>
      </tp>
      <tp>
        <v>30.97</v>
        <stp/>
        <stp>238</stp>
        <stp>10609484</stp>
        <tr r="K44" s="1"/>
        <tr r="K44" s="1"/>
      </tp>
      <tp>
        <v>2137</v>
        <stp/>
        <stp>121</stp>
        <stp>10609484</stp>
        <tr r="K25" s="1"/>
      </tp>
      <tp>
        <v>295.01</v>
        <stp/>
        <stp>221</stp>
        <stp>10609484</stp>
        <tr r="H42" s="1"/>
      </tp>
      <tp>
        <v>1763.8</v>
        <stp/>
        <stp>120</stp>
        <stp>10609484</stp>
        <tr r="J25" s="1"/>
        <tr r="J25" s="1"/>
      </tp>
      <tp>
        <v>4.2999999999999997E-2</v>
        <stp/>
        <stp>220</stp>
        <stp>10609484</stp>
        <tr r="D42" s="1"/>
        <tr r="D42" s="1"/>
      </tp>
      <tp>
        <v>30.59</v>
        <stp/>
        <stp>123</stp>
        <stp>10609484</stp>
        <tr r="H27" s="1"/>
      </tp>
      <tp>
        <v>295.01</v>
        <stp/>
        <stp>223</stp>
        <stp>10609484</stp>
        <tr r="I42" s="1"/>
      </tp>
      <tp>
        <v>1346</v>
        <stp/>
        <stp>122</stp>
        <stp>10609484</stp>
        <tr r="K25" s="1"/>
        <tr r="K25" s="1"/>
      </tp>
      <tp>
        <v>295.77</v>
        <stp/>
        <stp>222</stp>
        <stp>10609484</stp>
        <tr r="H42" s="1"/>
        <tr r="H42" s="1"/>
      </tp>
      <tp>
        <v>30.59</v>
        <stp/>
        <stp>125</stp>
        <stp>10609484</stp>
        <tr r="I27" s="1"/>
      </tp>
      <tp>
        <v>295.01</v>
        <stp/>
        <stp>225</stp>
        <stp>10609484</stp>
        <tr r="J42" s="1"/>
      </tp>
      <tp>
        <v>30.66</v>
        <stp/>
        <stp>124</stp>
        <stp>10609484</stp>
        <tr r="H27" s="1"/>
        <tr r="H27" s="1"/>
      </tp>
      <tp>
        <v>297.86</v>
        <stp/>
        <stp>224</stp>
        <stp>10609484</stp>
        <tr r="I42" s="1"/>
        <tr r="I42" s="1"/>
      </tp>
      <tp>
        <v>30.59</v>
        <stp/>
        <stp>127</stp>
        <stp>10609484</stp>
        <tr r="J27" s="1"/>
      </tp>
      <tp>
        <v>295.01</v>
        <stp/>
        <stp>227</stp>
        <stp>10609484</stp>
        <tr r="K42" s="1"/>
      </tp>
      <tp>
        <v>31</v>
        <stp/>
        <stp>126</stp>
        <stp>10609484</stp>
        <tr r="I27" s="1"/>
        <tr r="I27" s="1"/>
      </tp>
      <tp>
        <v>240.77</v>
        <stp/>
        <stp>226</stp>
        <stp>10609484</stp>
        <tr r="J42" s="1"/>
        <tr r="J42" s="1"/>
      </tp>
      <tp>
        <v>36.78</v>
        <stp/>
        <stp>129</stp>
        <stp>10609484</stp>
        <tr r="H28" s="1"/>
      </tp>
      <tp>
        <v>227.4</v>
        <stp/>
        <stp>229</stp>
        <stp>10609484</stp>
        <tr r="H43" s="1"/>
      </tp>
      <tp>
        <v>27.114999999999998</v>
        <stp/>
        <stp>128</stp>
        <stp>10609484</stp>
        <tr r="J27" s="1"/>
        <tr r="J27" s="1"/>
      </tp>
      <tp>
        <v>180.97</v>
        <stp/>
        <stp>228</stp>
        <stp>10609484</stp>
        <tr r="K42" s="1"/>
        <tr r="K42" s="1"/>
      </tp>
      <tp>
        <v>3799</v>
        <stp/>
        <stp>151</stp>
        <stp>10609484</stp>
        <tr r="J32" s="1"/>
      </tp>
      <tp>
        <v>3541</v>
        <stp/>
        <stp>150</stp>
        <stp>10609484</stp>
        <tr r="I32" s="1"/>
        <tr r="I32" s="1"/>
      </tp>
      <tp>
        <v>3799</v>
        <stp/>
        <stp>153</stp>
        <stp>10609484</stp>
        <tr r="K32" s="1"/>
      </tp>
      <tp>
        <v>2788</v>
        <stp/>
        <stp>152</stp>
        <stp>10609484</stp>
        <tr r="J32" s="1"/>
        <tr r="J32" s="1"/>
      </tp>
      <tp>
        <v>7214</v>
        <stp/>
        <stp>155</stp>
        <stp>10609484</stp>
        <tr r="H33" s="1"/>
      </tp>
      <tp>
        <v>2157</v>
        <stp/>
        <stp>154</stp>
        <stp>10609484</stp>
        <tr r="K32" s="1"/>
        <tr r="K32" s="1"/>
      </tp>
      <tp>
        <v>7214</v>
        <stp/>
        <stp>157</stp>
        <stp>10609484</stp>
        <tr r="I33" s="1"/>
      </tp>
      <tp>
        <v>6721</v>
        <stp/>
        <stp>156</stp>
        <stp>10609484</stp>
        <tr r="H33" s="1"/>
        <tr r="H33" s="1"/>
      </tp>
      <tp>
        <v>7214</v>
        <stp/>
        <stp>159</stp>
        <stp>10609484</stp>
        <tr r="J33" s="1"/>
      </tp>
      <tp>
        <v>6925</v>
        <stp/>
        <stp>158</stp>
        <stp>10609484</stp>
        <tr r="I33" s="1"/>
        <tr r="I33" s="1"/>
      </tp>
      <tp>
        <v>3799</v>
        <stp/>
        <stp>141</stp>
        <stp>10609484</stp>
        <tr r="H32" s="1"/>
      </tp>
      <tp t="s">
        <v>The record could not be found (Error code: 0)</v>
        <stp/>
        <stp>241</stp>
        <stp>10609484</stp>
        <tr r="C44" s="1"/>
      </tp>
      <tp>
        <v>363</v>
        <stp/>
        <stp>140</stp>
        <stp>10609484</stp>
        <tr r="H30" s="1"/>
        <tr r="H30" s="1"/>
      </tp>
      <tp>
        <v>144.62</v>
        <stp/>
        <stp>240</stp>
        <stp>10609484</stp>
        <tr r="K43" s="1"/>
        <tr r="K43" s="1"/>
      </tp>
      <tp>
        <v>365</v>
        <stp/>
        <stp>143</stp>
        <stp>10609484</stp>
        <tr r="I30" s="1"/>
      </tp>
      <tp t="s">
        <v>The record could not be found (Error code: 0)</v>
        <stp/>
        <stp>243</stp>
        <stp>10609484</stp>
        <tr r="D44" s="1"/>
        <tr r="D44" s="1"/>
      </tp>
      <tp>
        <v>3473</v>
        <stp/>
        <stp>142</stp>
        <stp>10609484</stp>
        <tr r="H32" s="1"/>
        <tr r="H32" s="1"/>
      </tp>
      <tp t="s">
        <v>The record could not be found (Error code: 0)</v>
        <stp/>
        <stp>242</stp>
        <stp>10609484</stp>
        <tr r="D44" s="1"/>
      </tp>
      <tp>
        <v>365</v>
        <stp/>
        <stp>145</stp>
        <stp>10609484</stp>
        <tr r="J30" s="1"/>
      </tp>
      <tp>
        <v>40.22</v>
        <stp/>
        <stp>245</stp>
        <stp>10609484</stp>
        <tr r="H44" s="1"/>
        <tr r="H44" s="1"/>
      </tp>
      <tp>
        <v>365.7</v>
        <stp/>
        <stp>144</stp>
        <stp>10609484</stp>
        <tr r="I30" s="1"/>
        <tr r="I30" s="1"/>
      </tp>
      <tp>
        <v>40.29</v>
        <stp/>
        <stp>244</stp>
        <stp>10609484</stp>
        <tr r="H44" s="1"/>
      </tp>
      <tp>
        <v>365</v>
        <stp/>
        <stp>147</stp>
        <stp>10609484</stp>
        <tr r="K30" s="1"/>
      </tp>
      <tp>
        <v>40.28</v>
        <stp/>
        <stp>247</stp>
        <stp>10609484</stp>
        <tr r="I44" s="1"/>
        <tr r="I44" s="1"/>
      </tp>
      <tp>
        <v>322.2</v>
        <stp/>
        <stp>146</stp>
        <stp>10609484</stp>
        <tr r="J30" s="1"/>
        <tr r="J30" s="1"/>
      </tp>
      <tp>
        <v>40.29</v>
        <stp/>
        <stp>246</stp>
        <stp>10609484</stp>
        <tr r="I44" s="1"/>
      </tp>
      <tp>
        <v>3799</v>
        <stp/>
        <stp>149</stp>
        <stp>10609484</stp>
        <tr r="I32" s="1"/>
      </tp>
      <tp>
        <v>259.89999999999998</v>
        <stp/>
        <stp>148</stp>
        <stp>10609484</stp>
        <tr r="K30" s="1"/>
        <tr r="K30" s="1"/>
      </tp>
      <tp>
        <v>1871.5</v>
        <stp/>
        <stp>171</stp>
        <stp>10609484</stp>
        <tr r="H35" s="1"/>
      </tp>
      <tp>
        <v>4535</v>
        <stp/>
        <stp>170</stp>
        <stp>10609484</stp>
        <tr r="K34" s="1"/>
        <tr r="K34" s="1"/>
      </tp>
      <tp>
        <v>1871.5</v>
        <stp/>
        <stp>173</stp>
        <stp>10609484</stp>
        <tr r="J35" s="1"/>
      </tp>
      <tp>
        <v>1779.5</v>
        <stp/>
        <stp>172</stp>
        <stp>10609484</stp>
        <tr r="H35" s="1"/>
        <tr r="H35" s="1"/>
      </tp>
      <tp>
        <v>1871.5</v>
        <stp/>
        <stp>175</stp>
        <stp>10609484</stp>
        <tr r="I35" s="1"/>
      </tp>
      <tp>
        <v>1516.5</v>
        <stp/>
        <stp>174</stp>
        <stp>10609484</stp>
        <tr r="J35" s="1"/>
        <tr r="J35" s="1"/>
      </tp>
      <tp>
        <v>1605.5</v>
        <stp/>
        <stp>177</stp>
        <stp>10609484</stp>
        <tr r="H36" s="1"/>
      </tp>
      <tp>
        <v>1777</v>
        <stp/>
        <stp>176</stp>
        <stp>10609484</stp>
        <tr r="I35" s="1"/>
        <tr r="I35" s="1"/>
      </tp>
      <tp>
        <v>1871.5</v>
        <stp/>
        <stp>179</stp>
        <stp>10609484</stp>
        <tr r="K35" s="1"/>
      </tp>
      <tp>
        <v>1520</v>
        <stp/>
        <stp>178</stp>
        <stp>10609484</stp>
        <tr r="H36" s="1"/>
        <tr r="H36" s="1"/>
      </tp>
      <tp>
        <v>7214</v>
        <stp/>
        <stp>161</stp>
        <stp>10609484</stp>
        <tr r="K33" s="1"/>
      </tp>
      <tp>
        <v>5404</v>
        <stp/>
        <stp>160</stp>
        <stp>10609484</stp>
        <tr r="J33" s="1"/>
        <tr r="J33" s="1"/>
      </tp>
      <tp>
        <v>8631</v>
        <stp/>
        <stp>163</stp>
        <stp>10609484</stp>
        <tr r="H34" s="1"/>
      </tp>
      <tp>
        <v>3984</v>
        <stp/>
        <stp>162</stp>
        <stp>10609484</stp>
        <tr r="K33" s="1"/>
        <tr r="K33" s="1"/>
      </tp>
      <tp>
        <v>8631</v>
        <stp/>
        <stp>165</stp>
        <stp>10609484</stp>
        <tr r="I34" s="1"/>
      </tp>
      <tp>
        <v>7930</v>
        <stp/>
        <stp>164</stp>
        <stp>10609484</stp>
        <tr r="H34" s="1"/>
        <tr r="H34" s="1"/>
      </tp>
      <tp>
        <v>8631</v>
        <stp/>
        <stp>167</stp>
        <stp>10609484</stp>
        <tr r="J34" s="1"/>
      </tp>
      <tp>
        <v>8417</v>
        <stp/>
        <stp>166</stp>
        <stp>10609484</stp>
        <tr r="I34" s="1"/>
        <tr r="I34" s="1"/>
      </tp>
      <tp>
        <v>8631</v>
        <stp/>
        <stp>169</stp>
        <stp>10609484</stp>
        <tr r="K34" s="1"/>
      </tp>
      <tp>
        <v>6598</v>
        <stp/>
        <stp>168</stp>
        <stp>10609484</stp>
        <tr r="J34" s="1"/>
        <tr r="J34" s="1"/>
      </tp>
      <tp>
        <v>122.73</v>
        <stp/>
        <stp>191</stp>
        <stp>10609484</stp>
        <tr r="J38" s="1"/>
      </tp>
      <tp>
        <v>124.47</v>
        <stp/>
        <stp>190</stp>
        <stp>10609484</stp>
        <tr r="I38" s="1"/>
        <tr r="I38" s="1"/>
      </tp>
      <tp>
        <v>122.73</v>
        <stp/>
        <stp>193</stp>
        <stp>10609484</stp>
        <tr r="K38" s="1"/>
      </tp>
      <tp>
        <v>104.25</v>
        <stp/>
        <stp>192</stp>
        <stp>10609484</stp>
        <tr r="J38" s="1"/>
        <tr r="J38" s="1"/>
      </tp>
      <tp>
        <v>250.77</v>
        <stp/>
        <stp>195</stp>
        <stp>10609484</stp>
        <tr r="H39" s="1"/>
      </tp>
      <tp>
        <v>77.63</v>
        <stp/>
        <stp>194</stp>
        <stp>10609484</stp>
        <tr r="K38" s="1"/>
        <tr r="K38" s="1"/>
      </tp>
      <tp>
        <v>250.77</v>
        <stp/>
        <stp>197</stp>
        <stp>10609484</stp>
        <tr r="I39" s="1"/>
      </tp>
      <tp>
        <v>250.25</v>
        <stp/>
        <stp>196</stp>
        <stp>10609484</stp>
        <tr r="H39" s="1"/>
        <tr r="H39" s="1"/>
      </tp>
      <tp>
        <v>250.77</v>
        <stp/>
        <stp>199</stp>
        <stp>10609484</stp>
        <tr r="J39" s="1"/>
      </tp>
      <tp>
        <v>252.99</v>
        <stp/>
        <stp>198</stp>
        <stp>10609484</stp>
        <tr r="I39" s="1"/>
        <tr r="I39" s="1"/>
      </tp>
      <tp>
        <v>1605.5</v>
        <stp/>
        <stp>181</stp>
        <stp>10609484</stp>
        <tr r="I36" s="1"/>
      </tp>
      <tp>
        <v>1061.5</v>
        <stp/>
        <stp>180</stp>
        <stp>10609484</stp>
        <tr r="K35" s="1"/>
        <tr r="K35" s="1"/>
      </tp>
      <tp>
        <v>1605.5</v>
        <stp/>
        <stp>183</stp>
        <stp>10609484</stp>
        <tr r="J36" s="1"/>
      </tp>
      <tp>
        <v>1542.5</v>
        <stp/>
        <stp>182</stp>
        <stp>10609484</stp>
        <tr r="I36" s="1"/>
        <tr r="I36" s="1"/>
      </tp>
      <tp>
        <v>122.73</v>
        <stp/>
        <stp>185</stp>
        <stp>10609484</stp>
        <tr r="H38" s="1"/>
      </tp>
      <tp>
        <v>1230.5</v>
        <stp/>
        <stp>184</stp>
        <stp>10609484</stp>
        <tr r="J36" s="1"/>
        <tr r="J36" s="1"/>
      </tp>
      <tp>
        <v>1605.5</v>
        <stp/>
        <stp>187</stp>
        <stp>10609484</stp>
        <tr r="K36" s="1"/>
      </tp>
      <tp>
        <v>122.41</v>
        <stp/>
        <stp>186</stp>
        <stp>10609484</stp>
        <tr r="H38" s="1"/>
        <tr r="H38" s="1"/>
      </tp>
      <tp>
        <v>122.73</v>
        <stp/>
        <stp>189</stp>
        <stp>10609484</stp>
        <tr r="I38" s="1"/>
      </tp>
      <tp>
        <v>995.8</v>
        <stp/>
        <stp>188</stp>
        <stp>10609484</stp>
        <tr r="K36" s="1"/>
        <tr r="K36" s="1"/>
      </tp>
      <tp>
        <v>105.92</v>
        <stp/>
        <stp>59</stp>
        <stp>10609484</stp>
        <tr r="H16" s="1"/>
      </tp>
      <tp>
        <v>112.93</v>
        <stp/>
        <stp>58</stp>
        <stp>10609484</stp>
        <tr r="K14" s="1"/>
        <tr r="K14" s="1"/>
      </tp>
      <tp>
        <v>185.4</v>
        <stp/>
        <stp>53</stp>
        <stp>10609484</stp>
        <tr r="I14" s="1"/>
      </tp>
      <tp>
        <v>84.32</v>
        <stp/>
        <stp>52</stp>
        <stp>10609484</stp>
        <tr r="K13" s="1"/>
        <tr r="K13" s="1"/>
      </tp>
      <tp>
        <v>86.31</v>
        <stp/>
        <stp>51</stp>
        <stp>10609484</stp>
        <tr r="K13" s="1"/>
      </tp>
      <tp>
        <v>182.58</v>
        <stp/>
        <stp>50</stp>
        <stp>10609484</stp>
        <tr r="H14" s="1"/>
        <tr r="H14" s="1"/>
      </tp>
      <tp>
        <v>185.4</v>
        <stp/>
        <stp>57</stp>
        <stp>10609484</stp>
        <tr r="K14" s="1"/>
      </tp>
      <tp>
        <v>154.02000000000001</v>
        <stp/>
        <stp>56</stp>
        <stp>10609484</stp>
        <tr r="J14" s="1"/>
        <tr r="J14" s="1"/>
      </tp>
      <tp>
        <v>185.4</v>
        <stp/>
        <stp>55</stp>
        <stp>10609484</stp>
        <tr r="J14" s="1"/>
      </tp>
      <tp>
        <v>178.17</v>
        <stp/>
        <stp>54</stp>
        <stp>10609484</stp>
        <tr r="I14" s="1"/>
        <tr r="I14" s="1"/>
      </tp>
      <tp>
        <v>185.4</v>
        <stp/>
        <stp>49</stp>
        <stp>10609484</stp>
        <tr r="H14" s="1"/>
      </tp>
      <tp>
        <v>80.56</v>
        <stp/>
        <stp>48</stp>
        <stp>10609484</stp>
        <tr r="J13" s="1"/>
        <tr r="J13" s="1"/>
      </tp>
      <tp>
        <v>86.31</v>
        <stp/>
        <stp>43</stp>
        <stp>10609484</stp>
        <tr r="H13" s="1"/>
      </tp>
      <tp>
        <v>143.01</v>
        <stp/>
        <stp>42</stp>
        <stp>10609484</stp>
        <tr r="K12" s="1"/>
        <tr r="K12" s="1"/>
      </tp>
      <tp>
        <v>214.48</v>
        <stp/>
        <stp>41</stp>
        <stp>10609484</stp>
        <tr r="K12" s="1"/>
      </tp>
      <tp>
        <v>221.09</v>
        <stp/>
        <stp>40</stp>
        <stp>10609484</stp>
        <tr r="I12" s="1"/>
        <tr r="I12" s="1"/>
      </tp>
      <tp>
        <v>86.31</v>
        <stp/>
        <stp>47</stp>
        <stp>10609484</stp>
        <tr r="J13" s="1"/>
      </tp>
      <tp>
        <v>87.67</v>
        <stp/>
        <stp>46</stp>
        <stp>10609484</stp>
        <tr r="I13" s="1"/>
        <tr r="I13" s="1"/>
      </tp>
      <tp>
        <v>86.31</v>
        <stp/>
        <stp>45</stp>
        <stp>10609484</stp>
        <tr r="I13" s="1"/>
      </tp>
      <tp>
        <v>86.33</v>
        <stp/>
        <stp>44</stp>
        <stp>10609484</stp>
        <tr r="H13" s="1"/>
        <tr r="H13" s="1"/>
      </tp>
      <tp>
        <v>77.17</v>
        <stp/>
        <stp>79</stp>
        <stp>10609484</stp>
        <tr r="J18" s="1"/>
      </tp>
      <tp>
        <v>74.64</v>
        <stp/>
        <stp>78</stp>
        <stp>10609484</stp>
        <tr r="I18" s="1"/>
        <tr r="I18" s="1"/>
      </tp>
      <tp>
        <v>18.504999999999999</v>
        <stp/>
        <stp>73</stp>
        <stp>10609484</stp>
        <tr r="K17" s="1"/>
      </tp>
      <tp>
        <v>17.55</v>
        <stp/>
        <stp>72</stp>
        <stp>10609484</stp>
        <tr r="I17" s="1"/>
        <tr r="I17" s="1"/>
      </tp>
      <tp>
        <v>18.504999999999999</v>
        <stp/>
        <stp>71</stp>
        <stp>10609484</stp>
        <tr r="I17" s="1"/>
      </tp>
      <tp>
        <v>17.135000000000002</v>
        <stp/>
        <stp>70</stp>
        <stp>10609484</stp>
        <tr r="J17" s="1"/>
        <tr r="J17" s="1"/>
      </tp>
      <tp>
        <v>77.17</v>
        <stp/>
        <stp>77</stp>
        <stp>10609484</stp>
        <tr r="I18" s="1"/>
      </tp>
      <tp>
        <v>75.150000000000006</v>
        <stp/>
        <stp>76</stp>
        <stp>10609484</stp>
        <tr r="H18" s="1"/>
        <tr r="H18" s="1"/>
      </tp>
      <tp>
        <v>77.17</v>
        <stp/>
        <stp>75</stp>
        <stp>10609484</stp>
        <tr r="H18" s="1"/>
      </tp>
      <tp>
        <v>16.32</v>
        <stp/>
        <stp>74</stp>
        <stp>10609484</stp>
        <tr r="K17" s="1"/>
        <tr r="K17" s="1"/>
      </tp>
      <tp>
        <v>18.504999999999999</v>
        <stp/>
        <stp>69</stp>
        <stp>10609484</stp>
        <tr r="J17" s="1"/>
      </tp>
      <tp>
        <v>78.87</v>
        <stp/>
        <stp>68</stp>
        <stp>10609484</stp>
        <tr r="K16" s="1"/>
        <tr r="K16" s="1"/>
      </tp>
      <tp>
        <v>105.92</v>
        <stp/>
        <stp>63</stp>
        <stp>10609484</stp>
        <tr r="I16" s="1"/>
      </tp>
      <tp>
        <v>90.16</v>
        <stp/>
        <stp>62</stp>
        <stp>10609484</stp>
        <tr r="J16" s="1"/>
        <tr r="J16" s="1"/>
      </tp>
      <tp>
        <v>105.92</v>
        <stp/>
        <stp>61</stp>
        <stp>10609484</stp>
        <tr r="J16" s="1"/>
      </tp>
      <tp>
        <v>103.3</v>
        <stp/>
        <stp>60</stp>
        <stp>10609484</stp>
        <tr r="H16" s="1"/>
        <tr r="H16" s="1"/>
      </tp>
      <tp>
        <v>105.92</v>
        <stp/>
        <stp>67</stp>
        <stp>10609484</stp>
        <tr r="K16" s="1"/>
      </tp>
      <tp>
        <v>17.93</v>
        <stp/>
        <stp>66</stp>
        <stp>10609484</stp>
        <tr r="H17" s="1"/>
        <tr r="H17" s="1"/>
      </tp>
      <tp>
        <v>18.504999999999999</v>
        <stp/>
        <stp>65</stp>
        <stp>10609484</stp>
        <tr r="H17" s="1"/>
      </tp>
      <tp>
        <v>100.92</v>
        <stp/>
        <stp>64</stp>
        <stp>10609484</stp>
        <tr r="I16" s="1"/>
        <tr r="I16" s="1"/>
      </tp>
      <tp>
        <v>353.21</v>
        <stp/>
        <stp>19</stp>
        <stp>10609484</stp>
        <tr r="H10" s="1"/>
      </tp>
      <tp>
        <v>48.45</v>
        <stp/>
        <stp>18</stp>
        <stp>10609484</stp>
        <tr r="K9" s="1"/>
        <tr r="K9" s="1"/>
      </tp>
      <tp>
        <v>62.05</v>
        <stp/>
        <stp>13</stp>
        <stp>10609484</stp>
        <tr r="I9" s="1"/>
      </tp>
      <tp>
        <v>60.42</v>
        <stp/>
        <stp>12</stp>
        <stp>10609484</stp>
        <tr r="H9" s="1"/>
        <tr r="H9" s="1"/>
      </tp>
      <tp>
        <v>62.05</v>
        <stp/>
        <stp>11</stp>
        <stp>10609484</stp>
        <tr r="H9" s="1"/>
      </tp>
      <tp>
        <v>96.07</v>
        <stp/>
        <stp>10</stp>
        <stp>10609484</stp>
        <tr r="K8" s="1"/>
        <tr r="K8" s="1"/>
      </tp>
      <tp>
        <v>62.05</v>
        <stp/>
        <stp>17</stp>
        <stp>10609484</stp>
        <tr r="K9" s="1"/>
      </tp>
      <tp>
        <v>52.63</v>
        <stp/>
        <stp>16</stp>
        <stp>10609484</stp>
        <tr r="J9" s="1"/>
        <tr r="J9" s="1"/>
      </tp>
      <tp>
        <v>62.05</v>
        <stp/>
        <stp>15</stp>
        <stp>10609484</stp>
        <tr r="J9" s="1"/>
      </tp>
      <tp>
        <v>59.5</v>
        <stp/>
        <stp>14</stp>
        <stp>10609484</stp>
        <tr r="I9" s="1"/>
        <tr r="I9" s="1"/>
      </tp>
      <tp>
        <v>214.48</v>
        <stp/>
        <stp>39</stp>
        <stp>10609484</stp>
        <tr r="I12" s="1"/>
      </tp>
      <tp>
        <v>190.18</v>
        <stp/>
        <stp>38</stp>
        <stp>10609484</stp>
        <tr r="J12" s="1"/>
        <tr r="J12" s="1"/>
      </tp>
      <tp>
        <v>214.48</v>
        <stp/>
        <stp>33</stp>
        <stp>10609484</stp>
        <tr r="H12" s="1"/>
      </tp>
      <tp>
        <v>937.81</v>
        <stp/>
        <stp>32</stp>
        <stp>10609484</stp>
        <tr r="J11" s="1"/>
        <tr r="J11" s="1"/>
      </tp>
      <tp>
        <v>1061.23</v>
        <stp/>
        <stp>31</stp>
        <stp>10609484</stp>
        <tr r="J11" s="1"/>
      </tp>
      <tp>
        <v>1045.9100000000001</v>
        <stp/>
        <stp>30</stp>
        <stp>10609484</stp>
        <tr r="I11" s="1"/>
        <tr r="I11" s="1"/>
      </tp>
      <tp>
        <v>214.48</v>
        <stp/>
        <stp>37</stp>
        <stp>10609484</stp>
        <tr r="J12" s="1"/>
      </tp>
      <tp>
        <v>728.98</v>
        <stp/>
        <stp>36</stp>
        <stp>10609484</stp>
        <tr r="K11" s="1"/>
        <tr r="K11" s="1"/>
      </tp>
      <tp>
        <v>1061.23</v>
        <stp/>
        <stp>35</stp>
        <stp>10609484</stp>
        <tr r="K11" s="1"/>
      </tp>
      <tp>
        <v>210.94</v>
        <stp/>
        <stp>34</stp>
        <stp>10609484</stp>
        <tr r="H12" s="1"/>
        <tr r="H12" s="1"/>
      </tp>
      <tp>
        <v>1061.23</v>
        <stp/>
        <stp>29</stp>
        <stp>10609484</stp>
        <tr r="I11" s="1"/>
      </tp>
      <tp>
        <v>298.62</v>
        <stp/>
        <stp>28</stp>
        <stp>10609484</stp>
        <tr r="K10" s="1"/>
        <tr r="K10" s="1"/>
      </tp>
      <tp>
        <v>353.21</v>
        <stp/>
        <stp>23</stp>
        <stp>10609484</stp>
        <tr r="I10" s="1"/>
      </tp>
      <tp>
        <v>311.63</v>
        <stp/>
        <stp>22</stp>
        <stp>10609484</stp>
        <tr r="J10" s="1"/>
        <tr r="J10" s="1"/>
      </tp>
      <tp>
        <v>353.21</v>
        <stp/>
        <stp>21</stp>
        <stp>10609484</stp>
        <tr r="J10" s="1"/>
      </tp>
      <tp>
        <v>338.87</v>
        <stp/>
        <stp>20</stp>
        <stp>10609484</stp>
        <tr r="H10" s="1"/>
        <tr r="H10" s="1"/>
      </tp>
      <tp>
        <v>353.21</v>
        <stp/>
        <stp>27</stp>
        <stp>10609484</stp>
        <tr r="K10" s="1"/>
      </tp>
      <tp>
        <v>1055.03</v>
        <stp/>
        <stp>26</stp>
        <stp>10609484</stp>
        <tr r="H11" s="1"/>
        <tr r="H11" s="1"/>
      </tp>
      <tp>
        <v>1061.23</v>
        <stp/>
        <stp>25</stp>
        <stp>10609484</stp>
        <tr r="H11" s="1"/>
      </tp>
      <tp>
        <v>334.53</v>
        <stp/>
        <stp>24</stp>
        <stp>10609484</stp>
        <tr r="I10" s="1"/>
        <tr r="I10" s="1"/>
      </tp>
      <tp>
        <v>1552.8</v>
        <stp/>
        <stp>99</stp>
        <stp>10609484</stp>
        <tr r="H23" s="1"/>
      </tp>
      <tp>
        <v>360.5</v>
        <stp/>
        <stp>98</stp>
        <stp>10609484</stp>
        <tr r="K22" s="1"/>
        <tr r="K22" s="1"/>
      </tp>
      <tp>
        <v>525.4</v>
        <stp/>
        <stp>93</stp>
        <stp>10609484</stp>
        <tr r="I22" s="1"/>
      </tp>
      <tp>
        <v>512.4</v>
        <stp/>
        <stp>92</stp>
        <stp>10609484</stp>
        <tr r="H22" s="1"/>
        <tr r="H22" s="1"/>
      </tp>
      <tp>
        <v>525.4</v>
        <stp/>
        <stp>91</stp>
        <stp>10609484</stp>
        <tr r="H22" s="1"/>
      </tp>
      <tp>
        <v>30.39</v>
        <stp/>
        <stp>90</stp>
        <stp>10609484</stp>
        <tr r="K20" s="1"/>
        <tr r="K20" s="1"/>
      </tp>
      <tp>
        <v>525.4</v>
        <stp/>
        <stp>97</stp>
        <stp>10609484</stp>
        <tr r="K22" s="1"/>
      </tp>
      <tp>
        <v>427.4</v>
        <stp/>
        <stp>96</stp>
        <stp>10609484</stp>
        <tr r="J22" s="1"/>
        <tr r="J22" s="1"/>
      </tp>
      <tp>
        <v>525.4</v>
        <stp/>
        <stp>95</stp>
        <stp>10609484</stp>
        <tr r="J22" s="1"/>
      </tp>
      <tp>
        <v>510</v>
        <stp/>
        <stp>94</stp>
        <stp>10609484</stp>
        <tr r="I22" s="1"/>
        <tr r="I22" s="1"/>
      </tp>
      <tp>
        <v>42.31</v>
        <stp/>
        <stp>89</stp>
        <stp>10609484</stp>
        <tr r="K20" s="1"/>
      </tp>
      <tp>
        <v>33.14</v>
        <stp/>
        <stp>88</stp>
        <stp>10609484</stp>
        <tr r="J20" s="1"/>
        <tr r="J20" s="1"/>
      </tp>
      <tp>
        <v>42.31</v>
        <stp/>
        <stp>83</stp>
        <stp>10609484</stp>
        <tr r="H20" s="1"/>
      </tp>
      <tp>
        <v>50.92</v>
        <stp/>
        <stp>82</stp>
        <stp>10609484</stp>
        <tr r="K18" s="1"/>
        <tr r="K18" s="1"/>
      </tp>
      <tp>
        <v>77.17</v>
        <stp/>
        <stp>81</stp>
        <stp>10609484</stp>
        <tr r="K18" s="1"/>
      </tp>
      <tp>
        <v>70.03</v>
        <stp/>
        <stp>80</stp>
        <stp>10609484</stp>
        <tr r="J18" s="1"/>
        <tr r="J18" s="1"/>
      </tp>
      <tp>
        <v>42.31</v>
        <stp/>
        <stp>87</stp>
        <stp>10609484</stp>
        <tr r="J20" s="1"/>
      </tp>
      <tp>
        <v>42.24</v>
        <stp/>
        <stp>86</stp>
        <stp>10609484</stp>
        <tr r="I20" s="1"/>
        <tr r="I20" s="1"/>
      </tp>
      <tp>
        <v>42.31</v>
        <stp/>
        <stp>85</stp>
        <stp>10609484</stp>
        <tr r="I20" s="1"/>
      </tp>
      <tp>
        <v>42.05</v>
        <stp/>
        <stp>84</stp>
        <stp>10609484</stp>
        <tr r="H20" s="1"/>
        <tr r="H20" s="1"/>
      </tp>
      <tp>
        <v>132.19</v>
        <stp/>
        <stp>9</stp>
        <stp>10609484</stp>
        <tr r="K8" s="1"/>
      </tp>
      <tp>
        <v>140.71</v>
        <stp/>
        <stp>8</stp>
        <stp>10609484</stp>
        <tr r="I8" s="1"/>
        <tr r="I8" s="1"/>
      </tp>
      <tp>
        <v>132.19</v>
        <stp/>
        <stp>7</stp>
        <stp>10609484</stp>
        <tr r="I8" s="1"/>
      </tp>
      <tp>
        <v>129.13999999999999</v>
        <stp/>
        <stp>6</stp>
        <stp>10609484</stp>
        <tr r="J8" s="1"/>
        <tr r="J8" s="1"/>
      </tp>
      <tp>
        <v>132.19</v>
        <stp/>
        <stp>5</stp>
        <stp>10609484</stp>
        <tr r="J8" s="1"/>
      </tp>
      <tp t="s">
        <v>The formula must contain at least one field or function.</v>
        <stp/>
        <stp>4</stp>
        <stp>10609484</stp>
        <tr r="M5" s="1"/>
      </tp>
      <tp>
        <v>128.72</v>
        <stp/>
        <stp>3</stp>
        <stp>10609484</stp>
        <tr r="H8" s="1"/>
        <tr r="H8" s="1"/>
      </tp>
      <tp>
        <v>132.19</v>
        <stp/>
        <stp>2</stp>
        <stp>10609484</stp>
        <tr r="H8" s="1"/>
      </tp>
      <tp t="s">
        <v>The formula must contain at least one field or function.</v>
        <stp/>
        <stp>1</stp>
        <stp>10609484</stp>
        <tr r="M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CA"/>
              <a:t>Composite Risk Score by Bank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C14-4BF4-BA99-8D63BE6D9D3F}"/>
            </c:ext>
          </c:extLst>
        </c:ser>
        <c:ser>
          <c:idx val="1"/>
          <c:order val="1"/>
          <c:tx>
            <c:v>Composite Risk Score</c:v>
          </c:tx>
          <c:invertIfNegative val="1"/>
          <c:cat>
            <c:strRef>
              <c:f>'Risk Score Model'!$A$8:$A$44</c:f>
              <c:strCache>
                <c:ptCount val="37"/>
                <c:pt idx="0">
                  <c:v>Citigroup</c:v>
                </c:pt>
                <c:pt idx="1">
                  <c:v>Bank of America</c:v>
                </c:pt>
                <c:pt idx="2">
                  <c:v>JPMorgan Chase</c:v>
                </c:pt>
                <c:pt idx="3">
                  <c:v>Goldman Sachs</c:v>
                </c:pt>
                <c:pt idx="4">
                  <c:v>Morgan Stanley</c:v>
                </c:pt>
                <c:pt idx="5">
                  <c:v>Wells Fargo</c:v>
                </c:pt>
                <c:pt idx="6">
                  <c:v>State Street Bank</c:v>
                </c:pt>
                <c:pt idx="7">
                  <c:v>France</c:v>
                </c:pt>
                <c:pt idx="8">
                  <c:v>BNP Paribas SA</c:v>
                </c:pt>
                <c:pt idx="9">
                  <c:v>Credit Agricole SA</c:v>
                </c:pt>
                <c:pt idx="10">
                  <c:v>Societe Generale</c:v>
                </c:pt>
                <c:pt idx="11">
                  <c:v>Switzerland</c:v>
                </c:pt>
                <c:pt idx="12">
                  <c:v>UBS Group AG</c:v>
                </c:pt>
                <c:pt idx="13">
                  <c:v>U.K.</c:v>
                </c:pt>
                <c:pt idx="14">
                  <c:v>Barclays Bank PLC</c:v>
                </c:pt>
                <c:pt idx="15">
                  <c:v>HSBC Holdings PLC</c:v>
                </c:pt>
                <c:pt idx="16">
                  <c:v>RBS Group PLC</c:v>
                </c:pt>
                <c:pt idx="17">
                  <c:v>Standard Chartered</c:v>
                </c:pt>
                <c:pt idx="18">
                  <c:v>Germany</c:v>
                </c:pt>
                <c:pt idx="19">
                  <c:v>Deutsche Bank AG</c:v>
                </c:pt>
                <c:pt idx="20">
                  <c:v>Commerzbank</c:v>
                </c:pt>
                <c:pt idx="21">
                  <c:v>Denmark</c:v>
                </c:pt>
                <c:pt idx="22">
                  <c:v>Danske</c:v>
                </c:pt>
                <c:pt idx="23">
                  <c:v>Japan</c:v>
                </c:pt>
                <c:pt idx="24">
                  <c:v>Mitsubishi</c:v>
                </c:pt>
                <c:pt idx="25">
                  <c:v>Sumitomo</c:v>
                </c:pt>
                <c:pt idx="26">
                  <c:v>Mizuho</c:v>
                </c:pt>
                <c:pt idx="27">
                  <c:v>Daiwa</c:v>
                </c:pt>
                <c:pt idx="28">
                  <c:v>Nomura</c:v>
                </c:pt>
                <c:pt idx="29">
                  <c:v>Canada</c:v>
                </c:pt>
                <c:pt idx="30">
                  <c:v>Bank of Nova Scotia</c:v>
                </c:pt>
                <c:pt idx="31">
                  <c:v>BMO</c:v>
                </c:pt>
                <c:pt idx="32">
                  <c:v>CIBC</c:v>
                </c:pt>
                <c:pt idx="33">
                  <c:v>TD</c:v>
                </c:pt>
                <c:pt idx="34">
                  <c:v>RBC</c:v>
                </c:pt>
                <c:pt idx="35">
                  <c:v>Nationale</c:v>
                </c:pt>
                <c:pt idx="36">
                  <c:v>Laurentian</c:v>
                </c:pt>
              </c:strCache>
            </c:strRef>
          </c:cat>
          <c:val>
            <c:numRef>
              <c:f>'Risk Score Model'!$G$8:$G$44</c:f>
              <c:numCache>
                <c:formatCode>0.0;[Red]\(0.0\);\-</c:formatCode>
                <c:ptCount val="37"/>
                <c:pt idx="0">
                  <c:v>70</c:v>
                </c:pt>
                <c:pt idx="1">
                  <c:v>56.66</c:v>
                </c:pt>
                <c:pt idx="2">
                  <c:v>0</c:v>
                </c:pt>
                <c:pt idx="3">
                  <c:v>59.96</c:v>
                </c:pt>
                <c:pt idx="4">
                  <c:v>93.36</c:v>
                </c:pt>
                <c:pt idx="5">
                  <c:v>36.64</c:v>
                </c:pt>
                <c:pt idx="6">
                  <c:v>33.340000000000003</c:v>
                </c:pt>
                <c:pt idx="8">
                  <c:v>0</c:v>
                </c:pt>
                <c:pt idx="9">
                  <c:v>30</c:v>
                </c:pt>
                <c:pt idx="10">
                  <c:v>100</c:v>
                </c:pt>
                <c:pt idx="12">
                  <c:v>0</c:v>
                </c:pt>
                <c:pt idx="14">
                  <c:v>86.68</c:v>
                </c:pt>
                <c:pt idx="15">
                  <c:v>0</c:v>
                </c:pt>
                <c:pt idx="16">
                  <c:v>53.32</c:v>
                </c:pt>
                <c:pt idx="17">
                  <c:v>59.980000000000004</c:v>
                </c:pt>
                <c:pt idx="19">
                  <c:v>60</c:v>
                </c:pt>
                <c:pt idx="20">
                  <c:v>40</c:v>
                </c:pt>
                <c:pt idx="22">
                  <c:v>0</c:v>
                </c:pt>
                <c:pt idx="24">
                  <c:v>30</c:v>
                </c:pt>
                <c:pt idx="25">
                  <c:v>35</c:v>
                </c:pt>
                <c:pt idx="26">
                  <c:v>40</c:v>
                </c:pt>
                <c:pt idx="27">
                  <c:v>55</c:v>
                </c:pt>
                <c:pt idx="28">
                  <c:v>90</c:v>
                </c:pt>
                <c:pt idx="30">
                  <c:v>88</c:v>
                </c:pt>
                <c:pt idx="31">
                  <c:v>28</c:v>
                </c:pt>
                <c:pt idx="32">
                  <c:v>60</c:v>
                </c:pt>
                <c:pt idx="33">
                  <c:v>32</c:v>
                </c:pt>
                <c:pt idx="34">
                  <c:v>60</c:v>
                </c:pt>
                <c:pt idx="35">
                  <c:v>32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14-4BF4-BA99-8D63BE6D9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1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0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13</xdr:row>
      <xdr:rowOff>0</xdr:rowOff>
    </xdr:from>
    <xdr:to>
      <xdr:col>17</xdr:col>
      <xdr:colOff>0</xdr:colOff>
      <xdr:row>42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5F02A0E3-C32E-48CE-B969-D4ABB72B01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nkofcanada.sharepoint.com/sites/D_FER_CRA/mcrag/RA%20Materials/Biweekly%20Meetings/Bi-Weekly%20Templates/CRAO%20-%20Markets%20Monitoring.xlsx" TargetMode="External"/><Relationship Id="rId1" Type="http://schemas.openxmlformats.org/officeDocument/2006/relationships/externalLinkPath" Target="https://bankofcanada.sharepoint.com/sites/D_FER_CRA/mcrag/RA%20Materials/Biweekly%20Meetings/Bi-Weekly%20Templates/CRAO%20-%20Markets%20Monitor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Log"/>
      <sheetName val="Bloomberg Codes"/>
      <sheetName val="_CIQHiddenCacheSheet"/>
      <sheetName val="Report"/>
      <sheetName val="TimeSeries_provinces_5yr"/>
      <sheetName val="TimeSeries_provinces"/>
      <sheetName val="Provinces"/>
      <sheetName val="Sovereign Indicators"/>
      <sheetName val="Bank Indicators"/>
      <sheetName val="DebtDist"/>
      <sheetName val="List"/>
    </sheetNames>
    <sheetDataSet>
      <sheetData sheetId="0" refreshError="1"/>
      <sheetData sheetId="1" refreshError="1"/>
      <sheetData sheetId="2">
        <row r="2">
          <cell r="O2" t="str">
            <v>Rating Code</v>
          </cell>
          <cell r="P2" t="str">
            <v>Equity Data</v>
          </cell>
          <cell r="Q2" t="str">
            <v>CDS 5Y</v>
          </cell>
          <cell r="R2" t="str">
            <v>CDS 1Y</v>
          </cell>
          <cell r="S2" t="str">
            <v>Corp Bond 5Y</v>
          </cell>
          <cell r="T2" t="str">
            <v>Liquidity Ratios</v>
          </cell>
          <cell r="U2" t="str">
            <v>General Debt Profile/Credit Tred</v>
          </cell>
        </row>
        <row r="3">
          <cell r="A3" t="str">
            <v>America</v>
          </cell>
          <cell r="N3" t="str">
            <v>Citigroup</v>
          </cell>
          <cell r="O3" t="str">
            <v>C US Equity</v>
          </cell>
          <cell r="P3" t="str">
            <v>C US Equity</v>
          </cell>
          <cell r="Q3" t="str">
            <v>CCGI1U5 CBIN Curncy</v>
          </cell>
          <cell r="R3" t="str">
            <v>CINC CDS USD SR 1Y D14</v>
          </cell>
          <cell r="S3" t="str">
            <v>C GB USD SR 5Y Corp</v>
          </cell>
        </row>
        <row r="4">
          <cell r="A4" t="str">
            <v>BRAZIL</v>
          </cell>
          <cell r="B4" t="str">
            <v>1323Z BZ Equity</v>
          </cell>
          <cell r="C4" t="str">
            <v>BRAZIL CDS USD SR 5Y D14 Corp</v>
          </cell>
          <cell r="D4" t="str">
            <v>GTBRL5Y Govt</v>
          </cell>
          <cell r="E4" t="str">
            <v>BCSWNPD Curncy</v>
          </cell>
          <cell r="F4" t="str">
            <v>IBOV Index</v>
          </cell>
          <cell r="G4" t="str">
            <v>USDBRL Curncy</v>
          </cell>
          <cell r="J4" t="str">
            <v>BZUETOTN Index</v>
          </cell>
          <cell r="N4" t="str">
            <v>Bank of America</v>
          </cell>
          <cell r="O4" t="str">
            <v>15581Z US Equity</v>
          </cell>
          <cell r="P4" t="str">
            <v>BAC US Equity</v>
          </cell>
          <cell r="Q4" t="str">
            <v>CBAC1U5 CBIN Curncy</v>
          </cell>
          <cell r="R4" t="str">
            <v>BOFA CDS USD SR 1Y D14</v>
          </cell>
          <cell r="S4" t="str">
            <v>BAC GB USD SR 5Y Corp</v>
          </cell>
        </row>
        <row r="5">
          <cell r="A5" t="str">
            <v>CANADA</v>
          </cell>
          <cell r="B5" t="str">
            <v>80710Z CN Equity</v>
          </cell>
          <cell r="C5" t="str">
            <v>CANPAC CDS USD SR 5Y D14 Corp</v>
          </cell>
          <cell r="D5" t="str">
            <v>GCAN5YR Index</v>
          </cell>
          <cell r="E5" t="str">
            <v>CDSW5 Curncy</v>
          </cell>
          <cell r="F5" t="str">
            <v>SPTSX Index</v>
          </cell>
          <cell r="G5" t="str">
            <v>USDCAD Curncy</v>
          </cell>
          <cell r="H5" t="str">
            <v>CACPIYOY Index</v>
          </cell>
          <cell r="I5" t="str">
            <v>CACPICHG Index</v>
          </cell>
          <cell r="J5" t="str">
            <v>CANLXEMR Index</v>
          </cell>
          <cell r="N5" t="str">
            <v>JPMorgan Chase &amp; Co</v>
          </cell>
          <cell r="O5" t="str">
            <v>8147Z US Equity</v>
          </cell>
          <cell r="P5" t="str">
            <v>JPM US Equity</v>
          </cell>
          <cell r="Q5" t="str">
            <v>CJPM1U5 CBIN Curncy</v>
          </cell>
          <cell r="R5" t="str">
            <v>JPMCC CDS USD SR 1Y D14</v>
          </cell>
          <cell r="S5" t="str">
            <v>JPM GB USD SR 5Y Corp</v>
          </cell>
        </row>
        <row r="6">
          <cell r="A6" t="str">
            <v>MEXICO</v>
          </cell>
          <cell r="B6" t="str">
            <v>1426Z MM Equity</v>
          </cell>
          <cell r="C6" t="str">
            <v>MEXICO CDS USD SR 5Y D14 Corp</v>
          </cell>
          <cell r="D6" t="str">
            <v>GMXN05YR Index</v>
          </cell>
          <cell r="E6" t="str">
            <v>MPSW5E Curncy</v>
          </cell>
          <cell r="F6" t="str">
            <v>MEXBOL Index</v>
          </cell>
          <cell r="G6" t="str">
            <v>USDMXN Curncy</v>
          </cell>
          <cell r="H6" t="str">
            <v>MXCPYOY Index</v>
          </cell>
          <cell r="I6" t="str">
            <v>MXCPCHNG Index</v>
          </cell>
          <cell r="J6" t="str">
            <v>MXUERATE Index</v>
          </cell>
          <cell r="N6" t="str">
            <v>BNP Paribas SA</v>
          </cell>
          <cell r="O6" t="str">
            <v>BNP FP Equity</v>
          </cell>
          <cell r="P6" t="str">
            <v>BNP FP Equity</v>
          </cell>
          <cell r="Q6" t="str">
            <v>CBNP1E5 CBIN Curncy</v>
          </cell>
          <cell r="R6" t="str">
            <v>BNP CDS EUR SR 1Y D14</v>
          </cell>
          <cell r="S6" t="str">
            <v>AL997029 Corp</v>
          </cell>
        </row>
        <row r="7">
          <cell r="A7" t="str">
            <v>UNITED STATES</v>
          </cell>
          <cell r="B7" t="str">
            <v>3352Z US Equity</v>
          </cell>
          <cell r="C7" t="str">
            <v>US CDS EUR SR 5Y D14 Corp</v>
          </cell>
          <cell r="D7" t="str">
            <v>USGG5YR Index</v>
          </cell>
          <cell r="E7" t="str">
            <v>USSWAP5 Curncy</v>
          </cell>
          <cell r="F7" t="str">
            <v>SPX Index</v>
          </cell>
          <cell r="H7" t="str">
            <v>CPI YOY Index</v>
          </cell>
          <cell r="I7" t="str">
            <v>CPI CHNG Index</v>
          </cell>
          <cell r="J7" t="str">
            <v>USURTOT Index</v>
          </cell>
          <cell r="N7" t="str">
            <v>Credit Agricole SA</v>
          </cell>
          <cell r="O7" t="str">
            <v>331900Z FP Equity</v>
          </cell>
          <cell r="P7" t="str">
            <v>ACA FP Equity</v>
          </cell>
          <cell r="Q7" t="str">
            <v>LCL SA CDS EUR SR 5Y D14 Corp</v>
          </cell>
          <cell r="R7" t="str">
            <v>LCL SA CDS EUR SR 1Y D14 Corp</v>
          </cell>
          <cell r="S7" t="str">
            <v>ACAFP 0.435 06/26/20 Corp</v>
          </cell>
        </row>
        <row r="8">
          <cell r="A8" t="str">
            <v>Europe</v>
          </cell>
          <cell r="N8" t="str">
            <v>Societe Generale SA</v>
          </cell>
          <cell r="O8" t="str">
            <v>GLE FP Equity</v>
          </cell>
          <cell r="P8" t="str">
            <v>GLE FP Equity</v>
          </cell>
          <cell r="Q8" t="str">
            <v>SOCGEN CDS EUR SR 5Y D14 Corp</v>
          </cell>
          <cell r="R8" t="str">
            <v>SOCGEN CDS EUR SR 1Y D14 Corp</v>
          </cell>
          <cell r="S8" t="str">
            <v>QJ659760 Corp</v>
          </cell>
        </row>
        <row r="9">
          <cell r="A9" t="str">
            <v>AUSTRIA</v>
          </cell>
          <cell r="B9" t="str">
            <v>1480Z AV Equity</v>
          </cell>
          <cell r="C9" t="str">
            <v>AUST CDS USD SR 5Y D14 Corp</v>
          </cell>
          <cell r="D9" t="str">
            <v>GAGB5YR Index</v>
          </cell>
          <cell r="E9" t="str">
            <v>EUSA5 CMPN Curncy</v>
          </cell>
          <cell r="F9" t="str">
            <v>ATX Index</v>
          </cell>
          <cell r="G9" t="str">
            <v>USDEUR Curncy</v>
          </cell>
          <cell r="H9" t="str">
            <v>ATCPYY10 Index</v>
          </cell>
          <cell r="J9" t="str">
            <v>ATUERNA Index</v>
          </cell>
          <cell r="N9" t="str">
            <v>UBS Group AG</v>
          </cell>
          <cell r="O9" t="str">
            <v>UBSN SW Equity</v>
          </cell>
          <cell r="P9" t="str">
            <v>UBSG SW Equity</v>
          </cell>
          <cell r="Q9" t="str">
            <v>UBS AG CDS EUR SR 5Y D14 Corp</v>
          </cell>
          <cell r="R9" t="str">
            <v>UBS CDS EUR SR 1Y D14 Corp</v>
          </cell>
          <cell r="S9" t="str">
            <v>UBS GB USD SR 3Y Corp</v>
          </cell>
        </row>
        <row r="10">
          <cell r="A10" t="str">
            <v>BELGIUM</v>
          </cell>
          <cell r="B10" t="str">
            <v>111136Z BB Equity</v>
          </cell>
          <cell r="C10" t="str">
            <v>BELG CDS USD SR 5Y D14 Corp</v>
          </cell>
          <cell r="D10" t="str">
            <v>GBGB5YR Index</v>
          </cell>
          <cell r="E10" t="str">
            <v>EUSA5 CMPN Curncy</v>
          </cell>
          <cell r="F10" t="str">
            <v>BEL20 Index</v>
          </cell>
          <cell r="G10" t="str">
            <v>USDEUR Curncy</v>
          </cell>
          <cell r="H10" t="str">
            <v>BECPYOY Index</v>
          </cell>
          <cell r="I10" t="str">
            <v>BECPCHNG Index</v>
          </cell>
          <cell r="J10" t="str">
            <v>BEUER Index</v>
          </cell>
          <cell r="N10" t="str">
            <v>HSBC Holdings PLC</v>
          </cell>
          <cell r="O10" t="str">
            <v>521903Z US Equity</v>
          </cell>
          <cell r="P10" t="str">
            <v>HSBA LN Equity</v>
          </cell>
          <cell r="Q10" t="str">
            <v>HSBCHD CDS GBP SR 5Y D14</v>
          </cell>
          <cell r="R10" t="str">
            <v>HSBCHD CDS GBP SR 1Y D14</v>
          </cell>
          <cell r="S10" t="str">
            <v>HSBC GB USD SR 5Y Corp</v>
          </cell>
        </row>
        <row r="11">
          <cell r="A11" t="str">
            <v>BRITAIN</v>
          </cell>
          <cell r="B11" t="str">
            <v>6152Z LN Equity</v>
          </cell>
          <cell r="C11" t="str">
            <v>UK CDS USD SR 5Y D14 Corp</v>
          </cell>
          <cell r="D11" t="str">
            <v>GUKG5 Index</v>
          </cell>
          <cell r="E11" t="str">
            <v>BPSW5 Curncy</v>
          </cell>
          <cell r="F11" t="str">
            <v>UKX Index</v>
          </cell>
          <cell r="G11" t="str">
            <v>USDGBP Curncy</v>
          </cell>
          <cell r="H11" t="str">
            <v>UKRPYOY Index</v>
          </cell>
          <cell r="I11" t="str">
            <v>UKRPMOM Index</v>
          </cell>
          <cell r="J11" t="str">
            <v>UKUEILOR Index</v>
          </cell>
          <cell r="N11" t="str">
            <v>Credit Suisse Group AG</v>
          </cell>
          <cell r="O11" t="str">
            <v>1236172D LN Equity</v>
          </cell>
          <cell r="P11" t="str">
            <v>CSGN SW Equity</v>
          </cell>
          <cell r="Q11" t="str">
            <v>CRDSUI CDS EUR SR 5Y D14 Corp</v>
          </cell>
          <cell r="R11" t="str">
            <v>CRDSUI CDS EUR SR 1Y D14 Corp</v>
          </cell>
          <cell r="S11" t="str">
            <v>CS GB USD SR 5Y Corp</v>
          </cell>
        </row>
        <row r="12">
          <cell r="A12" t="str">
            <v>CZECH REPUBLIC</v>
          </cell>
          <cell r="B12" t="str">
            <v>1040Z CP Equity</v>
          </cell>
          <cell r="C12" t="str">
            <v>CZECH CDS USD SR 5Y D14 Corp</v>
          </cell>
          <cell r="D12" t="str">
            <v>CZGB5YR Index</v>
          </cell>
          <cell r="E12" t="str">
            <v>CKSW5 Curncy</v>
          </cell>
          <cell r="F12" t="str">
            <v>PX Index</v>
          </cell>
          <cell r="G12" t="str">
            <v>USDCZK Curncy</v>
          </cell>
          <cell r="H12" t="str">
            <v>CZCPYOY Index</v>
          </cell>
          <cell r="I12" t="str">
            <v>CZCPMOM Index</v>
          </cell>
          <cell r="J12" t="str">
            <v>CZJLUNR Index</v>
          </cell>
          <cell r="N12" t="str">
            <v>RBS Group PLC</v>
          </cell>
          <cell r="O12" t="str">
            <v>RBS LN Equity</v>
          </cell>
          <cell r="P12" t="str">
            <v>RBS LN Equity</v>
          </cell>
          <cell r="Q12" t="str">
            <v>CRBS1E5 CBIN Curncy</v>
          </cell>
          <cell r="R12" t="str">
            <v>RPSPLC CDS EUR SR 1Y D14 Corp</v>
          </cell>
          <cell r="S12" t="str">
            <v>EI189405 Corp</v>
          </cell>
        </row>
        <row r="13">
          <cell r="A13" t="str">
            <v>DENMARK</v>
          </cell>
          <cell r="B13" t="str">
            <v>1271Z DC Equity</v>
          </cell>
          <cell r="C13" t="str">
            <v>DENK CDS USD SR 5Y D14 Corp</v>
          </cell>
          <cell r="D13" t="str">
            <v>GDGB5YR  Index</v>
          </cell>
          <cell r="E13" t="str">
            <v>DKSW5 Curncy</v>
          </cell>
          <cell r="F13" t="str">
            <v>KFX Index</v>
          </cell>
          <cell r="G13" t="str">
            <v>USDDKK Curncy</v>
          </cell>
          <cell r="H13" t="str">
            <v>DNCPIYOY Index</v>
          </cell>
          <cell r="I13" t="str">
            <v>DNCPIMOM Index</v>
          </cell>
          <cell r="J13" t="str">
            <v>DEUEGRAT Index</v>
          </cell>
          <cell r="N13" t="str">
            <v>Bank of Nova Scotia</v>
          </cell>
          <cell r="O13" t="str">
            <v>BNS CN Equity</v>
          </cell>
          <cell r="P13" t="str">
            <v>BNS CN Equity</v>
          </cell>
          <cell r="Q13" t="str">
            <v>BNS CDS USD SR 5Y D14 Corp</v>
          </cell>
          <cell r="R13" t="str">
            <v>BNS CDS USD SR 1Y D14 Corp</v>
          </cell>
          <cell r="S13" t="str">
            <v>BNS GB USD SR 5Y Corp</v>
          </cell>
        </row>
        <row r="14">
          <cell r="A14" t="str">
            <v>FINLAND</v>
          </cell>
          <cell r="B14" t="str">
            <v>1306Z FH Equity</v>
          </cell>
          <cell r="C14" t="str">
            <v>FINL CDS USD SR 5Y D14 Corp</v>
          </cell>
          <cell r="D14" t="str">
            <v>GFIN5YR Index</v>
          </cell>
          <cell r="E14" t="str">
            <v>EUSA5 CMPN Curncy</v>
          </cell>
          <cell r="F14" t="str">
            <v>HEX Index</v>
          </cell>
          <cell r="G14" t="str">
            <v>USDEUR Curncy</v>
          </cell>
          <cell r="H14" t="str">
            <v>FICP2YOY Index</v>
          </cell>
          <cell r="I14" t="str">
            <v>FICP2MOM Index</v>
          </cell>
          <cell r="J14" t="str">
            <v>FIUER Index</v>
          </cell>
          <cell r="N14" t="str">
            <v>BMO</v>
          </cell>
          <cell r="O14" t="str">
            <v>BMO CN Equity</v>
          </cell>
          <cell r="P14" t="str">
            <v>BMO CN Equity</v>
          </cell>
          <cell r="Q14" t="str">
            <v>BMO CDS USD SR 5Y D14 Corp</v>
          </cell>
          <cell r="R14" t="str">
            <v>BMO CDS USD SR 1Y D14 Corp</v>
          </cell>
          <cell r="S14" t="str">
            <v>QJ076587 Corp</v>
          </cell>
        </row>
        <row r="15">
          <cell r="A15" t="str">
            <v>FRANCE</v>
          </cell>
          <cell r="B15" t="str">
            <v>223727Z FP Equity</v>
          </cell>
          <cell r="C15" t="str">
            <v>FRANCE CDS USD SR 5Y D14 Corp</v>
          </cell>
          <cell r="D15" t="str">
            <v>GFRN5 Index</v>
          </cell>
          <cell r="E15" t="str">
            <v>EUSA5 CMPN Curncy</v>
          </cell>
          <cell r="F15" t="str">
            <v>CAC Index</v>
          </cell>
          <cell r="G15" t="str">
            <v>USDEUR Curncy</v>
          </cell>
          <cell r="H15" t="str">
            <v>FRCPISYY Index</v>
          </cell>
          <cell r="I15" t="str">
            <v>FRCPISMM Index</v>
          </cell>
          <cell r="J15" t="str">
            <v>FRUEREU Index</v>
          </cell>
          <cell r="N15" t="str">
            <v>CIBC</v>
          </cell>
          <cell r="O15" t="str">
            <v>CM CN Equity</v>
          </cell>
          <cell r="P15" t="str">
            <v>CM CN Equity</v>
          </cell>
          <cell r="S15" t="str">
            <v>CM 1.85 07/14/20 Corp</v>
          </cell>
        </row>
        <row r="16">
          <cell r="A16" t="str">
            <v>GERMANY</v>
          </cell>
          <cell r="B16" t="str">
            <v>3413Z GR Equity</v>
          </cell>
          <cell r="C16" t="str">
            <v>GERMAN CDS USD SR 5Y D14 Corp</v>
          </cell>
          <cell r="D16" t="str">
            <v>GDBR5 Index</v>
          </cell>
          <cell r="E16" t="str">
            <v>EUSA5 CMPN Curncy</v>
          </cell>
          <cell r="F16" t="str">
            <v>DAX Index</v>
          </cell>
          <cell r="G16" t="str">
            <v>USDEUR Curncy</v>
          </cell>
          <cell r="H16" t="str">
            <v>GRCP20YY Index</v>
          </cell>
          <cell r="I16" t="str">
            <v>GRCP20MM Index</v>
          </cell>
          <cell r="J16" t="str">
            <v>GRUEPR Index</v>
          </cell>
          <cell r="N16" t="str">
            <v>TD</v>
          </cell>
          <cell r="O16" t="str">
            <v>TD US Equity</v>
          </cell>
          <cell r="P16" t="str">
            <v>TD CN Equity</v>
          </cell>
          <cell r="Q16" t="str">
            <v>TD CDS USD SR 5Y D14 Corp</v>
          </cell>
          <cell r="R16" t="str">
            <v>TD CDS USD SR 1Y D14 Corp</v>
          </cell>
          <cell r="S16" t="str">
            <v>TD 2.621 12/22/21 Corp</v>
          </cell>
        </row>
        <row r="17">
          <cell r="A17" t="str">
            <v>GREECE</v>
          </cell>
          <cell r="B17" t="str">
            <v>1004Z GA Equity</v>
          </cell>
          <cell r="C17" t="str">
            <v>GREECE CDS USD SR 5Y D14 Corp</v>
          </cell>
          <cell r="D17" t="str">
            <v>GGGB5YR Index</v>
          </cell>
          <cell r="E17" t="str">
            <v>EUSA5 CMPN Curncy</v>
          </cell>
          <cell r="F17" t="str">
            <v>ASE Index</v>
          </cell>
          <cell r="G17" t="str">
            <v>USDEUR Curncy</v>
          </cell>
          <cell r="H17" t="str">
            <v>GKCPNEWY Index</v>
          </cell>
          <cell r="I17" t="str">
            <v>GKCPNEWM Index</v>
          </cell>
          <cell r="J17" t="str">
            <v>GKUERATE Index</v>
          </cell>
          <cell r="N17" t="str">
            <v>RBC</v>
          </cell>
          <cell r="O17" t="str">
            <v>RY CN Equity</v>
          </cell>
          <cell r="P17" t="str">
            <v>RY CN Equity</v>
          </cell>
          <cell r="S17" t="str">
            <v>RY GB USD SR 5Y Corp</v>
          </cell>
        </row>
        <row r="18">
          <cell r="A18" t="str">
            <v>IRELAND</v>
          </cell>
          <cell r="B18" t="str">
            <v>1266Z ID Equity</v>
          </cell>
          <cell r="C18" t="str">
            <v>IRELND CDS USD SR 5Y D14 Corp</v>
          </cell>
          <cell r="D18" t="str">
            <v>GTIEP5YR  Corp</v>
          </cell>
          <cell r="E18" t="str">
            <v>EUSA5 CMPN Curncy</v>
          </cell>
          <cell r="F18" t="str">
            <v>ISEQ Index</v>
          </cell>
          <cell r="G18" t="str">
            <v>USDEUR Curncy</v>
          </cell>
          <cell r="H18" t="str">
            <v>IECPIYOY Index</v>
          </cell>
          <cell r="I18" t="str">
            <v>IECPIMOM Index</v>
          </cell>
          <cell r="J18" t="str">
            <v>IEUERT Index</v>
          </cell>
          <cell r="N18" t="str">
            <v>Nationale</v>
          </cell>
          <cell r="O18" t="str">
            <v>NA CN Equity</v>
          </cell>
          <cell r="P18" t="str">
            <v>NA CN Equity</v>
          </cell>
          <cell r="S18" t="str">
            <v>EK777641 Corp</v>
          </cell>
        </row>
        <row r="19">
          <cell r="A19" t="str">
            <v>ITALY</v>
          </cell>
          <cell r="B19" t="str">
            <v>2103Z IM Equity</v>
          </cell>
          <cell r="C19" t="str">
            <v>ITALY CDS USD SR 5Y D14 Corp</v>
          </cell>
          <cell r="D19" t="str">
            <v>GBTPGR5 Index</v>
          </cell>
          <cell r="E19" t="str">
            <v>EUSA5 CMPN Curncy</v>
          </cell>
          <cell r="F19" t="str">
            <v>FTSEMIB Index</v>
          </cell>
          <cell r="G19" t="str">
            <v>USDEUR Curncy</v>
          </cell>
          <cell r="H19" t="str">
            <v>ITCPNICY Index</v>
          </cell>
          <cell r="I19" t="str">
            <v>ITCPNICM Index</v>
          </cell>
          <cell r="J19" t="str">
            <v>ITMUURS Index</v>
          </cell>
          <cell r="N19" t="str">
            <v>Deutche Bank AG</v>
          </cell>
          <cell r="O19" t="str">
            <v>DBK GR Equity</v>
          </cell>
          <cell r="P19" t="str">
            <v>DBK GR Equity</v>
          </cell>
          <cell r="Q19" t="str">
            <v>CDB1E5 CBIN Curncy</v>
          </cell>
          <cell r="R19" t="str">
            <v>DB CDS EUR SR 1Y D14</v>
          </cell>
          <cell r="S19" t="str">
            <v>LW0631934 Corp</v>
          </cell>
        </row>
        <row r="20">
          <cell r="A20" t="str">
            <v>LUXEMBOURG</v>
          </cell>
          <cell r="B20" t="str">
            <v>1110Z LX Equity</v>
          </cell>
          <cell r="C20" t="str">
            <v>LUXEMBOURG CDS USD SR 5Y D14 Corp</v>
          </cell>
          <cell r="D20" t="str">
            <v>EI2501308 Corp</v>
          </cell>
          <cell r="E20" t="str">
            <v>EUSA5 CMPN Curncy</v>
          </cell>
          <cell r="F20" t="str">
            <v>LUXXX Index</v>
          </cell>
          <cell r="G20" t="str">
            <v>USDEUR Curncy</v>
          </cell>
          <cell r="H20" t="str">
            <v>LXCPIYOY Index</v>
          </cell>
          <cell r="J20" t="str">
            <v>LXUERS Index</v>
          </cell>
          <cell r="N20" t="str">
            <v>Barclays Bank PLC</v>
          </cell>
          <cell r="P20" t="str">
            <v>BARC LN Equity</v>
          </cell>
          <cell r="Q20" t="str">
            <v>CBAR1E5 CBIN Curncy</v>
          </cell>
          <cell r="R20" t="str">
            <v>CBAR1E1 CBIN Curncy</v>
          </cell>
          <cell r="S20" t="str">
            <v>BACR GB USD SR 5Y Corp</v>
          </cell>
        </row>
        <row r="21">
          <cell r="A21" t="str">
            <v>NETHERLANDS</v>
          </cell>
          <cell r="B21" t="str">
            <v>1533Z NA Equity</v>
          </cell>
          <cell r="C21" t="str">
            <v>NETHER CDS USD SR 5Y D14 Corp</v>
          </cell>
          <cell r="D21" t="str">
            <v>GNTH5YR Index</v>
          </cell>
          <cell r="E21" t="str">
            <v>EUSA5 CMPN Curncy</v>
          </cell>
          <cell r="F21" t="str">
            <v>AEX Index</v>
          </cell>
          <cell r="G21" t="str">
            <v>USDEUR Curncy</v>
          </cell>
          <cell r="H21" t="str">
            <v>NECPIYOY Index</v>
          </cell>
          <cell r="I21" t="str">
            <v>NECPIMOM Index</v>
          </cell>
          <cell r="J21" t="str">
            <v>NEUETOTR Index</v>
          </cell>
          <cell r="N21" t="str">
            <v>Goldman Sachs Group</v>
          </cell>
          <cell r="P21" t="str">
            <v>GS US Equity</v>
          </cell>
          <cell r="Q21" t="str">
            <v>CGS1U5 CBIN Curncy</v>
          </cell>
          <cell r="R21" t="str">
            <v>CGS1U1 CBIN Curncy</v>
          </cell>
          <cell r="S21" t="str">
            <v>GS GB USD SR 5Y Corp</v>
          </cell>
        </row>
        <row r="22">
          <cell r="A22" t="str">
            <v>NORWAY</v>
          </cell>
          <cell r="B22" t="str">
            <v>1233Z NO Equity</v>
          </cell>
          <cell r="C22" t="str">
            <v>NORWAY CDS USD SR 5Y D14 Corp</v>
          </cell>
          <cell r="D22" t="str">
            <v>EI2488605 Corp</v>
          </cell>
          <cell r="E22" t="str">
            <v>NKSW5 Curncy</v>
          </cell>
          <cell r="F22" t="str">
            <v>OSEAX Index</v>
          </cell>
          <cell r="G22" t="str">
            <v>USDNOK Curncy</v>
          </cell>
          <cell r="H22" t="str">
            <v>NOCPIYOY Index</v>
          </cell>
          <cell r="I22" t="str">
            <v>NOCPIMOM Index</v>
          </cell>
          <cell r="J22" t="str">
            <v>NOLBRATE Index</v>
          </cell>
          <cell r="N22" t="str">
            <v>Morgan Stanley</v>
          </cell>
          <cell r="P22" t="str">
            <v>MS US Equity</v>
          </cell>
          <cell r="Q22" t="str">
            <v>CMWD1U5 CBIN Curncy</v>
          </cell>
          <cell r="R22" t="str">
            <v>MS CDS USD SR 1Y D14</v>
          </cell>
          <cell r="S22" t="str">
            <v>MS GB USD SR 5Y Corp</v>
          </cell>
        </row>
        <row r="23">
          <cell r="A23" t="str">
            <v>POLAND</v>
          </cell>
          <cell r="B23" t="str">
            <v>1084Z PW Equity</v>
          </cell>
          <cell r="C23" t="str">
            <v>POLAND CDS USD SR 5Y D14 Corp</v>
          </cell>
          <cell r="D23" t="str">
            <v>POGB5YR Index</v>
          </cell>
          <cell r="E23" t="str">
            <v>PZSW5 Curncy</v>
          </cell>
          <cell r="F23" t="str">
            <v>WIG Index</v>
          </cell>
          <cell r="G23" t="str">
            <v>USDPLN Curncy</v>
          </cell>
          <cell r="H23" t="str">
            <v>POCPIYOY Index</v>
          </cell>
          <cell r="I23" t="str">
            <v>POCPIMOM Index</v>
          </cell>
          <cell r="J23" t="str">
            <v>POUER Index</v>
          </cell>
          <cell r="N23" t="str">
            <v>State Street Bank &amp; Trust</v>
          </cell>
          <cell r="P23" t="str">
            <v>STT US Equity</v>
          </cell>
          <cell r="Q23" t="str">
            <v>STT CDS USD SR 5Y D14</v>
          </cell>
          <cell r="R23" t="str">
            <v>STT CDS USD SR 1Y D14</v>
          </cell>
          <cell r="S23" t="str">
            <v>STT GB USD SR 5Y Corp</v>
          </cell>
        </row>
        <row r="24">
          <cell r="A24" t="str">
            <v>PORTUGAL</v>
          </cell>
          <cell r="B24" t="str">
            <v>1174Z PL Equity</v>
          </cell>
          <cell r="C24" t="str">
            <v>PORTUG CDS USD SR 5Y D14 Corp</v>
          </cell>
          <cell r="D24" t="str">
            <v>GSPT5YR Index</v>
          </cell>
          <cell r="E24" t="str">
            <v>EUSA5 CMPN Curncy</v>
          </cell>
          <cell r="F24" t="str">
            <v>PSI20 Index</v>
          </cell>
          <cell r="G24" t="str">
            <v>USDEUR Curncy</v>
          </cell>
          <cell r="H24" t="str">
            <v>PLCPYOY Index</v>
          </cell>
          <cell r="I24" t="str">
            <v>PLCPMOM Index</v>
          </cell>
          <cell r="J24" t="str">
            <v>PTUE Index</v>
          </cell>
        </row>
        <row r="25">
          <cell r="A25" t="str">
            <v>SLOVENIA</v>
          </cell>
          <cell r="B25" t="str">
            <v>1091Z SV Equity</v>
          </cell>
          <cell r="C25" t="str">
            <v>SLOVEN CDS USD SR 5Y D14 Corp</v>
          </cell>
          <cell r="D25" t="str">
            <v>EI1152335 Corp</v>
          </cell>
          <cell r="E25" t="str">
            <v>EUSA5 CMPN Curncy</v>
          </cell>
          <cell r="F25" t="str">
            <v>SBITOP Index</v>
          </cell>
          <cell r="G25" t="str">
            <v>USDEUR Curncy</v>
          </cell>
          <cell r="H25" t="str">
            <v>SVCPYOY Index</v>
          </cell>
          <cell r="I25" t="str">
            <v>SVCPMOM Index</v>
          </cell>
          <cell r="J25" t="str">
            <v>SVUER Index</v>
          </cell>
        </row>
        <row r="26">
          <cell r="A26" t="str">
            <v>SPAIN</v>
          </cell>
          <cell r="B26" t="str">
            <v>1841Z SM Equity</v>
          </cell>
          <cell r="C26" t="str">
            <v>SPAIN CDS USD SR 5Y D14 Corp</v>
          </cell>
          <cell r="D26" t="str">
            <v>GSPG5YR Index</v>
          </cell>
          <cell r="E26" t="str">
            <v>EUSA5 CMPN Curncy</v>
          </cell>
          <cell r="F26" t="str">
            <v>IBEX Index</v>
          </cell>
          <cell r="G26" t="str">
            <v>USDEUR Curncy</v>
          </cell>
          <cell r="H26" t="str">
            <v>SPIPCYOY Index</v>
          </cell>
          <cell r="I26" t="str">
            <v>SPIPCMOM Index</v>
          </cell>
          <cell r="J26" t="str">
            <v>SPUNEMPR Index</v>
          </cell>
        </row>
        <row r="27">
          <cell r="A27" t="str">
            <v>SWEDEN</v>
          </cell>
          <cell r="B27" t="str">
            <v>1179Z SS Equity</v>
          </cell>
          <cell r="C27" t="str">
            <v>SWED CDS USD SR 5Y D14 Corp</v>
          </cell>
          <cell r="D27" t="str">
            <v>GSGB5YR Index</v>
          </cell>
          <cell r="E27" t="str">
            <v>SKSW5 Curncy</v>
          </cell>
          <cell r="F27" t="str">
            <v>OMX Index</v>
          </cell>
          <cell r="G27" t="str">
            <v>USDSEK Index</v>
          </cell>
          <cell r="H27" t="str">
            <v>SWCPYOY Index</v>
          </cell>
          <cell r="I27" t="str">
            <v>SWCPMOM Index</v>
          </cell>
          <cell r="J27" t="str">
            <v>SWUERATE Index</v>
          </cell>
        </row>
        <row r="28">
          <cell r="A28" t="str">
            <v>SWITZERLAND</v>
          </cell>
          <cell r="B28" t="str">
            <v>344758Z SW Equity</v>
          </cell>
          <cell r="C28" t="str">
            <v>SWISS CDS USD SR 5Y D14 Corp</v>
          </cell>
          <cell r="D28" t="str">
            <v>GSWISS05 Index</v>
          </cell>
          <cell r="E28" t="str">
            <v>SFSW5 Curncy</v>
          </cell>
          <cell r="F28" t="str">
            <v>SMI Index</v>
          </cell>
          <cell r="G28" t="str">
            <v>USDCHF Curncy</v>
          </cell>
          <cell r="H28" t="str">
            <v>SZCPIYOY Index</v>
          </cell>
          <cell r="I28" t="str">
            <v>SZCPIMOM Index</v>
          </cell>
          <cell r="J28" t="str">
            <v>SZUEUEA Index</v>
          </cell>
        </row>
        <row r="29">
          <cell r="A29" t="str">
            <v>UKRAINE</v>
          </cell>
          <cell r="B29" t="str">
            <v>1089Z UZ Equity</v>
          </cell>
          <cell r="C29" t="str">
            <v>CUKR1U5 CBBT Curncy</v>
          </cell>
          <cell r="D29" t="str">
            <v>GTUAH5YR  Corp</v>
          </cell>
          <cell r="E29" t="str">
            <v>UKSW5 Curncy</v>
          </cell>
          <cell r="F29" t="str">
            <v>PFTS Index</v>
          </cell>
          <cell r="G29" t="str">
            <v>USDUAH Curncy</v>
          </cell>
          <cell r="H29" t="str">
            <v>UACPTYOY Index</v>
          </cell>
          <cell r="J29" t="str">
            <v>UAUEILO Index</v>
          </cell>
        </row>
        <row r="30">
          <cell r="A30" t="str">
            <v>Asia/Pacific</v>
          </cell>
        </row>
        <row r="31">
          <cell r="A31" t="str">
            <v>AUSTRALIA</v>
          </cell>
          <cell r="B31" t="str">
            <v>1525Z AU Equity</v>
          </cell>
          <cell r="C31" t="str">
            <v>AUSTLA CDS USD SR 5Y D14 Corp</v>
          </cell>
          <cell r="D31" t="str">
            <v>GACGB5 Index</v>
          </cell>
          <cell r="E31" t="str">
            <v>ADSWAP5 Curncy</v>
          </cell>
          <cell r="F31" t="str">
            <v>AS51 Index</v>
          </cell>
          <cell r="G31" t="str">
            <v>USDAUD Curncy</v>
          </cell>
          <cell r="H31" t="str">
            <v>AUCPIYOY Index</v>
          </cell>
          <cell r="I31" t="str">
            <v>AUCPICHG Index</v>
          </cell>
          <cell r="J31" t="str">
            <v>AULFUNEM Index</v>
          </cell>
        </row>
        <row r="32">
          <cell r="A32" t="str">
            <v>CHINA</v>
          </cell>
          <cell r="B32" t="str">
            <v>PRCH CH Equity</v>
          </cell>
          <cell r="C32" t="str">
            <v>CHINAGOV CDS USD SR 5Y D14 Corp</v>
          </cell>
          <cell r="D32" t="str">
            <v>GCNY5YR Index</v>
          </cell>
          <cell r="E32" t="str">
            <v>CCSWN5 Curncy</v>
          </cell>
          <cell r="F32" t="str">
            <v>SHCOMP Index</v>
          </cell>
          <cell r="G32" t="str">
            <v>USDCNY Index</v>
          </cell>
          <cell r="H32" t="str">
            <v>CNCPIYOY Index</v>
          </cell>
          <cell r="J32" t="str">
            <v>CNUERATE Index</v>
          </cell>
        </row>
        <row r="33">
          <cell r="A33" t="str">
            <v>HONG KONG</v>
          </cell>
          <cell r="B33" t="str">
            <v>3343935Z HK Equity</v>
          </cell>
          <cell r="C33" t="str">
            <v>HONGK CDS USD SR 5Y D14 Corp</v>
          </cell>
          <cell r="D33" t="str">
            <v>EI4809337 Corp</v>
          </cell>
          <cell r="E33" t="str">
            <v>HDSW5 Curncy</v>
          </cell>
          <cell r="F33" t="str">
            <v>HSI Index</v>
          </cell>
          <cell r="G33" t="str">
            <v>USDHKD Curncy</v>
          </cell>
          <cell r="H33" t="str">
            <v>HKCPIY Index</v>
          </cell>
          <cell r="I33" t="str">
            <v>HKCPIM Index</v>
          </cell>
          <cell r="J33" t="str">
            <v>HKUERATE Index</v>
          </cell>
        </row>
        <row r="34">
          <cell r="A34" t="str">
            <v>INDIA</v>
          </cell>
          <cell r="B34" t="str">
            <v>1504Z IN Equity</v>
          </cell>
          <cell r="C34" t="str">
            <v>INDIA CDS USD SR 5Y D14 Corp</v>
          </cell>
          <cell r="D34" t="str">
            <v>GIND5YR Index</v>
          </cell>
          <cell r="E34" t="str">
            <v>IRSWO5 Curncy</v>
          </cell>
          <cell r="F34" t="str">
            <v>SENSEX Index</v>
          </cell>
          <cell r="G34" t="str">
            <v>USDINR Curncy</v>
          </cell>
          <cell r="H34" t="str">
            <v>INFUTOTY Index</v>
          </cell>
          <cell r="J34" t="str">
            <v>INUNCIA Index</v>
          </cell>
        </row>
        <row r="35">
          <cell r="A35" t="str">
            <v>JAPAN</v>
          </cell>
          <cell r="B35" t="str">
            <v>JAPZ JP Equity</v>
          </cell>
          <cell r="C35" t="str">
            <v>JAPAN CDS USD SR 5Y D14 Corp</v>
          </cell>
          <cell r="D35" t="str">
            <v>GJGB5 Index</v>
          </cell>
          <cell r="E35" t="str">
            <v>JYSWAP5 Curncy</v>
          </cell>
          <cell r="F35" t="str">
            <v>TPX Index</v>
          </cell>
          <cell r="G35" t="str">
            <v>USDJPY BGN Curncy</v>
          </cell>
          <cell r="H35" t="str">
            <v>JNCPIYOY Index</v>
          </cell>
          <cell r="J35" t="str">
            <v>JNUE Index</v>
          </cell>
        </row>
        <row r="36">
          <cell r="A36" t="str">
            <v>MALAYSIA</v>
          </cell>
          <cell r="B36" t="str">
            <v>1124Z MK Equity</v>
          </cell>
          <cell r="C36" t="str">
            <v>MALAYS CDS USD SR 5Y D14 Corp</v>
          </cell>
          <cell r="D36" t="str">
            <v>MGIY5Y Index</v>
          </cell>
          <cell r="E36" t="str">
            <v>MRSWQO5 Curncy</v>
          </cell>
          <cell r="F36" t="str">
            <v>FBMKLCI Index</v>
          </cell>
          <cell r="G36" t="str">
            <v>USDMYR Curncy</v>
          </cell>
          <cell r="H36" t="str">
            <v>MACPIYOY Index</v>
          </cell>
          <cell r="I36" t="str">
            <v>MACPIMOM Index</v>
          </cell>
          <cell r="J36" t="str">
            <v>MAEPRATE Index</v>
          </cell>
        </row>
        <row r="37">
          <cell r="A37" t="str">
            <v>NEW ZEALAND</v>
          </cell>
          <cell r="B37" t="str">
            <v>46443Z NZ Equity</v>
          </cell>
          <cell r="C37" t="str">
            <v>NZ CDS USD SR 5Y D14 Corp</v>
          </cell>
          <cell r="D37" t="str">
            <v>GNZGB5 Index</v>
          </cell>
          <cell r="E37" t="str">
            <v>NDSWAP5 Curncy</v>
          </cell>
          <cell r="F37" t="str">
            <v>NZSE50FG Index</v>
          </cell>
          <cell r="G37" t="str">
            <v>USDNZD Curncy</v>
          </cell>
          <cell r="H37" t="str">
            <v>NZCPIYOY Index</v>
          </cell>
          <cell r="I37" t="str">
            <v>NZCPICHG Index</v>
          </cell>
          <cell r="J37" t="str">
            <v>NZLFUNER Index</v>
          </cell>
        </row>
        <row r="38">
          <cell r="A38" t="str">
            <v>RUSSIA</v>
          </cell>
          <cell r="B38" t="str">
            <v>4458Z RU Equity</v>
          </cell>
          <cell r="C38" t="str">
            <v>RUSSIA CDS USD SR 5Y D14 Corp</v>
          </cell>
          <cell r="D38" t="str">
            <v>GTRUB5YR  Corp</v>
          </cell>
          <cell r="F38" t="str">
            <v>INDEXCF Index</v>
          </cell>
          <cell r="G38" t="str">
            <v>USDRUB Curncy</v>
          </cell>
          <cell r="H38" t="str">
            <v>RUCPIYOY Index</v>
          </cell>
          <cell r="I38" t="str">
            <v>RUCPIMOM Index</v>
          </cell>
          <cell r="J38" t="str">
            <v>RUUER Index</v>
          </cell>
        </row>
        <row r="39">
          <cell r="A39" t="str">
            <v>SINGAPORE</v>
          </cell>
          <cell r="B39" t="str">
            <v>1545Z SP Equity</v>
          </cell>
          <cell r="C39" t="str">
            <v>SINGAP CDS USD SR 5Y D14 Corp</v>
          </cell>
          <cell r="D39" t="str">
            <v>MASB5Y Index</v>
          </cell>
          <cell r="E39" t="str">
            <v>SDSW5 Curncy</v>
          </cell>
          <cell r="F39" t="str">
            <v>FSSTI Index</v>
          </cell>
          <cell r="G39" t="str">
            <v>USDSGD Curncy</v>
          </cell>
          <cell r="H39" t="str">
            <v>SICPIYOY Index</v>
          </cell>
          <cell r="I39" t="str">
            <v>SICPIMOM Index</v>
          </cell>
          <cell r="J39" t="str">
            <v>SIQUTOTA Index</v>
          </cell>
        </row>
        <row r="40">
          <cell r="A40" t="str">
            <v>SOUTH KOREA</v>
          </cell>
          <cell r="B40" t="str">
            <v>ROKZ KS Equity</v>
          </cell>
          <cell r="C40" t="str">
            <v>KOREA CDS USD SR 5Y D14 Corp</v>
          </cell>
          <cell r="D40" t="str">
            <v>GVSK5YR Index</v>
          </cell>
          <cell r="E40" t="str">
            <v>KWSWO5 Curncy</v>
          </cell>
          <cell r="F40" t="str">
            <v>KOSPI Index</v>
          </cell>
          <cell r="G40" t="str">
            <v>USDKRW Curncy</v>
          </cell>
          <cell r="H40" t="str">
            <v>KOCPIYOY Index</v>
          </cell>
          <cell r="I40" t="str">
            <v>KOCPIMOM Index</v>
          </cell>
          <cell r="J40" t="str">
            <v>KOEAUERS Index</v>
          </cell>
        </row>
        <row r="41">
          <cell r="A41" t="str">
            <v>TAIWAN</v>
          </cell>
          <cell r="B41" t="str">
            <v>116657Z TT Equity</v>
          </cell>
          <cell r="D41" t="str">
            <v>GVTW5YR Index</v>
          </cell>
          <cell r="E41" t="str">
            <v>NTSWO5 Curncy</v>
          </cell>
          <cell r="F41" t="str">
            <v>TWSE Index</v>
          </cell>
          <cell r="G41" t="str">
            <v>USDTWD Curncy</v>
          </cell>
          <cell r="H41" t="str">
            <v>TWCPIYOY Index</v>
          </cell>
          <cell r="I41" t="str">
            <v>TWCPII Index</v>
          </cell>
          <cell r="J41" t="str">
            <v>TWLFADJ Index</v>
          </cell>
        </row>
        <row r="42">
          <cell r="A42" t="str">
            <v>THAILAND</v>
          </cell>
          <cell r="B42" t="str">
            <v>1179Z TB Equity</v>
          </cell>
          <cell r="C42" t="str">
            <v>THAI CDS USD SR 5Y D14 Corp</v>
          </cell>
          <cell r="D42" t="str">
            <v>GVTL5YR Index</v>
          </cell>
          <cell r="E42" t="str">
            <v>TBSWO5 Curncy</v>
          </cell>
          <cell r="F42" t="str">
            <v>SET Index</v>
          </cell>
          <cell r="G42" t="str">
            <v>USDTHB Curncy</v>
          </cell>
          <cell r="H42" t="str">
            <v>THCPIYOY Index</v>
          </cell>
          <cell r="I42" t="str">
            <v>THCPIMOM Index</v>
          </cell>
          <cell r="J42" t="str">
            <v>THLMUERT Index</v>
          </cell>
        </row>
        <row r="43">
          <cell r="A43" t="str">
            <v>South Africa</v>
          </cell>
          <cell r="B43" t="str">
            <v>50184Z SJ Equity</v>
          </cell>
          <cell r="C43" t="str">
            <v>REPSOU CDS USD SR 5Y D14 Corp</v>
          </cell>
          <cell r="D43" t="str">
            <v>GTZAR5Y Govt</v>
          </cell>
          <cell r="E43" t="str">
            <v>SASW5 Curncy</v>
          </cell>
          <cell r="F43" t="str">
            <v>TOP40 Index</v>
          </cell>
          <cell r="G43" t="str">
            <v>USDZAR Curncy</v>
          </cell>
          <cell r="H43" t="str">
            <v>SCP8EPNY Index</v>
          </cell>
          <cell r="I43" t="str">
            <v>SCP8014M Index</v>
          </cell>
          <cell r="J43" t="str">
            <v>SAUERATQ Index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">
          <cell r="C1">
            <v>46218</v>
          </cell>
        </row>
      </sheetData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470B1-205A-4F08-93BB-DDF91FA1D97F}">
  <dimension ref="A1:DB1"/>
  <sheetViews>
    <sheetView workbookViewId="0"/>
  </sheetViews>
  <sheetFormatPr defaultRowHeight="14.5"/>
  <sheetData>
    <row r="1" spans="1:106">
      <c r="A1">
        <v>106</v>
      </c>
      <c r="B1" t="s">
        <v>267</v>
      </c>
      <c r="C1" t="s">
        <v>268</v>
      </c>
      <c r="D1" t="s">
        <v>269</v>
      </c>
      <c r="E1" t="s">
        <v>270</v>
      </c>
      <c r="F1" t="s">
        <v>271</v>
      </c>
      <c r="G1" t="s">
        <v>272</v>
      </c>
      <c r="H1" t="s">
        <v>273</v>
      </c>
      <c r="I1" t="s">
        <v>274</v>
      </c>
      <c r="J1" t="s">
        <v>275</v>
      </c>
      <c r="K1" t="s">
        <v>276</v>
      </c>
      <c r="L1" t="s">
        <v>277</v>
      </c>
      <c r="M1" t="s">
        <v>278</v>
      </c>
      <c r="N1" t="s">
        <v>279</v>
      </c>
      <c r="O1" t="s">
        <v>280</v>
      </c>
      <c r="P1" t="s">
        <v>281</v>
      </c>
      <c r="Q1" t="s">
        <v>282</v>
      </c>
      <c r="R1" t="s">
        <v>283</v>
      </c>
      <c r="S1" t="s">
        <v>284</v>
      </c>
      <c r="T1" t="s">
        <v>285</v>
      </c>
      <c r="U1" t="s">
        <v>286</v>
      </c>
      <c r="V1" t="s">
        <v>287</v>
      </c>
      <c r="W1" t="s">
        <v>288</v>
      </c>
      <c r="X1" t="s">
        <v>289</v>
      </c>
      <c r="Y1" t="s">
        <v>290</v>
      </c>
      <c r="Z1" t="s">
        <v>291</v>
      </c>
      <c r="AA1" t="s">
        <v>292</v>
      </c>
      <c r="AB1" t="s">
        <v>293</v>
      </c>
      <c r="AC1" t="s">
        <v>294</v>
      </c>
      <c r="AD1" t="s">
        <v>295</v>
      </c>
      <c r="AE1" t="s">
        <v>296</v>
      </c>
      <c r="AF1" t="s">
        <v>297</v>
      </c>
      <c r="AG1" t="s">
        <v>298</v>
      </c>
      <c r="AH1" t="s">
        <v>299</v>
      </c>
      <c r="AI1" t="s">
        <v>300</v>
      </c>
      <c r="AJ1" t="s">
        <v>301</v>
      </c>
      <c r="AK1" t="s">
        <v>302</v>
      </c>
      <c r="AL1" t="s">
        <v>303</v>
      </c>
      <c r="AM1" t="s">
        <v>304</v>
      </c>
      <c r="AN1" t="s">
        <v>305</v>
      </c>
      <c r="AO1" t="s">
        <v>306</v>
      </c>
      <c r="AP1" t="s">
        <v>307</v>
      </c>
      <c r="AQ1" t="s">
        <v>308</v>
      </c>
      <c r="AR1" t="s">
        <v>309</v>
      </c>
      <c r="AS1" t="s">
        <v>310</v>
      </c>
      <c r="AT1" t="s">
        <v>311</v>
      </c>
      <c r="AU1" t="s">
        <v>312</v>
      </c>
      <c r="AV1" t="s">
        <v>313</v>
      </c>
      <c r="AW1" t="s">
        <v>314</v>
      </c>
      <c r="AX1" t="s">
        <v>315</v>
      </c>
      <c r="AY1" t="s">
        <v>316</v>
      </c>
      <c r="AZ1" t="s">
        <v>317</v>
      </c>
      <c r="BA1" t="s">
        <v>318</v>
      </c>
      <c r="BB1" t="s">
        <v>319</v>
      </c>
      <c r="BC1" t="s">
        <v>320</v>
      </c>
      <c r="BD1" t="s">
        <v>321</v>
      </c>
      <c r="BE1" t="s">
        <v>322</v>
      </c>
      <c r="BF1" t="s">
        <v>323</v>
      </c>
      <c r="BG1" t="s">
        <v>324</v>
      </c>
      <c r="BH1" t="s">
        <v>325</v>
      </c>
      <c r="BI1" t="s">
        <v>326</v>
      </c>
      <c r="BJ1" t="s">
        <v>327</v>
      </c>
      <c r="BK1" t="s">
        <v>328</v>
      </c>
      <c r="BL1" t="s">
        <v>329</v>
      </c>
      <c r="BM1" t="s">
        <v>330</v>
      </c>
      <c r="BN1" t="s">
        <v>331</v>
      </c>
      <c r="BO1" t="s">
        <v>332</v>
      </c>
      <c r="BP1" t="s">
        <v>333</v>
      </c>
      <c r="BQ1" t="s">
        <v>334</v>
      </c>
      <c r="BR1" t="s">
        <v>335</v>
      </c>
      <c r="BS1" t="s">
        <v>336</v>
      </c>
      <c r="BT1" t="s">
        <v>337</v>
      </c>
      <c r="BU1" t="s">
        <v>338</v>
      </c>
      <c r="BV1" t="s">
        <v>339</v>
      </c>
      <c r="BW1" t="s">
        <v>340</v>
      </c>
      <c r="BX1" t="s">
        <v>341</v>
      </c>
      <c r="BY1" t="s">
        <v>342</v>
      </c>
      <c r="BZ1" t="s">
        <v>343</v>
      </c>
      <c r="CA1" t="s">
        <v>344</v>
      </c>
      <c r="CB1" t="s">
        <v>345</v>
      </c>
      <c r="CC1" t="s">
        <v>346</v>
      </c>
      <c r="CD1" t="s">
        <v>347</v>
      </c>
      <c r="CE1" t="s">
        <v>348</v>
      </c>
      <c r="CF1" t="s">
        <v>349</v>
      </c>
      <c r="CG1" t="s">
        <v>350</v>
      </c>
      <c r="CH1" t="s">
        <v>351</v>
      </c>
      <c r="CI1" t="s">
        <v>352</v>
      </c>
      <c r="CJ1" t="s">
        <v>353</v>
      </c>
      <c r="CK1" t="s">
        <v>354</v>
      </c>
      <c r="CL1" t="s">
        <v>355</v>
      </c>
      <c r="CM1" t="s">
        <v>356</v>
      </c>
      <c r="CN1" t="s">
        <v>357</v>
      </c>
      <c r="CO1" t="s">
        <v>358</v>
      </c>
      <c r="CP1" t="s">
        <v>359</v>
      </c>
      <c r="CQ1" t="s">
        <v>360</v>
      </c>
      <c r="CR1" t="s">
        <v>361</v>
      </c>
      <c r="CS1" t="s">
        <v>362</v>
      </c>
      <c r="CT1" t="s">
        <v>363</v>
      </c>
      <c r="CU1" t="s">
        <v>364</v>
      </c>
      <c r="CV1" t="s">
        <v>365</v>
      </c>
      <c r="CW1" t="s">
        <v>366</v>
      </c>
      <c r="CX1" t="s">
        <v>367</v>
      </c>
      <c r="CY1" t="s">
        <v>368</v>
      </c>
      <c r="CZ1" t="s">
        <v>369</v>
      </c>
      <c r="DA1" t="s">
        <v>370</v>
      </c>
      <c r="DB1" t="s">
        <v>371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67631-A035-4B26-8F61-072DACD140F6}">
  <dimension ref="A1:Q64"/>
  <sheetViews>
    <sheetView tabSelected="1" topLeftCell="A13" zoomScale="84" zoomScaleNormal="84" workbookViewId="0">
      <selection activeCell="E32" sqref="E32"/>
    </sheetView>
  </sheetViews>
  <sheetFormatPr defaultRowHeight="14.5"/>
  <cols>
    <col min="1" max="1" width="19.36328125" customWidth="1"/>
    <col min="2" max="2" width="27.08984375" customWidth="1"/>
    <col min="3" max="3" width="23.90625" customWidth="1"/>
    <col min="8" max="8" width="15.08984375" customWidth="1"/>
    <col min="13" max="13" width="21.453125" customWidth="1"/>
    <col min="14" max="14" width="12.7265625" customWidth="1"/>
    <col min="15" max="15" width="18.7265625" customWidth="1"/>
    <col min="16" max="16" width="18.6328125" customWidth="1"/>
    <col min="17" max="17" width="12.1796875" customWidth="1"/>
  </cols>
  <sheetData>
    <row r="1" spans="1:17">
      <c r="A1" s="44"/>
      <c r="B1" s="43"/>
      <c r="C1" s="73" t="s">
        <v>234</v>
      </c>
      <c r="D1" s="74"/>
      <c r="E1" s="74"/>
      <c r="F1" s="74"/>
      <c r="G1" s="75"/>
      <c r="H1" s="73" t="s">
        <v>1</v>
      </c>
      <c r="I1" s="74"/>
      <c r="J1" s="74"/>
      <c r="K1" s="74"/>
    </row>
    <row r="2" spans="1:17">
      <c r="A2" s="42"/>
      <c r="B2" s="45" t="s">
        <v>235</v>
      </c>
      <c r="C2" s="1"/>
      <c r="D2" s="39">
        <v>-3</v>
      </c>
      <c r="E2" s="39">
        <v>-3</v>
      </c>
      <c r="F2" s="39">
        <v>-30</v>
      </c>
      <c r="G2" s="47">
        <v>-75</v>
      </c>
      <c r="H2" s="39">
        <v>2</v>
      </c>
      <c r="I2" s="39">
        <v>10</v>
      </c>
      <c r="J2" s="39">
        <v>30</v>
      </c>
      <c r="K2" s="39">
        <v>70</v>
      </c>
      <c r="M2" s="21" t="str" cm="1">
        <f t="array" ref="M2">_xll.TR("C5YUSAX=R","PCT1W")</f>
        <v>The formula must contain at least one field or function.</v>
      </c>
    </row>
    <row r="3" spans="1:17">
      <c r="A3" s="42"/>
      <c r="B3" s="45" t="s">
        <v>236</v>
      </c>
      <c r="C3" s="1"/>
      <c r="D3" s="48">
        <v>3</v>
      </c>
      <c r="E3" s="48">
        <v>3</v>
      </c>
      <c r="F3" s="49">
        <v>20</v>
      </c>
      <c r="G3" s="49">
        <v>50</v>
      </c>
      <c r="H3" s="48">
        <v>-3</v>
      </c>
      <c r="I3" s="48">
        <v>-10</v>
      </c>
      <c r="J3" s="48">
        <v>-30</v>
      </c>
      <c r="K3" s="48">
        <v>-70</v>
      </c>
      <c r="M3" s="40"/>
      <c r="N3" s="40"/>
    </row>
    <row r="4" spans="1:17">
      <c r="A4" s="43"/>
      <c r="B4" s="46"/>
      <c r="H4" s="50"/>
      <c r="I4" s="50"/>
      <c r="J4" s="50"/>
      <c r="K4" s="50"/>
      <c r="M4" s="21"/>
    </row>
    <row r="5" spans="1:17">
      <c r="A5" s="2"/>
      <c r="B5" s="2"/>
      <c r="C5" s="76" t="s">
        <v>0</v>
      </c>
      <c r="D5" s="74"/>
      <c r="E5" s="74"/>
      <c r="F5" s="74"/>
      <c r="G5" s="75"/>
      <c r="H5" s="76" t="s">
        <v>1</v>
      </c>
      <c r="I5" s="74"/>
      <c r="J5" s="74"/>
      <c r="K5" s="74"/>
      <c r="M5" s="24" t="str" cm="1">
        <f t="array" ref="M5">_xll.TR(O10,"TR.CDSMidSpread")</f>
        <v>The formula must contain at least one field or function.</v>
      </c>
    </row>
    <row r="6" spans="1:17">
      <c r="A6" s="3" t="s">
        <v>2</v>
      </c>
      <c r="B6" s="3" t="s">
        <v>254</v>
      </c>
      <c r="C6" s="3" t="s">
        <v>3</v>
      </c>
      <c r="D6" s="3" t="s">
        <v>4</v>
      </c>
      <c r="E6" s="3" t="s">
        <v>5</v>
      </c>
      <c r="F6" s="3" t="s">
        <v>6</v>
      </c>
      <c r="G6" s="4" t="s">
        <v>7</v>
      </c>
      <c r="H6" s="3" t="s">
        <v>4</v>
      </c>
      <c r="I6" s="3" t="s">
        <v>5</v>
      </c>
      <c r="J6" s="3" t="s">
        <v>6</v>
      </c>
      <c r="K6" s="3" t="s">
        <v>7</v>
      </c>
    </row>
    <row r="7" spans="1:17">
      <c r="A7" s="5" t="s">
        <v>8</v>
      </c>
      <c r="B7" s="5" t="s">
        <v>9</v>
      </c>
      <c r="C7" s="6"/>
      <c r="D7" s="6"/>
      <c r="E7" s="6"/>
      <c r="F7" s="6"/>
      <c r="G7" s="7"/>
      <c r="H7" s="6"/>
      <c r="I7" s="6"/>
      <c r="J7" s="6"/>
      <c r="K7" s="6"/>
      <c r="M7" s="13" t="s">
        <v>2</v>
      </c>
      <c r="N7" s="13" t="s">
        <v>49</v>
      </c>
      <c r="O7" s="16" t="s">
        <v>233</v>
      </c>
    </row>
    <row r="8" spans="1:17">
      <c r="A8" s="8" t="s">
        <v>10</v>
      </c>
      <c r="B8" s="9" t="s">
        <v>263</v>
      </c>
      <c r="C8" s="10">
        <f ca="1">'CDS from CapitalIQ'!C48</f>
        <v>53.986800000000002</v>
      </c>
      <c r="D8" s="35">
        <f ca="1">'CDS from CapitalIQ'!T48</f>
        <v>1.2328000000000046</v>
      </c>
      <c r="E8" s="35">
        <f ca="1">'CDS from CapitalIQ'!V48</f>
        <v>1.9346999999999994</v>
      </c>
      <c r="F8" s="35">
        <f ca="1">'CDS from CapitalIQ'!W48</f>
        <v>-3.7693000000000012</v>
      </c>
      <c r="G8" s="36">
        <f ca="1">'CDS from CapitalIQ'!X48</f>
        <v>0.45670000000000499</v>
      </c>
      <c r="H8" s="11" cm="1">
        <f t="array" aca="1" ref="H8" ca="1">(_xll.TR(N8,"TR.PriceClose")-_xll.TR(N8,"TR.PriceClose","SDate:"&amp;TEXT(WORKDAY(TODAY(),-5),"yyyy-mm-dd")))/_xll.TR(N8,"TR.PriceClose","SDate:"&amp;TEXT(WORKDAY(TODAY(),-5),"yyyy-mm-dd"))</f>
        <v>2.6957737725295205E-2</v>
      </c>
      <c r="I8" s="11" cm="1">
        <f t="array" aca="1" ref="I8" ca="1">(_xll.TR(N8,"TR.PriceClose")-_xll.TR(N8,"TR.PriceClose","SDate:"&amp;TEXT(WORKDAY(TODAY(),-10),"yyyy-mm-dd")))/_xll.TR(N8,"TR.PriceClose","SDate:"&amp;TEXT(WORKDAY(TODAY(),-10),"yyyy-mm-dd"))</f>
        <v>-6.055006751474671E-2</v>
      </c>
      <c r="J8" s="11" cm="1">
        <f t="array" aca="1" ref="J8" ca="1">(_xll.TR(N8,"TR.PriceClose")-_xll.TR(N8,"TR.PriceClose","SDate:"&amp;EDATE(TODAY(),-3)))/_xll.TR(N8,"TR.PriceClose","SDate:"&amp;EDATE(TODAY(),-3))</f>
        <v>2.361777915440616E-2</v>
      </c>
      <c r="K8" s="11" cm="1">
        <f t="array" aca="1" ref="K8" ca="1">(_xll.TR(N8,"TR.PriceClose")-_xll.TR(N8,"TR.PriceClose","SDate:"&amp;EDATE(TODAY(),-12)))/_xll.TR(N8,"TR.PriceClose","SDate:"&amp;EDATE(TODAY(),-12))</f>
        <v>0.37597585094202152</v>
      </c>
      <c r="M8" s="14" t="s">
        <v>10</v>
      </c>
      <c r="N8" s="15" t="s">
        <v>50</v>
      </c>
      <c r="O8" t="s">
        <v>81</v>
      </c>
      <c r="Q8" s="31"/>
    </row>
    <row r="9" spans="1:17">
      <c r="A9" s="12" t="s">
        <v>11</v>
      </c>
      <c r="B9" s="9" t="s">
        <v>263</v>
      </c>
      <c r="C9" s="10">
        <f ca="1">'CDS from CapitalIQ'!C49</f>
        <v>56.415900000000001</v>
      </c>
      <c r="D9" s="35">
        <f ca="1">'CDS from CapitalIQ'!T49</f>
        <v>1.4530999999999992</v>
      </c>
      <c r="E9" s="35">
        <f ca="1">'CDS from CapitalIQ'!V49</f>
        <v>2.1893999999999991</v>
      </c>
      <c r="F9" s="35">
        <f ca="1">'CDS from CapitalIQ'!W49</f>
        <v>-2.4590999999999994</v>
      </c>
      <c r="G9" s="36">
        <f ca="1">'CDS from CapitalIQ'!X49</f>
        <v>3.5045000000000002</v>
      </c>
      <c r="H9" s="11" cm="1">
        <f t="array" aca="1" ref="H9" ca="1">(_xll.TR(N9,"TR.PriceClose")-_xll.TR(N9,"TR.PriceClose","SDate:"&amp;TEXT(WORKDAY(TODAY(),-5),"yyyy-mm-dd")))/_xll.TR(N9,"TR.PriceClose","SDate:"&amp;TEXT(WORKDAY(TODAY(),-5),"yyyy-mm-dd"))</f>
        <v>2.6977821913273674E-2</v>
      </c>
      <c r="I9" s="11" cm="1">
        <f t="array" aca="1" ref="I9" ca="1">(_xll.TR(N9,"TR.PriceClose")-_xll.TR(N9,"TR.PriceClose","SDate:"&amp;TEXT(WORKDAY(TODAY(),-10),"yyyy-mm-dd")))/_xll.TR(N9,"TR.PriceClose","SDate:"&amp;TEXT(WORKDAY(TODAY(),-10),"yyyy-mm-dd"))</f>
        <v>4.2857142857142809E-2</v>
      </c>
      <c r="J9" s="11" cm="1">
        <f t="array" aca="1" ref="J9" ca="1">(_xll.TR(N9,"TR.PriceClose")-_xll.TR(N9,"TR.PriceClose","SDate:"&amp;EDATE(TODAY(),-3)))/_xll.TR(N9,"TR.PriceClose","SDate:"&amp;EDATE(TODAY(),-3))</f>
        <v>0.17898536956108671</v>
      </c>
      <c r="K9" s="11" cm="1">
        <f t="array" aca="1" ref="K9" ca="1">(_xll.TR(N9,"TR.PriceClose")-_xll.TR(N9,"TR.PriceClose","SDate:"&amp;EDATE(TODAY(),-12)))/_xll.TR(N9,"TR.PriceClose","SDate:"&amp;EDATE(TODAY(),-12))</f>
        <v>0.28070175438596479</v>
      </c>
      <c r="M9" s="14" t="s">
        <v>11</v>
      </c>
      <c r="N9" s="15" t="s">
        <v>51</v>
      </c>
      <c r="O9" t="s">
        <v>82</v>
      </c>
      <c r="Q9" s="32"/>
    </row>
    <row r="10" spans="1:17">
      <c r="A10" s="8" t="s">
        <v>12</v>
      </c>
      <c r="B10" s="9" t="s">
        <v>263</v>
      </c>
      <c r="C10" s="10">
        <f ca="1">'CDS from CapitalIQ'!C50</f>
        <v>41.005299999999998</v>
      </c>
      <c r="D10" s="35">
        <f ca="1">'CDS from CapitalIQ'!T50</f>
        <v>0.40529999999999688</v>
      </c>
      <c r="E10" s="35">
        <f ca="1">'CDS from CapitalIQ'!V50</f>
        <v>0.9585000000000008</v>
      </c>
      <c r="F10" s="35">
        <f ca="1">'CDS from CapitalIQ'!W50</f>
        <v>-0.49159999999999826</v>
      </c>
      <c r="G10" s="36">
        <f ca="1">'CDS from CapitalIQ'!X50</f>
        <v>0.99040000000000106</v>
      </c>
      <c r="H10" s="11" cm="1">
        <f t="array" aca="1" ref="H10" ca="1">(_xll.TR(N10,"TR.PriceClose")-_xll.TR(N10,"TR.PriceClose","SDate:"&amp;TEXT(WORKDAY(TODAY(),-5),"yyyy-mm-dd")))/_xll.TR(N10,"TR.PriceClose","SDate:"&amp;TEXT(WORKDAY(TODAY(),-5),"yyyy-mm-dd"))</f>
        <v>4.2317112757104418E-2</v>
      </c>
      <c r="I10" s="11" cm="1">
        <f t="array" aca="1" ref="I10" ca="1">(_xll.TR(N10,"TR.PriceClose")-_xll.TR(N10,"TR.PriceClose","SDate:"&amp;TEXT(WORKDAY(TODAY(),-10),"yyyy-mm-dd")))/_xll.TR(N10,"TR.PriceClose","SDate:"&amp;TEXT(WORKDAY(TODAY(),-10),"yyyy-mm-dd"))</f>
        <v>5.5839536065524789E-2</v>
      </c>
      <c r="J10" s="11" cm="1">
        <f t="array" aca="1" ref="J10" ca="1">(_xll.TR(N10,"TR.PriceClose")-_xll.TR(N10,"TR.PriceClose","SDate:"&amp;EDATE(TODAY(),-3)))/_xll.TR(N10,"TR.PriceClose","SDate:"&amp;EDATE(TODAY(),-3))</f>
        <v>0.13342746205435929</v>
      </c>
      <c r="K10" s="11" cm="1">
        <f t="array" aca="1" ref="K10" ca="1">(_xll.TR(N10,"TR.PriceClose")-_xll.TR(N10,"TR.PriceClose","SDate:"&amp;EDATE(TODAY(),-12)))/_xll.TR(N10,"TR.PriceClose","SDate:"&amp;EDATE(TODAY(),-12))</f>
        <v>0.18280758154175866</v>
      </c>
      <c r="M10" s="14" t="s">
        <v>12</v>
      </c>
      <c r="N10" s="15" t="s">
        <v>52</v>
      </c>
      <c r="O10" t="s">
        <v>83</v>
      </c>
      <c r="Q10" s="33"/>
    </row>
    <row r="11" spans="1:17">
      <c r="A11" s="12" t="s">
        <v>13</v>
      </c>
      <c r="B11" s="9" t="s">
        <v>263</v>
      </c>
      <c r="C11" s="10">
        <f ca="1">'CDS from CapitalIQ'!C51</f>
        <v>55.823700000000002</v>
      </c>
      <c r="D11" s="35">
        <f ca="1">'CDS from CapitalIQ'!T51</f>
        <v>1.0237000000000052</v>
      </c>
      <c r="E11" s="35">
        <f ca="1">'CDS from CapitalIQ'!V51</f>
        <v>1.6975000000000051</v>
      </c>
      <c r="F11" s="35">
        <f ca="1">'CDS from CapitalIQ'!W51</f>
        <v>-2.2762999999999991</v>
      </c>
      <c r="G11" s="36">
        <f ca="1">'CDS from CapitalIQ'!X51</f>
        <v>-1.6085999999999956</v>
      </c>
      <c r="H11" s="11" cm="1">
        <f t="array" aca="1" ref="H11" ca="1">(_xll.TR(N11,"TR.PriceClose")-_xll.TR(N11,"TR.PriceClose","SDate:"&amp;TEXT(WORKDAY(TODAY(),-5),"yyyy-mm-dd")))/_xll.TR(N11,"TR.PriceClose","SDate:"&amp;TEXT(WORKDAY(TODAY(),-5),"yyyy-mm-dd"))</f>
        <v>5.8766101437874238E-3</v>
      </c>
      <c r="I11" s="11" cm="1">
        <f t="array" aca="1" ref="I11" ca="1">(_xll.TR(N11,"TR.PriceClose")-_xll.TR(N11,"TR.PriceClose","SDate:"&amp;TEXT(WORKDAY(TODAY(),-10),"yyyy-mm-dd")))/_xll.TR(N11,"TR.PriceClose","SDate:"&amp;TEXT(WORKDAY(TODAY(),-10),"yyyy-mm-dd"))</f>
        <v>1.4647531814400795E-2</v>
      </c>
      <c r="J11" s="11" cm="1">
        <f t="array" aca="1" ref="J11" ca="1">(_xll.TR(N11,"TR.PriceClose")-_xll.TR(N11,"TR.PriceClose","SDate:"&amp;EDATE(TODAY(),-3)))/_xll.TR(N11,"TR.PriceClose","SDate:"&amp;EDATE(TODAY(),-3))</f>
        <v>0.13160448278435938</v>
      </c>
      <c r="K11" s="11" cm="1">
        <f t="array" aca="1" ref="K11" ca="1">(_xll.TR(N11,"TR.PriceClose")-_xll.TR(N11,"TR.PriceClose","SDate:"&amp;EDATE(TODAY(),-12)))/_xll.TR(N11,"TR.PriceClose","SDate:"&amp;EDATE(TODAY(),-12))</f>
        <v>0.45577382095530738</v>
      </c>
      <c r="M11" s="14" t="s">
        <v>13</v>
      </c>
      <c r="N11" s="15" t="s">
        <v>53</v>
      </c>
      <c r="O11" t="s">
        <v>84</v>
      </c>
      <c r="Q11" s="34"/>
    </row>
    <row r="12" spans="1:17">
      <c r="A12" s="8" t="s">
        <v>14</v>
      </c>
      <c r="B12" s="9" t="s">
        <v>263</v>
      </c>
      <c r="C12" s="10">
        <f ca="1">'CDS from CapitalIQ'!C52</f>
        <v>59.418599999999998</v>
      </c>
      <c r="D12" s="35">
        <f ca="1">'CDS from CapitalIQ'!T52</f>
        <v>1.9512999999999963</v>
      </c>
      <c r="E12" s="35">
        <f ca="1">'CDS from CapitalIQ'!V52</f>
        <v>3.6492999999999967</v>
      </c>
      <c r="F12" s="35">
        <f ca="1">'CDS from CapitalIQ'!W52</f>
        <v>-8.1400000000002137E-2</v>
      </c>
      <c r="G12" s="36">
        <f ca="1">'CDS from CapitalIQ'!X52</f>
        <v>4.8943999999999974</v>
      </c>
      <c r="H12" s="11" cm="1">
        <f t="array" aca="1" ref="H12" ca="1">(_xll.TR(N12,"TR.PriceClose")-_xll.TR(N12,"TR.PriceClose","SDate:"&amp;TEXT(WORKDAY(TODAY(),-5),"yyyy-mm-dd")))/_xll.TR(N12,"TR.PriceClose","SDate:"&amp;TEXT(WORKDAY(TODAY(),-5),"yyyy-mm-dd"))</f>
        <v>1.6782023324167974E-2</v>
      </c>
      <c r="I12" s="11" cm="1">
        <f t="array" aca="1" ref="I12" ca="1">(_xll.TR(N12,"TR.PriceClose")-_xll.TR(N12,"TR.PriceClose","SDate:"&amp;TEXT(WORKDAY(TODAY(),-10),"yyyy-mm-dd")))/_xll.TR(N12,"TR.PriceClose","SDate:"&amp;TEXT(WORKDAY(TODAY(),-10),"yyyy-mm-dd"))</f>
        <v>-2.9897326880455984E-2</v>
      </c>
      <c r="J12" s="11" cm="1">
        <f t="array" aca="1" ref="J12" ca="1">(_xll.TR(N12,"TR.PriceClose")-_xll.TR(N12,"TR.PriceClose","SDate:"&amp;EDATE(TODAY(),-3)))/_xll.TR(N12,"TR.PriceClose","SDate:"&amp;EDATE(TODAY(),-3))</f>
        <v>0.12777368808497203</v>
      </c>
      <c r="K12" s="11" cm="1">
        <f t="array" aca="1" ref="K12" ca="1">(_xll.TR(N12,"TR.PriceClose")-_xll.TR(N12,"TR.PriceClose","SDate:"&amp;EDATE(TODAY(),-12)))/_xll.TR(N12,"TR.PriceClose","SDate:"&amp;EDATE(TODAY(),-12))</f>
        <v>0.49975526186979935</v>
      </c>
      <c r="M12" s="14" t="s">
        <v>14</v>
      </c>
      <c r="N12" s="15" t="s">
        <v>54</v>
      </c>
      <c r="O12" t="s">
        <v>85</v>
      </c>
      <c r="Q12" s="21"/>
    </row>
    <row r="13" spans="1:17">
      <c r="A13" s="12" t="s">
        <v>15</v>
      </c>
      <c r="B13" s="9" t="s">
        <v>263</v>
      </c>
      <c r="C13" s="10">
        <f ca="1">'CDS from CapitalIQ'!C53</f>
        <v>49.935400000000001</v>
      </c>
      <c r="D13" s="35">
        <f ca="1">'CDS from CapitalIQ'!T53</f>
        <v>0.80160000000000053</v>
      </c>
      <c r="E13" s="35">
        <f ca="1">'CDS from CapitalIQ'!V53</f>
        <v>0.63949999999999818</v>
      </c>
      <c r="F13" s="35">
        <f ca="1">'CDS from CapitalIQ'!W53</f>
        <v>-4.4303999999999988</v>
      </c>
      <c r="G13" s="36">
        <f ca="1">'CDS from CapitalIQ'!X53</f>
        <v>1.8911000000000016</v>
      </c>
      <c r="H13" s="11" cm="1">
        <f t="array" aca="1" ref="H13" ca="1">(_xll.TR(N13,"TR.PriceClose")-_xll.TR(N13,"TR.PriceClose","SDate:"&amp;TEXT(WORKDAY(TODAY(),-5),"yyyy-mm-dd")))/_xll.TR(N13,"TR.PriceClose","SDate:"&amp;TEXT(WORKDAY(TODAY(),-5),"yyyy-mm-dd"))</f>
        <v>-2.3166917641603176E-4</v>
      </c>
      <c r="I13" s="11" cm="1">
        <f t="array" aca="1" ref="I13" ca="1">(_xll.TR(N13,"TR.PriceClose")-_xll.TR(N13,"TR.PriceClose","SDate:"&amp;TEXT(WORKDAY(TODAY(),-10),"yyyy-mm-dd")))/_xll.TR(N13,"TR.PriceClose","SDate:"&amp;TEXT(WORKDAY(TODAY(),-10),"yyyy-mm-dd"))</f>
        <v>-1.5512718147598943E-2</v>
      </c>
      <c r="J13" s="11" cm="1">
        <f t="array" aca="1" ref="J13" ca="1">(_xll.TR(N13,"TR.PriceClose")-_xll.TR(N13,"TR.PriceClose","SDate:"&amp;EDATE(TODAY(),-3)))/_xll.TR(N13,"TR.PriceClose","SDate:"&amp;EDATE(TODAY(),-3))</f>
        <v>7.1375372393247261E-2</v>
      </c>
      <c r="K13" s="11" cm="1">
        <f t="array" aca="1" ref="K13" ca="1">(_xll.TR(N13,"TR.PriceClose")-_xll.TR(N13,"TR.PriceClose","SDate:"&amp;EDATE(TODAY(),-12)))/_xll.TR(N13,"TR.PriceClose","SDate:"&amp;EDATE(TODAY(),-12))</f>
        <v>2.3600569259962158E-2</v>
      </c>
      <c r="M13" s="14" t="s">
        <v>15</v>
      </c>
      <c r="N13" s="15" t="s">
        <v>55</v>
      </c>
      <c r="O13" s="20" t="s">
        <v>86</v>
      </c>
      <c r="Q13" s="21"/>
    </row>
    <row r="14" spans="1:17">
      <c r="A14" s="8" t="s">
        <v>16</v>
      </c>
      <c r="B14" s="9" t="s">
        <v>263</v>
      </c>
      <c r="C14" s="10">
        <f ca="1">'CDS from CapitalIQ'!C54</f>
        <v>52.4938</v>
      </c>
      <c r="D14" s="35">
        <f ca="1">'CDS from CapitalIQ'!T54</f>
        <v>0.95459999999999923</v>
      </c>
      <c r="E14" s="35">
        <f ca="1">'CDS from CapitalIQ'!V54</f>
        <v>-0.36149999999999949</v>
      </c>
      <c r="F14" s="35">
        <f ca="1">'CDS from CapitalIQ'!W54</f>
        <v>-2.8584999999999994</v>
      </c>
      <c r="G14" s="36">
        <f ca="1">'CDS from CapitalIQ'!X54</f>
        <v>3.7697000000000003</v>
      </c>
      <c r="H14" s="11" cm="1">
        <f t="array" aca="1" ref="H14" ca="1">(_xll.TR(N14,"TR.PriceClose")-_xll.TR(N14,"TR.PriceClose","SDate:"&amp;TEXT(WORKDAY(TODAY(),-5),"yyyy-mm-dd")))/_xll.TR(N14,"TR.PriceClose","SDate:"&amp;TEXT(WORKDAY(TODAY(),-5),"yyyy-mm-dd"))</f>
        <v>1.5445284258954941E-2</v>
      </c>
      <c r="I14" s="11" cm="1">
        <f t="array" aca="1" ref="I14" ca="1">(_xll.TR(N14,"TR.PriceClose")-_xll.TR(N14,"TR.PriceClose","SDate:"&amp;TEXT(WORKDAY(TODAY(),-10),"yyyy-mm-dd")))/_xll.TR(N14,"TR.PriceClose","SDate:"&amp;TEXT(WORKDAY(TODAY(),-10),"yyyy-mm-dd"))</f>
        <v>4.0579222091261261E-2</v>
      </c>
      <c r="J14" s="11" cm="1">
        <f t="array" aca="1" ref="J14" ca="1">(_xll.TR(N14,"TR.PriceClose")-_xll.TR(N14,"TR.PriceClose","SDate:"&amp;EDATE(TODAY(),-3)))/_xll.TR(N14,"TR.PriceClose","SDate:"&amp;EDATE(TODAY(),-3))</f>
        <v>0.20373977405531746</v>
      </c>
      <c r="K14" s="11" cm="1">
        <f t="array" aca="1" ref="K14" ca="1">(_xll.TR(N14,"TR.PriceClose")-_xll.TR(N14,"TR.PriceClose","SDate:"&amp;EDATE(TODAY(),-12)))/_xll.TR(N14,"TR.PriceClose","SDate:"&amp;EDATE(TODAY(),-12))</f>
        <v>0.64172496236606746</v>
      </c>
      <c r="M14" s="14" t="s">
        <v>16</v>
      </c>
      <c r="N14" s="15" t="s">
        <v>56</v>
      </c>
      <c r="O14" t="s">
        <v>87</v>
      </c>
      <c r="Q14" s="21"/>
    </row>
    <row r="15" spans="1:17">
      <c r="A15" s="18" t="s">
        <v>17</v>
      </c>
      <c r="B15" s="5" t="s">
        <v>264</v>
      </c>
      <c r="C15" s="22"/>
      <c r="D15" s="37"/>
      <c r="E15" s="37"/>
      <c r="F15" s="37"/>
      <c r="G15" s="38"/>
      <c r="H15" s="17"/>
      <c r="I15" s="17"/>
      <c r="J15" s="17"/>
      <c r="K15" s="17"/>
      <c r="M15" s="16"/>
    </row>
    <row r="16" spans="1:17">
      <c r="A16" s="12" t="s">
        <v>18</v>
      </c>
      <c r="B16" s="72" t="s">
        <v>214</v>
      </c>
      <c r="C16" s="10">
        <f ca="1">'CDS from CapitalIQ'!C56</f>
        <v>44.712000000000003</v>
      </c>
      <c r="D16" s="35">
        <f ca="1">'CDS from CapitalIQ'!T56</f>
        <v>0.7523000000000053</v>
      </c>
      <c r="E16" s="35">
        <f ca="1">'CDS from CapitalIQ'!V56</f>
        <v>3.0038000000000054</v>
      </c>
      <c r="F16" s="35">
        <f ca="1">'CDS from CapitalIQ'!W56</f>
        <v>3.2799000000000049</v>
      </c>
      <c r="G16" s="36">
        <f ca="1">'CDS from CapitalIQ'!X56</f>
        <v>3.1444000000000045</v>
      </c>
      <c r="H16" s="11" cm="1">
        <f t="array" aca="1" ref="H16" ca="1">(_xll.TR(N16,"TR.PriceClose")-_xll.TR(N16,"TR.PriceClose","SDate:"&amp;TEXT(WORKDAY(TODAY(),-5),"yyyy-mm-dd")))/_xll.TR(N16,"TR.PriceClose","SDate:"&amp;TEXT(WORKDAY(TODAY(),-5),"yyyy-mm-dd"))</f>
        <v>2.5363020329138477E-2</v>
      </c>
      <c r="I16" s="11" cm="1">
        <f t="array" aca="1" ref="I16" ca="1">(_xll.TR(N16,"TR.PriceClose")-_xll.TR(N16,"TR.PriceClose","SDate:"&amp;TEXT(WORKDAY(TODAY(),-10),"yyyy-mm-dd")))/_xll.TR(N16,"TR.PriceClose","SDate:"&amp;TEXT(WORKDAY(TODAY(),-10),"yyyy-mm-dd"))</f>
        <v>4.954419342053111E-2</v>
      </c>
      <c r="J16" s="11" cm="1">
        <f t="array" aca="1" ref="J16" ca="1">(_xll.TR(N16,"TR.PriceClose")-_xll.TR(N16,"TR.PriceClose","SDate:"&amp;EDATE(TODAY(),-3)))/_xll.TR(N16,"TR.PriceClose","SDate:"&amp;EDATE(TODAY(),-3))</f>
        <v>0.1748003549245786</v>
      </c>
      <c r="K16" s="11" cm="1">
        <f t="array" aca="1" ref="K16" ca="1">(_xll.TR(N16,"TR.PriceClose")-_xll.TR(N16,"TR.PriceClose","SDate:"&amp;EDATE(TODAY(),-12)))/_xll.TR(N16,"TR.PriceClose","SDate:"&amp;EDATE(TODAY(),-12))</f>
        <v>0.3429694433878534</v>
      </c>
      <c r="M16" s="14" t="s">
        <v>18</v>
      </c>
      <c r="N16" s="15" t="s">
        <v>57</v>
      </c>
      <c r="O16" s="20" t="s">
        <v>88</v>
      </c>
    </row>
    <row r="17" spans="1:17">
      <c r="A17" s="8" t="s">
        <v>19</v>
      </c>
      <c r="B17" s="72" t="s">
        <v>214</v>
      </c>
      <c r="C17" s="10">
        <f ca="1">'CDS from CapitalIQ'!C57</f>
        <v>36.635399999999997</v>
      </c>
      <c r="D17" s="35">
        <f ca="1">'CDS from CapitalIQ'!T57</f>
        <v>0.63539999999999708</v>
      </c>
      <c r="E17" s="35">
        <f ca="1">'CDS from CapitalIQ'!V57</f>
        <v>2.9103999999999957</v>
      </c>
      <c r="F17" s="35">
        <f ca="1">'CDS from CapitalIQ'!W57</f>
        <v>1.2782999999999944</v>
      </c>
      <c r="G17" s="36">
        <f ca="1">'CDS from CapitalIQ'!X57</f>
        <v>-1.2028999999999996</v>
      </c>
      <c r="H17" s="11" cm="1">
        <f t="array" aca="1" ref="H17" ca="1">(_xll.TR(N17,"TR.PriceClose")-_xll.TR(N17,"TR.PriceClose","SDate:"&amp;TEXT(WORKDAY(TODAY(),-5),"yyyy-mm-dd")))/_xll.TR(N17,"TR.PriceClose","SDate:"&amp;TEXT(WORKDAY(TODAY(),-5),"yyyy-mm-dd"))</f>
        <v>3.2069157836028962E-2</v>
      </c>
      <c r="I17" s="11" cm="1">
        <f t="array" aca="1" ref="I17" ca="1">(_xll.TR(N17,"TR.PriceClose")-_xll.TR(N17,"TR.PriceClose","SDate:"&amp;TEXT(WORKDAY(TODAY(),-10),"yyyy-mm-dd")))/_xll.TR(N17,"TR.PriceClose","SDate:"&amp;TEXT(WORKDAY(TODAY(),-10),"yyyy-mm-dd"))</f>
        <v>5.4415954415954315E-2</v>
      </c>
      <c r="J17" s="11" cm="1">
        <f t="array" aca="1" ref="J17" ca="1">(_xll.TR(N17,"TR.PriceClose")-_xll.TR(N17,"TR.PriceClose","SDate:"&amp;EDATE(TODAY(),-3)))/_xll.TR(N17,"TR.PriceClose","SDate:"&amp;EDATE(TODAY(),-3))</f>
        <v>7.9953311934636548E-2</v>
      </c>
      <c r="K17" s="11" cm="1">
        <f t="array" aca="1" ref="K17" ca="1">(_xll.TR(N17,"TR.PriceClose")-_xll.TR(N17,"TR.PriceClose","SDate:"&amp;EDATE(TODAY(),-12)))/_xll.TR(N17,"TR.PriceClose","SDate:"&amp;EDATE(TODAY(),-12))</f>
        <v>0.13388480392156854</v>
      </c>
      <c r="M17" s="14" t="s">
        <v>19</v>
      </c>
      <c r="N17" s="15" t="s">
        <v>58</v>
      </c>
      <c r="O17" t="s">
        <v>89</v>
      </c>
      <c r="Q17" s="23"/>
    </row>
    <row r="18" spans="1:17">
      <c r="A18" s="12" t="s">
        <v>20</v>
      </c>
      <c r="B18" s="72" t="s">
        <v>214</v>
      </c>
      <c r="C18" s="10">
        <f ca="1">'CDS from CapitalIQ'!C58</f>
        <v>45.578400000000002</v>
      </c>
      <c r="D18" s="35">
        <f ca="1">'CDS from CapitalIQ'!T58</f>
        <v>0.82979999999999876</v>
      </c>
      <c r="E18" s="35">
        <f ca="1">'CDS from CapitalIQ'!V58</f>
        <v>3.7184000000000026</v>
      </c>
      <c r="F18" s="35">
        <f ca="1">'CDS from CapitalIQ'!W58</f>
        <v>0.87340000000000373</v>
      </c>
      <c r="G18" s="36">
        <f ca="1">'CDS from CapitalIQ'!X58</f>
        <v>-0.45629999999999882</v>
      </c>
      <c r="H18" s="11" cm="1">
        <f t="array" aca="1" ref="H18" ca="1">(_xll.TR(N18,"TR.PriceClose")-_xll.TR(N18,"TR.PriceClose","SDate:"&amp;TEXT(WORKDAY(TODAY(),-5),"yyyy-mm-dd")))/_xll.TR(N18,"TR.PriceClose","SDate:"&amp;TEXT(WORKDAY(TODAY(),-5),"yyyy-mm-dd"))</f>
        <v>2.687957418496335E-2</v>
      </c>
      <c r="I18" s="11" cm="1">
        <f t="array" aca="1" ref="I18" ca="1">(_xll.TR(N18,"TR.PriceClose")-_xll.TR(N18,"TR.PriceClose","SDate:"&amp;TEXT(WORKDAY(TODAY(),-10),"yyyy-mm-dd")))/_xll.TR(N18,"TR.PriceClose","SDate:"&amp;TEXT(WORKDAY(TODAY(),-10),"yyyy-mm-dd"))</f>
        <v>3.3896034297963576E-2</v>
      </c>
      <c r="J18" s="11" cm="1">
        <f t="array" aca="1" ref="J18" ca="1">(_xll.TR(N18,"TR.PriceClose")-_xll.TR(N18,"TR.PriceClose","SDate:"&amp;EDATE(TODAY(),-3)))/_xll.TR(N18,"TR.PriceClose","SDate:"&amp;EDATE(TODAY(),-3))</f>
        <v>0.10195630444095388</v>
      </c>
      <c r="K18" s="11" cm="1">
        <f t="array" aca="1" ref="K18" ca="1">(_xll.TR(N18,"TR.PriceClose")-_xll.TR(N18,"TR.PriceClose","SDate:"&amp;EDATE(TODAY(),-12)))/_xll.TR(N18,"TR.PriceClose","SDate:"&amp;EDATE(TODAY(),-12))</f>
        <v>0.51551453260015712</v>
      </c>
      <c r="M18" s="14" t="s">
        <v>20</v>
      </c>
      <c r="N18" s="15" t="s">
        <v>59</v>
      </c>
      <c r="O18" t="s">
        <v>90</v>
      </c>
      <c r="Q18" s="23"/>
    </row>
    <row r="19" spans="1:17">
      <c r="A19" s="18" t="s">
        <v>21</v>
      </c>
      <c r="B19" s="19"/>
      <c r="C19" s="22"/>
      <c r="D19" s="37"/>
      <c r="E19" s="37"/>
      <c r="F19" s="37"/>
      <c r="G19" s="38"/>
      <c r="H19" s="17"/>
      <c r="I19" s="17"/>
      <c r="J19" s="17"/>
      <c r="K19" s="17"/>
      <c r="M19" s="14"/>
      <c r="N19" s="15"/>
      <c r="Q19" s="23"/>
    </row>
    <row r="20" spans="1:17">
      <c r="A20" s="8" t="s">
        <v>22</v>
      </c>
      <c r="B20" s="9" t="s">
        <v>266</v>
      </c>
      <c r="C20" s="10">
        <f ca="1">'CDS from CapitalIQ'!C60</f>
        <v>48.299700000000001</v>
      </c>
      <c r="D20" s="35">
        <f ca="1">'CDS from CapitalIQ'!T60</f>
        <v>1.3156000000000034</v>
      </c>
      <c r="E20" s="35">
        <f ca="1">'CDS from CapitalIQ'!V60</f>
        <v>1.4354000000000013</v>
      </c>
      <c r="F20" s="35">
        <f ca="1">'CDS from CapitalIQ'!W60</f>
        <v>-7.5801999999999978</v>
      </c>
      <c r="G20" s="36">
        <f ca="1">'CDS from CapitalIQ'!X60</f>
        <v>1.2997000000000014</v>
      </c>
      <c r="H20" s="11" cm="1">
        <f t="array" aca="1" ref="H20" ca="1">(_xll.TR(N20,"TR.PriceClose")-_xll.TR(N20,"TR.PriceClose","SDate:"&amp;TEXT(WORKDAY(TODAY(),-5),"yyyy-mm-dd")))/_xll.TR(N20,"TR.PriceClose","SDate:"&amp;TEXT(WORKDAY(TODAY(),-5),"yyyy-mm-dd"))</f>
        <v>6.1831153388824051E-3</v>
      </c>
      <c r="I20" s="11" cm="1">
        <f t="array" aca="1" ref="I20" ca="1">(_xll.TR(N20,"TR.PriceClose")-_xll.TR(N20,"TR.PriceClose","SDate:"&amp;TEXT(WORKDAY(TODAY(),-10),"yyyy-mm-dd")))/_xll.TR(N20,"TR.PriceClose","SDate:"&amp;TEXT(WORKDAY(TODAY(),-10),"yyyy-mm-dd"))</f>
        <v>1.6571969696969762E-3</v>
      </c>
      <c r="J20" s="11" cm="1">
        <f t="array" aca="1" ref="J20" ca="1">(_xll.TR(N20,"TR.PriceClose")-_xll.TR(N20,"TR.PriceClose","SDate:"&amp;EDATE(TODAY(),-3)))/_xll.TR(N20,"TR.PriceClose","SDate:"&amp;EDATE(TODAY(),-3))</f>
        <v>0.27670488835244422</v>
      </c>
      <c r="K20" s="11" cm="1">
        <f t="array" aca="1" ref="K20" ca="1">(_xll.TR(N20,"TR.PriceClose")-_xll.TR(N20,"TR.PriceClose","SDate:"&amp;EDATE(TODAY(),-12)))/_xll.TR(N20,"TR.PriceClose","SDate:"&amp;EDATE(TODAY(),-12))</f>
        <v>0.39223428759460355</v>
      </c>
      <c r="M20" s="14" t="s">
        <v>22</v>
      </c>
      <c r="N20" s="15" t="s">
        <v>60</v>
      </c>
      <c r="O20" t="s">
        <v>91</v>
      </c>
    </row>
    <row r="21" spans="1:17">
      <c r="A21" s="18" t="s">
        <v>23</v>
      </c>
      <c r="B21" s="19"/>
      <c r="C21" s="22"/>
      <c r="D21" s="37"/>
      <c r="E21" s="37"/>
      <c r="F21" s="37"/>
      <c r="G21" s="38"/>
      <c r="H21" s="17"/>
      <c r="I21" s="17"/>
      <c r="J21" s="17"/>
      <c r="K21" s="17"/>
      <c r="M21" s="16"/>
      <c r="Q21" s="23"/>
    </row>
    <row r="22" spans="1:17">
      <c r="A22" s="8" t="s">
        <v>24</v>
      </c>
      <c r="B22" s="9" t="s">
        <v>214</v>
      </c>
      <c r="C22" s="10">
        <f ca="1">'CDS from CapitalIQ'!C63</f>
        <v>60.904699999999998</v>
      </c>
      <c r="D22" s="35">
        <f ca="1">'CDS from CapitalIQ'!T63</f>
        <v>1.2409999999999997</v>
      </c>
      <c r="E22" s="35">
        <f ca="1">'CDS from CapitalIQ'!T63</f>
        <v>1.2409999999999997</v>
      </c>
      <c r="F22" s="35">
        <f ca="1">'CDS from CapitalIQ'!V63</f>
        <v>0.20139999999999958</v>
      </c>
      <c r="G22" s="36">
        <f ca="1">'CDS from CapitalIQ'!X63</f>
        <v>-1.0197000000000003</v>
      </c>
      <c r="H22" s="11" cm="1">
        <f t="array" aca="1" ref="H22" ca="1">(_xll.TR(N22,"TR.PriceClose")-_xll.TR(N22,"TR.PriceClose","SDate:"&amp;TEXT(WORKDAY(TODAY(),-5),"yyyy-mm-dd")))/_xll.TR(N22,"TR.PriceClose","SDate:"&amp;TEXT(WORKDAY(TODAY(),-5),"yyyy-mm-dd"))</f>
        <v>2.537080405932865E-2</v>
      </c>
      <c r="I22" s="11" cm="1">
        <f t="array" aca="1" ref="I22" ca="1">(_xll.TR(N22,"TR.PriceClose")-_xll.TR(N22,"TR.PriceClose","SDate:"&amp;TEXT(WORKDAY(TODAY(),-10),"yyyy-mm-dd")))/_xll.TR(N22,"TR.PriceClose","SDate:"&amp;TEXT(WORKDAY(TODAY(),-10),"yyyy-mm-dd"))</f>
        <v>3.0196078431372505E-2</v>
      </c>
      <c r="J22" s="11" cm="1">
        <f t="array" aca="1" ref="J22" ca="1">(_xll.TR(N22,"TR.PriceClose")-_xll.TR(N22,"TR.PriceClose","SDate:"&amp;EDATE(TODAY(),-3)))/_xll.TR(N22,"TR.PriceClose","SDate:"&amp;EDATE(TODAY(),-3))</f>
        <v>0.22929340196537204</v>
      </c>
      <c r="K22" s="11" cm="1">
        <f t="array" aca="1" ref="K22" ca="1">(_xll.TR(N22,"TR.PriceClose")-_xll.TR(N22,"TR.PriceClose","SDate:"&amp;EDATE(TODAY(),-12)))/_xll.TR(N22,"TR.PriceClose","SDate:"&amp;EDATE(TODAY(),-12))</f>
        <v>0.45742024965325928</v>
      </c>
      <c r="M22" s="14" t="s">
        <v>24</v>
      </c>
      <c r="N22" s="15" t="s">
        <v>61</v>
      </c>
      <c r="O22" t="s">
        <v>92</v>
      </c>
      <c r="Q22" s="23"/>
    </row>
    <row r="23" spans="1:17">
      <c r="A23" s="12" t="s">
        <v>25</v>
      </c>
      <c r="B23" s="9" t="s">
        <v>214</v>
      </c>
      <c r="C23" s="10">
        <f ca="1">'CDS from CapitalIQ'!C64</f>
        <v>39.554400000000001</v>
      </c>
      <c r="D23" s="35">
        <f ca="1">'CDS from CapitalIQ'!T64</f>
        <v>0.96990000000000265</v>
      </c>
      <c r="E23" s="35">
        <f ca="1">'CDS from CapitalIQ'!T64</f>
        <v>0.96990000000000265</v>
      </c>
      <c r="F23" s="35">
        <f ca="1">'CDS from CapitalIQ'!V64</f>
        <v>1.0944000000000003</v>
      </c>
      <c r="G23" s="36">
        <f ca="1">'CDS from CapitalIQ'!X64</f>
        <v>-8.2081000000000017</v>
      </c>
      <c r="H23" s="11" cm="1">
        <f t="array" aca="1" ref="H23" ca="1">(_xll.TR(N23,"TR.PriceClose")-_xll.TR(N23,"TR.PriceClose","SDate:"&amp;TEXT(WORKDAY(TODAY(),-5),"yyyy-mm-dd")))/_xll.TR(N23,"TR.PriceClose","SDate:"&amp;TEXT(WORKDAY(TODAY(),-5),"yyyy-mm-dd"))</f>
        <v>4.8622366288492709E-2</v>
      </c>
      <c r="I23" s="11" cm="1">
        <f t="array" aca="1" ref="I23" ca="1">(_xll.TR(N23,"TR.PriceClose")-_xll.TR(N23,"TR.PriceClose","SDate:"&amp;TEXT(WORKDAY(TODAY(),-10),"yyyy-mm-dd")))/_xll.TR(N23,"TR.PriceClose","SDate:"&amp;TEXT(WORKDAY(TODAY(),-10),"yyyy-mm-dd"))</f>
        <v>6.21067031463748E-2</v>
      </c>
      <c r="J23" s="11" cm="1">
        <f t="array" aca="1" ref="J23" ca="1">(_xll.TR(N23,"TR.PriceClose")-_xll.TR(N23,"TR.PriceClose","SDate:"&amp;EDATE(TODAY(),-3)))/_xll.TR(N23,"TR.PriceClose","SDate:"&amp;EDATE(TODAY(),-3))</f>
        <v>0.17618542645053772</v>
      </c>
      <c r="K23" s="11" cm="1">
        <f t="array" aca="1" ref="K23" ca="1">(_xll.TR(N23,"TR.PriceClose")-_xll.TR(N23,"TR.PriceClose","SDate:"&amp;EDATE(TODAY(),-12)))/_xll.TR(N23,"TR.PriceClose","SDate:"&amp;EDATE(TODAY(),-12))</f>
        <v>0.62020033388981632</v>
      </c>
      <c r="M23" s="14" t="s">
        <v>25</v>
      </c>
      <c r="N23" s="15" t="s">
        <v>62</v>
      </c>
      <c r="O23" t="s">
        <v>94</v>
      </c>
      <c r="Q23" s="23"/>
    </row>
    <row r="24" spans="1:17">
      <c r="A24" s="8" t="s">
        <v>26</v>
      </c>
      <c r="B24" s="9" t="s">
        <v>214</v>
      </c>
      <c r="C24" s="10">
        <f ca="1">'CDS from CapitalIQ'!C65</f>
        <v>56.539099999999998</v>
      </c>
      <c r="D24" s="35">
        <f ca="1">'CDS from CapitalIQ'!T65</f>
        <v>1.2425999999999959</v>
      </c>
      <c r="E24" s="35">
        <f ca="1">'CDS from CapitalIQ'!T65</f>
        <v>1.2425999999999959</v>
      </c>
      <c r="F24" s="35">
        <f ca="1">'CDS from CapitalIQ'!V65</f>
        <v>1.2093999999999951</v>
      </c>
      <c r="G24" s="36">
        <f ca="1">'CDS from CapitalIQ'!X65</f>
        <v>1.1761999999999944</v>
      </c>
      <c r="H24" s="11" cm="1">
        <f t="array" aca="1" ref="H24" ca="1">(_xll.TR(N24,"TR.PriceClose")-_xll.TR(N24,"TR.PriceClose","SDate:"&amp;TEXT(WORKDAY(TODAY(),-5),"yyyy-mm-dd")))/_xll.TR(N24,"TR.PriceClose","SDate:"&amp;TEXT(WORKDAY(TODAY(),-5),"yyyy-mm-dd"))</f>
        <v>1.593026750826574E-2</v>
      </c>
      <c r="I24" s="11" cm="1">
        <f t="array" aca="1" ref="I24" ca="1">(_xll.TR(N24,"TR.PriceClose")-_xll.TR(N24,"TR.PriceClose","SDate:"&amp;TEXT(WORKDAY(TODAY(),-10),"yyyy-mm-dd")))/_xll.TR(N24,"TR.PriceClose","SDate:"&amp;TEXT(WORKDAY(TODAY(),-10),"yyyy-mm-dd"))</f>
        <v>3.2061068702290078E-2</v>
      </c>
      <c r="J24" s="11" cm="1">
        <f t="array" aca="1" ref="J24" ca="1">(_xll.TR(N24,"TR.PriceClose")-_xll.TR(N24,"TR.PriceClose","SDate:"&amp;EDATE(TODAY(),-3)))/_xll.TR(N24,"TR.PriceClose","SDate:"&amp;EDATE(TODAY(),-3))</f>
        <v>0.17852161785216175</v>
      </c>
      <c r="K24" s="11" cm="1">
        <f t="array" aca="1" ref="K24" ca="1">(_xll.TR(N24,"TR.PriceClose")-_xll.TR(N24,"TR.PriceClose","SDate:"&amp;EDATE(TODAY(),-12)))/_xll.TR(N24,"TR.PriceClose","SDate:"&amp;EDATE(TODAY(),-12))</f>
        <v>0.3020030816640985</v>
      </c>
      <c r="M24" s="14" t="s">
        <v>26</v>
      </c>
      <c r="N24" s="15" t="s">
        <v>63</v>
      </c>
      <c r="O24" t="s">
        <v>95</v>
      </c>
    </row>
    <row r="25" spans="1:17">
      <c r="A25" s="12" t="s">
        <v>27</v>
      </c>
      <c r="B25" s="9" t="s">
        <v>214</v>
      </c>
      <c r="C25" s="10">
        <f ca="1">'CDS from CapitalIQ'!C66</f>
        <v>43.705300000000001</v>
      </c>
      <c r="D25" s="35">
        <f ca="1">'CDS from CapitalIQ'!T66</f>
        <v>0.95530000000000115</v>
      </c>
      <c r="E25" s="35">
        <f ca="1">'CDS from CapitalIQ'!T66</f>
        <v>0.95530000000000115</v>
      </c>
      <c r="F25" s="35">
        <f ca="1">'CDS from CapitalIQ'!V66</f>
        <v>0.60529999999999973</v>
      </c>
      <c r="G25" s="36">
        <f ca="1">'CDS from CapitalIQ'!X66</f>
        <v>-11.411699999999996</v>
      </c>
      <c r="H25" s="11" cm="1">
        <f t="array" aca="1" ref="H25" ca="1">(_xll.TR(N25,"TR.PriceClose")-_xll.TR(N25,"TR.PriceClose","SDate:"&amp;TEXT(WORKDAY(TODAY(),-5),"yyyy-mm-dd")))/_xll.TR(N25,"TR.PriceClose","SDate:"&amp;TEXT(WORKDAY(TODAY(),-5),"yyyy-mm-dd"))</f>
        <v>2.7403846153846154E-2</v>
      </c>
      <c r="I25" s="11" cm="1">
        <f t="array" aca="1" ref="I25" ca="1">(_xll.TR(N25,"TR.PriceClose")-_xll.TR(N25,"TR.PriceClose","SDate:"&amp;TEXT(WORKDAY(TODAY(),-10),"yyyy-mm-dd")))/_xll.TR(N25,"TR.PriceClose","SDate:"&amp;TEXT(WORKDAY(TODAY(),-10),"yyyy-mm-dd"))</f>
        <v>1.7619047619047618E-2</v>
      </c>
      <c r="J25" s="11" cm="1">
        <f t="array" aca="1" ref="J25" ca="1">(_xll.TR(N25,"TR.PriceClose")-_xll.TR(N25,"TR.PriceClose","SDate:"&amp;EDATE(TODAY(),-3)))/_xll.TR(N25,"TR.PriceClose","SDate:"&amp;EDATE(TODAY(),-3))</f>
        <v>0.21158861548928454</v>
      </c>
      <c r="K25" s="11" cm="1">
        <f t="array" aca="1" ref="K25" ca="1">(_xll.TR(N25,"TR.PriceClose")-_xll.TR(N25,"TR.PriceClose","SDate:"&amp;EDATE(TODAY(),-12)))/_xll.TR(N25,"TR.PriceClose","SDate:"&amp;EDATE(TODAY(),-12))</f>
        <v>0.58766716196136703</v>
      </c>
      <c r="M25" s="14" t="s">
        <v>27</v>
      </c>
      <c r="N25" s="15" t="s">
        <v>64</v>
      </c>
      <c r="O25" t="s">
        <v>93</v>
      </c>
      <c r="Q25" s="16"/>
    </row>
    <row r="26" spans="1:17">
      <c r="A26" s="18" t="s">
        <v>28</v>
      </c>
      <c r="B26" s="19"/>
      <c r="C26" s="22"/>
      <c r="D26" s="37"/>
      <c r="E26" s="37"/>
      <c r="F26" s="37"/>
      <c r="G26" s="38"/>
      <c r="H26" s="17"/>
      <c r="I26" s="17"/>
      <c r="J26" s="17"/>
      <c r="K26" s="17"/>
      <c r="Q26" s="23"/>
    </row>
    <row r="27" spans="1:17">
      <c r="A27" s="8" t="s">
        <v>29</v>
      </c>
      <c r="B27" s="9" t="s">
        <v>214</v>
      </c>
      <c r="C27" s="10">
        <f ca="1">'CDS from CapitalIQ'!C68</f>
        <v>46.344900000000003</v>
      </c>
      <c r="D27" s="35">
        <f ca="1">'CDS from CapitalIQ'!T68</f>
        <v>1.5949000000000026</v>
      </c>
      <c r="E27" s="35">
        <f ca="1">'CDS from CapitalIQ'!V68</f>
        <v>-8.7599999999994793E-2</v>
      </c>
      <c r="F27" s="35">
        <f ca="1">'CDS from CapitalIQ'!W68</f>
        <v>-11.3551</v>
      </c>
      <c r="G27" s="36">
        <f ca="1">'CDS from CapitalIQ'!X68</f>
        <v>-5.7790999999999997</v>
      </c>
      <c r="H27" s="11" cm="1">
        <f t="array" aca="1" ref="H27" ca="1">(_xll.TR(N27,"TR.PriceClose")-_xll.TR(N27,"TR.PriceClose","SDate:"&amp;TEXT(WORKDAY(TODAY(),-5),"yyyy-mm-dd")))/_xll.TR(N27,"TR.PriceClose","SDate:"&amp;TEXT(WORKDAY(TODAY(),-5),"yyyy-mm-dd"))</f>
        <v>-2.2831050228310596E-3</v>
      </c>
      <c r="I27" s="11" cm="1">
        <f t="array" aca="1" ref="I27" ca="1">(_xll.TR(N27,"TR.PriceClose")-_xll.TR(N27,"TR.PriceClose","SDate:"&amp;TEXT(WORKDAY(TODAY(),-10),"yyyy-mm-dd")))/_xll.TR(N27,"TR.PriceClose","SDate:"&amp;TEXT(WORKDAY(TODAY(),-10),"yyyy-mm-dd"))</f>
        <v>-1.3225806451612908E-2</v>
      </c>
      <c r="J27" s="11" cm="1">
        <f t="array" aca="1" ref="J27" ca="1">(_xll.TR(N27,"TR.PriceClose")-_xll.TR(N27,"TR.PriceClose","SDate:"&amp;EDATE(TODAY(),-3)))/_xll.TR(N27,"TR.PriceClose","SDate:"&amp;EDATE(TODAY(),-3))</f>
        <v>0.1281578462105846</v>
      </c>
      <c r="K27" s="11" cm="1">
        <f t="array" aca="1" ref="K27" ca="1">(_xll.TR(N27,"TR.PriceClose")-_xll.TR(N27,"TR.PriceClose","SDate:"&amp;EDATE(TODAY(),-12)))/_xll.TR(N27,"TR.PriceClose","SDate:"&amp;EDATE(TODAY(),-12))</f>
        <v>7.8631875881523289E-2</v>
      </c>
      <c r="M27" s="14" t="s">
        <v>29</v>
      </c>
      <c r="N27" s="15" t="s">
        <v>65</v>
      </c>
      <c r="O27" t="s">
        <v>96</v>
      </c>
      <c r="Q27" s="16"/>
    </row>
    <row r="28" spans="1:17">
      <c r="A28" s="12" t="s">
        <v>30</v>
      </c>
      <c r="B28" s="9" t="s">
        <v>214</v>
      </c>
      <c r="C28" s="10">
        <f ca="1">'CDS from CapitalIQ'!C69</f>
        <v>37</v>
      </c>
      <c r="D28" s="35">
        <f ca="1">'CDS from CapitalIQ'!T69</f>
        <v>0.16669999999999874</v>
      </c>
      <c r="E28" s="35">
        <f ca="1">'CDS from CapitalIQ'!V69</f>
        <v>-0.37599999999999767</v>
      </c>
      <c r="F28" s="35">
        <f ca="1">'CDS from CapitalIQ'!W69</f>
        <v>-9.375</v>
      </c>
      <c r="G28" s="36">
        <f ca="1">'CDS from CapitalIQ'!X69</f>
        <v>-5.2811999999999983</v>
      </c>
      <c r="H28" s="11" cm="1">
        <f t="array" aca="1" ref="H28" ca="1">(_xll.TR(N28,"TR.PriceClose")-_xll.TR(N28,"TR.PriceClose","SDate:"&amp;TEXT(WORKDAY(TODAY(),-5),"yyyy-mm-dd")))/_xll.TR(N28,"TR.PriceClose","SDate:"&amp;TEXT(WORKDAY(TODAY(),-5),"yyyy-mm-dd"))</f>
        <v>-3.5220807369275389E-3</v>
      </c>
      <c r="I28" s="11" cm="1">
        <f t="array" aca="1" ref="I28" ca="1">(_xll.TR(N28,"TR.PriceClose")-_xll.TR(N28,"TR.PriceClose","SDate:"&amp;TEXT(WORKDAY(TODAY(),-10),"yyyy-mm-dd")))/_xll.TR(N28,"TR.PriceClose","SDate:"&amp;TEXT(WORKDAY(TODAY(),-10),"yyyy-mm-dd"))</f>
        <v>-5.3281853281853288E-2</v>
      </c>
      <c r="J28" s="11" cm="1">
        <f t="array" aca="1" ref="J28" ca="1">(_xll.TR(N28,"TR.PriceClose")-_xll.TR(N28,"TR.PriceClose","SDate:"&amp;EDATE(TODAY(),-3)))/_xll.TR(N28,"TR.PriceClose","SDate:"&amp;EDATE(TODAY(),-3))</f>
        <v>5.8417266187050391E-2</v>
      </c>
      <c r="K28" s="11" cm="1">
        <f t="array" aca="1" ref="K28" ca="1">(_xll.TR(N28,"TR.PriceClose")-_xll.TR(N28,"TR.PriceClose","SDate:"&amp;EDATE(TODAY(),-12)))/_xll.TR(N28,"TR.PriceClose","SDate:"&amp;EDATE(TODAY(),-12))</f>
        <v>0.22396006655574044</v>
      </c>
      <c r="M28" s="14" t="s">
        <v>30</v>
      </c>
      <c r="N28" s="15" t="s">
        <v>66</v>
      </c>
      <c r="O28" t="s">
        <v>97</v>
      </c>
      <c r="Q28" s="23"/>
    </row>
    <row r="29" spans="1:17">
      <c r="A29" s="18" t="s">
        <v>31</v>
      </c>
      <c r="B29" s="19"/>
      <c r="C29" s="22"/>
      <c r="D29" s="37"/>
      <c r="E29" s="37"/>
      <c r="F29" s="37"/>
      <c r="G29" s="38"/>
      <c r="H29" s="17"/>
      <c r="I29" s="17"/>
      <c r="J29" s="17"/>
      <c r="K29" s="17"/>
      <c r="M29" s="13"/>
      <c r="Q29" s="23"/>
    </row>
    <row r="30" spans="1:17">
      <c r="A30" s="8" t="s">
        <v>32</v>
      </c>
      <c r="B30" s="9" t="s">
        <v>266</v>
      </c>
      <c r="C30" s="10">
        <f ca="1">'CDS from CapitalIQ'!C71</f>
        <v>25.592400000000001</v>
      </c>
      <c r="D30" s="35">
        <f ca="1">'CDS from CapitalIQ'!T71</f>
        <v>0.49239999999999995</v>
      </c>
      <c r="E30" s="35">
        <f ca="1">'CDS from CapitalIQ'!V71</f>
        <v>0.61240000000000094</v>
      </c>
      <c r="F30" s="35">
        <f ca="1">'CDS from CapitalIQ'!W71</f>
        <v>-3.9075999999999986</v>
      </c>
      <c r="G30" s="36">
        <f ca="1">'CDS from CapitalIQ'!X71</f>
        <v>-11.361900000000002</v>
      </c>
      <c r="H30" s="11" cm="1">
        <f t="array" aca="1" ref="H30" ca="1">(_xll.TR(N30,"TR.PriceClose")-_xll.TR(N30,"TR.PriceClose","SDate:"&amp;TEXT(WORKDAY(TODAY(),-5),"yyyy-mm-dd")))/_xll.TR(N30,"TR.PriceClose","SDate:"&amp;TEXT(WORKDAY(TODAY(),-5),"yyyy-mm-dd"))</f>
        <v>5.5096418732782371E-3</v>
      </c>
      <c r="I30" s="11" cm="1">
        <f t="array" aca="1" ref="I30" ca="1">(_xll.TR(N30,"TR.PriceClose")-_xll.TR(N30,"TR.PriceClose","SDate:"&amp;TEXT(WORKDAY(TODAY(),-10),"yyyy-mm-dd")))/_xll.TR(N30,"TR.PriceClose","SDate:"&amp;TEXT(WORKDAY(TODAY(),-10),"yyyy-mm-dd"))</f>
        <v>-1.9141372709871169E-3</v>
      </c>
      <c r="J30" s="11" cm="1">
        <f t="array" aca="1" ref="J30" ca="1">(_xll.TR(N30,"TR.PriceClose")-_xll.TR(N30,"TR.PriceClose","SDate:"&amp;EDATE(TODAY(),-3)))/_xll.TR(N30,"TR.PriceClose","SDate:"&amp;EDATE(TODAY(),-3))</f>
        <v>0.13283674736188705</v>
      </c>
      <c r="K30" s="11" cm="1">
        <f t="array" aca="1" ref="K30" ca="1">(_xll.TR(N30,"TR.PriceClose")-_xll.TR(N30,"TR.PriceClose","SDate:"&amp;EDATE(TODAY(),-12)))/_xll.TR(N30,"TR.PriceClose","SDate:"&amp;EDATE(TODAY(),-12))</f>
        <v>0.40438630242400936</v>
      </c>
      <c r="M30" t="s">
        <v>32</v>
      </c>
      <c r="N30" t="s">
        <v>67</v>
      </c>
      <c r="O30" t="s">
        <v>98</v>
      </c>
      <c r="Q30" s="24"/>
    </row>
    <row r="31" spans="1:17">
      <c r="A31" s="18" t="s">
        <v>33</v>
      </c>
      <c r="B31" s="18" t="s">
        <v>34</v>
      </c>
      <c r="C31" s="22"/>
      <c r="D31" s="37"/>
      <c r="E31" s="37"/>
      <c r="F31" s="37"/>
      <c r="G31" s="38"/>
      <c r="H31" s="17"/>
      <c r="I31" s="17"/>
      <c r="J31" s="17"/>
      <c r="K31" s="17"/>
      <c r="M31" s="14"/>
      <c r="N31" s="15"/>
    </row>
    <row r="32" spans="1:17">
      <c r="A32" s="12" t="s">
        <v>35</v>
      </c>
      <c r="B32" s="72" t="s">
        <v>265</v>
      </c>
      <c r="C32" s="10">
        <f ca="1">'CDS from CapitalIQ'!C73</f>
        <v>43.461500000000001</v>
      </c>
      <c r="D32" s="35">
        <f ca="1">'CDS from CapitalIQ'!T73</f>
        <v>3.5499999999998977E-2</v>
      </c>
      <c r="E32" s="35">
        <f ca="1">'CDS from CapitalIQ'!V73</f>
        <v>2.2878000000000043</v>
      </c>
      <c r="F32" s="35">
        <f ca="1">'CDS from CapitalIQ'!W73</f>
        <v>0.63430000000000319</v>
      </c>
      <c r="G32" s="36">
        <f ca="1">'CDS from CapitalIQ'!X73</f>
        <v>7.4082000000000008</v>
      </c>
      <c r="H32" s="11" cm="1">
        <f t="array" aca="1" ref="H32" ca="1">(_xll.TR(N32,"TR.PriceClose")-_xll.TR(N32,"TR.PriceClose","SDate:"&amp;TEXT(WORKDAY(TODAY(),-5),"yyyy-mm-dd")))/_xll.TR(N32,"TR.PriceClose","SDate:"&amp;TEXT(WORKDAY(TODAY(),-5),"yyyy-mm-dd"))</f>
        <v>9.3866973797869277E-2</v>
      </c>
      <c r="I32" s="11" cm="1">
        <f t="array" aca="1" ref="I32" ca="1">(_xll.TR(N32,"TR.PriceClose")-_xll.TR(N32,"TR.PriceClose","SDate:"&amp;TEXT(WORKDAY(TODAY(),-10),"yyyy-mm-dd")))/_xll.TR(N32,"TR.PriceClose","SDate:"&amp;TEXT(WORKDAY(TODAY(),-10),"yyyy-mm-dd"))</f>
        <v>7.2860773792713926E-2</v>
      </c>
      <c r="J32" s="11" cm="1">
        <f t="array" aca="1" ref="J32" ca="1">(_xll.TR(N32,"TR.PriceClose")-_xll.TR(N32,"TR.PriceClose","SDate:"&amp;EDATE(TODAY(),-3)))/_xll.TR(N32,"TR.PriceClose","SDate:"&amp;EDATE(TODAY(),-3))</f>
        <v>0.36262553802008607</v>
      </c>
      <c r="K32" s="11" cm="1">
        <f t="array" aca="1" ref="K32" ca="1">(_xll.TR(N32,"TR.PriceClose")-_xll.TR(N32,"TR.PriceClose","SDate:"&amp;EDATE(TODAY(),-12)))/_xll.TR(N32,"TR.PriceClose","SDate:"&amp;EDATE(TODAY(),-12))</f>
        <v>0.76124246638850257</v>
      </c>
      <c r="M32" s="14" t="s">
        <v>68</v>
      </c>
      <c r="N32" s="15" t="s">
        <v>69</v>
      </c>
      <c r="O32" t="s">
        <v>99</v>
      </c>
      <c r="Q32" s="16"/>
    </row>
    <row r="33" spans="1:17">
      <c r="A33" s="8" t="s">
        <v>36</v>
      </c>
      <c r="B33" s="72" t="s">
        <v>265</v>
      </c>
      <c r="C33" s="10">
        <f ca="1">'CDS from CapitalIQ'!C74</f>
        <v>42.411499999999997</v>
      </c>
      <c r="D33" s="35">
        <f ca="1">'CDS from CapitalIQ'!T74</f>
        <v>0.3125</v>
      </c>
      <c r="E33" s="35">
        <f ca="1">'CDS from CapitalIQ'!V74</f>
        <v>1.1596999999999937</v>
      </c>
      <c r="F33" s="35">
        <f ca="1">'CDS from CapitalIQ'!W74</f>
        <v>2.7156999999999982</v>
      </c>
      <c r="G33" s="36">
        <f ca="1">'CDS from CapitalIQ'!X74</f>
        <v>12.095899999999997</v>
      </c>
      <c r="H33" s="11" cm="1">
        <f t="array" aca="1" ref="H33" ca="1">(_xll.TR(N33,"TR.PriceClose")-_xll.TR(N33,"TR.PriceClose","SDate:"&amp;TEXT(WORKDAY(TODAY(),-5),"yyyy-mm-dd")))/_xll.TR(N33,"TR.PriceClose","SDate:"&amp;TEXT(WORKDAY(TODAY(),-5),"yyyy-mm-dd"))</f>
        <v>7.3352179735158465E-2</v>
      </c>
      <c r="I33" s="11" cm="1">
        <f t="array" aca="1" ref="I33" ca="1">(_xll.TR(N33,"TR.PriceClose")-_xll.TR(N33,"TR.PriceClose","SDate:"&amp;TEXT(WORKDAY(TODAY(),-10),"yyyy-mm-dd")))/_xll.TR(N33,"TR.PriceClose","SDate:"&amp;TEXT(WORKDAY(TODAY(),-10),"yyyy-mm-dd"))</f>
        <v>4.1732851985559566E-2</v>
      </c>
      <c r="J33" s="11" cm="1">
        <f t="array" aca="1" ref="J33" ca="1">(_xll.TR(N33,"TR.PriceClose")-_xll.TR(N33,"TR.PriceClose","SDate:"&amp;EDATE(TODAY(),-3)))/_xll.TR(N33,"TR.PriceClose","SDate:"&amp;EDATE(TODAY(),-3))</f>
        <v>0.33493708364174685</v>
      </c>
      <c r="K33" s="11" cm="1">
        <f t="array" aca="1" ref="K33" ca="1">(_xll.TR(N33,"TR.PriceClose")-_xll.TR(N33,"TR.PriceClose","SDate:"&amp;EDATE(TODAY(),-12)))/_xll.TR(N33,"TR.PriceClose","SDate:"&amp;EDATE(TODAY(),-12))</f>
        <v>0.81074297188755018</v>
      </c>
      <c r="M33" s="14" t="s">
        <v>36</v>
      </c>
      <c r="N33" s="15" t="s">
        <v>70</v>
      </c>
      <c r="O33" t="s">
        <v>100</v>
      </c>
      <c r="Q33" s="23"/>
    </row>
    <row r="34" spans="1:17">
      <c r="A34" s="12" t="s">
        <v>37</v>
      </c>
      <c r="B34" s="72" t="s">
        <v>265</v>
      </c>
      <c r="C34" s="10">
        <f ca="1">'CDS from CapitalIQ'!C75</f>
        <v>41.214599999999997</v>
      </c>
      <c r="D34" s="35">
        <f ca="1">'CDS from CapitalIQ'!T75</f>
        <v>0.24809999999999377</v>
      </c>
      <c r="E34" s="35">
        <f ca="1">'CDS from CapitalIQ'!V75</f>
        <v>6.6499999999997783E-2</v>
      </c>
      <c r="F34" s="35">
        <f ca="1">'CDS from CapitalIQ'!W75</f>
        <v>-4.8085000000000022</v>
      </c>
      <c r="G34" s="36">
        <f ca="1">'CDS from CapitalIQ'!X75</f>
        <v>-13.315300000000001</v>
      </c>
      <c r="H34" s="11" cm="1">
        <f t="array" aca="1" ref="H34" ca="1">(_xll.TR(N34,"TR.PriceClose")-_xll.TR(N34,"TR.PriceClose","SDate:"&amp;TEXT(WORKDAY(TODAY(),-5),"yyyy-mm-dd")))/_xll.TR(N34,"TR.PriceClose","SDate:"&amp;TEXT(WORKDAY(TODAY(),-5),"yyyy-mm-dd"))</f>
        <v>8.8398486759142497E-2</v>
      </c>
      <c r="I34" s="11" cm="1">
        <f t="array" aca="1" ref="I34" ca="1">(_xll.TR(N34,"TR.PriceClose")-_xll.TR(N34,"TR.PriceClose","SDate:"&amp;TEXT(WORKDAY(TODAY(),-10),"yyyy-mm-dd")))/_xll.TR(N34,"TR.PriceClose","SDate:"&amp;TEXT(WORKDAY(TODAY(),-10),"yyyy-mm-dd"))</f>
        <v>2.5424735654033505E-2</v>
      </c>
      <c r="J34" s="11" cm="1">
        <f t="array" aca="1" ref="J34" ca="1">(_xll.TR(N34,"TR.PriceClose")-_xll.TR(N34,"TR.PriceClose","SDate:"&amp;EDATE(TODAY(),-3)))/_xll.TR(N34,"TR.PriceClose","SDate:"&amp;EDATE(TODAY(),-3))</f>
        <v>0.30812367384055772</v>
      </c>
      <c r="K34" s="11" cm="1">
        <f t="array" aca="1" ref="K34" ca="1">(_xll.TR(N34,"TR.PriceClose")-_xll.TR(N34,"TR.PriceClose","SDate:"&amp;EDATE(TODAY(),-12)))/_xll.TR(N34,"TR.PriceClose","SDate:"&amp;EDATE(TODAY(),-12))</f>
        <v>0.90319735391400224</v>
      </c>
      <c r="M34" s="14" t="s">
        <v>37</v>
      </c>
      <c r="N34" s="15" t="s">
        <v>71</v>
      </c>
      <c r="O34" t="s">
        <v>101</v>
      </c>
      <c r="Q34" s="23"/>
    </row>
    <row r="35" spans="1:17">
      <c r="A35" s="8" t="s">
        <v>38</v>
      </c>
      <c r="B35" s="72" t="s">
        <v>265</v>
      </c>
      <c r="C35" s="10">
        <f ca="1">'CDS from CapitalIQ'!C76</f>
        <v>62.384099999999997</v>
      </c>
      <c r="D35" s="35">
        <f ca="1">'CDS from CapitalIQ'!T76</f>
        <v>0.66569999999999396</v>
      </c>
      <c r="E35" s="35">
        <f ca="1">'CDS from CapitalIQ'!V76</f>
        <v>-2.1602999999999994</v>
      </c>
      <c r="F35" s="35">
        <f ca="1">'CDS from CapitalIQ'!W76</f>
        <v>-5.5312000000000054</v>
      </c>
      <c r="G35" s="36">
        <f ca="1">'CDS from CapitalIQ'!X76</f>
        <v>-5.910100000000007</v>
      </c>
      <c r="H35" s="11" cm="1">
        <f t="array" aca="1" ref="H35" ca="1">(_xll.TR(N35,"TR.PriceClose")-_xll.TR(N35,"TR.PriceClose","SDate:"&amp;TEXT(WORKDAY(TODAY(),-5),"yyyy-mm-dd")))/_xll.TR(N35,"TR.PriceClose","SDate:"&amp;TEXT(WORKDAY(TODAY(),-5),"yyyy-mm-dd"))</f>
        <v>5.1699915706659175E-2</v>
      </c>
      <c r="I35" s="11" cm="1">
        <f t="array" aca="1" ref="I35" ca="1">(_xll.TR(N35,"TR.PriceClose")-_xll.TR(N35,"TR.PriceClose","SDate:"&amp;TEXT(WORKDAY(TODAY(),-10),"yyyy-mm-dd")))/_xll.TR(N35,"TR.PriceClose","SDate:"&amp;TEXT(WORKDAY(TODAY(),-10),"yyyy-mm-dd"))</f>
        <v>5.317951603826674E-2</v>
      </c>
      <c r="J35" s="11" cm="1">
        <f t="array" aca="1" ref="J35" ca="1">(_xll.TR(N35,"TR.PriceClose")-_xll.TR(N35,"TR.PriceClose","SDate:"&amp;EDATE(TODAY(),-3)))/_xll.TR(N35,"TR.PriceClose","SDate:"&amp;EDATE(TODAY(),-3))</f>
        <v>0.23409165842400265</v>
      </c>
      <c r="K35" s="11" cm="1">
        <f t="array" aca="1" ref="K35" ca="1">(_xll.TR(N35,"TR.PriceClose")-_xll.TR(N35,"TR.PriceClose","SDate:"&amp;EDATE(TODAY(),-12)))/_xll.TR(N35,"TR.PriceClose","SDate:"&amp;EDATE(TODAY(),-12))</f>
        <v>0.76307112576542624</v>
      </c>
      <c r="M35" s="14" t="s">
        <v>38</v>
      </c>
      <c r="N35" s="15" t="s">
        <v>72</v>
      </c>
      <c r="O35" t="s">
        <v>102</v>
      </c>
    </row>
    <row r="36" spans="1:17">
      <c r="A36" s="12" t="s">
        <v>39</v>
      </c>
      <c r="B36" s="72" t="s">
        <v>265</v>
      </c>
      <c r="C36" s="10">
        <f ca="1">'CDS from CapitalIQ'!C77</f>
        <v>75.2102</v>
      </c>
      <c r="D36" s="35">
        <f ca="1">'CDS from CapitalIQ'!T77</f>
        <v>2.7999999999934744E-3</v>
      </c>
      <c r="E36" s="35">
        <f ca="1">'CDS from CapitalIQ'!V77</f>
        <v>-3.6000000000058208E-3</v>
      </c>
      <c r="F36" s="35">
        <f ca="1">'CDS from CapitalIQ'!W77</f>
        <v>1.0759000000000043</v>
      </c>
      <c r="G36" s="36">
        <f ca="1">'CDS from CapitalIQ'!X77</f>
        <v>-1.8943000000000012</v>
      </c>
      <c r="H36" s="11" cm="1">
        <f t="array" aca="1" ref="H36" ca="1">(_xll.TR(N36,"TR.PriceClose")-_xll.TR(N36,"TR.PriceClose","SDate:"&amp;TEXT(WORKDAY(TODAY(),-5),"yyyy-mm-dd")))/_xll.TR(N36,"TR.PriceClose","SDate:"&amp;TEXT(WORKDAY(TODAY(),-5),"yyyy-mm-dd"))</f>
        <v>5.6250000000000001E-2</v>
      </c>
      <c r="I36" s="11" cm="1">
        <f t="array" aca="1" ref="I36" ca="1">(_xll.TR(N36,"TR.PriceClose")-_xll.TR(N36,"TR.PriceClose","SDate:"&amp;TEXT(WORKDAY(TODAY(),-10),"yyyy-mm-dd")))/_xll.TR(N36,"TR.PriceClose","SDate:"&amp;TEXT(WORKDAY(TODAY(),-10),"yyyy-mm-dd"))</f>
        <v>4.0842787682333875E-2</v>
      </c>
      <c r="J36" s="11" cm="1">
        <f t="array" aca="1" ref="J36" ca="1">(_xll.TR(N36,"TR.PriceClose")-_xll.TR(N36,"TR.PriceClose","SDate:"&amp;TEXT(WORKDAY(TODAY(),-65),"yyyy-mm-dd")))/_xll.TR(N36,"TR.PriceClose","SDate:"&amp;TEXT(WORKDAY(TODAY(),-65),"yyyy-mm-dd"))</f>
        <v>0.30475416497358798</v>
      </c>
      <c r="K36" s="11" cm="1">
        <f t="array" aca="1" ref="K36" ca="1">(_xll.TR(N36,"TR.PriceClose")-_xll.TR(N36,"TR.PriceClose","SDate:"&amp;EDATE(TODAY(),-12)))/_xll.TR(N36,"TR.PriceClose","SDate:"&amp;EDATE(TODAY(),-12))</f>
        <v>0.61227154046997401</v>
      </c>
      <c r="M36" s="14" t="s">
        <v>39</v>
      </c>
      <c r="N36" s="15" t="s">
        <v>73</v>
      </c>
      <c r="O36" t="s">
        <v>103</v>
      </c>
      <c r="Q36" s="16"/>
    </row>
    <row r="37" spans="1:17">
      <c r="A37" s="18" t="s">
        <v>40</v>
      </c>
      <c r="B37" s="18" t="s">
        <v>41</v>
      </c>
      <c r="C37" s="22"/>
      <c r="D37" s="37"/>
      <c r="E37" s="37"/>
      <c r="F37" s="37"/>
      <c r="G37" s="38"/>
      <c r="H37" s="17"/>
      <c r="I37" s="17"/>
      <c r="J37" s="17"/>
      <c r="K37" s="17"/>
      <c r="M37" s="13"/>
      <c r="N37" s="13"/>
      <c r="Q37" s="23"/>
    </row>
    <row r="38" spans="1:17">
      <c r="A38" s="8" t="s">
        <v>42</v>
      </c>
      <c r="B38" s="9" t="s">
        <v>263</v>
      </c>
      <c r="C38" s="10">
        <f ca="1">'CDS from CapitalIQ'!C79</f>
        <v>61.666699999999999</v>
      </c>
      <c r="D38" s="35">
        <f ca="1">'CDS from CapitalIQ'!T79</f>
        <v>0.16669999999999874</v>
      </c>
      <c r="E38" s="35">
        <f ca="1">'CDS from CapitalIQ'!V79</f>
        <v>0.16669999999999874</v>
      </c>
      <c r="F38" s="35">
        <f ca="1">'CDS from CapitalIQ'!W79</f>
        <v>-1.3333000000000013</v>
      </c>
      <c r="G38" s="36">
        <f ca="1">'CDS from CapitalIQ'!X79</f>
        <v>22.477699999999999</v>
      </c>
      <c r="H38" s="11" cm="1">
        <f t="array" aca="1" ref="H38" ca="1">(_xll.TR(N38,"TR.PriceClose")-_xll.TR(N38,"TR.PriceClose","SDate:"&amp;TEXT(WORKDAY(TODAY(),-5),"yyyy-mm-dd")))/_xll.TR(N38,"TR.PriceClose","SDate:"&amp;TEXT(WORKDAY(TODAY(),-5),"yyyy-mm-dd"))</f>
        <v>2.6141655093538715E-3</v>
      </c>
      <c r="I38" s="11" cm="1">
        <f t="array" aca="1" ref="I38" ca="1">(_xll.TR(N38,"TR.PriceClose")-_xll.TR(N38,"TR.PriceClose","SDate:"&amp;TEXT(WORKDAY(TODAY(),-10),"yyyy-mm-dd")))/_xll.TR(N38,"TR.PriceClose","SDate:"&amp;TEXT(WORKDAY(TODAY(),-10),"yyyy-mm-dd"))</f>
        <v>-1.3979272113762311E-2</v>
      </c>
      <c r="J38" s="11" cm="1">
        <f t="array" aca="1" ref="J38" ca="1">(_xll.TR(N38,"TR.PriceClose")-_xll.TR(N38,"TR.PriceClose","SDate:"&amp;TEXT(WORKDAY(TODAY(),-65),"yyyy-mm-dd")))/_xll.TR(N38,"TR.PriceClose","SDate:"&amp;TEXT(WORKDAY(TODAY(),-65),"yyyy-mm-dd"))</f>
        <v>0.17726618705035976</v>
      </c>
      <c r="K38" s="11" cm="1">
        <f t="array" aca="1" ref="K38" ca="1">(_xll.TR(N38,"TR.PriceClose")-_xll.TR(N38,"TR.PriceClose","SDate:"&amp;EDATE(TODAY(),-12)))/_xll.TR(N38,"TR.PriceClose","SDate:"&amp;EDATE(TODAY(),-12))</f>
        <v>0.58096096869766856</v>
      </c>
      <c r="M38" s="14" t="s">
        <v>42</v>
      </c>
      <c r="N38" s="15" t="s">
        <v>74</v>
      </c>
      <c r="O38" t="s">
        <v>104</v>
      </c>
      <c r="Q38" s="23"/>
    </row>
    <row r="39" spans="1:17">
      <c r="A39" s="12" t="s">
        <v>43</v>
      </c>
      <c r="B39" s="9" t="s">
        <v>263</v>
      </c>
      <c r="C39" s="10">
        <f ca="1">'CDS from CapitalIQ'!C80</f>
        <v>58.165100000000002</v>
      </c>
      <c r="D39" s="35">
        <f ca="1">'CDS from CapitalIQ'!T80</f>
        <v>-1.5000000000000568E-3</v>
      </c>
      <c r="E39" s="35">
        <f ca="1">'CDS from CapitalIQ'!V80</f>
        <v>1.6651000000000025</v>
      </c>
      <c r="F39" s="35">
        <f ca="1">'CDS from CapitalIQ'!W80</f>
        <v>3.1651000000000025</v>
      </c>
      <c r="G39" s="36">
        <f ca="1">'CDS from CapitalIQ'!X80</f>
        <v>16.721600000000002</v>
      </c>
      <c r="H39" s="11" cm="1">
        <f t="array" aca="1" ref="H39" ca="1">(_xll.TR(N39,"TR.PriceClose")-_xll.TR(N39,"TR.PriceClose","SDate:"&amp;TEXT(WORKDAY(TODAY(),-5),"yyyy-mm-dd")))/_xll.TR(N39,"TR.PriceClose","SDate:"&amp;TEXT(WORKDAY(TODAY(),-5),"yyyy-mm-dd"))</f>
        <v>2.0779220779221187E-3</v>
      </c>
      <c r="I39" s="11" cm="1">
        <f t="array" aca="1" ref="I39" ca="1">(_xll.TR(N39,"TR.PriceClose")-_xll.TR(N39,"TR.PriceClose","SDate:"&amp;TEXT(WORKDAY(TODAY(),-10),"yyyy-mm-dd")))/_xll.TR(N39,"TR.PriceClose","SDate:"&amp;TEXT(WORKDAY(TODAY(),-10),"yyyy-mm-dd"))</f>
        <v>-8.7750503972488982E-3</v>
      </c>
      <c r="J39" s="11" cm="1">
        <f t="array" aca="1" ref="J39" ca="1">(_xll.TR(N39,"TR.PriceClose")-_xll.TR(N39,"TR.PriceClose","SDate:"&amp;TEXT(WORKDAY(TODAY(),-65),"yyyy-mm-dd")))/_xll.TR(N39,"TR.PriceClose","SDate:"&amp;TEXT(WORKDAY(TODAY(),-65),"yyyy-mm-dd"))</f>
        <v>0.20684344771163204</v>
      </c>
      <c r="K39" s="11" cm="1">
        <f t="array" aca="1" ref="K39" ca="1">(_xll.TR(N39,"TR.PriceClose")-_xll.TR(N39,"TR.PriceClose","SDate:"&amp;EDATE(TODAY(),-12)))/_xll.TR(N39,"TR.PriceClose","SDate:"&amp;EDATE(TODAY(),-12))</f>
        <v>0.59868672701772274</v>
      </c>
      <c r="M39" s="14" t="s">
        <v>43</v>
      </c>
      <c r="N39" s="15" t="s">
        <v>75</v>
      </c>
      <c r="O39" t="s">
        <v>108</v>
      </c>
      <c r="Q39" s="23"/>
    </row>
    <row r="40" spans="1:17">
      <c r="A40" s="8" t="s">
        <v>44</v>
      </c>
      <c r="B40" s="9" t="s">
        <v>263</v>
      </c>
      <c r="C40" s="10">
        <f ca="1">'CDS from CapitalIQ'!C81</f>
        <v>62.506700000000002</v>
      </c>
      <c r="D40" s="35">
        <f ca="1">'CDS from CapitalIQ'!T81</f>
        <v>0.33539999999999992</v>
      </c>
      <c r="E40" s="35">
        <f ca="1">'CDS from CapitalIQ'!V81</f>
        <v>0.17340000000000089</v>
      </c>
      <c r="F40" s="35">
        <f ca="1">'CDS from CapitalIQ'!W81</f>
        <v>1.5054000000000016</v>
      </c>
      <c r="G40" s="36">
        <f ca="1">'CDS from CapitalIQ'!X81</f>
        <v>21.073399999999999</v>
      </c>
      <c r="H40" s="11" cm="1">
        <f t="array" aca="1" ref="H40" ca="1">(_xll.TR(N40,"TR.PriceClose")-_xll.TR(N40,"TR.PriceClose","SDate:"&amp;TEXT(WORKDAY(TODAY(),-5),"yyyy-mm-dd")))/_xll.TR(N40,"TR.PriceClose","SDate:"&amp;TEXT(WORKDAY(TODAY(),-5),"yyyy-mm-dd"))</f>
        <v>7.8526125037750192E-4</v>
      </c>
      <c r="I40" s="11" cm="1">
        <f t="array" aca="1" ref="I40" ca="1">(_xll.TR(N40,"TR.PriceClose")-_xll.TR(N40,"TR.PriceClose","SDate:"&amp;TEXT(WORKDAY(TODAY(),-10),"yyyy-mm-dd")))/_xll.TR(N40,"TR.PriceClose","SDate:"&amp;TEXT(WORKDAY(TODAY(),-10),"yyyy-mm-dd"))</f>
        <v>-1.7473037295896369E-3</v>
      </c>
      <c r="J40" s="11" cm="1">
        <f t="array" aca="1" ref="J40" ca="1">(_xll.TR(N40,"TR.PriceClose")-_xll.TR(N40,"TR.PriceClose","SDate:"&amp;TEXT(WORKDAY(TODAY(),-65),"yyyy-mm-dd")))/_xll.TR(N40,"TR.PriceClose","SDate:"&amp;TEXT(WORKDAY(TODAY(),-65),"yyyy-mm-dd"))</f>
        <v>9.9986721550922864E-2</v>
      </c>
      <c r="K40" s="11" cm="1">
        <f t="array" aca="1" ref="K40" ca="1">(_xll.TR(N40,"TR.PriceClose")-_xll.TR(N40,"TR.PriceClose","SDate:"&amp;EDATE(TODAY(),-12)))/_xll.TR(N40,"TR.PriceClose","SDate:"&amp;EDATE(TODAY(),-12))</f>
        <v>0.63328075709779186</v>
      </c>
      <c r="M40" s="14" t="s">
        <v>44</v>
      </c>
      <c r="N40" s="15" t="s">
        <v>76</v>
      </c>
      <c r="O40" t="s">
        <v>105</v>
      </c>
      <c r="Q40" s="23"/>
    </row>
    <row r="41" spans="1:17">
      <c r="A41" s="12" t="s">
        <v>45</v>
      </c>
      <c r="B41" s="9" t="s">
        <v>263</v>
      </c>
      <c r="C41" s="10">
        <f ca="1">'CDS from CapitalIQ'!C82</f>
        <v>56.673999999999999</v>
      </c>
      <c r="D41" s="35">
        <f ca="1">'CDS from CapitalIQ'!T82</f>
        <v>2.0400000000002194E-2</v>
      </c>
      <c r="E41" s="35">
        <f ca="1">'CDS from CapitalIQ'!V82</f>
        <v>0.17399999999999949</v>
      </c>
      <c r="F41" s="35">
        <f ca="1">'CDS from CapitalIQ'!W82</f>
        <v>1.6739999999999995</v>
      </c>
      <c r="G41" s="36">
        <f ca="1">'CDS from CapitalIQ'!X82</f>
        <v>12.1404</v>
      </c>
      <c r="H41" s="11" cm="1">
        <f t="array" aca="1" ref="H41" ca="1">(_xll.TR(N41,"TR.PriceClose")-_xll.TR(N41,"TR.PriceClose","SDate:"&amp;TEXT(WORKDAY(TODAY(),-5),"yyyy-mm-dd")))/_xll.TR(N41,"TR.PriceClose","SDate:"&amp;TEXT(WORKDAY(TODAY(),-5),"yyyy-mm-dd"))</f>
        <v>-1.889912591542601E-3</v>
      </c>
      <c r="I41" s="11" cm="1">
        <f t="array" aca="1" ref="I41" ca="1">(_xll.TR(N41,"TR.PriceClose")-_xll.TR(N41,"TR.PriceClose","SDate:"&amp;TEXT(WORKDAY(TODAY(),-10),"yyyy-mm-dd")))/_xll.TR(N41,"TR.PriceClose","SDate:"&amp;TEXT(WORKDAY(TODAY(),-10),"yyyy-mm-dd"))</f>
        <v>-9.9009900990098872E-3</v>
      </c>
      <c r="J41" s="11" cm="1">
        <f t="array" aca="1" ref="J41" ca="1">(_xll.TR(N41,"TR.PriceClose")-_xll.TR(N41,"TR.PriceClose","SDate:"&amp;TEXT(WORKDAY(TODAY(),-65),"yyyy-mm-dd")))/_xll.TR(N41,"TR.PriceClose","SDate:"&amp;TEXT(WORKDAY(TODAY(),-65),"yyyy-mm-dd"))</f>
        <v>0.17247120854724585</v>
      </c>
      <c r="K41" s="11" cm="1">
        <f t="array" aca="1" ref="K41" ca="1">(_xll.TR(N41,"TR.PriceClose")-_xll.TR(N41,"TR.PriceClose","SDate:"&amp;EDATE(TODAY(),-12)))/_xll.TR(N41,"TR.PriceClose","SDate:"&amp;EDATE(TODAY(),-12))</f>
        <v>0.64637116415002427</v>
      </c>
      <c r="M41" s="14" t="s">
        <v>45</v>
      </c>
      <c r="N41" s="15" t="s">
        <v>77</v>
      </c>
      <c r="O41" t="s">
        <v>109</v>
      </c>
      <c r="Q41" s="23"/>
    </row>
    <row r="42" spans="1:17">
      <c r="A42" s="8" t="s">
        <v>46</v>
      </c>
      <c r="B42" s="9" t="s">
        <v>263</v>
      </c>
      <c r="C42" s="10">
        <f ca="1">'CDS from CapitalIQ'!C83</f>
        <v>61.2928</v>
      </c>
      <c r="D42" s="35" cm="1">
        <f t="array" ref="D42">_xll.TR(O42,"MID_SPREAD")*_xll.TR(O42,"PCTCHG_1W")/(100+_xll.TR(O42,"PCTCHG_1W"))</f>
        <v>2.5855102306008411E-2</v>
      </c>
      <c r="E42" s="35">
        <f ca="1">'CDS from CapitalIQ'!V83</f>
        <v>0.79050000000000153</v>
      </c>
      <c r="F42" s="35">
        <f ca="1">'CDS from CapitalIQ'!W83</f>
        <v>4.5936000000000021</v>
      </c>
      <c r="G42" s="36">
        <f ca="1">'CDS from CapitalIQ'!X83</f>
        <v>23.4709</v>
      </c>
      <c r="H42" s="11" cm="1">
        <f t="array" aca="1" ref="H42" ca="1">(_xll.TR(N42,"TR.PriceClose")-_xll.TR(N42,"TR.PriceClose","SDate:"&amp;TEXT(WORKDAY(TODAY(),-5),"yyyy-mm-dd")))/_xll.TR(N42,"TR.PriceClose","SDate:"&amp;TEXT(WORKDAY(TODAY(),-5),"yyyy-mm-dd"))</f>
        <v>-2.5695641883895963E-3</v>
      </c>
      <c r="I42" s="11" cm="1">
        <f t="array" aca="1" ref="I42" ca="1">(_xll.TR(N42,"TR.PriceClose")-_xll.TR(N42,"TR.PriceClose","SDate:"&amp;TEXT(WORKDAY(TODAY(),-10),"yyyy-mm-dd")))/_xll.TR(N42,"TR.PriceClose","SDate:"&amp;TEXT(WORKDAY(TODAY(),-10),"yyyy-mm-dd"))</f>
        <v>-9.5682535419325272E-3</v>
      </c>
      <c r="J42" s="11" cm="1">
        <f t="array" aca="1" ref="J42" ca="1">(_xll.TR(N42,"TR.PriceClose")-_xll.TR(N42,"TR.PriceClose","SDate:"&amp;TEXT(WORKDAY(TODAY(),-65),"yyyy-mm-dd")))/_xll.TR(N42,"TR.PriceClose","SDate:"&amp;TEXT(WORKDAY(TODAY(),-65),"yyyy-mm-dd"))</f>
        <v>0.22527723553598861</v>
      </c>
      <c r="K42" s="11" cm="1">
        <f t="array" aca="1" ref="K42" ca="1">(_xll.TR(N42,"TR.PriceClose")-_xll.TR(N42,"TR.PriceClose","SDate:"&amp;EDATE(TODAY(),-12)))/_xll.TR(N42,"TR.PriceClose","SDate:"&amp;EDATE(TODAY(),-12))</f>
        <v>0.63015969497706803</v>
      </c>
      <c r="M42" s="14" t="s">
        <v>46</v>
      </c>
      <c r="N42" s="15" t="s">
        <v>78</v>
      </c>
      <c r="O42" t="s">
        <v>106</v>
      </c>
      <c r="Q42" s="23"/>
    </row>
    <row r="43" spans="1:17">
      <c r="A43" s="12" t="s">
        <v>47</v>
      </c>
      <c r="B43" s="9" t="s">
        <v>263</v>
      </c>
      <c r="C43" s="10">
        <f ca="1">'CDS from CapitalIQ'!C84</f>
        <v>60.521999999999998</v>
      </c>
      <c r="D43" s="35">
        <f ca="1">'CDS from CapitalIQ'!T84</f>
        <v>5.3300000000000125E-2</v>
      </c>
      <c r="E43" s="35">
        <f ca="1">'CDS from CapitalIQ'!V84</f>
        <v>4.1899999999998272E-2</v>
      </c>
      <c r="F43" s="35">
        <f ca="1">'CDS from CapitalIQ'!W84</f>
        <v>6.5822999999999965</v>
      </c>
      <c r="G43" s="36">
        <f ca="1">'CDS from CapitalIQ'!X84</f>
        <v>9.0439000000000007</v>
      </c>
      <c r="H43" s="11" cm="1">
        <f t="array" aca="1" ref="H43" ca="1">(_xll.TR(N43,"TR.PriceClose")-_xll.TR(N43,"TR.PriceClose","SDate:"&amp;TEXT(WORKDAY(TODAY(),-5),"yyyy-mm-dd")))/_xll.TR(N43,"TR.PriceClose","SDate:"&amp;TEXT(WORKDAY(TODAY(),-5),"yyyy-mm-dd"))</f>
        <v>-1.0104116329130157E-3</v>
      </c>
      <c r="I43" s="11" cm="1">
        <f t="array" aca="1" ref="I43" ca="1">(_xll.TR(N43,"TR.PriceClose")-_xll.TR(N43,"TR.PriceClose","SDate:"&amp;TEXT(WORKDAY(TODAY(),-10),"yyyy-mm-dd")))/_xll.TR(N43,"TR.PriceClose","SDate:"&amp;TEXT(WORKDAY(TODAY(),-10),"yyyy-mm-dd"))</f>
        <v>-4.0730521613454506E-3</v>
      </c>
      <c r="J43" s="11" cm="1">
        <f t="array" aca="1" ref="J43" ca="1">(_xll.TR(N43,"TR.PriceClose")-_xll.TR(N43,"TR.PriceClose","SDate:"&amp;TEXT(WORKDAY(TODAY(),-65),"yyyy-mm-dd")))/_xll.TR(N43,"TR.PriceClose","SDate:"&amp;TEXT(WORKDAY(TODAY(),-65),"yyyy-mm-dd"))</f>
        <v>0.12202101939112853</v>
      </c>
      <c r="K43" s="11" cm="1">
        <f t="array" aca="1" ref="K43" ca="1">(_xll.TR(N43,"TR.PriceClose")-_xll.TR(N43,"TR.PriceClose","SDate:"&amp;EDATE(TODAY(),-12)))/_xll.TR(N43,"TR.PriceClose","SDate:"&amp;EDATE(TODAY(),-12))</f>
        <v>0.57239662563960725</v>
      </c>
      <c r="M43" s="14" t="s">
        <v>47</v>
      </c>
      <c r="N43" s="15" t="s">
        <v>79</v>
      </c>
      <c r="O43" t="s">
        <v>107</v>
      </c>
    </row>
    <row r="44" spans="1:17">
      <c r="A44" s="8" t="s">
        <v>48</v>
      </c>
      <c r="B44" s="9" t="s">
        <v>263</v>
      </c>
      <c r="C44" s="10" t="str" cm="1">
        <f t="array" ref="C44">_xll.TR(O44,"MID_SPREAD")</f>
        <v>The record could not be found (Error code: 0)</v>
      </c>
      <c r="D44" s="35" t="e" cm="1">
        <f t="array" ref="D44">_xll.TR(O44,"MID_SPREAD")*_xll.TR(O44,"PCTCHG_1W")/(100+_xll.TR(O44,"PCTCHG_1W"))</f>
        <v>#VALUE!</v>
      </c>
      <c r="E44" s="35">
        <f>'CDS from CapitalIQ'!V85</f>
        <v>0</v>
      </c>
      <c r="F44" s="35">
        <f>'CDS from CapitalIQ'!W85</f>
        <v>0</v>
      </c>
      <c r="G44" s="36">
        <f>'CDS from CapitalIQ'!X85</f>
        <v>0</v>
      </c>
      <c r="H44" s="11" cm="1">
        <f t="array" aca="1" ref="H44" ca="1">(_xll.TR(N44,"TR.PriceClose")-_xll.TR(N44,"TR.PriceClose","SDate:"&amp;TEXT(WORKDAY(TODAY(),-5),"yyyy-mm-dd")))/_xll.TR(N44,"TR.PriceClose","SDate:"&amp;TEXT(WORKDAY(TODAY(),-5),"yyyy-mm-dd"))</f>
        <v>1.7404276479363572E-3</v>
      </c>
      <c r="I44" s="11" cm="1">
        <f t="array" aca="1" ref="I44" ca="1">(_xll.TR(N44,"TR.PriceClose")-_xll.TR(N44,"TR.PriceClose","SDate:"&amp;TEXT(WORKDAY(TODAY(),-10),"yyyy-mm-dd")))/_xll.TR(N44,"TR.PriceClose","SDate:"&amp;TEXT(WORKDAY(TODAY(),-10),"yyyy-mm-dd"))</f>
        <v>2.4826216484602807E-4</v>
      </c>
      <c r="J44" s="11" cm="1">
        <f t="array" aca="1" ref="J44" ca="1">(_xll.TR(N44,"TR.PriceClose")-_xll.TR(N44,"TR.PriceClose","SDate:"&amp;TEXT(WORKDAY(TODAY(),-65),"yyyy-mm-dd")))/_xll.TR(N44,"TR.PriceClose","SDate:"&amp;TEXT(WORKDAY(TODAY(),-65),"yyyy-mm-dd"))</f>
        <v>9.9378881987575518E-4</v>
      </c>
      <c r="K44" s="11" cm="1">
        <f t="array" aca="1" ref="K44" ca="1">(_xll.TR(N44,"TR.PriceClose")-_xll.TR(N44,"TR.PriceClose","SDate:"&amp;EDATE(TODAY(),-12)))/_xll.TR(N44,"TR.PriceClose","SDate:"&amp;EDATE(TODAY(),-12))</f>
        <v>0.30093639005489187</v>
      </c>
      <c r="M44" s="14" t="s">
        <v>48</v>
      </c>
      <c r="N44" s="15" t="s">
        <v>80</v>
      </c>
      <c r="O44" t="s">
        <v>110</v>
      </c>
      <c r="Q44" s="16"/>
    </row>
    <row r="45" spans="1:17">
      <c r="Q45" s="23"/>
    </row>
    <row r="46" spans="1:17">
      <c r="A46" t="s">
        <v>237</v>
      </c>
      <c r="F46" s="24"/>
      <c r="H46" s="52">
        <f ca="1">_xlfn.PERCENTILE.INC(H$8:H$44,0.2)</f>
        <v>5.8187516501879597E-4</v>
      </c>
      <c r="I46" s="52">
        <f ca="1">_xlfn.PERCENTILE.INC(I$8:I$44,0.2)</f>
        <v>-1.0565953369530489E-2</v>
      </c>
      <c r="J46" s="53">
        <f ca="1">_xlfn.PERCENTILE.INC(J$8:J$44,0.2)</f>
        <v>0.10156238786294768</v>
      </c>
      <c r="K46" s="53">
        <f ca="1">_xlfn.PERCENTILE.INC(K$8:K$44,0.2)</f>
        <v>0.29688946292110646</v>
      </c>
      <c r="M46" s="16"/>
      <c r="Q46" s="23"/>
    </row>
    <row r="47" spans="1:17">
      <c r="H47" s="51">
        <f ca="1">_xlfn.PERCENTILE.INC(H$8:H$44,0.8)</f>
        <v>4.3578163463382093E-2</v>
      </c>
      <c r="I47" s="51">
        <f ca="1">_xlfn.PERCENTILE.INC(I$8:I$44,0.8)</f>
        <v>4.4194552969820486E-2</v>
      </c>
      <c r="J47" s="54">
        <f ca="1">_xlfn.PERCENTILE.INC(J$8:J$44,0.8)</f>
        <v>0.23025305325709816</v>
      </c>
      <c r="K47" s="54">
        <f ca="1">_xlfn.PERCENTILE.INC(K$8:K$44,0.8)</f>
        <v>0.63496959815144705</v>
      </c>
      <c r="Q47" s="23"/>
    </row>
    <row r="48" spans="1:17">
      <c r="C48" s="41"/>
      <c r="D48" s="41"/>
      <c r="M48" s="13"/>
      <c r="N48" s="13"/>
      <c r="Q48" s="23"/>
    </row>
    <row r="49" spans="4:17">
      <c r="M49" s="14"/>
      <c r="N49" s="15"/>
      <c r="Q49" s="23"/>
    </row>
    <row r="50" spans="4:17">
      <c r="D50" s="41"/>
      <c r="M50" s="14"/>
      <c r="N50" s="15"/>
      <c r="Q50" s="23"/>
    </row>
    <row r="51" spans="4:17">
      <c r="M51" s="14"/>
      <c r="N51" s="15"/>
      <c r="Q51" s="23"/>
    </row>
    <row r="52" spans="4:17">
      <c r="M52" s="14"/>
      <c r="N52" s="15"/>
      <c r="Q52" s="23"/>
    </row>
    <row r="53" spans="4:17">
      <c r="M53" s="14"/>
      <c r="N53" s="15"/>
    </row>
    <row r="55" spans="4:17">
      <c r="M55" s="16"/>
    </row>
    <row r="57" spans="4:17">
      <c r="M57" s="13"/>
      <c r="N57" s="13"/>
    </row>
    <row r="58" spans="4:17">
      <c r="M58" s="14"/>
      <c r="N58" s="15"/>
    </row>
    <row r="59" spans="4:17">
      <c r="M59" s="14"/>
      <c r="N59" s="15"/>
    </row>
    <row r="60" spans="4:17">
      <c r="M60" s="14"/>
      <c r="N60" s="15"/>
    </row>
    <row r="61" spans="4:17">
      <c r="M61" s="14"/>
      <c r="N61" s="15"/>
    </row>
    <row r="62" spans="4:17">
      <c r="M62" s="14"/>
      <c r="N62" s="15"/>
    </row>
    <row r="63" spans="4:17">
      <c r="M63" s="14"/>
      <c r="N63" s="15"/>
    </row>
    <row r="64" spans="4:17">
      <c r="M64" s="14"/>
      <c r="N64" s="15"/>
    </row>
  </sheetData>
  <mergeCells count="4">
    <mergeCell ref="C1:G1"/>
    <mergeCell ref="C5:G5"/>
    <mergeCell ref="H1:K1"/>
    <mergeCell ref="H5:K5"/>
  </mergeCells>
  <conditionalFormatting sqref="D8:D43">
    <cfRule type="expression" dxfId="23" priority="15" stopIfTrue="1">
      <formula>D8&lt;=-3</formula>
    </cfRule>
    <cfRule type="expression" dxfId="22" priority="16" stopIfTrue="1">
      <formula>D8&gt;3</formula>
    </cfRule>
  </conditionalFormatting>
  <conditionalFormatting sqref="E8:E44">
    <cfRule type="expression" dxfId="21" priority="13" stopIfTrue="1">
      <formula>E8&lt;=-3</formula>
    </cfRule>
    <cfRule type="expression" dxfId="20" priority="14" stopIfTrue="1">
      <formula>E8&gt;3</formula>
    </cfRule>
  </conditionalFormatting>
  <conditionalFormatting sqref="F8:G44">
    <cfRule type="expression" dxfId="19" priority="9" stopIfTrue="1">
      <formula>F8&lt;=-20</formula>
    </cfRule>
    <cfRule type="expression" dxfId="18" priority="10" stopIfTrue="1">
      <formula>F8&gt;20</formula>
    </cfRule>
  </conditionalFormatting>
  <conditionalFormatting sqref="H8:H44 H46">
    <cfRule type="expression" dxfId="17" priority="7" stopIfTrue="1">
      <formula>H8&gt;=0.02</formula>
    </cfRule>
    <cfRule type="expression" dxfId="16" priority="8" stopIfTrue="1">
      <formula>H8&lt;=-0.03</formula>
    </cfRule>
  </conditionalFormatting>
  <conditionalFormatting sqref="I8:I44 I46">
    <cfRule type="expression" dxfId="15" priority="5" stopIfTrue="1">
      <formula>I8&gt;=0.1</formula>
    </cfRule>
    <cfRule type="expression" dxfId="14" priority="6" stopIfTrue="1">
      <formula>I8&lt;=-0.03</formula>
    </cfRule>
  </conditionalFormatting>
  <conditionalFormatting sqref="J8:J44">
    <cfRule type="expression" dxfId="13" priority="3" stopIfTrue="1">
      <formula>J8&gt;=0.3</formula>
    </cfRule>
    <cfRule type="expression" dxfId="12" priority="4" stopIfTrue="1">
      <formula>J8&lt;=-0.13</formula>
    </cfRule>
  </conditionalFormatting>
  <conditionalFormatting sqref="K8:K44">
    <cfRule type="expression" dxfId="11" priority="1" stopIfTrue="1">
      <formula>K8&gt;=0.7</formula>
    </cfRule>
    <cfRule type="expression" dxfId="10" priority="2" stopIfTrue="1">
      <formula>K8&lt;=-0.3</formula>
    </cfRule>
  </conditionalFormatting>
  <pageMargins left="0.7" right="0.7" top="0.75" bottom="0.75" header="0.3" footer="0.3"/>
  <pageSetup orientation="portrait" r:id="rId1"/>
  <headerFooter>
    <oddHeader>&amp;R&amp;"Aptos"&amp;10&amp;K000000 Category/Catégorie: Non-Sensitive/Non-Délicat&amp;1#_x000D_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7D83A-8344-46DF-9263-3D6EDECA8BF0}">
  <dimension ref="A1:K44"/>
  <sheetViews>
    <sheetView topLeftCell="A23" zoomScale="98" zoomScaleNormal="98" workbookViewId="0">
      <selection activeCell="F16" sqref="F16"/>
    </sheetView>
  </sheetViews>
  <sheetFormatPr defaultRowHeight="14"/>
  <cols>
    <col min="1" max="1" width="27.26953125" style="55" customWidth="1"/>
    <col min="2" max="3" width="15.26953125" style="55" customWidth="1"/>
    <col min="4" max="4" width="21.81640625" style="55" customWidth="1"/>
    <col min="5" max="5" width="19.6328125" style="55" customWidth="1"/>
    <col min="6" max="6" width="21.81640625" style="55" customWidth="1"/>
    <col min="7" max="7" width="20.7265625" style="55" customWidth="1"/>
    <col min="8" max="8" width="16.36328125" style="55" customWidth="1"/>
    <col min="9" max="9" width="8.7265625" style="55"/>
    <col min="10" max="10" width="19.6328125" style="55" customWidth="1"/>
    <col min="11" max="11" width="24" style="55" customWidth="1"/>
    <col min="12" max="16384" width="8.7265625" style="55"/>
  </cols>
  <sheetData>
    <row r="1" spans="1:11" ht="18" customHeight="1">
      <c r="A1" s="80" t="s">
        <v>262</v>
      </c>
      <c r="B1" s="80"/>
      <c r="C1" s="80"/>
      <c r="D1" s="80"/>
      <c r="E1" s="80"/>
      <c r="F1" s="80"/>
      <c r="G1" s="80"/>
      <c r="H1" s="80"/>
      <c r="J1" s="81" t="s">
        <v>261</v>
      </c>
      <c r="K1" s="81"/>
    </row>
    <row r="2" spans="1:11">
      <c r="J2" s="70" t="s">
        <v>260</v>
      </c>
      <c r="K2" s="71">
        <v>0.6</v>
      </c>
    </row>
    <row r="3" spans="1:11">
      <c r="J3" s="70" t="s">
        <v>259</v>
      </c>
      <c r="K3" s="71">
        <v>0.4</v>
      </c>
    </row>
    <row r="4" spans="1:11">
      <c r="J4" s="70" t="s">
        <v>258</v>
      </c>
      <c r="K4" s="69" t="s">
        <v>257</v>
      </c>
    </row>
    <row r="5" spans="1:11">
      <c r="J5" s="70" t="s">
        <v>256</v>
      </c>
      <c r="K5" s="69" t="s">
        <v>255</v>
      </c>
    </row>
    <row r="7" spans="1:11" ht="34.5" customHeight="1">
      <c r="A7" s="68" t="s">
        <v>2</v>
      </c>
      <c r="B7" s="68" t="s">
        <v>254</v>
      </c>
      <c r="C7" s="68" t="s">
        <v>253</v>
      </c>
      <c r="D7" s="68" t="s">
        <v>252</v>
      </c>
      <c r="E7" s="68" t="s">
        <v>251</v>
      </c>
      <c r="F7" s="68" t="s">
        <v>250</v>
      </c>
      <c r="G7" s="68" t="s">
        <v>249</v>
      </c>
      <c r="H7" s="68" t="s">
        <v>247</v>
      </c>
    </row>
    <row r="8" spans="1:11">
      <c r="A8" s="60" t="s">
        <v>10</v>
      </c>
      <c r="B8" s="60" t="s">
        <v>238</v>
      </c>
      <c r="C8" s="59">
        <f ca="1">Report!$C$8</f>
        <v>53.986800000000002</v>
      </c>
      <c r="D8" s="58">
        <f ca="1">Report!$I$8</f>
        <v>-6.055006751474671E-2</v>
      </c>
      <c r="E8" s="62">
        <f ca="1">_xlfn.PERCENTRANK.INC($C$8:$C$14,C8)*100</f>
        <v>50</v>
      </c>
      <c r="F8" s="62">
        <f ca="1">(1-_xlfn.PERCENTRANK.INC($D$8:$D$14,D8))*100</f>
        <v>100</v>
      </c>
      <c r="G8" s="62">
        <f t="shared" ref="G8:G14" ca="1" si="0">IF(OR(E8="",F8=""),"",$K$2*E8+$K$3*F8)</f>
        <v>70</v>
      </c>
      <c r="H8" s="61" t="str">
        <f t="shared" ref="H8:H14" ca="1" si="1">IF(G8="","",IF(G8&lt;=25,"Low",IF(G8&lt;=50,"Moderate",IF(G8&lt;=75,"Elevated","High"))))</f>
        <v>Elevated</v>
      </c>
      <c r="J8" s="67" t="s">
        <v>248</v>
      </c>
      <c r="K8" s="67" t="s">
        <v>247</v>
      </c>
    </row>
    <row r="9" spans="1:11">
      <c r="A9" s="60" t="s">
        <v>11</v>
      </c>
      <c r="B9" s="60" t="s">
        <v>238</v>
      </c>
      <c r="C9" s="59">
        <f ca="1">Report!$C$9</f>
        <v>56.415900000000001</v>
      </c>
      <c r="D9" s="58">
        <f ca="1">Report!$I$9</f>
        <v>4.2857142857142809E-2</v>
      </c>
      <c r="E9" s="62">
        <f t="shared" ref="E9:E14" ca="1" si="2">_xlfn.PERCENTRANK.INC($C$8:$C$14,C9)*100</f>
        <v>83.3</v>
      </c>
      <c r="F9" s="62">
        <f t="shared" ref="F9:F14" ca="1" si="3">(1-_xlfn.PERCENTRANK.INC($D$8:$D$14,D9))*100</f>
        <v>16.700000000000003</v>
      </c>
      <c r="G9" s="62">
        <f t="shared" ca="1" si="0"/>
        <v>56.66</v>
      </c>
      <c r="H9" s="61" t="str">
        <f t="shared" ca="1" si="1"/>
        <v>Elevated</v>
      </c>
      <c r="J9" s="66" t="s">
        <v>246</v>
      </c>
      <c r="K9" s="66" t="s">
        <v>245</v>
      </c>
    </row>
    <row r="10" spans="1:11">
      <c r="A10" s="60" t="s">
        <v>12</v>
      </c>
      <c r="B10" s="60" t="s">
        <v>238</v>
      </c>
      <c r="C10" s="59">
        <f ca="1">Report!$C$10</f>
        <v>41.005299999999998</v>
      </c>
      <c r="D10" s="58">
        <f ca="1">Report!$I$10</f>
        <v>5.5839536065524789E-2</v>
      </c>
      <c r="E10" s="62">
        <f t="shared" ca="1" si="2"/>
        <v>0</v>
      </c>
      <c r="F10" s="62">
        <f t="shared" ca="1" si="3"/>
        <v>0</v>
      </c>
      <c r="G10" s="62">
        <f t="shared" ca="1" si="0"/>
        <v>0</v>
      </c>
      <c r="H10" s="61" t="str">
        <f t="shared" ca="1" si="1"/>
        <v>Low</v>
      </c>
      <c r="J10" s="65" t="s">
        <v>244</v>
      </c>
      <c r="K10" s="65" t="s">
        <v>243</v>
      </c>
    </row>
    <row r="11" spans="1:11">
      <c r="A11" s="60" t="s">
        <v>13</v>
      </c>
      <c r="B11" s="60" t="s">
        <v>238</v>
      </c>
      <c r="C11" s="59">
        <f ca="1">Report!$C$11</f>
        <v>55.823700000000002</v>
      </c>
      <c r="D11" s="58">
        <f ca="1">Report!$I$11</f>
        <v>1.4647531814400795E-2</v>
      </c>
      <c r="E11" s="62">
        <f t="shared" ca="1" si="2"/>
        <v>66.600000000000009</v>
      </c>
      <c r="F11" s="62">
        <f t="shared" ca="1" si="3"/>
        <v>50</v>
      </c>
      <c r="G11" s="62">
        <f t="shared" ca="1" si="0"/>
        <v>59.96</v>
      </c>
      <c r="H11" s="61" t="str">
        <f t="shared" ca="1" si="1"/>
        <v>Elevated</v>
      </c>
      <c r="J11" s="64" t="s">
        <v>242</v>
      </c>
      <c r="K11" s="64" t="s">
        <v>241</v>
      </c>
    </row>
    <row r="12" spans="1:11">
      <c r="A12" s="60" t="s">
        <v>14</v>
      </c>
      <c r="B12" s="60" t="s">
        <v>238</v>
      </c>
      <c r="C12" s="59">
        <f ca="1">Report!$C$12</f>
        <v>59.418599999999998</v>
      </c>
      <c r="D12" s="58">
        <f ca="1">Report!$I$12</f>
        <v>-2.9897326880455984E-2</v>
      </c>
      <c r="E12" s="62">
        <f t="shared" ca="1" si="2"/>
        <v>100</v>
      </c>
      <c r="F12" s="62">
        <f t="shared" ca="1" si="3"/>
        <v>83.399999999999991</v>
      </c>
      <c r="G12" s="62">
        <f t="shared" ca="1" si="0"/>
        <v>93.36</v>
      </c>
      <c r="H12" s="61" t="str">
        <f t="shared" ca="1" si="1"/>
        <v>High</v>
      </c>
      <c r="J12" s="63" t="s">
        <v>240</v>
      </c>
      <c r="K12" s="63" t="s">
        <v>239</v>
      </c>
    </row>
    <row r="13" spans="1:11">
      <c r="A13" s="60" t="s">
        <v>15</v>
      </c>
      <c r="B13" s="60" t="s">
        <v>238</v>
      </c>
      <c r="C13" s="59">
        <f ca="1">Report!$C$13</f>
        <v>49.935400000000001</v>
      </c>
      <c r="D13" s="58">
        <f ca="1">Report!$I$13</f>
        <v>-1.5512718147598943E-2</v>
      </c>
      <c r="E13" s="62">
        <f t="shared" ca="1" si="2"/>
        <v>16.600000000000001</v>
      </c>
      <c r="F13" s="62">
        <f t="shared" ca="1" si="3"/>
        <v>66.7</v>
      </c>
      <c r="G13" s="62">
        <f t="shared" ca="1" si="0"/>
        <v>36.64</v>
      </c>
      <c r="H13" s="61" t="str">
        <f t="shared" ca="1" si="1"/>
        <v>Moderate</v>
      </c>
    </row>
    <row r="14" spans="1:11">
      <c r="A14" s="60" t="s">
        <v>16</v>
      </c>
      <c r="B14" s="60" t="s">
        <v>238</v>
      </c>
      <c r="C14" s="59">
        <f ca="1">Report!$C$14</f>
        <v>52.4938</v>
      </c>
      <c r="D14" s="58">
        <f ca="1">Report!$I$14</f>
        <v>4.0579222091261261E-2</v>
      </c>
      <c r="E14" s="62">
        <f t="shared" ca="1" si="2"/>
        <v>33.300000000000004</v>
      </c>
      <c r="F14" s="62">
        <f t="shared" ca="1" si="3"/>
        <v>33.4</v>
      </c>
      <c r="G14" s="62">
        <f t="shared" ca="1" si="0"/>
        <v>33.340000000000003</v>
      </c>
      <c r="H14" s="61" t="str">
        <f t="shared" ca="1" si="1"/>
        <v>Moderate</v>
      </c>
    </row>
    <row r="15" spans="1:11" ht="14.65" customHeight="1">
      <c r="A15" s="77" t="s">
        <v>17</v>
      </c>
      <c r="B15" s="77"/>
      <c r="C15" s="78"/>
      <c r="D15" s="79"/>
      <c r="E15" s="78"/>
      <c r="F15" s="78"/>
      <c r="G15" s="78"/>
      <c r="H15" s="77"/>
    </row>
    <row r="16" spans="1:11">
      <c r="A16" s="60" t="s">
        <v>18</v>
      </c>
      <c r="B16" s="60" t="s">
        <v>17</v>
      </c>
      <c r="C16" s="59">
        <f ca="1">Report!$C$16</f>
        <v>44.712000000000003</v>
      </c>
      <c r="D16" s="58">
        <f ca="1">Report!$I$16</f>
        <v>4.954419342053111E-2</v>
      </c>
      <c r="E16" s="62">
        <f ca="1">_xlfn.PERCENTRANK.INC($C$16:$C$18,C16)*100</f>
        <v>50</v>
      </c>
      <c r="F16" s="62">
        <f ca="1">(1-_xlfn.PERCENTRANK.INC($D$16:$D$18,D16))*100</f>
        <v>50</v>
      </c>
      <c r="G16" s="62" t="e">
        <f ca="1">IF(OR(#REF!="",F16=""),"",$K$2*#REF!+$K$3*F16)</f>
        <v>#REF!</v>
      </c>
      <c r="H16" s="61" t="e">
        <f ca="1">IF(G16="","",IF(G16&lt;=25,"Low",IF(G16&lt;=50,"Moderate",IF(G16&lt;=75,"Elevated","High"))))</f>
        <v>#REF!</v>
      </c>
    </row>
    <row r="17" spans="1:8">
      <c r="A17" s="60" t="s">
        <v>19</v>
      </c>
      <c r="B17" s="60" t="s">
        <v>17</v>
      </c>
      <c r="C17" s="59">
        <f ca="1">Report!$C$17</f>
        <v>36.635399999999997</v>
      </c>
      <c r="D17" s="58">
        <f ca="1">Report!$I$17</f>
        <v>5.4415954415954315E-2</v>
      </c>
      <c r="E17" s="62">
        <f t="shared" ref="E17:E18" ca="1" si="4">_xlfn.PERCENTRANK.INC($C$16:$C$18,C17)*100</f>
        <v>0</v>
      </c>
      <c r="F17" s="62">
        <f t="shared" ref="F17:F18" ca="1" si="5">(1-_xlfn.PERCENTRANK.INC($D$16:$D$18,D17))*100</f>
        <v>0</v>
      </c>
      <c r="G17" s="62">
        <f ca="1">IF(OR(E16="",F17=""),"",$K$2*E16+$K$3*F17)</f>
        <v>30</v>
      </c>
      <c r="H17" s="61" t="str">
        <f ca="1">IF(G17="","",IF(G17&lt;=25,"Low",IF(G17&lt;=50,"Moderate",IF(G17&lt;=75,"Elevated","High"))))</f>
        <v>Moderate</v>
      </c>
    </row>
    <row r="18" spans="1:8">
      <c r="A18" s="60" t="s">
        <v>20</v>
      </c>
      <c r="B18" s="60" t="s">
        <v>17</v>
      </c>
      <c r="C18" s="59">
        <f ca="1">Report!$C$18</f>
        <v>45.578400000000002</v>
      </c>
      <c r="D18" s="58">
        <f ca="1">Report!$I$18</f>
        <v>3.3896034297963576E-2</v>
      </c>
      <c r="E18" s="62">
        <f t="shared" ca="1" si="4"/>
        <v>100</v>
      </c>
      <c r="F18" s="62">
        <f t="shared" ca="1" si="5"/>
        <v>100</v>
      </c>
      <c r="G18" s="62">
        <f ca="1">IF(OR(E18="",F18=""),"",$K$2*E18+$K$3*F18)</f>
        <v>100</v>
      </c>
      <c r="H18" s="61" t="str">
        <f ca="1">IF(G18="","",IF(G18&lt;=25,"Low",IF(G18&lt;=50,"Moderate",IF(G18&lt;=75,"Elevated","High"))))</f>
        <v>High</v>
      </c>
    </row>
    <row r="19" spans="1:8" ht="14.65" customHeight="1">
      <c r="A19" s="77" t="s">
        <v>21</v>
      </c>
      <c r="B19" s="77"/>
      <c r="C19" s="78"/>
      <c r="D19" s="79"/>
      <c r="E19" s="78"/>
      <c r="F19" s="78"/>
      <c r="G19" s="78"/>
      <c r="H19" s="77"/>
    </row>
    <row r="20" spans="1:8">
      <c r="A20" s="60" t="s">
        <v>22</v>
      </c>
      <c r="B20" s="60" t="s">
        <v>21</v>
      </c>
      <c r="C20" s="59">
        <f ca="1">Report!$C$20</f>
        <v>48.299700000000001</v>
      </c>
      <c r="D20" s="58">
        <f ca="1">Report!$I$20</f>
        <v>1.6571969696969762E-3</v>
      </c>
      <c r="E20" s="62" t="str">
        <f ca="1">IF(OR(C20="",COUNTIFS($B$8:$B$44,B20,$C$8:$C$44,"&lt;&gt;")&lt;2),"",100*(COUNTIFS($B$8:$B$44,B20,$C$8:$C$44,"&lt;"&amp;C20)+0.5*(COUNTIFS($B$8:$B$44,B20,$C$8:$C$44,"="&amp;C20)-1))/(COUNTIFS($B$8:$B$44,B20,$C$8:$C$44,"&lt;&gt;")-1))</f>
        <v/>
      </c>
      <c r="F20" s="62" t="str">
        <f ca="1">IF(OR(D20="",COUNTIFS($B$8:$B$44,B20,$D$8:$D$44,"&lt;&gt;")&lt;2),"",100*(COUNTIFS($B$8:$B$44,B20,$D$8:$D$44,"&gt;"&amp;D20)+0.5*(COUNTIFS($B$8:$B$44,B20,$D$8:$D$44,"="&amp;D20)-1))/(COUNTIFS($B$8:$B$44,B20,$D$8:$D$44,"&lt;&gt;")-1))</f>
        <v/>
      </c>
      <c r="G20" s="62" t="str">
        <f ca="1">IF(OR(E20="",F20=""),"",$K$2*E20+$K$3*F20)</f>
        <v/>
      </c>
      <c r="H20" s="61" t="str">
        <f ca="1">IF(G20="","",IF(G20&lt;=25,"Low",IF(G20&lt;=50,"Moderate",IF(G20&lt;=75,"Elevated","High"))))</f>
        <v/>
      </c>
    </row>
    <row r="21" spans="1:8" ht="14.65" customHeight="1">
      <c r="A21" s="77" t="s">
        <v>23</v>
      </c>
      <c r="B21" s="77"/>
      <c r="C21" s="78"/>
      <c r="D21" s="79"/>
      <c r="E21" s="78"/>
      <c r="F21" s="78"/>
      <c r="G21" s="78"/>
      <c r="H21" s="77"/>
    </row>
    <row r="22" spans="1:8">
      <c r="A22" s="60" t="s">
        <v>24</v>
      </c>
      <c r="B22" s="60" t="s">
        <v>23</v>
      </c>
      <c r="C22" s="59">
        <f ca="1">Report!$C$22</f>
        <v>60.904699999999998</v>
      </c>
      <c r="D22" s="58">
        <f ca="1">Report!$I$22</f>
        <v>3.0196078431372505E-2</v>
      </c>
      <c r="E22" s="62">
        <f ca="1">_xlfn.PERCENTRANK.INC($C$22:$C$25,C22)*100</f>
        <v>100</v>
      </c>
      <c r="F22" s="62">
        <f ca="1">(1-_xlfn.PERCENTRANK.INC($D$22:$D$25,D22))*100</f>
        <v>66.7</v>
      </c>
      <c r="G22" s="62">
        <f ca="1">IF(OR(E22="",F22=""),"",$K$2*E22+$K$3*F22)</f>
        <v>86.68</v>
      </c>
      <c r="H22" s="61" t="str">
        <f ca="1">IF(G22="","",IF(G22&lt;=25,"Low",IF(G22&lt;=50,"Moderate",IF(G22&lt;=75,"Elevated","High"))))</f>
        <v>High</v>
      </c>
    </row>
    <row r="23" spans="1:8">
      <c r="A23" s="60" t="s">
        <v>25</v>
      </c>
      <c r="B23" s="60" t="s">
        <v>23</v>
      </c>
      <c r="C23" s="59">
        <f ca="1">Report!$C$23</f>
        <v>39.554400000000001</v>
      </c>
      <c r="D23" s="58">
        <f ca="1">Report!$I$23</f>
        <v>6.21067031463748E-2</v>
      </c>
      <c r="E23" s="62">
        <f t="shared" ref="E23:E25" ca="1" si="6">_xlfn.PERCENTRANK.INC($C$22:$C$25,C23)*100</f>
        <v>0</v>
      </c>
      <c r="F23" s="62">
        <f t="shared" ref="F23:F25" ca="1" si="7">(1-_xlfn.PERCENTRANK.INC($D$22:$D$25,D23))*100</f>
        <v>0</v>
      </c>
      <c r="G23" s="62">
        <f ca="1">IF(OR(E23="",F23=""),"",$K$2*E23+$K$3*F23)</f>
        <v>0</v>
      </c>
      <c r="H23" s="61" t="str">
        <f ca="1">IF(G23="","",IF(G23&lt;=25,"Low",IF(G23&lt;=50,"Moderate",IF(G23&lt;=75,"Elevated","High"))))</f>
        <v>Low</v>
      </c>
    </row>
    <row r="24" spans="1:8">
      <c r="A24" s="60" t="s">
        <v>26</v>
      </c>
      <c r="B24" s="60" t="s">
        <v>23</v>
      </c>
      <c r="C24" s="59">
        <f ca="1">Report!$C$24</f>
        <v>56.539099999999998</v>
      </c>
      <c r="D24" s="58">
        <f ca="1">Report!$I$24</f>
        <v>3.2061068702290078E-2</v>
      </c>
      <c r="E24" s="62">
        <f t="shared" ca="1" si="6"/>
        <v>66.600000000000009</v>
      </c>
      <c r="F24" s="62">
        <f t="shared" ca="1" si="7"/>
        <v>33.4</v>
      </c>
      <c r="G24" s="62">
        <f ca="1">IF(OR(E24="",F24=""),"",$K$2*E24+$K$3*F24)</f>
        <v>53.32</v>
      </c>
      <c r="H24" s="61" t="str">
        <f ca="1">IF(G24="","",IF(G24&lt;=25,"Low",IF(G24&lt;=50,"Moderate",IF(G24&lt;=75,"Elevated","High"))))</f>
        <v>Elevated</v>
      </c>
    </row>
    <row r="25" spans="1:8">
      <c r="A25" s="60" t="s">
        <v>27</v>
      </c>
      <c r="B25" s="60" t="s">
        <v>23</v>
      </c>
      <c r="C25" s="59">
        <f ca="1">Report!$C$25</f>
        <v>43.705300000000001</v>
      </c>
      <c r="D25" s="58">
        <f ca="1">Report!$I$25</f>
        <v>1.7619047619047618E-2</v>
      </c>
      <c r="E25" s="62">
        <f t="shared" ca="1" si="6"/>
        <v>33.300000000000004</v>
      </c>
      <c r="F25" s="62">
        <f t="shared" ca="1" si="7"/>
        <v>100</v>
      </c>
      <c r="G25" s="62">
        <f ca="1">IF(OR(E25="",F25=""),"",$K$2*E25+$K$3*F25)</f>
        <v>59.980000000000004</v>
      </c>
      <c r="H25" s="61" t="str">
        <f ca="1">IF(G25="","",IF(G25&lt;=25,"Low",IF(G25&lt;=50,"Moderate",IF(G25&lt;=75,"Elevated","High"))))</f>
        <v>Elevated</v>
      </c>
    </row>
    <row r="26" spans="1:8" ht="14.65" customHeight="1">
      <c r="A26" s="77" t="s">
        <v>28</v>
      </c>
      <c r="B26" s="77"/>
      <c r="C26" s="78"/>
      <c r="D26" s="79"/>
      <c r="E26" s="78"/>
      <c r="F26" s="78"/>
      <c r="G26" s="78"/>
      <c r="H26" s="77"/>
    </row>
    <row r="27" spans="1:8">
      <c r="A27" s="60" t="s">
        <v>29</v>
      </c>
      <c r="B27" s="60" t="s">
        <v>28</v>
      </c>
      <c r="C27" s="59">
        <f ca="1">Report!$C$27</f>
        <v>46.344900000000003</v>
      </c>
      <c r="D27" s="58">
        <f ca="1">Report!$I$27</f>
        <v>-1.3225806451612908E-2</v>
      </c>
      <c r="E27" s="62">
        <f ca="1">_xlfn.PERCENTRANK.INC($C$27:$C$28,C27)*100</f>
        <v>100</v>
      </c>
      <c r="F27" s="62">
        <f ca="1">(1-_xlfn.PERCENTRANK.INC($D$27:$D$28,D27))*100</f>
        <v>0</v>
      </c>
      <c r="G27" s="62">
        <f ca="1">IF(OR(E27="",F27=""),"",$K$2*E27+$K$3*F27)</f>
        <v>60</v>
      </c>
      <c r="H27" s="61" t="str">
        <f ca="1">IF(G27="","",IF(G27&lt;=25,"Low",IF(G27&lt;=50,"Moderate",IF(G27&lt;=75,"Elevated","High"))))</f>
        <v>Elevated</v>
      </c>
    </row>
    <row r="28" spans="1:8">
      <c r="A28" s="60" t="s">
        <v>30</v>
      </c>
      <c r="B28" s="60" t="s">
        <v>28</v>
      </c>
      <c r="C28" s="59">
        <f ca="1">Report!$C$28</f>
        <v>37</v>
      </c>
      <c r="D28" s="58">
        <f ca="1">Report!$I$28</f>
        <v>-5.3281853281853288E-2</v>
      </c>
      <c r="E28" s="62">
        <f ca="1">_xlfn.PERCENTRANK.INC($C$27:$C$28,C28)*100</f>
        <v>0</v>
      </c>
      <c r="F28" s="62">
        <f ca="1">(1-_xlfn.PERCENTRANK.INC($D$27:$D$28,D28))*100</f>
        <v>100</v>
      </c>
      <c r="G28" s="62">
        <f ca="1">IF(OR(E28="",F28=""),"",$K$2*E28+$K$3*F28)</f>
        <v>40</v>
      </c>
      <c r="H28" s="61" t="str">
        <f ca="1">IF(G28="","",IF(G28&lt;=25,"Low",IF(G28&lt;=50,"Moderate",IF(G28&lt;=75,"Elevated","High"))))</f>
        <v>Moderate</v>
      </c>
    </row>
    <row r="29" spans="1:8" ht="14.65" customHeight="1">
      <c r="A29" s="77" t="s">
        <v>31</v>
      </c>
      <c r="B29" s="77"/>
      <c r="C29" s="78"/>
      <c r="D29" s="79"/>
      <c r="E29" s="78"/>
      <c r="F29" s="78"/>
      <c r="G29" s="78"/>
      <c r="H29" s="77"/>
    </row>
    <row r="30" spans="1:8">
      <c r="A30" s="60" t="s">
        <v>32</v>
      </c>
      <c r="B30" s="60" t="s">
        <v>31</v>
      </c>
      <c r="C30" s="59">
        <f ca="1">Report!$C$30</f>
        <v>25.592400000000001</v>
      </c>
      <c r="D30" s="58">
        <f ca="1">Report!$I$30</f>
        <v>-1.9141372709871169E-3</v>
      </c>
      <c r="E30" s="62" t="str">
        <f ca="1">IF(OR(C30="",COUNTIFS($B$8:$B$44,B30,$C$8:$C$44,"&lt;&gt;")&lt;2),"",100*(COUNTIFS($B$8:$B$44,B30,$C$8:$C$44,"&lt;"&amp;C30)+0.5*(COUNTIFS($B$8:$B$44,B30,$C$8:$C$44,"="&amp;C30)-1))/(COUNTIFS($B$8:$B$44,B30,$C$8:$C$44,"&lt;&gt;")-1))</f>
        <v/>
      </c>
      <c r="F30" s="62" t="str">
        <f ca="1">IF(OR(D30="",COUNTIFS($B$8:$B$44,B30,$D$8:$D$44,"&lt;&gt;")&lt;2),"",100*(COUNTIFS($B$8:$B$44,B30,$D$8:$D$44,"&gt;"&amp;D30)+0.5*(COUNTIFS($B$8:$B$44,B30,$D$8:$D$44,"="&amp;D30)-1))/(COUNTIFS($B$8:$B$44,B30,$D$8:$D$44,"&lt;&gt;")-1))</f>
        <v/>
      </c>
      <c r="G30" s="62" t="str">
        <f ca="1">IF(OR(E30="",F30=""),"",$K$2*E30+$K$3*F30)</f>
        <v/>
      </c>
      <c r="H30" s="61" t="str">
        <f ca="1">IF(G30="","",IF(G30&lt;=25,"Low",IF(G30&lt;=50,"Moderate",IF(G30&lt;=75,"Elevated","High"))))</f>
        <v/>
      </c>
    </row>
    <row r="31" spans="1:8" ht="14.65" customHeight="1">
      <c r="A31" s="77" t="s">
        <v>33</v>
      </c>
      <c r="B31" s="77"/>
      <c r="C31" s="78"/>
      <c r="D31" s="79"/>
      <c r="E31" s="78"/>
      <c r="F31" s="78"/>
      <c r="G31" s="78"/>
      <c r="H31" s="77"/>
    </row>
    <row r="32" spans="1:8">
      <c r="A32" s="60" t="s">
        <v>35</v>
      </c>
      <c r="B32" s="60" t="s">
        <v>33</v>
      </c>
      <c r="C32" s="59">
        <f ca="1">Report!$C$32</f>
        <v>43.461500000000001</v>
      </c>
      <c r="D32" s="58">
        <f ca="1">Report!$I$32</f>
        <v>7.2860773792713926E-2</v>
      </c>
      <c r="E32" s="62">
        <f ca="1">_xlfn.PERCENTRANK.INC($C$32:$C$36,C32)*100</f>
        <v>50</v>
      </c>
      <c r="F32" s="62">
        <f ca="1">(1-_xlfn.PERCENTRANK.INC($D$32:$D$36,D32))*100</f>
        <v>0</v>
      </c>
      <c r="G32" s="62">
        <f ca="1">IF(OR(E32="",F32=""),"",$K$2*E32+$K$3*F32)</f>
        <v>30</v>
      </c>
      <c r="H32" s="61" t="str">
        <f ca="1">IF(G32="","",IF(G32&lt;=25,"Low",IF(G32&lt;=50,"Moderate",IF(G32&lt;=75,"Elevated","High"))))</f>
        <v>Moderate</v>
      </c>
    </row>
    <row r="33" spans="1:8">
      <c r="A33" s="60" t="s">
        <v>36</v>
      </c>
      <c r="B33" s="60" t="s">
        <v>33</v>
      </c>
      <c r="C33" s="59">
        <f ca="1">Report!$C$33</f>
        <v>42.411499999999997</v>
      </c>
      <c r="D33" s="58">
        <f ca="1">Report!$I$33</f>
        <v>4.1732851985559566E-2</v>
      </c>
      <c r="E33" s="62">
        <f t="shared" ref="E33:E36" ca="1" si="8">_xlfn.PERCENTRANK.INC($C$32:$C$36,C33)*100</f>
        <v>25</v>
      </c>
      <c r="F33" s="62">
        <f t="shared" ref="F33:F36" ca="1" si="9">(1-_xlfn.PERCENTRANK.INC($D$32:$D$36,D33))*100</f>
        <v>50</v>
      </c>
      <c r="G33" s="62">
        <f ca="1">IF(OR(E33="",F33=""),"",$K$2*E33+$K$3*F33)</f>
        <v>35</v>
      </c>
      <c r="H33" s="61" t="str">
        <f ca="1">IF(G33="","",IF(G33&lt;=25,"Low",IF(G33&lt;=50,"Moderate",IF(G33&lt;=75,"Elevated","High"))))</f>
        <v>Moderate</v>
      </c>
    </row>
    <row r="34" spans="1:8">
      <c r="A34" s="60" t="s">
        <v>37</v>
      </c>
      <c r="B34" s="60" t="s">
        <v>33</v>
      </c>
      <c r="C34" s="59">
        <f ca="1">Report!$C$34</f>
        <v>41.214599999999997</v>
      </c>
      <c r="D34" s="58">
        <f ca="1">Report!$I$34</f>
        <v>2.5424735654033505E-2</v>
      </c>
      <c r="E34" s="62">
        <f t="shared" ca="1" si="8"/>
        <v>0</v>
      </c>
      <c r="F34" s="62">
        <f t="shared" ca="1" si="9"/>
        <v>100</v>
      </c>
      <c r="G34" s="62">
        <f ca="1">IF(OR(E34="",F34=""),"",$K$2*E34+$K$3*F34)</f>
        <v>40</v>
      </c>
      <c r="H34" s="61" t="str">
        <f ca="1">IF(G34="","",IF(G34&lt;=25,"Low",IF(G34&lt;=50,"Moderate",IF(G34&lt;=75,"Elevated","High"))))</f>
        <v>Moderate</v>
      </c>
    </row>
    <row r="35" spans="1:8">
      <c r="A35" s="60" t="s">
        <v>38</v>
      </c>
      <c r="B35" s="60" t="s">
        <v>33</v>
      </c>
      <c r="C35" s="59">
        <f ca="1">Report!$C$35</f>
        <v>62.384099999999997</v>
      </c>
      <c r="D35" s="58">
        <f ca="1">Report!$I$35</f>
        <v>5.317951603826674E-2</v>
      </c>
      <c r="E35" s="62">
        <f t="shared" ca="1" si="8"/>
        <v>75</v>
      </c>
      <c r="F35" s="62">
        <f t="shared" ca="1" si="9"/>
        <v>25</v>
      </c>
      <c r="G35" s="62">
        <f ca="1">IF(OR(E35="",F35=""),"",$K$2*E35+$K$3*F35)</f>
        <v>55</v>
      </c>
      <c r="H35" s="61" t="str">
        <f ca="1">IF(G35="","",IF(G35&lt;=25,"Low",IF(G35&lt;=50,"Moderate",IF(G35&lt;=75,"Elevated","High"))))</f>
        <v>Elevated</v>
      </c>
    </row>
    <row r="36" spans="1:8">
      <c r="A36" s="60" t="s">
        <v>39</v>
      </c>
      <c r="B36" s="60" t="s">
        <v>33</v>
      </c>
      <c r="C36" s="59">
        <f ca="1">Report!$C$36</f>
        <v>75.2102</v>
      </c>
      <c r="D36" s="58">
        <f ca="1">Report!$I$36</f>
        <v>4.0842787682333875E-2</v>
      </c>
      <c r="E36" s="62">
        <f t="shared" ca="1" si="8"/>
        <v>100</v>
      </c>
      <c r="F36" s="62">
        <f t="shared" ca="1" si="9"/>
        <v>75</v>
      </c>
      <c r="G36" s="62">
        <f ca="1">IF(OR(E36="",F36=""),"",$K$2*E36+$K$3*F36)</f>
        <v>90</v>
      </c>
      <c r="H36" s="61" t="str">
        <f ca="1">IF(G36="","",IF(G36&lt;=25,"Low",IF(G36&lt;=50,"Moderate",IF(G36&lt;=75,"Elevated","High"))))</f>
        <v>High</v>
      </c>
    </row>
    <row r="37" spans="1:8" ht="14.65" customHeight="1">
      <c r="A37" s="77" t="s">
        <v>40</v>
      </c>
      <c r="B37" s="77"/>
      <c r="C37" s="78"/>
      <c r="D37" s="79"/>
      <c r="E37" s="78"/>
      <c r="F37" s="78"/>
      <c r="G37" s="78"/>
      <c r="H37" s="77"/>
    </row>
    <row r="38" spans="1:8">
      <c r="A38" s="60" t="s">
        <v>42</v>
      </c>
      <c r="B38" s="60" t="s">
        <v>40</v>
      </c>
      <c r="C38" s="59">
        <f ca="1">Report!$C$38</f>
        <v>61.666699999999999</v>
      </c>
      <c r="D38" s="58">
        <f ca="1">Report!$I$38</f>
        <v>-1.3979272113762311E-2</v>
      </c>
      <c r="E38" s="62">
        <f ca="1">_xlfn.PERCENTRANK.INC($C$38:$C$43,C38)*100</f>
        <v>80</v>
      </c>
      <c r="F38" s="62">
        <f ca="1">(1-_xlfn.PERCENTRANK.INC($D$38:$D$43,D38))*100</f>
        <v>100</v>
      </c>
      <c r="G38" s="62">
        <f t="shared" ref="G38:G44" ca="1" si="10">IF(OR(E38="",F38=""),"",$K$2*E38+$K$3*F38)</f>
        <v>88</v>
      </c>
      <c r="H38" s="61" t="str">
        <f t="shared" ref="H38:H44" ca="1" si="11">IF(G38="","",IF(G38&lt;=25,"Low",IF(G38&lt;=50,"Moderate",IF(G38&lt;=75,"Elevated","High"))))</f>
        <v>High</v>
      </c>
    </row>
    <row r="39" spans="1:8">
      <c r="A39" s="60" t="s">
        <v>43</v>
      </c>
      <c r="B39" s="60" t="s">
        <v>40</v>
      </c>
      <c r="C39" s="59">
        <f ca="1">Report!$C$39</f>
        <v>58.165100000000002</v>
      </c>
      <c r="D39" s="58">
        <f ca="1">Report!$I$39</f>
        <v>-8.7750503972488982E-3</v>
      </c>
      <c r="E39" s="62">
        <f t="shared" ref="E39:E43" ca="1" si="12">_xlfn.PERCENTRANK.INC($C$38:$C$43,C39)*100</f>
        <v>20</v>
      </c>
      <c r="F39" s="62">
        <f t="shared" ref="F39:F42" ca="1" si="13">(1-_xlfn.PERCENTRANK.INC($D$38:$D$43,D39))*100</f>
        <v>40</v>
      </c>
      <c r="G39" s="62">
        <f t="shared" ca="1" si="10"/>
        <v>28</v>
      </c>
      <c r="H39" s="61" t="str">
        <f t="shared" ca="1" si="11"/>
        <v>Moderate</v>
      </c>
    </row>
    <row r="40" spans="1:8">
      <c r="A40" s="60" t="s">
        <v>44</v>
      </c>
      <c r="B40" s="60" t="s">
        <v>40</v>
      </c>
      <c r="C40" s="59">
        <f ca="1">Report!$C$40</f>
        <v>62.506700000000002</v>
      </c>
      <c r="D40" s="58">
        <f ca="1">Report!$I$40</f>
        <v>-1.7473037295896369E-3</v>
      </c>
      <c r="E40" s="62">
        <f t="shared" ca="1" si="12"/>
        <v>100</v>
      </c>
      <c r="F40" s="62">
        <f t="shared" ca="1" si="13"/>
        <v>0</v>
      </c>
      <c r="G40" s="57">
        <f t="shared" ca="1" si="10"/>
        <v>60</v>
      </c>
      <c r="H40" s="56" t="str">
        <f t="shared" ca="1" si="11"/>
        <v>Elevated</v>
      </c>
    </row>
    <row r="41" spans="1:8">
      <c r="A41" s="60" t="s">
        <v>45</v>
      </c>
      <c r="B41" s="60" t="s">
        <v>40</v>
      </c>
      <c r="C41" s="59">
        <f ca="1">Report!$C$41</f>
        <v>56.673999999999999</v>
      </c>
      <c r="D41" s="58">
        <f ca="1">Report!$I$41</f>
        <v>-9.9009900990098872E-3</v>
      </c>
      <c r="E41" s="62">
        <f t="shared" ca="1" si="12"/>
        <v>0</v>
      </c>
      <c r="F41" s="62">
        <f t="shared" ca="1" si="13"/>
        <v>80</v>
      </c>
      <c r="G41" s="57">
        <f t="shared" ca="1" si="10"/>
        <v>32</v>
      </c>
      <c r="H41" s="56" t="str">
        <f t="shared" ca="1" si="11"/>
        <v>Moderate</v>
      </c>
    </row>
    <row r="42" spans="1:8">
      <c r="A42" s="60" t="s">
        <v>46</v>
      </c>
      <c r="B42" s="60" t="s">
        <v>40</v>
      </c>
      <c r="C42" s="59">
        <f ca="1">Report!$C$42</f>
        <v>61.2928</v>
      </c>
      <c r="D42" s="58">
        <f ca="1">Report!$I$42</f>
        <v>-9.5682535419325272E-3</v>
      </c>
      <c r="E42" s="62">
        <f t="shared" ca="1" si="12"/>
        <v>60</v>
      </c>
      <c r="F42" s="62">
        <f t="shared" ca="1" si="13"/>
        <v>60</v>
      </c>
      <c r="G42" s="57">
        <f t="shared" ca="1" si="10"/>
        <v>60</v>
      </c>
      <c r="H42" s="56" t="str">
        <f t="shared" ca="1" si="11"/>
        <v>Elevated</v>
      </c>
    </row>
    <row r="43" spans="1:8">
      <c r="A43" s="60" t="s">
        <v>47</v>
      </c>
      <c r="B43" s="60" t="s">
        <v>40</v>
      </c>
      <c r="C43" s="59">
        <f ca="1">Report!$C$43</f>
        <v>60.521999999999998</v>
      </c>
      <c r="D43" s="58">
        <f ca="1">Report!$I$43</f>
        <v>-4.0730521613454506E-3</v>
      </c>
      <c r="E43" s="62">
        <f t="shared" ca="1" si="12"/>
        <v>40</v>
      </c>
      <c r="F43" s="57">
        <f t="shared" ref="F43" ca="1" si="14">IF(OR(D43="",COUNTIFS($B$8:$B$44,B43,$D$8:$D$44,"&lt;&gt;")&lt;2),"",100*(COUNTIFS($B$8:$B$44,B43,$D$8:$D$44,"&gt;"&amp;D43)+0.5*(COUNTIFS($B$8:$B$44,B43,$D$8:$D$44,"="&amp;D43)-1))/(COUNTIFS($B$8:$B$44,B43,$D$8:$D$44,"&lt;&gt;")-1))</f>
        <v>20</v>
      </c>
      <c r="G43" s="57">
        <f t="shared" ca="1" si="10"/>
        <v>32</v>
      </c>
      <c r="H43" s="56" t="str">
        <f t="shared" ca="1" si="11"/>
        <v>Moderate</v>
      </c>
    </row>
    <row r="44" spans="1:8">
      <c r="A44" s="60" t="s">
        <v>48</v>
      </c>
      <c r="B44" s="60" t="s">
        <v>40</v>
      </c>
      <c r="C44" s="59"/>
      <c r="D44" s="58"/>
      <c r="E44" s="57" t="str">
        <f t="shared" ref="E44" ca="1" si="15">IF(OR(C44="",COUNTIFS($B$8:$B$44,B44,$C$8:$C$44,"&lt;&gt;")&lt;2),"",100*(COUNTIFS($B$8:$B$44,B44,$C$8:$C$44,"&lt;"&amp;C44)+0.5*(COUNTIFS($B$8:$B$44,B44,$C$8:$C$44,"="&amp;C44)-1))/(COUNTIFS($B$8:$B$44,B44,$C$8:$C$44,"&lt;&gt;")-1))</f>
        <v/>
      </c>
      <c r="F44" s="57"/>
      <c r="G44" s="57" t="str">
        <f t="shared" ca="1" si="10"/>
        <v/>
      </c>
      <c r="H44" s="56" t="str">
        <f t="shared" ca="1" si="11"/>
        <v/>
      </c>
    </row>
  </sheetData>
  <mergeCells count="9">
    <mergeCell ref="A29:H29"/>
    <mergeCell ref="A31:H31"/>
    <mergeCell ref="A37:H37"/>
    <mergeCell ref="A1:H1"/>
    <mergeCell ref="J1:K1"/>
    <mergeCell ref="A15:H15"/>
    <mergeCell ref="A19:H19"/>
    <mergeCell ref="A21:H21"/>
    <mergeCell ref="A26:H26"/>
  </mergeCells>
  <conditionalFormatting sqref="G8:G3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:G4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:H39">
    <cfRule type="expression" dxfId="9" priority="2">
      <formula>H8="Low"</formula>
    </cfRule>
    <cfRule type="expression" dxfId="8" priority="3">
      <formula>H8="Moderate"</formula>
    </cfRule>
    <cfRule type="expression" dxfId="7" priority="4">
      <formula>H8="Elevated"</formula>
    </cfRule>
    <cfRule type="expression" dxfId="6" priority="5">
      <formula>H8="High"</formula>
    </cfRule>
  </conditionalFormatting>
  <conditionalFormatting sqref="H8:H44">
    <cfRule type="expression" dxfId="5" priority="7">
      <formula>H8="Low"</formula>
    </cfRule>
    <cfRule type="expression" dxfId="4" priority="8">
      <formula>H8="Moderate"</formula>
    </cfRule>
    <cfRule type="expression" dxfId="3" priority="9">
      <formula>H8="Elevated"</formula>
    </cfRule>
    <cfRule type="expression" dxfId="2" priority="10">
      <formula>H8="High"</formula>
    </cfRule>
  </conditionalFormatting>
  <dataValidations count="1">
    <dataValidation type="list" sqref="B8:B39" xr:uid="{00000000-0002-0000-0000-000000000000}">
      <formula1>"US,Canada,Europe,UK,Japan,Other"</formula1>
    </dataValidation>
  </dataValidations>
  <pageMargins left="0.7" right="0.7" top="0.75" bottom="0.75" header="0.3" footer="0.3"/>
  <headerFooter>
    <oddHeader>&amp;R&amp;"Aptos"&amp;10&amp;K000000 Category/Catégorie: Non-Sensitive/Non-Délicat&amp;1#_x000D_</oddHead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6BCC-4358-41B8-AA3B-EAD66D71F3CC}">
  <dimension ref="A1:Z85"/>
  <sheetViews>
    <sheetView workbookViewId="0">
      <selection activeCell="B85" sqref="B85"/>
    </sheetView>
  </sheetViews>
  <sheetFormatPr defaultColWidth="9.1796875" defaultRowHeight="14.5"/>
  <cols>
    <col min="1" max="1" width="27.54296875" customWidth="1"/>
    <col min="2" max="2" width="13.81640625" customWidth="1"/>
    <col min="3" max="3" width="14.54296875" customWidth="1"/>
    <col min="4" max="8" width="10.54296875" customWidth="1"/>
    <col min="9" max="9" width="10.81640625" customWidth="1"/>
    <col min="10" max="10" width="11.453125" customWidth="1"/>
    <col min="11" max="11" width="10.54296875" customWidth="1"/>
    <col min="12" max="12" width="11.453125" customWidth="1"/>
    <col min="13" max="13" width="13.453125" customWidth="1"/>
    <col min="14" max="14" width="11.453125" customWidth="1"/>
    <col min="15" max="17" width="10.54296875" bestFit="1" customWidth="1"/>
    <col min="18" max="18" width="10.54296875" customWidth="1"/>
    <col min="19" max="19" width="10.54296875" bestFit="1" customWidth="1"/>
  </cols>
  <sheetData>
    <row r="1" spans="1:26">
      <c r="A1" s="16" t="s">
        <v>232</v>
      </c>
      <c r="B1" s="16" t="s">
        <v>231</v>
      </c>
    </row>
    <row r="2" spans="1:26">
      <c r="A2" s="16" t="s">
        <v>230</v>
      </c>
      <c r="C2" s="30">
        <f ca="1">TODAY()</f>
        <v>46230</v>
      </c>
      <c r="D2" s="30">
        <f ca="1">TODAY() - 1</f>
        <v>46229</v>
      </c>
      <c r="E2" s="30">
        <f ca="1">TODAY() - 2</f>
        <v>46228</v>
      </c>
      <c r="F2" s="30">
        <f ca="1">TODAY() - 3</f>
        <v>46227</v>
      </c>
      <c r="G2" s="30">
        <f ca="1">TODAY() - 4</f>
        <v>46226</v>
      </c>
      <c r="H2" s="30">
        <f ca="1">TODAY() - 5</f>
        <v>46225</v>
      </c>
      <c r="I2" s="30">
        <f ca="1">TODAY() - 6</f>
        <v>46224</v>
      </c>
      <c r="J2" s="30">
        <f ca="1">TODAY() - 7</f>
        <v>46223</v>
      </c>
      <c r="K2" s="30">
        <f ca="1">TODAY() - 8</f>
        <v>46222</v>
      </c>
      <c r="L2" s="30">
        <f ca="1">TODAY() - 9</f>
        <v>46221</v>
      </c>
      <c r="M2" s="30">
        <f ca="1">TODAY() - 10</f>
        <v>46220</v>
      </c>
      <c r="N2" s="30">
        <f ca="1">TODAY() - 11</f>
        <v>46219</v>
      </c>
      <c r="O2" s="30">
        <f ca="1">TODAY() - 12</f>
        <v>46218</v>
      </c>
      <c r="P2" s="30">
        <f ca="1">TODAY() - 13</f>
        <v>46217</v>
      </c>
      <c r="Q2" s="30">
        <f ca="1">TODAY() - 14</f>
        <v>46216</v>
      </c>
      <c r="R2" s="30">
        <f ca="1">EDATE(TODAY(), -3)</f>
        <v>46139</v>
      </c>
      <c r="S2" s="30">
        <f ca="1">EDATE(TODAY(), -12)</f>
        <v>45865</v>
      </c>
      <c r="T2" t="s">
        <v>229</v>
      </c>
      <c r="U2" t="s">
        <v>228</v>
      </c>
      <c r="V2" t="s">
        <v>227</v>
      </c>
      <c r="W2" t="s">
        <v>226</v>
      </c>
      <c r="X2" t="s">
        <v>225</v>
      </c>
      <c r="Y2" t="s">
        <v>224</v>
      </c>
    </row>
    <row r="3" spans="1:26">
      <c r="A3" t="s">
        <v>223</v>
      </c>
      <c r="B3" s="25" t="s">
        <v>222</v>
      </c>
      <c r="C3">
        <f ca="1">_xll.ciqfunctions.udf.CIQ($B3,"IQ_CDS_mid",C$2)</f>
        <v>124.35599999999999</v>
      </c>
      <c r="D3">
        <f ca="1">_xll.ciqfunctions.udf.CIQ($B3,"IQ_CDS_mid",D$2)</f>
        <v>124.35599999999999</v>
      </c>
      <c r="E3">
        <f ca="1">_xll.ciqfunctions.udf.CIQ($B3,"IQ_CDS_mid",E$2)</f>
        <v>124.35599999999999</v>
      </c>
      <c r="F3">
        <f ca="1">_xll.ciqfunctions.udf.CIQ($B3,"IQ_CDS_mid",F$2)</f>
        <v>124.35599999999999</v>
      </c>
      <c r="G3">
        <f ca="1">_xll.ciqfunctions.udf.CIQ($B3,"IQ_CDS_mid",G$2)</f>
        <v>125.43989999999999</v>
      </c>
      <c r="H3">
        <f ca="1">_xll.ciqfunctions.udf.CIQ($B3,"IQ_CDS_mid",H$2)</f>
        <v>120.7394</v>
      </c>
      <c r="I3">
        <f ca="1">_xll.ciqfunctions.udf.CIQ($B3,"IQ_CDS_mid",I$2)</f>
        <v>122.3779</v>
      </c>
      <c r="J3">
        <f ca="1">_xll.ciqfunctions.udf.CIQ($B3,"IQ_CDS_mid",J$2)</f>
        <v>124.0304</v>
      </c>
      <c r="K3">
        <f ca="1">_xll.ciqfunctions.udf.CIQ($B3,"IQ_CDS_mid",K$2)</f>
        <v>125.47320000000001</v>
      </c>
      <c r="L3">
        <f ca="1">_xll.ciqfunctions.udf.CIQ($B3,"IQ_CDS_mid",L$2)</f>
        <v>125.47320000000001</v>
      </c>
      <c r="M3">
        <f ca="1">_xll.ciqfunctions.udf.CIQ($B3,"IQ_CDS_mid",M$2)</f>
        <v>125.47320000000001</v>
      </c>
      <c r="N3">
        <f ca="1">_xll.ciqfunctions.udf.CIQ($B3,"IQ_CDS_mid",N$2)</f>
        <v>123.6443</v>
      </c>
      <c r="O3">
        <f ca="1">_xll.ciqfunctions.udf.CIQ($B3,"IQ_CDS_mid",O$2)</f>
        <v>122.6678</v>
      </c>
      <c r="P3">
        <f ca="1">_xll.ciqfunctions.udf.CIQ($B3,"IQ_CDS_mid",P$2)</f>
        <v>123.6118</v>
      </c>
      <c r="Q3">
        <f ca="1">_xll.ciqfunctions.udf.CIQ($B3,"IQ_CDS_mid",Q$2)</f>
        <v>124.732</v>
      </c>
      <c r="R3">
        <f ca="1">_xll.ciqfunctions.udf.CIQ($B3,"IQ_CDS_mid",R$2)</f>
        <v>123.7069</v>
      </c>
      <c r="S3">
        <f ca="1">_xll.ciqfunctions.udf.CIQ($B3,"IQ_CDS_mid",S$2)</f>
        <v>148.3878</v>
      </c>
      <c r="T3">
        <f ca="1">C3-H3</f>
        <v>3.6165999999999912</v>
      </c>
      <c r="U3">
        <f ca="1">C3-M3</f>
        <v>-1.1172000000000111</v>
      </c>
      <c r="V3">
        <f ca="1">C3-Q3</f>
        <v>-0.37600000000000477</v>
      </c>
      <c r="W3">
        <f ca="1">C3-R3</f>
        <v>0.64909999999999002</v>
      </c>
      <c r="X3">
        <f t="shared" ref="X3:X40" ca="1" si="0">C3-S3</f>
        <v>-24.031800000000004</v>
      </c>
      <c r="Y3" t="s">
        <v>221</v>
      </c>
      <c r="Z3" t="s">
        <v>220</v>
      </c>
    </row>
    <row r="4" spans="1:26">
      <c r="A4" t="s">
        <v>40</v>
      </c>
      <c r="B4" s="25" t="s">
        <v>219</v>
      </c>
      <c r="C4">
        <f ca="1">_xll.ciqfunctions.udf.CIQ($B4,"IQ_CDS_mid",C$2)</f>
        <v>11.034000000000001</v>
      </c>
      <c r="D4">
        <f ca="1">_xll.ciqfunctions.udf.CIQ($B4,"IQ_CDS_mid",D$2)</f>
        <v>11.034000000000001</v>
      </c>
      <c r="E4">
        <f ca="1">_xll.ciqfunctions.udf.CIQ($B4,"IQ_CDS_mid",E$2)</f>
        <v>11.034000000000001</v>
      </c>
      <c r="F4">
        <f ca="1">_xll.ciqfunctions.udf.CIQ($B4,"IQ_CDS_mid",F$2)</f>
        <v>11.034000000000001</v>
      </c>
      <c r="G4">
        <f ca="1">_xll.ciqfunctions.udf.CIQ($B4,"IQ_CDS_mid",G$2)</f>
        <v>10.9794</v>
      </c>
      <c r="H4">
        <f ca="1">_xll.ciqfunctions.udf.CIQ($B4,"IQ_CDS_mid",H$2)</f>
        <v>11.0015</v>
      </c>
      <c r="I4">
        <f ca="1">_xll.ciqfunctions.udf.CIQ($B4,"IQ_CDS_mid",I$2)</f>
        <v>10.995699999999999</v>
      </c>
      <c r="J4">
        <f ca="1">_xll.ciqfunctions.udf.CIQ($B4,"IQ_CDS_mid",J$2)</f>
        <v>11.045</v>
      </c>
      <c r="K4">
        <f ca="1">_xll.ciqfunctions.udf.CIQ($B4,"IQ_CDS_mid",K$2)</f>
        <v>11.098699999999999</v>
      </c>
      <c r="L4">
        <f ca="1">_xll.ciqfunctions.udf.CIQ($B4,"IQ_CDS_mid",L$2)</f>
        <v>11.098699999999999</v>
      </c>
      <c r="M4">
        <f ca="1">_xll.ciqfunctions.udf.CIQ($B4,"IQ_CDS_mid",M$2)</f>
        <v>11.098699999999999</v>
      </c>
      <c r="N4">
        <f ca="1">_xll.ciqfunctions.udf.CIQ($B4,"IQ_CDS_mid",N$2)</f>
        <v>11.132099999999999</v>
      </c>
      <c r="O4">
        <f ca="1">_xll.ciqfunctions.udf.CIQ($B4,"IQ_CDS_mid",O$2)</f>
        <v>11.144399999999999</v>
      </c>
      <c r="P4">
        <f ca="1">_xll.ciqfunctions.udf.CIQ($B4,"IQ_CDS_mid",P$2)</f>
        <v>11.210100000000001</v>
      </c>
      <c r="Q4">
        <f ca="1">_xll.ciqfunctions.udf.CIQ($B4,"IQ_CDS_mid",Q$2)</f>
        <v>11.200799999999999</v>
      </c>
      <c r="R4">
        <f ca="1">_xll.ciqfunctions.udf.CIQ($B4,"IQ_CDS_mid",R$2)</f>
        <v>12.354799999999999</v>
      </c>
      <c r="S4">
        <f ca="1">_xll.ciqfunctions.udf.CIQ($B4,"IQ_CDS_mid",S$2)</f>
        <v>15.9732</v>
      </c>
      <c r="T4">
        <f ca="1">C4-H4</f>
        <v>3.2500000000000639E-2</v>
      </c>
      <c r="U4">
        <f ca="1">C4-M4</f>
        <v>-6.4699999999998425E-2</v>
      </c>
      <c r="V4">
        <f ca="1">C4-Q4</f>
        <v>-0.16679999999999851</v>
      </c>
      <c r="W4">
        <f ca="1">C4-R4</f>
        <v>-1.3207999999999984</v>
      </c>
      <c r="X4">
        <f t="shared" ca="1" si="0"/>
        <v>-4.9391999999999996</v>
      </c>
      <c r="Y4">
        <v>150</v>
      </c>
      <c r="Z4">
        <v>10</v>
      </c>
    </row>
    <row r="5" spans="1:26">
      <c r="A5" t="s">
        <v>218</v>
      </c>
      <c r="B5" s="25" t="s">
        <v>217</v>
      </c>
      <c r="C5">
        <f ca="1">_xll.ciqfunctions.udf.CIQ($B5,"IQ_CDS_mid",C$2)</f>
        <v>87.801100000000005</v>
      </c>
      <c r="D5">
        <f ca="1">_xll.ciqfunctions.udf.CIQ($B5,"IQ_CDS_mid",D$2)</f>
        <v>87.801100000000005</v>
      </c>
      <c r="E5">
        <f ca="1">_xll.ciqfunctions.udf.CIQ($B5,"IQ_CDS_mid",E$2)</f>
        <v>87.801100000000005</v>
      </c>
      <c r="F5">
        <f ca="1">_xll.ciqfunctions.udf.CIQ($B5,"IQ_CDS_mid",F$2)</f>
        <v>87.801100000000005</v>
      </c>
      <c r="G5">
        <f ca="1">_xll.ciqfunctions.udf.CIQ($B5,"IQ_CDS_mid",G$2)</f>
        <v>88.940399999999997</v>
      </c>
      <c r="H5">
        <f ca="1">_xll.ciqfunctions.udf.CIQ($B5,"IQ_CDS_mid",H$2)</f>
        <v>85.874700000000004</v>
      </c>
      <c r="I5">
        <f ca="1">_xll.ciqfunctions.udf.CIQ($B5,"IQ_CDS_mid",I$2)</f>
        <v>85.657700000000006</v>
      </c>
      <c r="J5">
        <f ca="1">_xll.ciqfunctions.udf.CIQ($B5,"IQ_CDS_mid",J$2)</f>
        <v>86.121700000000004</v>
      </c>
      <c r="K5">
        <f ca="1">_xll.ciqfunctions.udf.CIQ($B5,"IQ_CDS_mid",K$2)</f>
        <v>86.954099999999997</v>
      </c>
      <c r="L5">
        <f ca="1">_xll.ciqfunctions.udf.CIQ($B5,"IQ_CDS_mid",L$2)</f>
        <v>86.954099999999997</v>
      </c>
      <c r="M5">
        <f ca="1">_xll.ciqfunctions.udf.CIQ($B5,"IQ_CDS_mid",M$2)</f>
        <v>86.954099999999997</v>
      </c>
      <c r="N5">
        <f ca="1">_xll.ciqfunctions.udf.CIQ($B5,"IQ_CDS_mid",N$2)</f>
        <v>86.100300000000004</v>
      </c>
      <c r="O5">
        <f ca="1">_xll.ciqfunctions.udf.CIQ($B5,"IQ_CDS_mid",O$2)</f>
        <v>85.436800000000005</v>
      </c>
      <c r="P5">
        <f ca="1">_xll.ciqfunctions.udf.CIQ($B5,"IQ_CDS_mid",P$2)</f>
        <v>85.4435</v>
      </c>
      <c r="Q5">
        <f ca="1">_xll.ciqfunctions.udf.CIQ($B5,"IQ_CDS_mid",Q$2)</f>
        <v>85.848500000000001</v>
      </c>
      <c r="R5">
        <f ca="1">_xll.ciqfunctions.udf.CIQ($B5,"IQ_CDS_mid",R$2)</f>
        <v>88.943700000000007</v>
      </c>
      <c r="S5">
        <f ca="1">_xll.ciqfunctions.udf.CIQ($B5,"IQ_CDS_mid",S$2)</f>
        <v>112.3982</v>
      </c>
      <c r="T5">
        <f ca="1">C5-H5</f>
        <v>1.926400000000001</v>
      </c>
      <c r="U5">
        <f ca="1">C5-M5</f>
        <v>0.84700000000000841</v>
      </c>
      <c r="V5">
        <f ca="1">C5-Q5</f>
        <v>1.9526000000000039</v>
      </c>
      <c r="W5">
        <f ca="1">C5-R5</f>
        <v>-1.1426000000000016</v>
      </c>
      <c r="X5">
        <f t="shared" ca="1" si="0"/>
        <v>-24.597099999999998</v>
      </c>
    </row>
    <row r="6" spans="1:26">
      <c r="A6" t="s">
        <v>216</v>
      </c>
      <c r="B6" s="25" t="s">
        <v>215</v>
      </c>
      <c r="C6">
        <f ca="1">_xll.ciqfunctions.udf.CIQ($B6,"IQ_CDS_mid",C$2)</f>
        <v>40.570599999999999</v>
      </c>
      <c r="D6">
        <f ca="1">_xll.ciqfunctions.udf.CIQ($B6,"IQ_CDS_mid",D$2)</f>
        <v>40.570599999999999</v>
      </c>
      <c r="E6">
        <f ca="1">_xll.ciqfunctions.udf.CIQ($B6,"IQ_CDS_mid",E$2)</f>
        <v>40.570599999999999</v>
      </c>
      <c r="F6">
        <f ca="1">_xll.ciqfunctions.udf.CIQ($B6,"IQ_CDS_mid",F$2)</f>
        <v>40.570599999999999</v>
      </c>
      <c r="G6">
        <f ca="1">_xll.ciqfunctions.udf.CIQ($B6,"IQ_CDS_mid",G$2)</f>
        <v>40.75</v>
      </c>
      <c r="H6">
        <f ca="1">_xll.ciqfunctions.udf.CIQ($B6,"IQ_CDS_mid",H$2)</f>
        <v>41.1952</v>
      </c>
      <c r="I6">
        <f ca="1">_xll.ciqfunctions.udf.CIQ($B6,"IQ_CDS_mid",I$2)</f>
        <v>41.333300000000001</v>
      </c>
      <c r="J6">
        <f ca="1">_xll.ciqfunctions.udf.CIQ($B6,"IQ_CDS_mid",J$2)</f>
        <v>41.5</v>
      </c>
      <c r="K6">
        <f ca="1">_xll.ciqfunctions.udf.CIQ($B6,"IQ_CDS_mid",K$2)</f>
        <v>41.833300000000001</v>
      </c>
      <c r="L6">
        <f ca="1">_xll.ciqfunctions.udf.CIQ($B6,"IQ_CDS_mid",L$2)</f>
        <v>41.833300000000001</v>
      </c>
      <c r="M6">
        <f ca="1">_xll.ciqfunctions.udf.CIQ($B6,"IQ_CDS_mid",M$2)</f>
        <v>41.833300000000001</v>
      </c>
      <c r="N6">
        <f ca="1">_xll.ciqfunctions.udf.CIQ($B6,"IQ_CDS_mid",N$2)</f>
        <v>41.938299999999998</v>
      </c>
      <c r="O6">
        <f ca="1">_xll.ciqfunctions.udf.CIQ($B6,"IQ_CDS_mid",O$2)</f>
        <v>41.75</v>
      </c>
      <c r="P6">
        <f ca="1">_xll.ciqfunctions.udf.CIQ($B6,"IQ_CDS_mid",P$2)</f>
        <v>41.75</v>
      </c>
      <c r="Q6">
        <f ca="1">_xll.ciqfunctions.udf.CIQ($B6,"IQ_CDS_mid",Q$2)</f>
        <v>41.75</v>
      </c>
      <c r="R6">
        <f ca="1">_xll.ciqfunctions.udf.CIQ($B6,"IQ_CDS_mid",R$2)</f>
        <v>38.634799999999998</v>
      </c>
      <c r="S6">
        <f ca="1">_xll.ciqfunctions.udf.CIQ($B6,"IQ_CDS_mid",S$2)</f>
        <v>40.247</v>
      </c>
      <c r="T6">
        <f ca="1">C6-H6</f>
        <v>-0.62460000000000093</v>
      </c>
      <c r="U6">
        <f ca="1">C6-M6</f>
        <v>-1.2627000000000024</v>
      </c>
      <c r="V6">
        <f ca="1">C6-Q6</f>
        <v>-1.1794000000000011</v>
      </c>
      <c r="W6">
        <f ca="1">C6-R6</f>
        <v>1.9358000000000004</v>
      </c>
      <c r="X6">
        <f t="shared" ca="1" si="0"/>
        <v>0.323599999999999</v>
      </c>
    </row>
    <row r="7" spans="1:26">
      <c r="A7" s="16" t="s">
        <v>214</v>
      </c>
      <c r="X7">
        <f t="shared" si="0"/>
        <v>0</v>
      </c>
    </row>
    <row r="8" spans="1:26">
      <c r="A8" t="s">
        <v>213</v>
      </c>
      <c r="B8" s="25" t="s">
        <v>212</v>
      </c>
      <c r="C8">
        <f ca="1">_xll.ciqfunctions.udf.CIQ($B8,"IQ_CDS_mid",C$2)</f>
        <v>11.182399999999999</v>
      </c>
      <c r="D8">
        <f ca="1">_xll.ciqfunctions.udf.CIQ($B8,"IQ_CDS_mid",D$2)</f>
        <v>11.182399999999999</v>
      </c>
      <c r="E8">
        <f ca="1">_xll.ciqfunctions.udf.CIQ($B8,"IQ_CDS_mid",E$2)</f>
        <v>11.182399999999999</v>
      </c>
      <c r="F8">
        <f ca="1">_xll.ciqfunctions.udf.CIQ($B8,"IQ_CDS_mid",F$2)</f>
        <v>11.182399999999999</v>
      </c>
      <c r="G8">
        <f ca="1">_xll.ciqfunctions.udf.CIQ($B8,"IQ_CDS_mid",G$2)</f>
        <v>11.162000000000001</v>
      </c>
      <c r="H8">
        <f ca="1">_xll.ciqfunctions.udf.CIQ($B8,"IQ_CDS_mid",H$2)</f>
        <v>11.059799999999999</v>
      </c>
      <c r="I8">
        <f ca="1">_xll.ciqfunctions.udf.CIQ($B8,"IQ_CDS_mid",I$2)</f>
        <v>11.048999999999999</v>
      </c>
      <c r="J8">
        <f ca="1">_xll.ciqfunctions.udf.CIQ($B8,"IQ_CDS_mid",J$2)</f>
        <v>10.994999999999999</v>
      </c>
      <c r="K8">
        <f ca="1">_xll.ciqfunctions.udf.CIQ($B8,"IQ_CDS_mid",K$2)</f>
        <v>10.98</v>
      </c>
      <c r="L8">
        <f ca="1">_xll.ciqfunctions.udf.CIQ($B8,"IQ_CDS_mid",L$2)</f>
        <v>10.98</v>
      </c>
      <c r="M8">
        <f ca="1">_xll.ciqfunctions.udf.CIQ($B8,"IQ_CDS_mid",M$2)</f>
        <v>10.98</v>
      </c>
      <c r="N8">
        <f ca="1">_xll.ciqfunctions.udf.CIQ($B8,"IQ_CDS_mid",N$2)</f>
        <v>10.9</v>
      </c>
      <c r="O8">
        <f ca="1">_xll.ciqfunctions.udf.CIQ($B8,"IQ_CDS_mid",O$2)</f>
        <v>11</v>
      </c>
      <c r="P8">
        <f ca="1">_xll.ciqfunctions.udf.CIQ($B8,"IQ_CDS_mid",P$2)</f>
        <v>11</v>
      </c>
      <c r="Q8">
        <f ca="1">_xll.ciqfunctions.udf.CIQ($B8,"IQ_CDS_mid",Q$2)</f>
        <v>10.9998</v>
      </c>
      <c r="R8">
        <f ca="1">_xll.ciqfunctions.udf.CIQ($B8,"IQ_CDS_mid",R$2)</f>
        <v>13.1875</v>
      </c>
      <c r="S8">
        <f ca="1">_xll.ciqfunctions.udf.CIQ($B8,"IQ_CDS_mid",S$2)</f>
        <v>15</v>
      </c>
      <c r="T8">
        <f t="shared" ref="T8:T20" ca="1" si="1">C8-H8</f>
        <v>0.12260000000000026</v>
      </c>
      <c r="U8">
        <f t="shared" ref="U8:U20" ca="1" si="2">C8-M8</f>
        <v>0.20239999999999903</v>
      </c>
      <c r="V8">
        <f t="shared" ref="V8:V20" ca="1" si="3">C8-Q8</f>
        <v>0.18259999999999899</v>
      </c>
      <c r="W8">
        <f t="shared" ref="W8:W20" ca="1" si="4">C8-R8</f>
        <v>-2.0051000000000005</v>
      </c>
      <c r="X8">
        <f t="shared" ca="1" si="0"/>
        <v>-3.8176000000000005</v>
      </c>
    </row>
    <row r="9" spans="1:26">
      <c r="A9" t="s">
        <v>211</v>
      </c>
      <c r="B9" s="25" t="s">
        <v>210</v>
      </c>
      <c r="C9">
        <f ca="1">_xll.ciqfunctions.udf.CIQ($B9,"IQ_CDS_mid",C$2)</f>
        <v>17.552399999999999</v>
      </c>
      <c r="D9">
        <f ca="1">_xll.ciqfunctions.udf.CIQ($B9,"IQ_CDS_mid",D$2)</f>
        <v>17.552399999999999</v>
      </c>
      <c r="E9">
        <f ca="1">_xll.ciqfunctions.udf.CIQ($B9,"IQ_CDS_mid",E$2)</f>
        <v>17.552399999999999</v>
      </c>
      <c r="F9">
        <f ca="1">_xll.ciqfunctions.udf.CIQ($B9,"IQ_CDS_mid",F$2)</f>
        <v>17.552399999999999</v>
      </c>
      <c r="G9">
        <f ca="1">_xll.ciqfunctions.udf.CIQ($B9,"IQ_CDS_mid",G$2)</f>
        <v>17.375</v>
      </c>
      <c r="H9">
        <f ca="1">_xll.ciqfunctions.udf.CIQ($B9,"IQ_CDS_mid",H$2)</f>
        <v>17.375</v>
      </c>
      <c r="I9">
        <f ca="1">_xll.ciqfunctions.udf.CIQ($B9,"IQ_CDS_mid",I$2)</f>
        <v>17.375</v>
      </c>
      <c r="J9">
        <f ca="1">_xll.ciqfunctions.udf.CIQ($B9,"IQ_CDS_mid",J$2)</f>
        <v>17.375</v>
      </c>
      <c r="K9">
        <f ca="1">_xll.ciqfunctions.udf.CIQ($B9,"IQ_CDS_mid",K$2)</f>
        <v>17.375</v>
      </c>
      <c r="L9">
        <f ca="1">_xll.ciqfunctions.udf.CIQ($B9,"IQ_CDS_mid",L$2)</f>
        <v>17.375</v>
      </c>
      <c r="M9">
        <f ca="1">_xll.ciqfunctions.udf.CIQ($B9,"IQ_CDS_mid",M$2)</f>
        <v>17.375</v>
      </c>
      <c r="N9">
        <f ca="1">_xll.ciqfunctions.udf.CIQ($B9,"IQ_CDS_mid",N$2)</f>
        <v>17.375</v>
      </c>
      <c r="O9">
        <f ca="1">_xll.ciqfunctions.udf.CIQ($B9,"IQ_CDS_mid",O$2)</f>
        <v>17.375</v>
      </c>
      <c r="P9">
        <f ca="1">_xll.ciqfunctions.udf.CIQ($B9,"IQ_CDS_mid",P$2)</f>
        <v>17.375</v>
      </c>
      <c r="Q9">
        <f ca="1">_xll.ciqfunctions.udf.CIQ($B9,"IQ_CDS_mid",Q$2)</f>
        <v>17.333300000000001</v>
      </c>
      <c r="R9">
        <f ca="1">_xll.ciqfunctions.udf.CIQ($B9,"IQ_CDS_mid",R$2)</f>
        <v>17.9375</v>
      </c>
      <c r="S9">
        <f ca="1">_xll.ciqfunctions.udf.CIQ($B9,"IQ_CDS_mid",S$2)</f>
        <v>22.666699999999999</v>
      </c>
      <c r="T9">
        <f t="shared" ca="1" si="1"/>
        <v>0.17739999999999867</v>
      </c>
      <c r="U9">
        <f t="shared" ca="1" si="2"/>
        <v>0.17739999999999867</v>
      </c>
      <c r="V9">
        <f t="shared" ca="1" si="3"/>
        <v>0.21909999999999741</v>
      </c>
      <c r="W9">
        <f t="shared" ca="1" si="4"/>
        <v>-0.38510000000000133</v>
      </c>
      <c r="X9">
        <f t="shared" ca="1" si="0"/>
        <v>-5.1143000000000001</v>
      </c>
    </row>
    <row r="10" spans="1:26">
      <c r="A10" t="s">
        <v>209</v>
      </c>
      <c r="B10" s="25" t="s">
        <v>208</v>
      </c>
      <c r="C10">
        <f ca="1">_xll.ciqfunctions.udf.CIQ($B10,"IQ_CDS_mid",C$2)</f>
        <v>10.833299999999999</v>
      </c>
      <c r="D10">
        <f ca="1">_xll.ciqfunctions.udf.CIQ($B10,"IQ_CDS_mid",D$2)</f>
        <v>10.833299999999999</v>
      </c>
      <c r="E10">
        <f ca="1">_xll.ciqfunctions.udf.CIQ($B10,"IQ_CDS_mid",E$2)</f>
        <v>10.833299999999999</v>
      </c>
      <c r="F10">
        <f ca="1">_xll.ciqfunctions.udf.CIQ($B10,"IQ_CDS_mid",F$2)</f>
        <v>10.833299999999999</v>
      </c>
      <c r="G10">
        <f ca="1">_xll.ciqfunctions.udf.CIQ($B10,"IQ_CDS_mid",G$2)</f>
        <v>10.833299999999999</v>
      </c>
      <c r="H10">
        <f ca="1">_xll.ciqfunctions.udf.CIQ($B10,"IQ_CDS_mid",H$2)</f>
        <v>11.166700000000001</v>
      </c>
      <c r="I10">
        <f ca="1">_xll.ciqfunctions.udf.CIQ($B10,"IQ_CDS_mid",I$2)</f>
        <v>11.166700000000001</v>
      </c>
      <c r="J10">
        <f ca="1">_xll.ciqfunctions.udf.CIQ($B10,"IQ_CDS_mid",J$2)</f>
        <v>11.166700000000001</v>
      </c>
      <c r="K10">
        <f ca="1">_xll.ciqfunctions.udf.CIQ($B10,"IQ_CDS_mid",K$2)</f>
        <v>11.166700000000001</v>
      </c>
      <c r="L10">
        <f ca="1">_xll.ciqfunctions.udf.CIQ($B10,"IQ_CDS_mid",L$2)</f>
        <v>11.166700000000001</v>
      </c>
      <c r="M10">
        <f ca="1">_xll.ciqfunctions.udf.CIQ($B10,"IQ_CDS_mid",M$2)</f>
        <v>11.166700000000001</v>
      </c>
      <c r="N10">
        <f ca="1">_xll.ciqfunctions.udf.CIQ($B10,"IQ_CDS_mid",N$2)</f>
        <v>11.393800000000001</v>
      </c>
      <c r="O10">
        <f ca="1">_xll.ciqfunctions.udf.CIQ($B10,"IQ_CDS_mid",O$2)</f>
        <v>11.166700000000001</v>
      </c>
      <c r="P10">
        <f ca="1">_xll.ciqfunctions.udf.CIQ($B10,"IQ_CDS_mid",P$2)</f>
        <v>11.166700000000001</v>
      </c>
      <c r="Q10">
        <f ca="1">_xll.ciqfunctions.udf.CIQ($B10,"IQ_CDS_mid",Q$2)</f>
        <v>11.375400000000001</v>
      </c>
      <c r="R10">
        <f ca="1">_xll.ciqfunctions.udf.CIQ($B10,"IQ_CDS_mid",R$2)</f>
        <v>12.833299999999999</v>
      </c>
      <c r="S10">
        <f ca="1">_xll.ciqfunctions.udf.CIQ($B10,"IQ_CDS_mid",S$2)</f>
        <v>15.495200000000001</v>
      </c>
      <c r="T10">
        <f t="shared" ca="1" si="1"/>
        <v>-0.33340000000000103</v>
      </c>
      <c r="U10">
        <f t="shared" ca="1" si="2"/>
        <v>-0.33340000000000103</v>
      </c>
      <c r="V10">
        <f t="shared" ca="1" si="3"/>
        <v>-0.54210000000000136</v>
      </c>
      <c r="W10">
        <f t="shared" ca="1" si="4"/>
        <v>-2</v>
      </c>
      <c r="X10">
        <f t="shared" ca="1" si="0"/>
        <v>-4.661900000000001</v>
      </c>
    </row>
    <row r="11" spans="1:26">
      <c r="A11" t="s">
        <v>17</v>
      </c>
      <c r="B11" s="25" t="s">
        <v>207</v>
      </c>
      <c r="C11">
        <f ca="1">_xll.ciqfunctions.udf.CIQ($B11,"IQ_CDS_mid",C$2)</f>
        <v>31.7563</v>
      </c>
      <c r="D11">
        <f ca="1">_xll.ciqfunctions.udf.CIQ($B11,"IQ_CDS_mid",D$2)</f>
        <v>31.7563</v>
      </c>
      <c r="E11">
        <f ca="1">_xll.ciqfunctions.udf.CIQ($B11,"IQ_CDS_mid",E$2)</f>
        <v>31.7563</v>
      </c>
      <c r="F11">
        <f ca="1">_xll.ciqfunctions.udf.CIQ($B11,"IQ_CDS_mid",F$2)</f>
        <v>31.7563</v>
      </c>
      <c r="G11">
        <f ca="1">_xll.ciqfunctions.udf.CIQ($B11,"IQ_CDS_mid",G$2)</f>
        <v>31.610399999999998</v>
      </c>
      <c r="H11">
        <f ca="1">_xll.ciqfunctions.udf.CIQ($B11,"IQ_CDS_mid",H$2)</f>
        <v>31.41</v>
      </c>
      <c r="I11">
        <f ca="1">_xll.ciqfunctions.udf.CIQ($B11,"IQ_CDS_mid",I$2)</f>
        <v>31.45</v>
      </c>
      <c r="J11">
        <f ca="1">_xll.ciqfunctions.udf.CIQ($B11,"IQ_CDS_mid",J$2)</f>
        <v>31.45</v>
      </c>
      <c r="K11">
        <f ca="1">_xll.ciqfunctions.udf.CIQ($B11,"IQ_CDS_mid",K$2)</f>
        <v>31.45</v>
      </c>
      <c r="L11">
        <f ca="1">_xll.ciqfunctions.udf.CIQ($B11,"IQ_CDS_mid",L$2)</f>
        <v>31.45</v>
      </c>
      <c r="M11">
        <f ca="1">_xll.ciqfunctions.udf.CIQ($B11,"IQ_CDS_mid",M$2)</f>
        <v>31.45</v>
      </c>
      <c r="N11">
        <f ca="1">_xll.ciqfunctions.udf.CIQ($B11,"IQ_CDS_mid",N$2)</f>
        <v>31.25</v>
      </c>
      <c r="O11">
        <f ca="1">_xll.ciqfunctions.udf.CIQ($B11,"IQ_CDS_mid",O$2)</f>
        <v>31.160900000000002</v>
      </c>
      <c r="P11">
        <f ca="1">_xll.ciqfunctions.udf.CIQ($B11,"IQ_CDS_mid",P$2)</f>
        <v>31.2224</v>
      </c>
      <c r="Q11">
        <f ca="1">_xll.ciqfunctions.udf.CIQ($B11,"IQ_CDS_mid",Q$2)</f>
        <v>30.8581</v>
      </c>
      <c r="R11">
        <f ca="1">_xll.ciqfunctions.udf.CIQ($B11,"IQ_CDS_mid",R$2)</f>
        <v>27.8477</v>
      </c>
      <c r="S11">
        <f ca="1">_xll.ciqfunctions.udf.CIQ($B11,"IQ_CDS_mid",S$2)</f>
        <v>32.178100000000001</v>
      </c>
      <c r="T11">
        <f t="shared" ca="1" si="1"/>
        <v>0.34629999999999939</v>
      </c>
      <c r="U11">
        <f t="shared" ca="1" si="2"/>
        <v>0.30630000000000024</v>
      </c>
      <c r="V11">
        <f t="shared" ca="1" si="3"/>
        <v>0.89819999999999922</v>
      </c>
      <c r="W11">
        <f t="shared" ca="1" si="4"/>
        <v>3.9085999999999999</v>
      </c>
      <c r="X11">
        <f t="shared" ca="1" si="0"/>
        <v>-0.42180000000000106</v>
      </c>
    </row>
    <row r="12" spans="1:26">
      <c r="A12" t="s">
        <v>28</v>
      </c>
      <c r="B12" s="25" t="s">
        <v>206</v>
      </c>
      <c r="C12">
        <f ca="1">_xll.ciqfunctions.udf.CIQ($B12,"IQ_CDS_mid",C$2)</f>
        <v>7.0260999999999996</v>
      </c>
      <c r="D12">
        <f ca="1">_xll.ciqfunctions.udf.CIQ($B12,"IQ_CDS_mid",D$2)</f>
        <v>7.0260999999999996</v>
      </c>
      <c r="E12">
        <f ca="1">_xll.ciqfunctions.udf.CIQ($B12,"IQ_CDS_mid",E$2)</f>
        <v>7.0260999999999996</v>
      </c>
      <c r="F12">
        <f ca="1">_xll.ciqfunctions.udf.CIQ($B12,"IQ_CDS_mid",F$2)</f>
        <v>7.0260999999999996</v>
      </c>
      <c r="G12">
        <f ca="1">_xll.ciqfunctions.udf.CIQ($B12,"IQ_CDS_mid",G$2)</f>
        <v>7.1041999999999996</v>
      </c>
      <c r="H12">
        <f ca="1">_xll.ciqfunctions.udf.CIQ($B12,"IQ_CDS_mid",H$2)</f>
        <v>7.0212000000000003</v>
      </c>
      <c r="I12">
        <f ca="1">_xll.ciqfunctions.udf.CIQ($B12,"IQ_CDS_mid",I$2)</f>
        <v>7.12</v>
      </c>
      <c r="J12">
        <f ca="1">_xll.ciqfunctions.udf.CIQ($B12,"IQ_CDS_mid",J$2)</f>
        <v>7.1002000000000001</v>
      </c>
      <c r="K12">
        <f ca="1">_xll.ciqfunctions.udf.CIQ($B12,"IQ_CDS_mid",K$2)</f>
        <v>7.1009000000000002</v>
      </c>
      <c r="L12">
        <f ca="1">_xll.ciqfunctions.udf.CIQ($B12,"IQ_CDS_mid",L$2)</f>
        <v>7.1009000000000002</v>
      </c>
      <c r="M12">
        <f ca="1">_xll.ciqfunctions.udf.CIQ($B12,"IQ_CDS_mid",M$2)</f>
        <v>7.1009000000000002</v>
      </c>
      <c r="N12">
        <f ca="1">_xll.ciqfunctions.udf.CIQ($B12,"IQ_CDS_mid",N$2)</f>
        <v>7.0042999999999997</v>
      </c>
      <c r="O12">
        <f ca="1">_xll.ciqfunctions.udf.CIQ($B12,"IQ_CDS_mid",O$2)</f>
        <v>7.0171000000000001</v>
      </c>
      <c r="P12">
        <f ca="1">_xll.ciqfunctions.udf.CIQ($B12,"IQ_CDS_mid",P$2)</f>
        <v>7.1001000000000003</v>
      </c>
      <c r="Q12">
        <f ca="1">_xll.ciqfunctions.udf.CIQ($B12,"IQ_CDS_mid",Q$2)</f>
        <v>7.0004999999999997</v>
      </c>
      <c r="R12">
        <f ca="1">_xll.ciqfunctions.udf.CIQ($B12,"IQ_CDS_mid",R$2)</f>
        <v>9.0663999999999998</v>
      </c>
      <c r="S12">
        <f ca="1">_xll.ciqfunctions.udf.CIQ($B12,"IQ_CDS_mid",S$2)</f>
        <v>8.3332999999999995</v>
      </c>
      <c r="T12">
        <f t="shared" ca="1" si="1"/>
        <v>4.8999999999992383E-3</v>
      </c>
      <c r="U12">
        <f t="shared" ca="1" si="2"/>
        <v>-7.4800000000000644E-2</v>
      </c>
      <c r="V12">
        <f t="shared" ca="1" si="3"/>
        <v>2.5599999999999845E-2</v>
      </c>
      <c r="W12">
        <f t="shared" ca="1" si="4"/>
        <v>-2.0403000000000002</v>
      </c>
      <c r="X12">
        <f t="shared" ca="1" si="0"/>
        <v>-1.3071999999999999</v>
      </c>
    </row>
    <row r="13" spans="1:26">
      <c r="A13" t="s">
        <v>205</v>
      </c>
      <c r="B13" s="25" t="s">
        <v>204</v>
      </c>
      <c r="C13">
        <f ca="1">_xll.ciqfunctions.udf.CIQ($B13,"IQ_CDS_mid",C$2)</f>
        <v>29.833300000000001</v>
      </c>
      <c r="D13">
        <f ca="1">_xll.ciqfunctions.udf.CIQ($B13,"IQ_CDS_mid",D$2)</f>
        <v>29.833300000000001</v>
      </c>
      <c r="E13">
        <f ca="1">_xll.ciqfunctions.udf.CIQ($B13,"IQ_CDS_mid",E$2)</f>
        <v>29.833300000000001</v>
      </c>
      <c r="F13">
        <f ca="1">_xll.ciqfunctions.udf.CIQ($B13,"IQ_CDS_mid",F$2)</f>
        <v>29.833300000000001</v>
      </c>
      <c r="G13">
        <f ca="1">_xll.ciqfunctions.udf.CIQ($B13,"IQ_CDS_mid",G$2)</f>
        <v>29.75</v>
      </c>
      <c r="H13">
        <f ca="1">_xll.ciqfunctions.udf.CIQ($B13,"IQ_CDS_mid",H$2)</f>
        <v>29.5</v>
      </c>
      <c r="I13">
        <f ca="1">_xll.ciqfunctions.udf.CIQ($B13,"IQ_CDS_mid",I$2)</f>
        <v>29.625</v>
      </c>
      <c r="J13">
        <f ca="1">_xll.ciqfunctions.udf.CIQ($B13,"IQ_CDS_mid",J$2)</f>
        <v>29.625</v>
      </c>
      <c r="K13">
        <f ca="1">_xll.ciqfunctions.udf.CIQ($B13,"IQ_CDS_mid",K$2)</f>
        <v>29.625</v>
      </c>
      <c r="L13">
        <f ca="1">_xll.ciqfunctions.udf.CIQ($B13,"IQ_CDS_mid",L$2)</f>
        <v>29.625</v>
      </c>
      <c r="M13">
        <f ca="1">_xll.ciqfunctions.udf.CIQ($B13,"IQ_CDS_mid",M$2)</f>
        <v>29.625</v>
      </c>
      <c r="N13">
        <f ca="1">_xll.ciqfunctions.udf.CIQ($B13,"IQ_CDS_mid",N$2)</f>
        <v>29.333300000000001</v>
      </c>
      <c r="O13">
        <f ca="1">_xll.ciqfunctions.udf.CIQ($B13,"IQ_CDS_mid",O$2)</f>
        <v>29.4375</v>
      </c>
      <c r="P13">
        <f ca="1">_xll.ciqfunctions.udf.CIQ($B13,"IQ_CDS_mid",P$2)</f>
        <v>29.3507</v>
      </c>
      <c r="Q13">
        <f ca="1">_xll.ciqfunctions.udf.CIQ($B13,"IQ_CDS_mid",Q$2)</f>
        <v>29.182700000000001</v>
      </c>
      <c r="R13">
        <f ca="1">_xll.ciqfunctions.udf.CIQ($B13,"IQ_CDS_mid",R$2)</f>
        <v>31.1633</v>
      </c>
      <c r="S13">
        <f ca="1">_xll.ciqfunctions.udf.CIQ($B13,"IQ_CDS_mid",S$2)</f>
        <v>42.405799999999999</v>
      </c>
      <c r="T13">
        <f t="shared" ca="1" si="1"/>
        <v>0.33330000000000126</v>
      </c>
      <c r="U13">
        <f t="shared" ca="1" si="2"/>
        <v>0.20830000000000126</v>
      </c>
      <c r="V13">
        <f t="shared" ca="1" si="3"/>
        <v>0.65060000000000073</v>
      </c>
      <c r="W13">
        <f t="shared" ca="1" si="4"/>
        <v>-1.3299999999999983</v>
      </c>
      <c r="X13">
        <f t="shared" ca="1" si="0"/>
        <v>-12.572499999999998</v>
      </c>
    </row>
    <row r="14" spans="1:26">
      <c r="A14" t="s">
        <v>203</v>
      </c>
      <c r="B14" s="25" t="s">
        <v>202</v>
      </c>
      <c r="C14">
        <f ca="1">_xll.ciqfunctions.udf.CIQ($B14,"IQ_CDS_mid",C$2)</f>
        <v>14.5625</v>
      </c>
      <c r="D14">
        <f ca="1">_xll.ciqfunctions.udf.CIQ($B14,"IQ_CDS_mid",D$2)</f>
        <v>14.5625</v>
      </c>
      <c r="E14">
        <f ca="1">_xll.ciqfunctions.udf.CIQ($B14,"IQ_CDS_mid",E$2)</f>
        <v>14.5625</v>
      </c>
      <c r="F14">
        <f ca="1">_xll.ciqfunctions.udf.CIQ($B14,"IQ_CDS_mid",F$2)</f>
        <v>14.5625</v>
      </c>
      <c r="G14">
        <f ca="1">_xll.ciqfunctions.udf.CIQ($B14,"IQ_CDS_mid",G$2)</f>
        <v>14.5625</v>
      </c>
      <c r="H14">
        <f ca="1">_xll.ciqfunctions.udf.CIQ($B14,"IQ_CDS_mid",H$2)</f>
        <v>14.5625</v>
      </c>
      <c r="I14">
        <f ca="1">_xll.ciqfunctions.udf.CIQ($B14,"IQ_CDS_mid",I$2)</f>
        <v>14.5625</v>
      </c>
      <c r="J14">
        <f ca="1">_xll.ciqfunctions.udf.CIQ($B14,"IQ_CDS_mid",J$2)</f>
        <v>14.5</v>
      </c>
      <c r="K14">
        <f ca="1">_xll.ciqfunctions.udf.CIQ($B14,"IQ_CDS_mid",K$2)</f>
        <v>14.5625</v>
      </c>
      <c r="L14">
        <f ca="1">_xll.ciqfunctions.udf.CIQ($B14,"IQ_CDS_mid",L$2)</f>
        <v>14.5625</v>
      </c>
      <c r="M14">
        <f ca="1">_xll.ciqfunctions.udf.CIQ($B14,"IQ_CDS_mid",M$2)</f>
        <v>14.5625</v>
      </c>
      <c r="N14">
        <f ca="1">_xll.ciqfunctions.udf.CIQ($B14,"IQ_CDS_mid",N$2)</f>
        <v>14.4375</v>
      </c>
      <c r="O14">
        <f ca="1">_xll.ciqfunctions.udf.CIQ($B14,"IQ_CDS_mid",O$2)</f>
        <v>14.5625</v>
      </c>
      <c r="P14">
        <f ca="1">_xll.ciqfunctions.udf.CIQ($B14,"IQ_CDS_mid",P$2)</f>
        <v>14.5</v>
      </c>
      <c r="Q14">
        <f ca="1">_xll.ciqfunctions.udf.CIQ($B14,"IQ_CDS_mid",Q$2)</f>
        <v>14.333299999999999</v>
      </c>
      <c r="R14">
        <f ca="1">_xll.ciqfunctions.udf.CIQ($B14,"IQ_CDS_mid",R$2)</f>
        <v>15.75</v>
      </c>
      <c r="S14">
        <f ca="1">_xll.ciqfunctions.udf.CIQ($B14,"IQ_CDS_mid",S$2)</f>
        <v>17.666699999999999</v>
      </c>
      <c r="T14">
        <f t="shared" ca="1" si="1"/>
        <v>0</v>
      </c>
      <c r="U14">
        <f t="shared" ca="1" si="2"/>
        <v>0</v>
      </c>
      <c r="V14">
        <f t="shared" ca="1" si="3"/>
        <v>0.22920000000000051</v>
      </c>
      <c r="W14">
        <f t="shared" ca="1" si="4"/>
        <v>-1.1875</v>
      </c>
      <c r="X14">
        <f t="shared" ca="1" si="0"/>
        <v>-3.1041999999999987</v>
      </c>
    </row>
    <row r="15" spans="1:26">
      <c r="A15" t="s">
        <v>201</v>
      </c>
      <c r="B15" s="25" t="s">
        <v>200</v>
      </c>
      <c r="C15">
        <f ca="1">_xll.ciqfunctions.udf.CIQ($B15,"IQ_CDS_mid",C$2)</f>
        <v>30.5</v>
      </c>
      <c r="D15">
        <f ca="1">_xll.ciqfunctions.udf.CIQ($B15,"IQ_CDS_mid",D$2)</f>
        <v>30.5</v>
      </c>
      <c r="E15">
        <f ca="1">_xll.ciqfunctions.udf.CIQ($B15,"IQ_CDS_mid",E$2)</f>
        <v>30.5</v>
      </c>
      <c r="F15">
        <f ca="1">_xll.ciqfunctions.udf.CIQ($B15,"IQ_CDS_mid",F$2)</f>
        <v>30.5</v>
      </c>
      <c r="G15">
        <f ca="1">_xll.ciqfunctions.udf.CIQ($B15,"IQ_CDS_mid",G$2)</f>
        <v>30.489699999999999</v>
      </c>
      <c r="H15">
        <f ca="1">_xll.ciqfunctions.udf.CIQ($B15,"IQ_CDS_mid",H$2)</f>
        <v>30.35</v>
      </c>
      <c r="I15">
        <f ca="1">_xll.ciqfunctions.udf.CIQ($B15,"IQ_CDS_mid",I$2)</f>
        <v>30.001799999999999</v>
      </c>
      <c r="J15">
        <f ca="1">_xll.ciqfunctions.udf.CIQ($B15,"IQ_CDS_mid",J$2)</f>
        <v>30.3</v>
      </c>
      <c r="K15">
        <f ca="1">_xll.ciqfunctions.udf.CIQ($B15,"IQ_CDS_mid",K$2)</f>
        <v>30.291699999999999</v>
      </c>
      <c r="L15">
        <f ca="1">_xll.ciqfunctions.udf.CIQ($B15,"IQ_CDS_mid",L$2)</f>
        <v>30.291699999999999</v>
      </c>
      <c r="M15">
        <f ca="1">_xll.ciqfunctions.udf.CIQ($B15,"IQ_CDS_mid",M$2)</f>
        <v>30.291699999999999</v>
      </c>
      <c r="N15">
        <f ca="1">_xll.ciqfunctions.udf.CIQ($B15,"IQ_CDS_mid",N$2)</f>
        <v>30</v>
      </c>
      <c r="O15">
        <f ca="1">_xll.ciqfunctions.udf.CIQ($B15,"IQ_CDS_mid",O$2)</f>
        <v>29.85</v>
      </c>
      <c r="P15">
        <f ca="1">_xll.ciqfunctions.udf.CIQ($B15,"IQ_CDS_mid",P$2)</f>
        <v>29.845600000000001</v>
      </c>
      <c r="Q15">
        <f ca="1">_xll.ciqfunctions.udf.CIQ($B15,"IQ_CDS_mid",Q$2)</f>
        <v>29.152699999999999</v>
      </c>
      <c r="R15">
        <f ca="1">_xll.ciqfunctions.udf.CIQ($B15,"IQ_CDS_mid",R$2)</f>
        <v>31.335000000000001</v>
      </c>
      <c r="S15">
        <f ca="1">_xll.ciqfunctions.udf.CIQ($B15,"IQ_CDS_mid",S$2)</f>
        <v>39.651499999999999</v>
      </c>
      <c r="T15">
        <f t="shared" ca="1" si="1"/>
        <v>0.14999999999999858</v>
      </c>
      <c r="U15">
        <f t="shared" ca="1" si="2"/>
        <v>0.20830000000000126</v>
      </c>
      <c r="V15">
        <f t="shared" ca="1" si="3"/>
        <v>1.3473000000000006</v>
      </c>
      <c r="W15">
        <f t="shared" ca="1" si="4"/>
        <v>-0.83500000000000085</v>
      </c>
      <c r="X15">
        <f t="shared" ca="1" si="0"/>
        <v>-9.1514999999999986</v>
      </c>
    </row>
    <row r="16" spans="1:26">
      <c r="A16" t="s">
        <v>199</v>
      </c>
      <c r="B16" s="25" t="s">
        <v>198</v>
      </c>
      <c r="C16">
        <f ca="1">_xll.ciqfunctions.udf.CIQ($B16,"IQ_CDS_mid",C$2)</f>
        <v>9.7628000000000004</v>
      </c>
      <c r="D16">
        <f ca="1">_xll.ciqfunctions.udf.CIQ($B16,"IQ_CDS_mid",D$2)</f>
        <v>9.7628000000000004</v>
      </c>
      <c r="E16">
        <f ca="1">_xll.ciqfunctions.udf.CIQ($B16,"IQ_CDS_mid",E$2)</f>
        <v>9.7628000000000004</v>
      </c>
      <c r="F16">
        <f ca="1">_xll.ciqfunctions.udf.CIQ($B16,"IQ_CDS_mid",F$2)</f>
        <v>9.7628000000000004</v>
      </c>
      <c r="G16">
        <f ca="1">_xll.ciqfunctions.udf.CIQ($B16,"IQ_CDS_mid",G$2)</f>
        <v>10.293799999999999</v>
      </c>
      <c r="H16">
        <f ca="1">_xll.ciqfunctions.udf.CIQ($B16,"IQ_CDS_mid",H$2)</f>
        <v>10.2094</v>
      </c>
      <c r="I16">
        <f ca="1">_xll.ciqfunctions.udf.CIQ($B16,"IQ_CDS_mid",I$2)</f>
        <v>10.3324</v>
      </c>
      <c r="J16">
        <f ca="1">_xll.ciqfunctions.udf.CIQ($B16,"IQ_CDS_mid",J$2)</f>
        <v>10.507300000000001</v>
      </c>
      <c r="K16">
        <f ca="1">_xll.ciqfunctions.udf.CIQ($B16,"IQ_CDS_mid",K$2)</f>
        <v>10.3817</v>
      </c>
      <c r="L16">
        <f ca="1">_xll.ciqfunctions.udf.CIQ($B16,"IQ_CDS_mid",L$2)</f>
        <v>10.3817</v>
      </c>
      <c r="M16">
        <f ca="1">_xll.ciqfunctions.udf.CIQ($B16,"IQ_CDS_mid",M$2)</f>
        <v>10.3817</v>
      </c>
      <c r="N16">
        <f ca="1">_xll.ciqfunctions.udf.CIQ($B16,"IQ_CDS_mid",N$2)</f>
        <v>10.3414</v>
      </c>
      <c r="O16">
        <f ca="1">_xll.ciqfunctions.udf.CIQ($B16,"IQ_CDS_mid",O$2)</f>
        <v>10.623799999999999</v>
      </c>
      <c r="P16">
        <f ca="1">_xll.ciqfunctions.udf.CIQ($B16,"IQ_CDS_mid",P$2)</f>
        <v>10.6304</v>
      </c>
      <c r="Q16">
        <f ca="1">_xll.ciqfunctions.udf.CIQ($B16,"IQ_CDS_mid",Q$2)</f>
        <v>9.9968000000000004</v>
      </c>
      <c r="R16">
        <f ca="1">_xll.ciqfunctions.udf.CIQ($B16,"IQ_CDS_mid",R$2)</f>
        <v>9.9292999999999996</v>
      </c>
      <c r="S16">
        <f ca="1">_xll.ciqfunctions.udf.CIQ($B16,"IQ_CDS_mid",S$2)</f>
        <v>15.2186</v>
      </c>
      <c r="T16">
        <f t="shared" ca="1" si="1"/>
        <v>-0.44660000000000011</v>
      </c>
      <c r="U16">
        <f t="shared" ca="1" si="2"/>
        <v>-0.61890000000000001</v>
      </c>
      <c r="V16">
        <f t="shared" ca="1" si="3"/>
        <v>-0.23399999999999999</v>
      </c>
      <c r="W16">
        <f t="shared" ca="1" si="4"/>
        <v>-0.1664999999999992</v>
      </c>
      <c r="X16">
        <f t="shared" ca="1" si="0"/>
        <v>-5.4558</v>
      </c>
    </row>
    <row r="17" spans="1:24">
      <c r="A17" t="s">
        <v>197</v>
      </c>
      <c r="B17" s="25" t="s">
        <v>196</v>
      </c>
      <c r="C17">
        <f ca="1">_xll.ciqfunctions.udf.CIQ($B17,"IQ_CDS_mid",C$2)</f>
        <v>7.8333000000000004</v>
      </c>
      <c r="D17">
        <f ca="1">_xll.ciqfunctions.udf.CIQ($B17,"IQ_CDS_mid",D$2)</f>
        <v>7.8333000000000004</v>
      </c>
      <c r="E17">
        <f ca="1">_xll.ciqfunctions.udf.CIQ($B17,"IQ_CDS_mid",E$2)</f>
        <v>7.8333000000000004</v>
      </c>
      <c r="F17">
        <f ca="1">_xll.ciqfunctions.udf.CIQ($B17,"IQ_CDS_mid",F$2)</f>
        <v>7.8333000000000004</v>
      </c>
      <c r="G17">
        <f ca="1">_xll.ciqfunctions.udf.CIQ($B17,"IQ_CDS_mid",G$2)</f>
        <v>7.8333000000000004</v>
      </c>
      <c r="H17">
        <f ca="1">_xll.ciqfunctions.udf.CIQ($B17,"IQ_CDS_mid",H$2)</f>
        <v>7.8</v>
      </c>
      <c r="I17">
        <f ca="1">_xll.ciqfunctions.udf.CIQ($B17,"IQ_CDS_mid",I$2)</f>
        <v>7.8333000000000004</v>
      </c>
      <c r="J17">
        <f ca="1">_xll.ciqfunctions.udf.CIQ($B17,"IQ_CDS_mid",J$2)</f>
        <v>7.8333000000000004</v>
      </c>
      <c r="K17">
        <f ca="1">_xll.ciqfunctions.udf.CIQ($B17,"IQ_CDS_mid",K$2)</f>
        <v>7.8333000000000004</v>
      </c>
      <c r="L17">
        <f ca="1">_xll.ciqfunctions.udf.CIQ($B17,"IQ_CDS_mid",L$2)</f>
        <v>7.8333000000000004</v>
      </c>
      <c r="M17">
        <f ca="1">_xll.ciqfunctions.udf.CIQ($B17,"IQ_CDS_mid",M$2)</f>
        <v>7.8333000000000004</v>
      </c>
      <c r="N17">
        <f ca="1">_xll.ciqfunctions.udf.CIQ($B17,"IQ_CDS_mid",N$2)</f>
        <v>7.8967000000000001</v>
      </c>
      <c r="O17">
        <f ca="1">_xll.ciqfunctions.udf.CIQ($B17,"IQ_CDS_mid",O$2)</f>
        <v>7.875</v>
      </c>
      <c r="P17">
        <f ca="1">_xll.ciqfunctions.udf.CIQ($B17,"IQ_CDS_mid",P$2)</f>
        <v>7.875</v>
      </c>
      <c r="Q17">
        <f ca="1">_xll.ciqfunctions.udf.CIQ($B17,"IQ_CDS_mid",Q$2)</f>
        <v>7.8</v>
      </c>
      <c r="R17">
        <f ca="1">_xll.ciqfunctions.udf.CIQ($B17,"IQ_CDS_mid",R$2)</f>
        <v>8.92</v>
      </c>
      <c r="S17">
        <f ca="1">_xll.ciqfunctions.udf.CIQ($B17,"IQ_CDS_mid",S$2)</f>
        <v>10.476000000000001</v>
      </c>
      <c r="T17">
        <f t="shared" ca="1" si="1"/>
        <v>3.3300000000000551E-2</v>
      </c>
      <c r="U17">
        <f t="shared" ca="1" si="2"/>
        <v>0</v>
      </c>
      <c r="V17">
        <f t="shared" ca="1" si="3"/>
        <v>3.3300000000000551E-2</v>
      </c>
      <c r="W17">
        <f t="shared" ca="1" si="4"/>
        <v>-1.0866999999999996</v>
      </c>
      <c r="X17">
        <f t="shared" ca="1" si="0"/>
        <v>-2.6427000000000005</v>
      </c>
    </row>
    <row r="18" spans="1:24">
      <c r="A18" t="s">
        <v>195</v>
      </c>
      <c r="B18" s="25" t="s">
        <v>194</v>
      </c>
      <c r="C18">
        <f ca="1">_xll.ciqfunctions.udf.CIQ($B18,"IQ_CDS_mid",C$2)</f>
        <v>14.429</v>
      </c>
      <c r="D18">
        <f ca="1">_xll.ciqfunctions.udf.CIQ($B18,"IQ_CDS_mid",D$2)</f>
        <v>14.429</v>
      </c>
      <c r="E18">
        <f ca="1">_xll.ciqfunctions.udf.CIQ($B18,"IQ_CDS_mid",E$2)</f>
        <v>14.429</v>
      </c>
      <c r="F18">
        <f ca="1">_xll.ciqfunctions.udf.CIQ($B18,"IQ_CDS_mid",F$2)</f>
        <v>14.429</v>
      </c>
      <c r="G18">
        <f ca="1">_xll.ciqfunctions.udf.CIQ($B18,"IQ_CDS_mid",G$2)</f>
        <v>14.5</v>
      </c>
      <c r="H18">
        <f ca="1">_xll.ciqfunctions.udf.CIQ($B18,"IQ_CDS_mid",H$2)</f>
        <v>14.375</v>
      </c>
      <c r="I18">
        <f ca="1">_xll.ciqfunctions.udf.CIQ($B18,"IQ_CDS_mid",I$2)</f>
        <v>14.4</v>
      </c>
      <c r="J18">
        <f ca="1">_xll.ciqfunctions.udf.CIQ($B18,"IQ_CDS_mid",J$2)</f>
        <v>14.4</v>
      </c>
      <c r="K18">
        <f ca="1">_xll.ciqfunctions.udf.CIQ($B18,"IQ_CDS_mid",K$2)</f>
        <v>14.4</v>
      </c>
      <c r="L18">
        <f ca="1">_xll.ciqfunctions.udf.CIQ($B18,"IQ_CDS_mid",L$2)</f>
        <v>14.4</v>
      </c>
      <c r="M18">
        <f ca="1">_xll.ciqfunctions.udf.CIQ($B18,"IQ_CDS_mid",M$2)</f>
        <v>14.4</v>
      </c>
      <c r="N18">
        <f ca="1">_xll.ciqfunctions.udf.CIQ($B18,"IQ_CDS_mid",N$2)</f>
        <v>14.375</v>
      </c>
      <c r="O18">
        <f ca="1">_xll.ciqfunctions.udf.CIQ($B18,"IQ_CDS_mid",O$2)</f>
        <v>14.3125</v>
      </c>
      <c r="P18">
        <f ca="1">_xll.ciqfunctions.udf.CIQ($B18,"IQ_CDS_mid",P$2)</f>
        <v>14.35</v>
      </c>
      <c r="Q18">
        <f ca="1">_xll.ciqfunctions.udf.CIQ($B18,"IQ_CDS_mid",Q$2)</f>
        <v>14.25</v>
      </c>
      <c r="R18">
        <f ca="1">_xll.ciqfunctions.udf.CIQ($B18,"IQ_CDS_mid",R$2)</f>
        <v>16.414999999999999</v>
      </c>
      <c r="S18">
        <f ca="1">_xll.ciqfunctions.udf.CIQ($B18,"IQ_CDS_mid",S$2)</f>
        <v>22.875</v>
      </c>
      <c r="T18">
        <f t="shared" ca="1" si="1"/>
        <v>5.400000000000027E-2</v>
      </c>
      <c r="U18">
        <f t="shared" ca="1" si="2"/>
        <v>2.8999999999999915E-2</v>
      </c>
      <c r="V18">
        <f t="shared" ca="1" si="3"/>
        <v>0.17900000000000027</v>
      </c>
      <c r="W18">
        <f t="shared" ca="1" si="4"/>
        <v>-1.9859999999999989</v>
      </c>
      <c r="X18">
        <f t="shared" ca="1" si="0"/>
        <v>-8.4459999999999997</v>
      </c>
    </row>
    <row r="19" spans="1:24">
      <c r="A19" t="s">
        <v>193</v>
      </c>
      <c r="B19" s="25" t="s">
        <v>192</v>
      </c>
      <c r="C19">
        <f ca="1">_xll.ciqfunctions.udf.CIQ($B19,"IQ_CDS_mid",C$2)</f>
        <v>35.378</v>
      </c>
      <c r="D19">
        <f ca="1">_xll.ciqfunctions.udf.CIQ($B19,"IQ_CDS_mid",D$2)</f>
        <v>35.378</v>
      </c>
      <c r="E19">
        <f ca="1">_xll.ciqfunctions.udf.CIQ($B19,"IQ_CDS_mid",E$2)</f>
        <v>35.378</v>
      </c>
      <c r="F19">
        <f ca="1">_xll.ciqfunctions.udf.CIQ($B19,"IQ_CDS_mid",F$2)</f>
        <v>35.378</v>
      </c>
      <c r="G19">
        <f ca="1">_xll.ciqfunctions.udf.CIQ($B19,"IQ_CDS_mid",G$2)</f>
        <v>34.856400000000001</v>
      </c>
      <c r="H19">
        <f ca="1">_xll.ciqfunctions.udf.CIQ($B19,"IQ_CDS_mid",H$2)</f>
        <v>35.1158</v>
      </c>
      <c r="I19">
        <f ca="1">_xll.ciqfunctions.udf.CIQ($B19,"IQ_CDS_mid",I$2)</f>
        <v>35.248199999999997</v>
      </c>
      <c r="J19">
        <f ca="1">_xll.ciqfunctions.udf.CIQ($B19,"IQ_CDS_mid",J$2)</f>
        <v>35.906300000000002</v>
      </c>
      <c r="K19">
        <f ca="1">_xll.ciqfunctions.udf.CIQ($B19,"IQ_CDS_mid",K$2)</f>
        <v>35.417200000000001</v>
      </c>
      <c r="L19">
        <f ca="1">_xll.ciqfunctions.udf.CIQ($B19,"IQ_CDS_mid",L$2)</f>
        <v>35.417200000000001</v>
      </c>
      <c r="M19">
        <f ca="1">_xll.ciqfunctions.udf.CIQ($B19,"IQ_CDS_mid",M$2)</f>
        <v>35.417200000000001</v>
      </c>
      <c r="N19">
        <f ca="1">_xll.ciqfunctions.udf.CIQ($B19,"IQ_CDS_mid",N$2)</f>
        <v>36.054499999999997</v>
      </c>
      <c r="O19">
        <f ca="1">_xll.ciqfunctions.udf.CIQ($B19,"IQ_CDS_mid",O$2)</f>
        <v>35.6477</v>
      </c>
      <c r="P19">
        <f ca="1">_xll.ciqfunctions.udf.CIQ($B19,"IQ_CDS_mid",P$2)</f>
        <v>35.881599999999999</v>
      </c>
      <c r="Q19">
        <f ca="1">_xll.ciqfunctions.udf.CIQ($B19,"IQ_CDS_mid",Q$2)</f>
        <v>36.149299999999997</v>
      </c>
      <c r="R19">
        <f ca="1">_xll.ciqfunctions.udf.CIQ($B19,"IQ_CDS_mid",R$2)</f>
        <v>38.5563</v>
      </c>
      <c r="S19">
        <f ca="1">_xll.ciqfunctions.udf.CIQ($B19,"IQ_CDS_mid",S$2)</f>
        <v>33.431100000000001</v>
      </c>
      <c r="T19">
        <f t="shared" ca="1" si="1"/>
        <v>0.26219999999999999</v>
      </c>
      <c r="U19">
        <f t="shared" ca="1" si="2"/>
        <v>-3.9200000000001012E-2</v>
      </c>
      <c r="V19">
        <f t="shared" ca="1" si="3"/>
        <v>-0.77129999999999654</v>
      </c>
      <c r="W19">
        <f t="shared" ca="1" si="4"/>
        <v>-3.1783000000000001</v>
      </c>
      <c r="X19">
        <f t="shared" ca="1" si="0"/>
        <v>1.9468999999999994</v>
      </c>
    </row>
    <row r="20" spans="1:24">
      <c r="A20" t="s">
        <v>191</v>
      </c>
      <c r="B20" s="25" t="s">
        <v>190</v>
      </c>
      <c r="C20">
        <f ca="1">_xll.ciqfunctions.udf.CIQ($B20,"IQ_CDS_mid",C$2)</f>
        <v>16.4726</v>
      </c>
      <c r="D20">
        <f ca="1">_xll.ciqfunctions.udf.CIQ($B20,"IQ_CDS_mid",D$2)</f>
        <v>16.4726</v>
      </c>
      <c r="E20">
        <f ca="1">_xll.ciqfunctions.udf.CIQ($B20,"IQ_CDS_mid",E$2)</f>
        <v>16.4726</v>
      </c>
      <c r="F20">
        <f ca="1">_xll.ciqfunctions.udf.CIQ($B20,"IQ_CDS_mid",F$2)</f>
        <v>16.4726</v>
      </c>
      <c r="G20">
        <f ca="1">_xll.ciqfunctions.udf.CIQ($B20,"IQ_CDS_mid",G$2)</f>
        <v>16.333300000000001</v>
      </c>
      <c r="H20">
        <f ca="1">_xll.ciqfunctions.udf.CIQ($B20,"IQ_CDS_mid",H$2)</f>
        <v>16.0199</v>
      </c>
      <c r="I20">
        <f ca="1">_xll.ciqfunctions.udf.CIQ($B20,"IQ_CDS_mid",I$2)</f>
        <v>16.0625</v>
      </c>
      <c r="J20">
        <f ca="1">_xll.ciqfunctions.udf.CIQ($B20,"IQ_CDS_mid",J$2)</f>
        <v>16.5</v>
      </c>
      <c r="K20">
        <f ca="1">_xll.ciqfunctions.udf.CIQ($B20,"IQ_CDS_mid",K$2)</f>
        <v>16.5</v>
      </c>
      <c r="L20">
        <f ca="1">_xll.ciqfunctions.udf.CIQ($B20,"IQ_CDS_mid",L$2)</f>
        <v>16.5</v>
      </c>
      <c r="M20">
        <f ca="1">_xll.ciqfunctions.udf.CIQ($B20,"IQ_CDS_mid",M$2)</f>
        <v>16.5</v>
      </c>
      <c r="N20">
        <f ca="1">_xll.ciqfunctions.udf.CIQ($B20,"IQ_CDS_mid",N$2)</f>
        <v>16.5</v>
      </c>
      <c r="O20">
        <f ca="1">_xll.ciqfunctions.udf.CIQ($B20,"IQ_CDS_mid",O$2)</f>
        <v>16.5837</v>
      </c>
      <c r="P20">
        <f ca="1">_xll.ciqfunctions.udf.CIQ($B20,"IQ_CDS_mid",P$2)</f>
        <v>16.5</v>
      </c>
      <c r="Q20">
        <f ca="1">_xll.ciqfunctions.udf.CIQ($B20,"IQ_CDS_mid",Q$2)</f>
        <v>16.020600000000002</v>
      </c>
      <c r="R20">
        <f ca="1">_xll.ciqfunctions.udf.CIQ($B20,"IQ_CDS_mid",R$2)</f>
        <v>16.422499999999999</v>
      </c>
      <c r="S20">
        <f ca="1">_xll.ciqfunctions.udf.CIQ($B20,"IQ_CDS_mid",S$2)</f>
        <v>27.058599999999998</v>
      </c>
      <c r="T20">
        <f t="shared" ca="1" si="1"/>
        <v>0.4527000000000001</v>
      </c>
      <c r="U20">
        <f t="shared" ca="1" si="2"/>
        <v>-2.7400000000000091E-2</v>
      </c>
      <c r="V20">
        <f t="shared" ca="1" si="3"/>
        <v>0.45199999999999818</v>
      </c>
      <c r="W20">
        <f t="shared" ca="1" si="4"/>
        <v>5.0100000000000477E-2</v>
      </c>
      <c r="X20">
        <f t="shared" ca="1" si="0"/>
        <v>-10.585999999999999</v>
      </c>
    </row>
    <row r="21" spans="1:24">
      <c r="A21" s="16" t="s">
        <v>189</v>
      </c>
      <c r="X21">
        <f t="shared" si="0"/>
        <v>0</v>
      </c>
    </row>
    <row r="22" spans="1:24">
      <c r="A22" t="s">
        <v>188</v>
      </c>
      <c r="B22" s="25" t="s">
        <v>187</v>
      </c>
      <c r="C22">
        <f ca="1">_xll.ciqfunctions.udf.CIQ($B22,"IQ_CDS_mid",C$2)</f>
        <v>18</v>
      </c>
      <c r="D22">
        <f ca="1">_xll.ciqfunctions.udf.CIQ($B22,"IQ_CDS_mid",D$2)</f>
        <v>18</v>
      </c>
      <c r="E22">
        <f ca="1">_xll.ciqfunctions.udf.CIQ($B22,"IQ_CDS_mid",E$2)</f>
        <v>18</v>
      </c>
      <c r="F22">
        <f ca="1">_xll.ciqfunctions.udf.CIQ($B22,"IQ_CDS_mid",F$2)</f>
        <v>18</v>
      </c>
      <c r="G22">
        <f ca="1">_xll.ciqfunctions.udf.CIQ($B22,"IQ_CDS_mid",G$2)</f>
        <v>18.125</v>
      </c>
      <c r="H22">
        <f ca="1">_xll.ciqfunctions.udf.CIQ($B22,"IQ_CDS_mid",H$2)</f>
        <v>18.125</v>
      </c>
      <c r="I22">
        <f ca="1">_xll.ciqfunctions.udf.CIQ($B22,"IQ_CDS_mid",I$2)</f>
        <v>18.065999999999999</v>
      </c>
      <c r="J22">
        <f ca="1">_xll.ciqfunctions.udf.CIQ($B22,"IQ_CDS_mid",J$2)</f>
        <v>18.125</v>
      </c>
      <c r="K22">
        <f ca="1">_xll.ciqfunctions.udf.CIQ($B22,"IQ_CDS_mid",K$2)</f>
        <v>18.375</v>
      </c>
      <c r="L22">
        <f ca="1">_xll.ciqfunctions.udf.CIQ($B22,"IQ_CDS_mid",L$2)</f>
        <v>18.375</v>
      </c>
      <c r="M22">
        <f ca="1">_xll.ciqfunctions.udf.CIQ($B22,"IQ_CDS_mid",M$2)</f>
        <v>18.375</v>
      </c>
      <c r="N22">
        <f ca="1">_xll.ciqfunctions.udf.CIQ($B22,"IQ_CDS_mid",N$2)</f>
        <v>18.399999999999999</v>
      </c>
      <c r="O22">
        <f ca="1">_xll.ciqfunctions.udf.CIQ($B22,"IQ_CDS_mid",O$2)</f>
        <v>18.549700000000001</v>
      </c>
      <c r="P22">
        <f ca="1">_xll.ciqfunctions.udf.CIQ($B22,"IQ_CDS_mid",P$2)</f>
        <v>18.600000000000001</v>
      </c>
      <c r="Q22">
        <f ca="1">_xll.ciqfunctions.udf.CIQ($B22,"IQ_CDS_mid",Q$2)</f>
        <v>17.833300000000001</v>
      </c>
      <c r="R22">
        <f ca="1">_xll.ciqfunctions.udf.CIQ($B22,"IQ_CDS_mid",R$2)</f>
        <v>18.833300000000001</v>
      </c>
      <c r="S22">
        <f ca="1">_xll.ciqfunctions.udf.CIQ($B22,"IQ_CDS_mid",S$2)</f>
        <v>16.5</v>
      </c>
      <c r="T22">
        <f t="shared" ref="T22:T29" ca="1" si="5">C22-H22</f>
        <v>-0.125</v>
      </c>
      <c r="U22">
        <f t="shared" ref="U22:U29" ca="1" si="6">C22-M22</f>
        <v>-0.375</v>
      </c>
      <c r="V22">
        <f t="shared" ref="V22:V29" ca="1" si="7">C22-Q22</f>
        <v>0.16669999999999874</v>
      </c>
      <c r="W22">
        <f t="shared" ref="W22:W29" ca="1" si="8">C22-R22</f>
        <v>-0.83330000000000126</v>
      </c>
      <c r="X22">
        <f t="shared" ca="1" si="0"/>
        <v>1.5</v>
      </c>
    </row>
    <row r="23" spans="1:24">
      <c r="A23" t="s">
        <v>186</v>
      </c>
      <c r="B23" s="25" t="s">
        <v>185</v>
      </c>
      <c r="C23">
        <f ca="1">_xll.ciqfunctions.udf.CIQ($B23,"IQ_CDS_mid",C$2)</f>
        <v>29.2563</v>
      </c>
      <c r="D23">
        <f ca="1">_xll.ciqfunctions.udf.CIQ($B23,"IQ_CDS_mid",D$2)</f>
        <v>29.2563</v>
      </c>
      <c r="E23">
        <f ca="1">_xll.ciqfunctions.udf.CIQ($B23,"IQ_CDS_mid",E$2)</f>
        <v>29.2563</v>
      </c>
      <c r="F23">
        <f ca="1">_xll.ciqfunctions.udf.CIQ($B23,"IQ_CDS_mid",F$2)</f>
        <v>29.2563</v>
      </c>
      <c r="G23">
        <f ca="1">_xll.ciqfunctions.udf.CIQ($B23,"IQ_CDS_mid",G$2)</f>
        <v>29.257400000000001</v>
      </c>
      <c r="H23">
        <f ca="1">_xll.ciqfunctions.udf.CIQ($B23,"IQ_CDS_mid",H$2)</f>
        <v>29.2729</v>
      </c>
      <c r="I23">
        <f ca="1">_xll.ciqfunctions.udf.CIQ($B23,"IQ_CDS_mid",I$2)</f>
        <v>29.349299999999999</v>
      </c>
      <c r="J23">
        <f ca="1">_xll.ciqfunctions.udf.CIQ($B23,"IQ_CDS_mid",J$2)</f>
        <v>29.366499999999998</v>
      </c>
      <c r="K23">
        <f ca="1">_xll.ciqfunctions.udf.CIQ($B23,"IQ_CDS_mid",K$2)</f>
        <v>29.510300000000001</v>
      </c>
      <c r="L23">
        <f ca="1">_xll.ciqfunctions.udf.CIQ($B23,"IQ_CDS_mid",L$2)</f>
        <v>29.510300000000001</v>
      </c>
      <c r="M23">
        <f ca="1">_xll.ciqfunctions.udf.CIQ($B23,"IQ_CDS_mid",M$2)</f>
        <v>29.510300000000001</v>
      </c>
      <c r="N23">
        <f ca="1">_xll.ciqfunctions.udf.CIQ($B23,"IQ_CDS_mid",N$2)</f>
        <v>29.828800000000001</v>
      </c>
      <c r="O23">
        <f ca="1">_xll.ciqfunctions.udf.CIQ($B23,"IQ_CDS_mid",O$2)</f>
        <v>29.7485</v>
      </c>
      <c r="P23">
        <f ca="1">_xll.ciqfunctions.udf.CIQ($B23,"IQ_CDS_mid",P$2)</f>
        <v>29.4392</v>
      </c>
      <c r="Q23">
        <f ca="1">_xll.ciqfunctions.udf.CIQ($B23,"IQ_CDS_mid",Q$2)</f>
        <v>28.9693</v>
      </c>
      <c r="R23">
        <f ca="1">_xll.ciqfunctions.udf.CIQ($B23,"IQ_CDS_mid",R$2)</f>
        <v>29.4665</v>
      </c>
      <c r="S23">
        <f ca="1">_xll.ciqfunctions.udf.CIQ($B23,"IQ_CDS_mid",S$2)</f>
        <v>25.7453</v>
      </c>
      <c r="T23">
        <f t="shared" ca="1" si="5"/>
        <v>-1.6600000000000392E-2</v>
      </c>
      <c r="U23">
        <f t="shared" ca="1" si="6"/>
        <v>-0.25400000000000134</v>
      </c>
      <c r="V23">
        <f t="shared" ca="1" si="7"/>
        <v>0.28699999999999903</v>
      </c>
      <c r="W23">
        <f t="shared" ca="1" si="8"/>
        <v>-0.21020000000000039</v>
      </c>
      <c r="X23">
        <f t="shared" ca="1" si="0"/>
        <v>3.5109999999999992</v>
      </c>
    </row>
    <row r="24" spans="1:24">
      <c r="A24" t="s">
        <v>31</v>
      </c>
      <c r="B24" s="25" t="s">
        <v>184</v>
      </c>
      <c r="C24">
        <f ca="1">_xll.ciqfunctions.udf.CIQ($B24,"IQ_CDS_mid",C$2)</f>
        <v>7.9626999999999999</v>
      </c>
      <c r="D24">
        <f ca="1">_xll.ciqfunctions.udf.CIQ($B24,"IQ_CDS_mid",D$2)</f>
        <v>7.9626999999999999</v>
      </c>
      <c r="E24">
        <f ca="1">_xll.ciqfunctions.udf.CIQ($B24,"IQ_CDS_mid",E$2)</f>
        <v>7.9626999999999999</v>
      </c>
      <c r="F24">
        <f ca="1">_xll.ciqfunctions.udf.CIQ($B24,"IQ_CDS_mid",F$2)</f>
        <v>7.9626999999999999</v>
      </c>
      <c r="G24">
        <f ca="1">_xll.ciqfunctions.udf.CIQ($B24,"IQ_CDS_mid",G$2)</f>
        <v>8.125</v>
      </c>
      <c r="H24">
        <f ca="1">_xll.ciqfunctions.udf.CIQ($B24,"IQ_CDS_mid",H$2)</f>
        <v>8.125</v>
      </c>
      <c r="I24">
        <f ca="1">_xll.ciqfunctions.udf.CIQ($B24,"IQ_CDS_mid",I$2)</f>
        <v>8.125</v>
      </c>
      <c r="J24">
        <f ca="1">_xll.ciqfunctions.udf.CIQ($B24,"IQ_CDS_mid",J$2)</f>
        <v>8.125</v>
      </c>
      <c r="K24">
        <f ca="1">_xll.ciqfunctions.udf.CIQ($B24,"IQ_CDS_mid",K$2)</f>
        <v>8.125</v>
      </c>
      <c r="L24">
        <f ca="1">_xll.ciqfunctions.udf.CIQ($B24,"IQ_CDS_mid",L$2)</f>
        <v>8.125</v>
      </c>
      <c r="M24">
        <f ca="1">_xll.ciqfunctions.udf.CIQ($B24,"IQ_CDS_mid",M$2)</f>
        <v>8.125</v>
      </c>
      <c r="N24">
        <f ca="1">_xll.ciqfunctions.udf.CIQ($B24,"IQ_CDS_mid",N$2)</f>
        <v>7.8333000000000004</v>
      </c>
      <c r="O24">
        <f ca="1">_xll.ciqfunctions.udf.CIQ($B24,"IQ_CDS_mid",O$2)</f>
        <v>8.0832999999999995</v>
      </c>
      <c r="P24">
        <f ca="1">_xll.ciqfunctions.udf.CIQ($B24,"IQ_CDS_mid",P$2)</f>
        <v>8</v>
      </c>
      <c r="Q24">
        <f ca="1">_xll.ciqfunctions.udf.CIQ($B24,"IQ_CDS_mid",Q$2)</f>
        <v>7.9127000000000001</v>
      </c>
      <c r="R24">
        <f ca="1">_xll.ciqfunctions.udf.CIQ($B24,"IQ_CDS_mid",R$2)</f>
        <v>9</v>
      </c>
      <c r="S24">
        <f ca="1">_xll.ciqfunctions.udf.CIQ($B24,"IQ_CDS_mid",S$2)</f>
        <v>8.7795000000000005</v>
      </c>
      <c r="T24">
        <f t="shared" ca="1" si="5"/>
        <v>-0.16230000000000011</v>
      </c>
      <c r="U24">
        <f t="shared" ca="1" si="6"/>
        <v>-0.16230000000000011</v>
      </c>
      <c r="V24">
        <f t="shared" ca="1" si="7"/>
        <v>4.9999999999999822E-2</v>
      </c>
      <c r="W24">
        <f t="shared" ca="1" si="8"/>
        <v>-1.0373000000000001</v>
      </c>
      <c r="X24">
        <f t="shared" ca="1" si="0"/>
        <v>-0.81680000000000064</v>
      </c>
    </row>
    <row r="25" spans="1:24">
      <c r="A25" t="s">
        <v>183</v>
      </c>
      <c r="B25" s="25" t="s">
        <v>182</v>
      </c>
      <c r="C25">
        <f ca="1">_xll.ciqfunctions.udf.CIQ($B25,"IQ_CDS_mid",C$2)</f>
        <v>4.6885000000000003</v>
      </c>
      <c r="D25">
        <f ca="1">_xll.ciqfunctions.udf.CIQ($B25,"IQ_CDS_mid",D$2)</f>
        <v>4.6885000000000003</v>
      </c>
      <c r="E25">
        <f ca="1">_xll.ciqfunctions.udf.CIQ($B25,"IQ_CDS_mid",E$2)</f>
        <v>4.6885000000000003</v>
      </c>
      <c r="F25">
        <f ca="1">_xll.ciqfunctions.udf.CIQ($B25,"IQ_CDS_mid",F$2)</f>
        <v>4.6885000000000003</v>
      </c>
      <c r="G25">
        <f ca="1">_xll.ciqfunctions.udf.CIQ($B25,"IQ_CDS_mid",G$2)</f>
        <v>4.6837</v>
      </c>
      <c r="H25">
        <f ca="1">_xll.ciqfunctions.udf.CIQ($B25,"IQ_CDS_mid",H$2)</f>
        <v>4.6852</v>
      </c>
      <c r="I25">
        <f ca="1">_xll.ciqfunctions.udf.CIQ($B25,"IQ_CDS_mid",I$2)</f>
        <v>4.6845999999999997</v>
      </c>
      <c r="J25">
        <f ca="1">_xll.ciqfunctions.udf.CIQ($B25,"IQ_CDS_mid",J$2)</f>
        <v>4.6959999999999997</v>
      </c>
      <c r="K25">
        <f ca="1">_xll.ciqfunctions.udf.CIQ($B25,"IQ_CDS_mid",K$2)</f>
        <v>4.7626999999999997</v>
      </c>
      <c r="L25">
        <f ca="1">_xll.ciqfunctions.udf.CIQ($B25,"IQ_CDS_mid",L$2)</f>
        <v>4.7626999999999997</v>
      </c>
      <c r="M25">
        <f ca="1">_xll.ciqfunctions.udf.CIQ($B25,"IQ_CDS_mid",M$2)</f>
        <v>4.7626999999999997</v>
      </c>
      <c r="N25">
        <f ca="1">_xll.ciqfunctions.udf.CIQ($B25,"IQ_CDS_mid",N$2)</f>
        <v>4.7927</v>
      </c>
      <c r="O25">
        <f ca="1">_xll.ciqfunctions.udf.CIQ($B25,"IQ_CDS_mid",O$2)</f>
        <v>4.5082000000000004</v>
      </c>
      <c r="P25">
        <f ca="1">_xll.ciqfunctions.udf.CIQ($B25,"IQ_CDS_mid",P$2)</f>
        <v>4.5067000000000004</v>
      </c>
      <c r="Q25">
        <f ca="1">_xll.ciqfunctions.udf.CIQ($B25,"IQ_CDS_mid",Q$2)</f>
        <v>4.4958</v>
      </c>
      <c r="R25">
        <f ca="1">_xll.ciqfunctions.udf.CIQ($B25,"IQ_CDS_mid",R$2)</f>
        <v>5.7203999999999997</v>
      </c>
      <c r="S25">
        <f ca="1">_xll.ciqfunctions.udf.CIQ($B25,"IQ_CDS_mid",S$2)</f>
        <v>7.8426999999999998</v>
      </c>
      <c r="T25">
        <f t="shared" ca="1" si="5"/>
        <v>3.3000000000003027E-3</v>
      </c>
      <c r="U25">
        <f t="shared" ca="1" si="6"/>
        <v>-7.4199999999999378E-2</v>
      </c>
      <c r="V25">
        <f t="shared" ca="1" si="7"/>
        <v>0.19270000000000032</v>
      </c>
      <c r="W25">
        <f t="shared" ca="1" si="8"/>
        <v>-1.0318999999999994</v>
      </c>
      <c r="X25">
        <f t="shared" ca="1" si="0"/>
        <v>-3.1541999999999994</v>
      </c>
    </row>
    <row r="26" spans="1:24">
      <c r="A26" t="s">
        <v>181</v>
      </c>
      <c r="B26" s="25" t="s">
        <v>180</v>
      </c>
      <c r="C26">
        <f ca="1">_xll.ciqfunctions.udf.CIQ($B26,"IQ_CDS_mid",C$2)</f>
        <v>50.9221</v>
      </c>
      <c r="D26">
        <f ca="1">_xll.ciqfunctions.udf.CIQ($B26,"IQ_CDS_mid",D$2)</f>
        <v>50.9221</v>
      </c>
      <c r="E26">
        <f ca="1">_xll.ciqfunctions.udf.CIQ($B26,"IQ_CDS_mid",E$2)</f>
        <v>50.9221</v>
      </c>
      <c r="F26">
        <f ca="1">_xll.ciqfunctions.udf.CIQ($B26,"IQ_CDS_mid",F$2)</f>
        <v>50.9221</v>
      </c>
      <c r="G26">
        <f ca="1">_xll.ciqfunctions.udf.CIQ($B26,"IQ_CDS_mid",G$2)</f>
        <v>50.940199999999997</v>
      </c>
      <c r="H26">
        <f ca="1">_xll.ciqfunctions.udf.CIQ($B26,"IQ_CDS_mid",H$2)</f>
        <v>50.927500000000002</v>
      </c>
      <c r="I26">
        <f ca="1">_xll.ciqfunctions.udf.CIQ($B26,"IQ_CDS_mid",I$2)</f>
        <v>50.9407</v>
      </c>
      <c r="J26">
        <f ca="1">_xll.ciqfunctions.udf.CIQ($B26,"IQ_CDS_mid",J$2)</f>
        <v>51.058399999999999</v>
      </c>
      <c r="K26">
        <f ca="1">_xll.ciqfunctions.udf.CIQ($B26,"IQ_CDS_mid",K$2)</f>
        <v>50.913400000000003</v>
      </c>
      <c r="L26">
        <f ca="1">_xll.ciqfunctions.udf.CIQ($B26,"IQ_CDS_mid",L$2)</f>
        <v>50.913400000000003</v>
      </c>
      <c r="M26">
        <f ca="1">_xll.ciqfunctions.udf.CIQ($B26,"IQ_CDS_mid",M$2)</f>
        <v>50.913400000000003</v>
      </c>
      <c r="N26">
        <f ca="1">_xll.ciqfunctions.udf.CIQ($B26,"IQ_CDS_mid",N$2)</f>
        <v>50.662199999999999</v>
      </c>
      <c r="O26">
        <f ca="1">_xll.ciqfunctions.udf.CIQ($B26,"IQ_CDS_mid",O$2)</f>
        <v>50.5535</v>
      </c>
      <c r="P26">
        <f ca="1">_xll.ciqfunctions.udf.CIQ($B26,"IQ_CDS_mid",P$2)</f>
        <v>50.5366</v>
      </c>
      <c r="Q26">
        <f ca="1">_xll.ciqfunctions.udf.CIQ($B26,"IQ_CDS_mid",Q$2)</f>
        <v>50.558</v>
      </c>
      <c r="R26">
        <f ca="1">_xll.ciqfunctions.udf.CIQ($B26,"IQ_CDS_mid",R$2)</f>
        <v>52.052700000000002</v>
      </c>
      <c r="S26">
        <f ca="1">_xll.ciqfunctions.udf.CIQ($B26,"IQ_CDS_mid",S$2)</f>
        <v>65.609899999999996</v>
      </c>
      <c r="T26">
        <f t="shared" ca="1" si="5"/>
        <v>-5.4000000000016257E-3</v>
      </c>
      <c r="U26">
        <f t="shared" ca="1" si="6"/>
        <v>8.6999999999974875E-3</v>
      </c>
      <c r="V26">
        <f t="shared" ca="1" si="7"/>
        <v>0.36410000000000053</v>
      </c>
      <c r="W26">
        <f t="shared" ca="1" si="8"/>
        <v>-1.1306000000000012</v>
      </c>
      <c r="X26">
        <f t="shared" ca="1" si="0"/>
        <v>-14.687799999999996</v>
      </c>
    </row>
    <row r="27" spans="1:24">
      <c r="A27" t="s">
        <v>179</v>
      </c>
      <c r="B27" s="25" t="s">
        <v>178</v>
      </c>
      <c r="C27">
        <f ca="1">_xll.ciqfunctions.udf.CIQ($B27,"IQ_CDS_mid",C$2)</f>
        <v>6.6862000000000004</v>
      </c>
      <c r="D27">
        <f ca="1">_xll.ciqfunctions.udf.CIQ($B27,"IQ_CDS_mid",D$2)</f>
        <v>6.6862000000000004</v>
      </c>
      <c r="E27">
        <f ca="1">_xll.ciqfunctions.udf.CIQ($B27,"IQ_CDS_mid",E$2)</f>
        <v>6.6862000000000004</v>
      </c>
      <c r="F27">
        <f ca="1">_xll.ciqfunctions.udf.CIQ($B27,"IQ_CDS_mid",F$2)</f>
        <v>6.6862000000000004</v>
      </c>
      <c r="G27">
        <f ca="1">_xll.ciqfunctions.udf.CIQ($B27,"IQ_CDS_mid",G$2)</f>
        <v>7.25</v>
      </c>
      <c r="H27">
        <f ca="1">_xll.ciqfunctions.udf.CIQ($B27,"IQ_CDS_mid",H$2)</f>
        <v>6.7030000000000003</v>
      </c>
      <c r="I27">
        <f ca="1">_xll.ciqfunctions.udf.CIQ($B27,"IQ_CDS_mid",I$2)</f>
        <v>7.25</v>
      </c>
      <c r="J27">
        <f ca="1">_xll.ciqfunctions.udf.CIQ($B27,"IQ_CDS_mid",J$2)</f>
        <v>6.7028999999999996</v>
      </c>
      <c r="K27">
        <f ca="1">_xll.ciqfunctions.udf.CIQ($B27,"IQ_CDS_mid",K$2)</f>
        <v>7.25</v>
      </c>
      <c r="L27">
        <f ca="1">_xll.ciqfunctions.udf.CIQ($B27,"IQ_CDS_mid",L$2)</f>
        <v>7.25</v>
      </c>
      <c r="M27">
        <f ca="1">_xll.ciqfunctions.udf.CIQ($B27,"IQ_CDS_mid",M$2)</f>
        <v>7.25</v>
      </c>
      <c r="N27">
        <f ca="1">_xll.ciqfunctions.udf.CIQ($B27,"IQ_CDS_mid",N$2)</f>
        <v>6.4809000000000001</v>
      </c>
      <c r="O27">
        <f ca="1">_xll.ciqfunctions.udf.CIQ($B27,"IQ_CDS_mid",O$2)</f>
        <v>6.8322000000000003</v>
      </c>
      <c r="P27">
        <f ca="1">_xll.ciqfunctions.udf.CIQ($B27,"IQ_CDS_mid",P$2)</f>
        <v>7.25</v>
      </c>
      <c r="Q27">
        <f ca="1">_xll.ciqfunctions.udf.CIQ($B27,"IQ_CDS_mid",Q$2)</f>
        <v>6.8292999999999999</v>
      </c>
      <c r="R27">
        <f ca="1">_xll.ciqfunctions.udf.CIQ($B27,"IQ_CDS_mid",R$2)</f>
        <v>8.0832999999999995</v>
      </c>
      <c r="S27">
        <f ca="1">_xll.ciqfunctions.udf.CIQ($B27,"IQ_CDS_mid",S$2)</f>
        <v>9.8615999999999993</v>
      </c>
      <c r="T27">
        <f t="shared" ca="1" si="5"/>
        <v>-1.6799999999999926E-2</v>
      </c>
      <c r="U27">
        <f t="shared" ca="1" si="6"/>
        <v>-0.56379999999999963</v>
      </c>
      <c r="V27">
        <f t="shared" ca="1" si="7"/>
        <v>-0.14309999999999956</v>
      </c>
      <c r="W27">
        <f t="shared" ca="1" si="8"/>
        <v>-1.3970999999999991</v>
      </c>
      <c r="X27">
        <f t="shared" ca="1" si="0"/>
        <v>-3.1753999999999989</v>
      </c>
    </row>
    <row r="28" spans="1:24">
      <c r="A28" t="s">
        <v>21</v>
      </c>
      <c r="B28" s="25" t="s">
        <v>177</v>
      </c>
      <c r="C28">
        <f ca="1">_xll.ciqfunctions.udf.CIQ($B28,"IQ_CDS_mid",C$2)</f>
        <v>7.2470999999999997</v>
      </c>
      <c r="D28">
        <f ca="1">_xll.ciqfunctions.udf.CIQ($B28,"IQ_CDS_mid",D$2)</f>
        <v>7.2470999999999997</v>
      </c>
      <c r="E28">
        <f ca="1">_xll.ciqfunctions.udf.CIQ($B28,"IQ_CDS_mid",E$2)</f>
        <v>7.2470999999999997</v>
      </c>
      <c r="F28">
        <f ca="1">_xll.ciqfunctions.udf.CIQ($B28,"IQ_CDS_mid",F$2)</f>
        <v>7.2470999999999997</v>
      </c>
      <c r="G28">
        <f ca="1">_xll.ciqfunctions.udf.CIQ($B28,"IQ_CDS_mid",G$2)</f>
        <v>7.2428999999999997</v>
      </c>
      <c r="H28">
        <f ca="1">_xll.ciqfunctions.udf.CIQ($B28,"IQ_CDS_mid",H$2)</f>
        <v>7.2430000000000003</v>
      </c>
      <c r="I28">
        <f ca="1">_xll.ciqfunctions.udf.CIQ($B28,"IQ_CDS_mid",I$2)</f>
        <v>7.2427999999999999</v>
      </c>
      <c r="J28">
        <f ca="1">_xll.ciqfunctions.udf.CIQ($B28,"IQ_CDS_mid",J$2)</f>
        <v>7.2449000000000003</v>
      </c>
      <c r="K28">
        <f ca="1">_xll.ciqfunctions.udf.CIQ($B28,"IQ_CDS_mid",K$2)</f>
        <v>7.2477</v>
      </c>
      <c r="L28">
        <f ca="1">_xll.ciqfunctions.udf.CIQ($B28,"IQ_CDS_mid",L$2)</f>
        <v>7.2477</v>
      </c>
      <c r="M28">
        <f ca="1">_xll.ciqfunctions.udf.CIQ($B28,"IQ_CDS_mid",M$2)</f>
        <v>7.2477</v>
      </c>
      <c r="N28">
        <f ca="1">_xll.ciqfunctions.udf.CIQ($B28,"IQ_CDS_mid",N$2)</f>
        <v>7.2488000000000001</v>
      </c>
      <c r="O28">
        <f ca="1">_xll.ciqfunctions.udf.CIQ($B28,"IQ_CDS_mid",O$2)</f>
        <v>7.2503000000000002</v>
      </c>
      <c r="P28">
        <f ca="1">_xll.ciqfunctions.udf.CIQ($B28,"IQ_CDS_mid",P$2)</f>
        <v>7.2491000000000003</v>
      </c>
      <c r="Q28">
        <f ca="1">_xll.ciqfunctions.udf.CIQ($B28,"IQ_CDS_mid",Q$2)</f>
        <v>7.2408000000000001</v>
      </c>
      <c r="R28">
        <f ca="1">_xll.ciqfunctions.udf.CIQ($B28,"IQ_CDS_mid",R$2)</f>
        <v>7.8810000000000002</v>
      </c>
      <c r="S28">
        <f ca="1">_xll.ciqfunctions.udf.CIQ($B28,"IQ_CDS_mid",S$2)</f>
        <v>8</v>
      </c>
      <c r="T28">
        <f t="shared" ca="1" si="5"/>
        <v>4.0999999999993264E-3</v>
      </c>
      <c r="U28">
        <f t="shared" ca="1" si="6"/>
        <v>-6.0000000000037801E-4</v>
      </c>
      <c r="V28">
        <f t="shared" ca="1" si="7"/>
        <v>6.2999999999995282E-3</v>
      </c>
      <c r="W28">
        <f t="shared" ca="1" si="8"/>
        <v>-0.63390000000000057</v>
      </c>
      <c r="X28">
        <f t="shared" ca="1" si="0"/>
        <v>-0.75290000000000035</v>
      </c>
    </row>
    <row r="29" spans="1:24">
      <c r="A29" t="s">
        <v>176</v>
      </c>
      <c r="B29" s="25" t="s">
        <v>175</v>
      </c>
      <c r="C29">
        <f ca="1">_xll.ciqfunctions.udf.CIQ($B29,"IQ_CDS_mid",C$2)</f>
        <v>777.16240000000005</v>
      </c>
      <c r="D29">
        <f ca="1">_xll.ciqfunctions.udf.CIQ($B29,"IQ_CDS_mid",D$2)</f>
        <v>777.16240000000005</v>
      </c>
      <c r="E29">
        <f ca="1">_xll.ciqfunctions.udf.CIQ($B29,"IQ_CDS_mid",E$2)</f>
        <v>777.16240000000005</v>
      </c>
      <c r="F29">
        <f ca="1">_xll.ciqfunctions.udf.CIQ($B29,"IQ_CDS_mid",F$2)</f>
        <v>777.16240000000005</v>
      </c>
      <c r="G29">
        <f ca="1">_xll.ciqfunctions.udf.CIQ($B29,"IQ_CDS_mid",G$2)</f>
        <v>770.78970000000004</v>
      </c>
      <c r="H29">
        <f ca="1">_xll.ciqfunctions.udf.CIQ($B29,"IQ_CDS_mid",H$2)</f>
        <v>762.09230000000002</v>
      </c>
      <c r="I29">
        <f ca="1">_xll.ciqfunctions.udf.CIQ($B29,"IQ_CDS_mid",I$2)</f>
        <v>761.52940000000001</v>
      </c>
      <c r="J29">
        <f ca="1">_xll.ciqfunctions.udf.CIQ($B29,"IQ_CDS_mid",J$2)</f>
        <v>761.14300000000003</v>
      </c>
      <c r="K29">
        <f ca="1">_xll.ciqfunctions.udf.CIQ($B29,"IQ_CDS_mid",K$2)</f>
        <v>760.81479999999999</v>
      </c>
      <c r="L29">
        <f ca="1">_xll.ciqfunctions.udf.CIQ($B29,"IQ_CDS_mid",L$2)</f>
        <v>760.81479999999999</v>
      </c>
      <c r="M29">
        <f ca="1">_xll.ciqfunctions.udf.CIQ($B29,"IQ_CDS_mid",M$2)</f>
        <v>760.81479999999999</v>
      </c>
      <c r="N29">
        <f ca="1">_xll.ciqfunctions.udf.CIQ($B29,"IQ_CDS_mid",N$2)</f>
        <v>760.57230000000004</v>
      </c>
      <c r="O29">
        <f ca="1">_xll.ciqfunctions.udf.CIQ($B29,"IQ_CDS_mid",O$2)</f>
        <v>761.11260000000004</v>
      </c>
      <c r="P29">
        <f ca="1">_xll.ciqfunctions.udf.CIQ($B29,"IQ_CDS_mid",P$2)</f>
        <v>761.66399999999999</v>
      </c>
      <c r="Q29">
        <f ca="1">_xll.ciqfunctions.udf.CIQ($B29,"IQ_CDS_mid",Q$2)</f>
        <v>760.44730000000004</v>
      </c>
      <c r="R29">
        <f ca="1">_xll.ciqfunctions.udf.CIQ($B29,"IQ_CDS_mid",R$2)</f>
        <v>772.86469999999997</v>
      </c>
      <c r="S29">
        <f ca="1">_xll.ciqfunctions.udf.CIQ($B29,"IQ_CDS_mid",S$2)</f>
        <v>14787.329299999999</v>
      </c>
      <c r="T29">
        <f t="shared" ca="1" si="5"/>
        <v>15.070100000000025</v>
      </c>
      <c r="U29">
        <f t="shared" ca="1" si="6"/>
        <v>16.347600000000057</v>
      </c>
      <c r="V29">
        <f t="shared" ca="1" si="7"/>
        <v>16.715100000000007</v>
      </c>
      <c r="W29">
        <f t="shared" ca="1" si="8"/>
        <v>4.2977000000000771</v>
      </c>
      <c r="X29">
        <f t="shared" ca="1" si="0"/>
        <v>-14010.1669</v>
      </c>
    </row>
    <row r="30" spans="1:24">
      <c r="A30" s="16" t="s">
        <v>174</v>
      </c>
      <c r="X30">
        <f t="shared" si="0"/>
        <v>0</v>
      </c>
    </row>
    <row r="31" spans="1:24">
      <c r="A31" t="s">
        <v>173</v>
      </c>
      <c r="B31" s="25" t="s">
        <v>172</v>
      </c>
      <c r="C31">
        <f ca="1">_xll.ciqfunctions.udf.CIQ($B31,"IQ_CDS_mid",C$2)</f>
        <v>14.6816</v>
      </c>
      <c r="D31">
        <f ca="1">_xll.ciqfunctions.udf.CIQ($B31,"IQ_CDS_mid",D$2)</f>
        <v>14.6816</v>
      </c>
      <c r="E31">
        <f ca="1">_xll.ciqfunctions.udf.CIQ($B31,"IQ_CDS_mid",E$2)</f>
        <v>14.6816</v>
      </c>
      <c r="F31">
        <f ca="1">_xll.ciqfunctions.udf.CIQ($B31,"IQ_CDS_mid",F$2)</f>
        <v>14.6816</v>
      </c>
      <c r="G31">
        <f ca="1">_xll.ciqfunctions.udf.CIQ($B31,"IQ_CDS_mid",G$2)</f>
        <v>14.324</v>
      </c>
      <c r="H31">
        <f ca="1">_xll.ciqfunctions.udf.CIQ($B31,"IQ_CDS_mid",H$2)</f>
        <v>14.1607</v>
      </c>
      <c r="I31">
        <f ca="1">_xll.ciqfunctions.udf.CIQ($B31,"IQ_CDS_mid",I$2)</f>
        <v>14.0679</v>
      </c>
      <c r="J31">
        <f ca="1">_xll.ciqfunctions.udf.CIQ($B31,"IQ_CDS_mid",J$2)</f>
        <v>14.0632</v>
      </c>
      <c r="K31">
        <f ca="1">_xll.ciqfunctions.udf.CIQ($B31,"IQ_CDS_mid",K$2)</f>
        <v>14.0458</v>
      </c>
      <c r="L31">
        <f ca="1">_xll.ciqfunctions.udf.CIQ($B31,"IQ_CDS_mid",L$2)</f>
        <v>14.0458</v>
      </c>
      <c r="M31">
        <f ca="1">_xll.ciqfunctions.udf.CIQ($B31,"IQ_CDS_mid",M$2)</f>
        <v>14.0458</v>
      </c>
      <c r="N31">
        <f ca="1">_xll.ciqfunctions.udf.CIQ($B31,"IQ_CDS_mid",N$2)</f>
        <v>14</v>
      </c>
      <c r="O31">
        <f ca="1">_xll.ciqfunctions.udf.CIQ($B31,"IQ_CDS_mid",O$2)</f>
        <v>14.125</v>
      </c>
      <c r="P31">
        <f ca="1">_xll.ciqfunctions.udf.CIQ($B31,"IQ_CDS_mid",P$2)</f>
        <v>14</v>
      </c>
      <c r="Q31">
        <f ca="1">_xll.ciqfunctions.udf.CIQ($B31,"IQ_CDS_mid",Q$2)</f>
        <v>13.9072</v>
      </c>
      <c r="R31">
        <f ca="1">_xll.ciqfunctions.udf.CIQ($B31,"IQ_CDS_mid",R$2)</f>
        <v>14.255000000000001</v>
      </c>
      <c r="S31">
        <f ca="1">_xll.ciqfunctions.udf.CIQ($B31,"IQ_CDS_mid",S$2)</f>
        <v>10.682700000000001</v>
      </c>
      <c r="T31">
        <f t="shared" ref="T31:T40" ca="1" si="9">C31-H31</f>
        <v>0.52089999999999925</v>
      </c>
      <c r="U31">
        <f t="shared" ref="U31:U40" ca="1" si="10">C31-M31</f>
        <v>0.6357999999999997</v>
      </c>
      <c r="V31">
        <f t="shared" ref="V31:V40" ca="1" si="11">C31-Q31</f>
        <v>0.77439999999999998</v>
      </c>
      <c r="W31">
        <f t="shared" ref="W31:W40" ca="1" si="12">C31-R31</f>
        <v>0.42659999999999876</v>
      </c>
      <c r="X31">
        <f t="shared" ca="1" si="0"/>
        <v>3.998899999999999</v>
      </c>
    </row>
    <row r="32" spans="1:24">
      <c r="A32" t="s">
        <v>171</v>
      </c>
      <c r="B32" s="25" t="s">
        <v>170</v>
      </c>
      <c r="C32">
        <f ca="1">_xll.ciqfunctions.udf.CIQ($B32,"IQ_CDS_mid",C$2)</f>
        <v>38.546199999999999</v>
      </c>
      <c r="D32">
        <f ca="1">_xll.ciqfunctions.udf.CIQ($B32,"IQ_CDS_mid",D$2)</f>
        <v>38.546199999999999</v>
      </c>
      <c r="E32">
        <f ca="1">_xll.ciqfunctions.udf.CIQ($B32,"IQ_CDS_mid",E$2)</f>
        <v>38.546199999999999</v>
      </c>
      <c r="F32">
        <f ca="1">_xll.ciqfunctions.udf.CIQ($B32,"IQ_CDS_mid",F$2)</f>
        <v>38.546199999999999</v>
      </c>
      <c r="G32">
        <f ca="1">_xll.ciqfunctions.udf.CIQ($B32,"IQ_CDS_mid",G$2)</f>
        <v>38.126899999999999</v>
      </c>
      <c r="H32">
        <f ca="1">_xll.ciqfunctions.udf.CIQ($B32,"IQ_CDS_mid",H$2)</f>
        <v>37.741500000000002</v>
      </c>
      <c r="I32">
        <f ca="1">_xll.ciqfunctions.udf.CIQ($B32,"IQ_CDS_mid",I$2)</f>
        <v>37.339300000000001</v>
      </c>
      <c r="J32">
        <f ca="1">_xll.ciqfunctions.udf.CIQ($B32,"IQ_CDS_mid",J$2)</f>
        <v>37.503599999999999</v>
      </c>
      <c r="K32">
        <f ca="1">_xll.ciqfunctions.udf.CIQ($B32,"IQ_CDS_mid",K$2)</f>
        <v>37.691499999999998</v>
      </c>
      <c r="L32">
        <f ca="1">_xll.ciqfunctions.udf.CIQ($B32,"IQ_CDS_mid",L$2)</f>
        <v>37.691499999999998</v>
      </c>
      <c r="M32">
        <f ca="1">_xll.ciqfunctions.udf.CIQ($B32,"IQ_CDS_mid",M$2)</f>
        <v>37.691499999999998</v>
      </c>
      <c r="N32">
        <f ca="1">_xll.ciqfunctions.udf.CIQ($B32,"IQ_CDS_mid",N$2)</f>
        <v>37.072899999999997</v>
      </c>
      <c r="O32">
        <f ca="1">_xll.ciqfunctions.udf.CIQ($B32,"IQ_CDS_mid",O$2)</f>
        <v>37.038600000000002</v>
      </c>
      <c r="P32">
        <f ca="1">_xll.ciqfunctions.udf.CIQ($B32,"IQ_CDS_mid",P$2)</f>
        <v>36.975900000000003</v>
      </c>
      <c r="Q32">
        <f ca="1">_xll.ciqfunctions.udf.CIQ($B32,"IQ_CDS_mid",Q$2)</f>
        <v>37.398899999999998</v>
      </c>
      <c r="R32">
        <f ca="1">_xll.ciqfunctions.udf.CIQ($B32,"IQ_CDS_mid",R$2)</f>
        <v>44.091700000000003</v>
      </c>
      <c r="S32">
        <f ca="1">_xll.ciqfunctions.udf.CIQ($B32,"IQ_CDS_mid",S$2)</f>
        <v>40.879800000000003</v>
      </c>
      <c r="T32">
        <f t="shared" ca="1" si="9"/>
        <v>0.80469999999999686</v>
      </c>
      <c r="U32">
        <f t="shared" ca="1" si="10"/>
        <v>0.85470000000000113</v>
      </c>
      <c r="V32">
        <f t="shared" ca="1" si="11"/>
        <v>1.1473000000000013</v>
      </c>
      <c r="W32">
        <f t="shared" ca="1" si="12"/>
        <v>-5.5455000000000041</v>
      </c>
      <c r="X32">
        <f t="shared" ca="1" si="0"/>
        <v>-2.3336000000000041</v>
      </c>
    </row>
    <row r="33" spans="1:24">
      <c r="A33" t="s">
        <v>169</v>
      </c>
      <c r="B33" s="25" t="s">
        <v>168</v>
      </c>
      <c r="C33">
        <f ca="1">_xll.ciqfunctions.udf.CIQ($B33,"IQ_CDS_mid",C$2)</f>
        <v>24.8871</v>
      </c>
      <c r="D33">
        <f ca="1">_xll.ciqfunctions.udf.CIQ($B33,"IQ_CDS_mid",D$2)</f>
        <v>24.8871</v>
      </c>
      <c r="E33">
        <f ca="1">_xll.ciqfunctions.udf.CIQ($B33,"IQ_CDS_mid",E$2)</f>
        <v>24.8871</v>
      </c>
      <c r="F33">
        <f ca="1">_xll.ciqfunctions.udf.CIQ($B33,"IQ_CDS_mid",F$2)</f>
        <v>24.8871</v>
      </c>
      <c r="G33">
        <f ca="1">_xll.ciqfunctions.udf.CIQ($B33,"IQ_CDS_mid",G$2)</f>
        <v>24.906300000000002</v>
      </c>
      <c r="H33">
        <f ca="1">_xll.ciqfunctions.udf.CIQ($B33,"IQ_CDS_mid",H$2)</f>
        <v>24.909500000000001</v>
      </c>
      <c r="I33">
        <f ca="1">_xll.ciqfunctions.udf.CIQ($B33,"IQ_CDS_mid",I$2)</f>
        <v>24.9252</v>
      </c>
      <c r="J33">
        <f ca="1">_xll.ciqfunctions.udf.CIQ($B33,"IQ_CDS_mid",J$2)</f>
        <v>24.926200000000001</v>
      </c>
      <c r="K33">
        <f ca="1">_xll.ciqfunctions.udf.CIQ($B33,"IQ_CDS_mid",K$2)</f>
        <v>24.942799999999998</v>
      </c>
      <c r="L33">
        <f ca="1">_xll.ciqfunctions.udf.CIQ($B33,"IQ_CDS_mid",L$2)</f>
        <v>24.942799999999998</v>
      </c>
      <c r="M33">
        <f ca="1">_xll.ciqfunctions.udf.CIQ($B33,"IQ_CDS_mid",M$2)</f>
        <v>24.942799999999998</v>
      </c>
      <c r="N33">
        <f ca="1">_xll.ciqfunctions.udf.CIQ($B33,"IQ_CDS_mid",N$2)</f>
        <v>24.990600000000001</v>
      </c>
      <c r="O33">
        <f ca="1">_xll.ciqfunctions.udf.CIQ($B33,"IQ_CDS_mid",O$2)</f>
        <v>24.954799999999999</v>
      </c>
      <c r="P33">
        <f ca="1">_xll.ciqfunctions.udf.CIQ($B33,"IQ_CDS_mid",P$2)</f>
        <v>24.877199999999998</v>
      </c>
      <c r="Q33">
        <f ca="1">_xll.ciqfunctions.udf.CIQ($B33,"IQ_CDS_mid",Q$2)</f>
        <v>24.878</v>
      </c>
      <c r="R33">
        <f ca="1">_xll.ciqfunctions.udf.CIQ($B33,"IQ_CDS_mid",R$2)</f>
        <v>26.008400000000002</v>
      </c>
      <c r="S33">
        <f ca="1">_xll.ciqfunctions.udf.CIQ($B33,"IQ_CDS_mid",S$2)</f>
        <v>33.567799999999998</v>
      </c>
      <c r="T33">
        <f t="shared" ca="1" si="9"/>
        <v>-2.2400000000001086E-2</v>
      </c>
      <c r="U33">
        <f t="shared" ca="1" si="10"/>
        <v>-5.5699999999998084E-2</v>
      </c>
      <c r="V33">
        <f t="shared" ca="1" si="11"/>
        <v>9.100000000000108E-3</v>
      </c>
      <c r="W33">
        <f t="shared" ca="1" si="12"/>
        <v>-1.1213000000000015</v>
      </c>
      <c r="X33">
        <f t="shared" ca="1" si="0"/>
        <v>-8.6806999999999981</v>
      </c>
    </row>
    <row r="34" spans="1:24">
      <c r="A34" t="s">
        <v>167</v>
      </c>
      <c r="B34" s="25" t="s">
        <v>166</v>
      </c>
      <c r="C34">
        <f ca="1">_xll.ciqfunctions.udf.CIQ($B34,"IQ_CDS_mid",C$2)</f>
        <v>0</v>
      </c>
      <c r="D34">
        <f ca="1">_xll.ciqfunctions.udf.CIQ($B34,"IQ_CDS_mid",D$2)</f>
        <v>0</v>
      </c>
      <c r="E34">
        <f ca="1">_xll.ciqfunctions.udf.CIQ($B34,"IQ_CDS_mid",E$2)</f>
        <v>0</v>
      </c>
      <c r="F34">
        <f ca="1">_xll.ciqfunctions.udf.CIQ($B34,"IQ_CDS_mid",F$2)</f>
        <v>0</v>
      </c>
      <c r="G34">
        <f ca="1">_xll.ciqfunctions.udf.CIQ($B34,"IQ_CDS_mid",G$2)</f>
        <v>0</v>
      </c>
      <c r="H34">
        <f ca="1">_xll.ciqfunctions.udf.CIQ($B34,"IQ_CDS_mid",H$2)</f>
        <v>0</v>
      </c>
      <c r="I34">
        <f ca="1">_xll.ciqfunctions.udf.CIQ($B34,"IQ_CDS_mid",I$2)</f>
        <v>0</v>
      </c>
      <c r="J34">
        <f ca="1">_xll.ciqfunctions.udf.CIQ($B34,"IQ_CDS_mid",J$2)</f>
        <v>0</v>
      </c>
      <c r="K34">
        <f ca="1">_xll.ciqfunctions.udf.CIQ($B34,"IQ_CDS_mid",K$2)</f>
        <v>0</v>
      </c>
      <c r="L34">
        <f ca="1">_xll.ciqfunctions.udf.CIQ($B34,"IQ_CDS_mid",L$2)</f>
        <v>0</v>
      </c>
      <c r="M34">
        <f ca="1">_xll.ciqfunctions.udf.CIQ($B34,"IQ_CDS_mid",M$2)</f>
        <v>0</v>
      </c>
      <c r="N34">
        <f ca="1">_xll.ciqfunctions.udf.CIQ($B34,"IQ_CDS_mid",N$2)</f>
        <v>0</v>
      </c>
      <c r="O34">
        <f ca="1">_xll.ciqfunctions.udf.CIQ($B34,"IQ_CDS_mid",O$2)</f>
        <v>0</v>
      </c>
      <c r="P34">
        <f ca="1">_xll.ciqfunctions.udf.CIQ($B34,"IQ_CDS_mid",P$2)</f>
        <v>0</v>
      </c>
      <c r="Q34">
        <f ca="1">_xll.ciqfunctions.udf.CIQ($B34,"IQ_CDS_mid",Q$2)</f>
        <v>0</v>
      </c>
      <c r="R34">
        <f ca="1">_xll.ciqfunctions.udf.CIQ($B34,"IQ_CDS_mid",R$2)</f>
        <v>0</v>
      </c>
      <c r="S34">
        <f ca="1">_xll.ciqfunctions.udf.CIQ($B34,"IQ_CDS_mid",S$2)</f>
        <v>46.486499999999999</v>
      </c>
      <c r="T34">
        <f t="shared" ca="1" si="9"/>
        <v>0</v>
      </c>
      <c r="U34">
        <f t="shared" ca="1" si="10"/>
        <v>0</v>
      </c>
      <c r="V34">
        <f t="shared" ca="1" si="11"/>
        <v>0</v>
      </c>
      <c r="W34">
        <f t="shared" ca="1" si="12"/>
        <v>0</v>
      </c>
      <c r="X34">
        <f t="shared" ca="1" si="0"/>
        <v>-46.486499999999999</v>
      </c>
    </row>
    <row r="35" spans="1:24">
      <c r="A35" t="s">
        <v>33</v>
      </c>
      <c r="B35" s="25" t="s">
        <v>165</v>
      </c>
      <c r="C35">
        <f ca="1">_xll.ciqfunctions.udf.CIQ($B35,"IQ_CDS_mid",C$2)</f>
        <v>27.112300000000001</v>
      </c>
      <c r="D35">
        <f ca="1">_xll.ciqfunctions.udf.CIQ($B35,"IQ_CDS_mid",D$2)</f>
        <v>27.112300000000001</v>
      </c>
      <c r="E35">
        <f ca="1">_xll.ciqfunctions.udf.CIQ($B35,"IQ_CDS_mid",E$2)</f>
        <v>27.112300000000001</v>
      </c>
      <c r="F35">
        <f ca="1">_xll.ciqfunctions.udf.CIQ($B35,"IQ_CDS_mid",F$2)</f>
        <v>27.112300000000001</v>
      </c>
      <c r="G35">
        <f ca="1">_xll.ciqfunctions.udf.CIQ($B35,"IQ_CDS_mid",G$2)</f>
        <v>26.913499999999999</v>
      </c>
      <c r="H35">
        <f ca="1">_xll.ciqfunctions.udf.CIQ($B35,"IQ_CDS_mid",H$2)</f>
        <v>26.919699999999999</v>
      </c>
      <c r="I35">
        <f ca="1">_xll.ciqfunctions.udf.CIQ($B35,"IQ_CDS_mid",I$2)</f>
        <v>26.713699999999999</v>
      </c>
      <c r="J35">
        <f ca="1">_xll.ciqfunctions.udf.CIQ($B35,"IQ_CDS_mid",J$2)</f>
        <v>26.838000000000001</v>
      </c>
      <c r="K35">
        <f ca="1">_xll.ciqfunctions.udf.CIQ($B35,"IQ_CDS_mid",K$2)</f>
        <v>26.687899999999999</v>
      </c>
      <c r="L35">
        <f ca="1">_xll.ciqfunctions.udf.CIQ($B35,"IQ_CDS_mid",L$2)</f>
        <v>26.687899999999999</v>
      </c>
      <c r="M35">
        <f ca="1">_xll.ciqfunctions.udf.CIQ($B35,"IQ_CDS_mid",M$2)</f>
        <v>26.687899999999999</v>
      </c>
      <c r="N35">
        <f ca="1">_xll.ciqfunctions.udf.CIQ($B35,"IQ_CDS_mid",N$2)</f>
        <v>26.485600000000002</v>
      </c>
      <c r="O35">
        <f ca="1">_xll.ciqfunctions.udf.CIQ($B35,"IQ_CDS_mid",O$2)</f>
        <v>26.411000000000001</v>
      </c>
      <c r="P35">
        <f ca="1">_xll.ciqfunctions.udf.CIQ($B35,"IQ_CDS_mid",P$2)</f>
        <v>26.5886</v>
      </c>
      <c r="Q35">
        <f ca="1">_xll.ciqfunctions.udf.CIQ($B35,"IQ_CDS_mid",Q$2)</f>
        <v>26.679099999999998</v>
      </c>
      <c r="R35">
        <f ca="1">_xll.ciqfunctions.udf.CIQ($B35,"IQ_CDS_mid",R$2)</f>
        <v>27.158300000000001</v>
      </c>
      <c r="S35">
        <f ca="1">_xll.ciqfunctions.udf.CIQ($B35,"IQ_CDS_mid",S$2)</f>
        <v>21.071000000000002</v>
      </c>
      <c r="T35">
        <f t="shared" ca="1" si="9"/>
        <v>0.19260000000000232</v>
      </c>
      <c r="U35">
        <f t="shared" ca="1" si="10"/>
        <v>0.42440000000000211</v>
      </c>
      <c r="V35">
        <f t="shared" ca="1" si="11"/>
        <v>0.43320000000000292</v>
      </c>
      <c r="W35">
        <f t="shared" ca="1" si="12"/>
        <v>-4.5999999999999375E-2</v>
      </c>
      <c r="X35">
        <f t="shared" ca="1" si="0"/>
        <v>6.0412999999999997</v>
      </c>
    </row>
    <row r="36" spans="1:24">
      <c r="A36" t="s">
        <v>164</v>
      </c>
      <c r="B36" s="25" t="s">
        <v>163</v>
      </c>
      <c r="C36">
        <f ca="1">_xll.ciqfunctions.udf.CIQ($B36,"IQ_CDS_mid",C$2)</f>
        <v>38.194499999999998</v>
      </c>
      <c r="D36">
        <f ca="1">_xll.ciqfunctions.udf.CIQ($B36,"IQ_CDS_mid",D$2)</f>
        <v>38.194499999999998</v>
      </c>
      <c r="E36">
        <f ca="1">_xll.ciqfunctions.udf.CIQ($B36,"IQ_CDS_mid",E$2)</f>
        <v>38.194499999999998</v>
      </c>
      <c r="F36">
        <f ca="1">_xll.ciqfunctions.udf.CIQ($B36,"IQ_CDS_mid",F$2)</f>
        <v>38.194499999999998</v>
      </c>
      <c r="G36">
        <f ca="1">_xll.ciqfunctions.udf.CIQ($B36,"IQ_CDS_mid",G$2)</f>
        <v>37.622199999999999</v>
      </c>
      <c r="H36">
        <f ca="1">_xll.ciqfunctions.udf.CIQ($B36,"IQ_CDS_mid",H$2)</f>
        <v>36.816899999999997</v>
      </c>
      <c r="I36">
        <f ca="1">_xll.ciqfunctions.udf.CIQ($B36,"IQ_CDS_mid",I$2)</f>
        <v>36.699100000000001</v>
      </c>
      <c r="J36">
        <f ca="1">_xll.ciqfunctions.udf.CIQ($B36,"IQ_CDS_mid",J$2)</f>
        <v>36.666899999999998</v>
      </c>
      <c r="K36">
        <f ca="1">_xll.ciqfunctions.udf.CIQ($B36,"IQ_CDS_mid",K$2)</f>
        <v>37.305100000000003</v>
      </c>
      <c r="L36">
        <f ca="1">_xll.ciqfunctions.udf.CIQ($B36,"IQ_CDS_mid",L$2)</f>
        <v>37.305100000000003</v>
      </c>
      <c r="M36">
        <f ca="1">_xll.ciqfunctions.udf.CIQ($B36,"IQ_CDS_mid",M$2)</f>
        <v>37.305100000000003</v>
      </c>
      <c r="N36">
        <f ca="1">_xll.ciqfunctions.udf.CIQ($B36,"IQ_CDS_mid",N$2)</f>
        <v>36.674999999999997</v>
      </c>
      <c r="O36">
        <f ca="1">_xll.ciqfunctions.udf.CIQ($B36,"IQ_CDS_mid",O$2)</f>
        <v>36.93</v>
      </c>
      <c r="P36">
        <f ca="1">_xll.ciqfunctions.udf.CIQ($B36,"IQ_CDS_mid",P$2)</f>
        <v>37.049999999999997</v>
      </c>
      <c r="Q36">
        <f ca="1">_xll.ciqfunctions.udf.CIQ($B36,"IQ_CDS_mid",Q$2)</f>
        <v>36.887300000000003</v>
      </c>
      <c r="R36">
        <f ca="1">_xll.ciqfunctions.udf.CIQ($B36,"IQ_CDS_mid",R$2)</f>
        <v>38.256599999999999</v>
      </c>
      <c r="S36">
        <f ca="1">_xll.ciqfunctions.udf.CIQ($B36,"IQ_CDS_mid",S$2)</f>
        <v>40.4</v>
      </c>
      <c r="T36">
        <f t="shared" ca="1" si="9"/>
        <v>1.377600000000001</v>
      </c>
      <c r="U36">
        <f t="shared" ca="1" si="10"/>
        <v>0.88939999999999486</v>
      </c>
      <c r="V36">
        <f t="shared" ca="1" si="11"/>
        <v>1.3071999999999946</v>
      </c>
      <c r="W36">
        <f t="shared" ca="1" si="12"/>
        <v>-6.2100000000000932E-2</v>
      </c>
      <c r="X36">
        <f t="shared" ca="1" si="0"/>
        <v>-2.2055000000000007</v>
      </c>
    </row>
    <row r="37" spans="1:24">
      <c r="A37" t="s">
        <v>162</v>
      </c>
      <c r="B37" s="25" t="s">
        <v>161</v>
      </c>
      <c r="C37">
        <f ca="1">_xll.ciqfunctions.udf.CIQ($B37,"IQ_CDS_mid",C$2)</f>
        <v>15.412000000000001</v>
      </c>
      <c r="D37">
        <f ca="1">_xll.ciqfunctions.udf.CIQ($B37,"IQ_CDS_mid",D$2)</f>
        <v>15.412000000000001</v>
      </c>
      <c r="E37">
        <f ca="1">_xll.ciqfunctions.udf.CIQ($B37,"IQ_CDS_mid",E$2)</f>
        <v>15.412000000000001</v>
      </c>
      <c r="F37">
        <f ca="1">_xll.ciqfunctions.udf.CIQ($B37,"IQ_CDS_mid",F$2)</f>
        <v>15.412000000000001</v>
      </c>
      <c r="G37">
        <f ca="1">_xll.ciqfunctions.udf.CIQ($B37,"IQ_CDS_mid",G$2)</f>
        <v>15.080500000000001</v>
      </c>
      <c r="H37">
        <f ca="1">_xll.ciqfunctions.udf.CIQ($B37,"IQ_CDS_mid",H$2)</f>
        <v>15.034000000000001</v>
      </c>
      <c r="I37">
        <f ca="1">_xll.ciqfunctions.udf.CIQ($B37,"IQ_CDS_mid",I$2)</f>
        <v>15.031499999999999</v>
      </c>
      <c r="J37">
        <f ca="1">_xll.ciqfunctions.udf.CIQ($B37,"IQ_CDS_mid",J$2)</f>
        <v>15.023</v>
      </c>
      <c r="K37">
        <f ca="1">_xll.ciqfunctions.udf.CIQ($B37,"IQ_CDS_mid",K$2)</f>
        <v>15</v>
      </c>
      <c r="L37">
        <f ca="1">_xll.ciqfunctions.udf.CIQ($B37,"IQ_CDS_mid",L$2)</f>
        <v>15</v>
      </c>
      <c r="M37">
        <f ca="1">_xll.ciqfunctions.udf.CIQ($B37,"IQ_CDS_mid",M$2)</f>
        <v>15</v>
      </c>
      <c r="N37">
        <f ca="1">_xll.ciqfunctions.udf.CIQ($B37,"IQ_CDS_mid",N$2)</f>
        <v>15.0625</v>
      </c>
      <c r="O37">
        <f ca="1">_xll.ciqfunctions.udf.CIQ($B37,"IQ_CDS_mid",O$2)</f>
        <v>15</v>
      </c>
      <c r="P37">
        <f ca="1">_xll.ciqfunctions.udf.CIQ($B37,"IQ_CDS_mid",P$2)</f>
        <v>14.9535</v>
      </c>
      <c r="Q37">
        <f ca="1">_xll.ciqfunctions.udf.CIQ($B37,"IQ_CDS_mid",Q$2)</f>
        <v>14.973000000000001</v>
      </c>
      <c r="R37">
        <f ca="1">_xll.ciqfunctions.udf.CIQ($B37,"IQ_CDS_mid",R$2)</f>
        <v>16.182500000000001</v>
      </c>
      <c r="S37">
        <f ca="1">_xll.ciqfunctions.udf.CIQ($B37,"IQ_CDS_mid",S$2)</f>
        <v>13.8355</v>
      </c>
      <c r="T37">
        <f t="shared" ca="1" si="9"/>
        <v>0.37800000000000011</v>
      </c>
      <c r="U37">
        <f t="shared" ca="1" si="10"/>
        <v>0.41200000000000081</v>
      </c>
      <c r="V37">
        <f t="shared" ca="1" si="11"/>
        <v>0.43900000000000006</v>
      </c>
      <c r="W37">
        <f t="shared" ca="1" si="12"/>
        <v>-0.77050000000000018</v>
      </c>
      <c r="X37">
        <f t="shared" ca="1" si="0"/>
        <v>1.5765000000000011</v>
      </c>
    </row>
    <row r="38" spans="1:24">
      <c r="A38" t="s">
        <v>160</v>
      </c>
      <c r="B38" s="25" t="s">
        <v>159</v>
      </c>
      <c r="C38">
        <f ca="1">_xll.ciqfunctions.udf.CIQ($B38,"IQ_CDS_mid",C$2)</f>
        <v>0</v>
      </c>
      <c r="D38">
        <f ca="1">_xll.ciqfunctions.udf.CIQ($B38,"IQ_CDS_mid",D$2)</f>
        <v>0</v>
      </c>
      <c r="E38">
        <f ca="1">_xll.ciqfunctions.udf.CIQ($B38,"IQ_CDS_mid",E$2)</f>
        <v>0</v>
      </c>
      <c r="F38">
        <f ca="1">_xll.ciqfunctions.udf.CIQ($B38,"IQ_CDS_mid",F$2)</f>
        <v>0</v>
      </c>
      <c r="G38">
        <f ca="1">_xll.ciqfunctions.udf.CIQ($B38,"IQ_CDS_mid",G$2)</f>
        <v>0</v>
      </c>
      <c r="H38">
        <f ca="1">_xll.ciqfunctions.udf.CIQ($B38,"IQ_CDS_mid",H$2)</f>
        <v>0</v>
      </c>
      <c r="I38">
        <f ca="1">_xll.ciqfunctions.udf.CIQ($B38,"IQ_CDS_mid",I$2)</f>
        <v>0</v>
      </c>
      <c r="J38">
        <f ca="1">_xll.ciqfunctions.udf.CIQ($B38,"IQ_CDS_mid",J$2)</f>
        <v>0</v>
      </c>
      <c r="K38">
        <f ca="1">_xll.ciqfunctions.udf.CIQ($B38,"IQ_CDS_mid",K$2)</f>
        <v>0</v>
      </c>
      <c r="L38">
        <f ca="1">_xll.ciqfunctions.udf.CIQ($B38,"IQ_CDS_mid",L$2)</f>
        <v>0</v>
      </c>
      <c r="M38">
        <f ca="1">_xll.ciqfunctions.udf.CIQ($B38,"IQ_CDS_mid",M$2)</f>
        <v>0</v>
      </c>
      <c r="N38">
        <f ca="1">_xll.ciqfunctions.udf.CIQ($B38,"IQ_CDS_mid",N$2)</f>
        <v>0</v>
      </c>
      <c r="O38">
        <f ca="1">_xll.ciqfunctions.udf.CIQ($B38,"IQ_CDS_mid",O$2)</f>
        <v>0</v>
      </c>
      <c r="P38">
        <f ca="1">_xll.ciqfunctions.udf.CIQ($B38,"IQ_CDS_mid",P$2)</f>
        <v>0</v>
      </c>
      <c r="Q38">
        <f ca="1">_xll.ciqfunctions.udf.CIQ($B38,"IQ_CDS_mid",Q$2)</f>
        <v>0</v>
      </c>
      <c r="R38">
        <f ca="1">_xll.ciqfunctions.udf.CIQ($B38,"IQ_CDS_mid",R$2)</f>
        <v>0</v>
      </c>
      <c r="S38">
        <f ca="1">_xll.ciqfunctions.udf.CIQ($B38,"IQ_CDS_mid",S$2)</f>
        <v>0</v>
      </c>
      <c r="T38">
        <f t="shared" ca="1" si="9"/>
        <v>0</v>
      </c>
      <c r="U38">
        <f t="shared" ca="1" si="10"/>
        <v>0</v>
      </c>
      <c r="V38">
        <f t="shared" ca="1" si="11"/>
        <v>0</v>
      </c>
      <c r="W38">
        <f t="shared" ca="1" si="12"/>
        <v>0</v>
      </c>
      <c r="X38">
        <f t="shared" ca="1" si="0"/>
        <v>0</v>
      </c>
    </row>
    <row r="39" spans="1:24">
      <c r="A39" t="s">
        <v>158</v>
      </c>
      <c r="B39" s="25" t="s">
        <v>157</v>
      </c>
      <c r="C39">
        <f ca="1">_xll.ciqfunctions.udf.CIQ($B39,"IQ_CDS_mid",C$2)</f>
        <v>2.1520999999999999</v>
      </c>
      <c r="D39">
        <f ca="1">_xll.ciqfunctions.udf.CIQ($B39,"IQ_CDS_mid",D$2)</f>
        <v>2.1520999999999999</v>
      </c>
      <c r="E39">
        <f ca="1">_xll.ciqfunctions.udf.CIQ($B39,"IQ_CDS_mid",E$2)</f>
        <v>2.1520999999999999</v>
      </c>
      <c r="F39">
        <f ca="1">_xll.ciqfunctions.udf.CIQ($B39,"IQ_CDS_mid",F$2)</f>
        <v>2.1520999999999999</v>
      </c>
      <c r="G39">
        <f ca="1">_xll.ciqfunctions.udf.CIQ($B39,"IQ_CDS_mid",G$2)</f>
        <v>2.3334000000000001</v>
      </c>
      <c r="H39">
        <f ca="1">_xll.ciqfunctions.udf.CIQ($B39,"IQ_CDS_mid",H$2)</f>
        <v>2.3334000000000001</v>
      </c>
      <c r="I39">
        <f ca="1">_xll.ciqfunctions.udf.CIQ($B39,"IQ_CDS_mid",I$2)</f>
        <v>2.3334000000000001</v>
      </c>
      <c r="J39">
        <f ca="1">_xll.ciqfunctions.udf.CIQ($B39,"IQ_CDS_mid",J$2)</f>
        <v>2.3334000000000001</v>
      </c>
      <c r="K39">
        <f ca="1">_xll.ciqfunctions.udf.CIQ($B39,"IQ_CDS_mid",K$2)</f>
        <v>2.3334000000000001</v>
      </c>
      <c r="L39">
        <f ca="1">_xll.ciqfunctions.udf.CIQ($B39,"IQ_CDS_mid",L$2)</f>
        <v>2.3334000000000001</v>
      </c>
      <c r="M39">
        <f ca="1">_xll.ciqfunctions.udf.CIQ($B39,"IQ_CDS_mid",M$2)</f>
        <v>2.3334000000000001</v>
      </c>
      <c r="N39">
        <f ca="1">_xll.ciqfunctions.udf.CIQ($B39,"IQ_CDS_mid",N$2)</f>
        <v>2.3334000000000001</v>
      </c>
      <c r="O39">
        <f ca="1">_xll.ciqfunctions.udf.CIQ($B39,"IQ_CDS_mid",O$2)</f>
        <v>2.3334000000000001</v>
      </c>
      <c r="P39">
        <f ca="1">_xll.ciqfunctions.udf.CIQ($B39,"IQ_CDS_mid",P$2)</f>
        <v>2.3334000000000001</v>
      </c>
      <c r="Q39">
        <f ca="1">_xll.ciqfunctions.udf.CIQ($B39,"IQ_CDS_mid",Q$2)</f>
        <v>2.3334000000000001</v>
      </c>
      <c r="R39">
        <f ca="1">_xll.ciqfunctions.udf.CIQ($B39,"IQ_CDS_mid",R$2)</f>
        <v>2.3334000000000001</v>
      </c>
      <c r="S39">
        <f ca="1">_xll.ciqfunctions.udf.CIQ($B39,"IQ_CDS_mid",S$2)</f>
        <v>3.2726000000000002</v>
      </c>
      <c r="T39">
        <f t="shared" ca="1" si="9"/>
        <v>-0.18130000000000024</v>
      </c>
      <c r="U39">
        <f t="shared" ca="1" si="10"/>
        <v>-0.18130000000000024</v>
      </c>
      <c r="V39">
        <f t="shared" ca="1" si="11"/>
        <v>-0.18130000000000024</v>
      </c>
      <c r="W39">
        <f t="shared" ca="1" si="12"/>
        <v>-0.18130000000000024</v>
      </c>
      <c r="X39">
        <f t="shared" ca="1" si="0"/>
        <v>-1.1205000000000003</v>
      </c>
    </row>
    <row r="40" spans="1:24">
      <c r="A40" t="s">
        <v>156</v>
      </c>
      <c r="B40" s="25" t="s">
        <v>155</v>
      </c>
      <c r="C40">
        <f ca="1">_xll.ciqfunctions.udf.CIQ($B40,"IQ_CDS_mid",C$2)</f>
        <v>23.325099999999999</v>
      </c>
      <c r="D40">
        <f ca="1">_xll.ciqfunctions.udf.CIQ($B40,"IQ_CDS_mid",D$2)</f>
        <v>23.325099999999999</v>
      </c>
      <c r="E40">
        <f ca="1">_xll.ciqfunctions.udf.CIQ($B40,"IQ_CDS_mid",E$2)</f>
        <v>23.325099999999999</v>
      </c>
      <c r="F40">
        <f ca="1">_xll.ciqfunctions.udf.CIQ($B40,"IQ_CDS_mid",F$2)</f>
        <v>23.325099999999999</v>
      </c>
      <c r="G40">
        <f ca="1">_xll.ciqfunctions.udf.CIQ($B40,"IQ_CDS_mid",G$2)</f>
        <v>22.835000000000001</v>
      </c>
      <c r="H40">
        <f ca="1">_xll.ciqfunctions.udf.CIQ($B40,"IQ_CDS_mid",H$2)</f>
        <v>22.688800000000001</v>
      </c>
      <c r="I40">
        <f ca="1">_xll.ciqfunctions.udf.CIQ($B40,"IQ_CDS_mid",I$2)</f>
        <v>22.708300000000001</v>
      </c>
      <c r="J40">
        <f ca="1">_xll.ciqfunctions.udf.CIQ($B40,"IQ_CDS_mid",J$2)</f>
        <v>22.718800000000002</v>
      </c>
      <c r="K40">
        <f ca="1">_xll.ciqfunctions.udf.CIQ($B40,"IQ_CDS_mid",K$2)</f>
        <v>22.824999999999999</v>
      </c>
      <c r="L40">
        <f ca="1">_xll.ciqfunctions.udf.CIQ($B40,"IQ_CDS_mid",L$2)</f>
        <v>22.824999999999999</v>
      </c>
      <c r="M40">
        <f ca="1">_xll.ciqfunctions.udf.CIQ($B40,"IQ_CDS_mid",M$2)</f>
        <v>22.824999999999999</v>
      </c>
      <c r="N40">
        <f ca="1">_xll.ciqfunctions.udf.CIQ($B40,"IQ_CDS_mid",N$2)</f>
        <v>22.418299999999999</v>
      </c>
      <c r="O40">
        <f ca="1">_xll.ciqfunctions.udf.CIQ($B40,"IQ_CDS_mid",O$2)</f>
        <v>22.656300000000002</v>
      </c>
      <c r="P40">
        <f ca="1">_xll.ciqfunctions.udf.CIQ($B40,"IQ_CDS_mid",P$2)</f>
        <v>22.5258</v>
      </c>
      <c r="Q40">
        <f ca="1">_xll.ciqfunctions.udf.CIQ($B40,"IQ_CDS_mid",Q$2)</f>
        <v>22.773399999999999</v>
      </c>
      <c r="R40">
        <f ca="1">_xll.ciqfunctions.udf.CIQ($B40,"IQ_CDS_mid",R$2)</f>
        <v>28.837499999999999</v>
      </c>
      <c r="S40">
        <f ca="1">_xll.ciqfunctions.udf.CIQ($B40,"IQ_CDS_mid",S$2)</f>
        <v>22.574300000000001</v>
      </c>
      <c r="T40">
        <f t="shared" ca="1" si="9"/>
        <v>0.63629999999999853</v>
      </c>
      <c r="U40">
        <f t="shared" ca="1" si="10"/>
        <v>0.50009999999999977</v>
      </c>
      <c r="V40">
        <f t="shared" ca="1" si="11"/>
        <v>0.5517000000000003</v>
      </c>
      <c r="W40">
        <f t="shared" ca="1" si="12"/>
        <v>-5.5123999999999995</v>
      </c>
      <c r="X40">
        <f t="shared" ca="1" si="0"/>
        <v>0.75079999999999814</v>
      </c>
    </row>
    <row r="41" spans="1:24">
      <c r="A41" t="s">
        <v>154</v>
      </c>
      <c r="B41" s="25"/>
    </row>
    <row r="42" spans="1:24">
      <c r="A42" t="s">
        <v>153</v>
      </c>
      <c r="B42" s="25" t="s">
        <v>152</v>
      </c>
      <c r="C42">
        <f ca="1">_xll.ciqfunctions.udf.CIQ($B42,"IQ_CDS_mid",C$2)</f>
        <v>44.390300000000003</v>
      </c>
      <c r="D42">
        <f ca="1">_xll.ciqfunctions.udf.CIQ($B42,"IQ_CDS_mid",D$2)</f>
        <v>44.390300000000003</v>
      </c>
      <c r="E42">
        <f ca="1">_xll.ciqfunctions.udf.CIQ($B42,"IQ_CDS_mid",E$2)</f>
        <v>44.390300000000003</v>
      </c>
      <c r="F42">
        <f ca="1">_xll.ciqfunctions.udf.CIQ($B42,"IQ_CDS_mid",F$2)</f>
        <v>44.390300000000003</v>
      </c>
      <c r="G42">
        <f ca="1">_xll.ciqfunctions.udf.CIQ($B42,"IQ_CDS_mid",G$2)</f>
        <v>43.317999999999998</v>
      </c>
      <c r="H42">
        <f ca="1">_xll.ciqfunctions.udf.CIQ($B42,"IQ_CDS_mid",H$2)</f>
        <v>43.084099999999999</v>
      </c>
      <c r="I42">
        <f ca="1">_xll.ciqfunctions.udf.CIQ($B42,"IQ_CDS_mid",I$2)</f>
        <v>42.632599999999996</v>
      </c>
      <c r="J42">
        <f ca="1">_xll.ciqfunctions.udf.CIQ($B42,"IQ_CDS_mid",J$2)</f>
        <v>43.027500000000003</v>
      </c>
      <c r="K42">
        <f ca="1">_xll.ciqfunctions.udf.CIQ($B42,"IQ_CDS_mid",K$2)</f>
        <v>42.500500000000002</v>
      </c>
      <c r="L42">
        <f ca="1">_xll.ciqfunctions.udf.CIQ($B42,"IQ_CDS_mid",L$2)</f>
        <v>42.500500000000002</v>
      </c>
      <c r="M42">
        <f ca="1">_xll.ciqfunctions.udf.CIQ($B42,"IQ_CDS_mid",M$2)</f>
        <v>42.500500000000002</v>
      </c>
      <c r="N42">
        <f ca="1">_xll.ciqfunctions.udf.CIQ($B42,"IQ_CDS_mid",N$2)</f>
        <v>41.8125</v>
      </c>
      <c r="O42">
        <f ca="1">_xll.ciqfunctions.udf.CIQ($B42,"IQ_CDS_mid",O$2)</f>
        <v>41.8157</v>
      </c>
      <c r="P42">
        <f ca="1">_xll.ciqfunctions.udf.CIQ($B42,"IQ_CDS_mid",P$2)</f>
        <v>41.998699999999999</v>
      </c>
      <c r="Q42">
        <f ca="1">_xll.ciqfunctions.udf.CIQ($B42,"IQ_CDS_mid",Q$2)</f>
        <v>41.367800000000003</v>
      </c>
      <c r="R42">
        <f ca="1">_xll.ciqfunctions.udf.CIQ($B42,"IQ_CDS_mid",R$2)</f>
        <v>52.047400000000003</v>
      </c>
      <c r="S42">
        <f ca="1">_xll.ciqfunctions.udf.CIQ($B42,"IQ_CDS_mid",S$2)</f>
        <v>41.093800000000002</v>
      </c>
      <c r="T42">
        <f ca="1">C42-H42</f>
        <v>1.306200000000004</v>
      </c>
      <c r="U42">
        <f ca="1">C42-M42</f>
        <v>1.889800000000001</v>
      </c>
      <c r="V42">
        <f ca="1">C42-Q42</f>
        <v>3.0225000000000009</v>
      </c>
      <c r="W42">
        <f ca="1">C42-R42</f>
        <v>-7.6570999999999998</v>
      </c>
      <c r="X42">
        <f t="shared" ref="X42:X84" ca="1" si="13">C42-S42</f>
        <v>3.2965000000000018</v>
      </c>
    </row>
    <row r="43" spans="1:24">
      <c r="A43" s="16" t="s">
        <v>151</v>
      </c>
      <c r="X43">
        <f t="shared" si="13"/>
        <v>0</v>
      </c>
    </row>
    <row r="44" spans="1:24">
      <c r="A44" t="s">
        <v>150</v>
      </c>
      <c r="B44" t="s">
        <v>149</v>
      </c>
      <c r="C44">
        <f ca="1">_xll.ciqfunctions.udf.CIQ($B44,"IQ_CDS_mid",C$2)</f>
        <v>134.41319999999999</v>
      </c>
      <c r="D44">
        <f ca="1">_xll.ciqfunctions.udf.CIQ($B44,"IQ_CDS_mid",D$2)</f>
        <v>134.41319999999999</v>
      </c>
      <c r="E44">
        <f ca="1">_xll.ciqfunctions.udf.CIQ($B44,"IQ_CDS_mid",E$2)</f>
        <v>134.41319999999999</v>
      </c>
      <c r="F44">
        <f ca="1">_xll.ciqfunctions.udf.CIQ($B44,"IQ_CDS_mid",F$2)</f>
        <v>134.41319999999999</v>
      </c>
      <c r="G44">
        <f ca="1">_xll.ciqfunctions.udf.CIQ($B44,"IQ_CDS_mid",G$2)</f>
        <v>133.61080000000001</v>
      </c>
      <c r="H44">
        <f ca="1">_xll.ciqfunctions.udf.CIQ($B44,"IQ_CDS_mid",H$2)</f>
        <v>129.58969999999999</v>
      </c>
      <c r="I44">
        <f ca="1">_xll.ciqfunctions.udf.CIQ($B44,"IQ_CDS_mid",I$2)</f>
        <v>129.64769999999999</v>
      </c>
      <c r="J44">
        <f ca="1">_xll.ciqfunctions.udf.CIQ($B44,"IQ_CDS_mid",J$2)</f>
        <v>130.10990000000001</v>
      </c>
      <c r="K44">
        <f ca="1">_xll.ciqfunctions.udf.CIQ($B44,"IQ_CDS_mid",K$2)</f>
        <v>129.27850000000001</v>
      </c>
      <c r="L44">
        <f ca="1">_xll.ciqfunctions.udf.CIQ($B44,"IQ_CDS_mid",L$2)</f>
        <v>129.27850000000001</v>
      </c>
      <c r="M44">
        <f ca="1">_xll.ciqfunctions.udf.CIQ($B44,"IQ_CDS_mid",M$2)</f>
        <v>129.27850000000001</v>
      </c>
      <c r="N44">
        <f ca="1">_xll.ciqfunctions.udf.CIQ($B44,"IQ_CDS_mid",N$2)</f>
        <v>125.64</v>
      </c>
      <c r="O44">
        <f ca="1">_xll.ciqfunctions.udf.CIQ($B44,"IQ_CDS_mid",O$2)</f>
        <v>124.84229999999999</v>
      </c>
      <c r="P44">
        <f ca="1">_xll.ciqfunctions.udf.CIQ($B44,"IQ_CDS_mid",P$2)</f>
        <v>124.8592</v>
      </c>
      <c r="Q44">
        <f ca="1">_xll.ciqfunctions.udf.CIQ($B44,"IQ_CDS_mid",Q$2)</f>
        <v>124.38160000000001</v>
      </c>
      <c r="R44">
        <f ca="1">_xll.ciqfunctions.udf.CIQ($B44,"IQ_CDS_mid",R$2)</f>
        <v>154.5908</v>
      </c>
      <c r="S44">
        <f ca="1">_xll.ciqfunctions.udf.CIQ($B44,"IQ_CDS_mid",S$2)</f>
        <v>185.76349999999999</v>
      </c>
      <c r="T44">
        <f ca="1">C44-H44</f>
        <v>4.8234999999999957</v>
      </c>
      <c r="U44">
        <f ca="1">C44-M44</f>
        <v>5.1346999999999809</v>
      </c>
      <c r="V44">
        <f ca="1">C44-Q44</f>
        <v>10.031599999999983</v>
      </c>
      <c r="W44">
        <f ca="1">C44-R44</f>
        <v>-20.177600000000012</v>
      </c>
      <c r="X44">
        <f t="shared" ca="1" si="13"/>
        <v>-51.350300000000004</v>
      </c>
    </row>
    <row r="45" spans="1:24">
      <c r="X45">
        <f t="shared" si="13"/>
        <v>0</v>
      </c>
    </row>
    <row r="46" spans="1:24">
      <c r="X46">
        <f t="shared" si="13"/>
        <v>0</v>
      </c>
    </row>
    <row r="47" spans="1:24" ht="15.5">
      <c r="A47" s="28" t="s">
        <v>8</v>
      </c>
      <c r="X47">
        <f t="shared" si="13"/>
        <v>0</v>
      </c>
    </row>
    <row r="48" spans="1:24" ht="15.5">
      <c r="A48" s="27" t="s">
        <v>10</v>
      </c>
      <c r="B48" s="25" t="s">
        <v>148</v>
      </c>
      <c r="C48">
        <f ca="1">_xll.ciqfunctions.udf.CIQ($B48,"IQ_CDS_mid",C$2)</f>
        <v>53.986800000000002</v>
      </c>
      <c r="D48">
        <f ca="1">_xll.ciqfunctions.udf.CIQ($B48,"IQ_CDS_mid",D$2)</f>
        <v>53.986800000000002</v>
      </c>
      <c r="E48">
        <f ca="1">_xll.ciqfunctions.udf.CIQ($B48,"IQ_CDS_mid",E$2)</f>
        <v>53.986800000000002</v>
      </c>
      <c r="F48">
        <f ca="1">_xll.ciqfunctions.udf.CIQ($B48,"IQ_CDS_mid",F$2)</f>
        <v>53.986800000000002</v>
      </c>
      <c r="G48">
        <f ca="1">_xll.ciqfunctions.udf.CIQ($B48,"IQ_CDS_mid",G$2)</f>
        <v>53.458599999999997</v>
      </c>
      <c r="H48">
        <f ca="1">_xll.ciqfunctions.udf.CIQ($B48,"IQ_CDS_mid",H$2)</f>
        <v>52.753999999999998</v>
      </c>
      <c r="I48">
        <f ca="1">_xll.ciqfunctions.udf.CIQ($B48,"IQ_CDS_mid",I$2)</f>
        <v>52.128399999999999</v>
      </c>
      <c r="J48">
        <f ca="1">_xll.ciqfunctions.udf.CIQ($B48,"IQ_CDS_mid",J$2)</f>
        <v>53.148000000000003</v>
      </c>
      <c r="K48">
        <f ca="1">_xll.ciqfunctions.udf.CIQ($B48,"IQ_CDS_mid",K$2)</f>
        <v>53.669199999999996</v>
      </c>
      <c r="L48">
        <f ca="1">_xll.ciqfunctions.udf.CIQ($B48,"IQ_CDS_mid",L$2)</f>
        <v>53.669199999999996</v>
      </c>
      <c r="M48">
        <f ca="1">_xll.ciqfunctions.udf.CIQ($B48,"IQ_CDS_mid",M$2)</f>
        <v>53.669199999999996</v>
      </c>
      <c r="N48">
        <f ca="1">_xll.ciqfunctions.udf.CIQ($B48,"IQ_CDS_mid",N$2)</f>
        <v>53.1967</v>
      </c>
      <c r="O48">
        <f ca="1">_xll.ciqfunctions.udf.CIQ($B48,"IQ_CDS_mid",O$2)</f>
        <v>52.934600000000003</v>
      </c>
      <c r="P48">
        <f ca="1">_xll.ciqfunctions.udf.CIQ($B48,"IQ_CDS_mid",P$2)</f>
        <v>52.801600000000001</v>
      </c>
      <c r="Q48">
        <f ca="1">_xll.ciqfunctions.udf.CIQ($B48,"IQ_CDS_mid",Q$2)</f>
        <v>52.052100000000003</v>
      </c>
      <c r="R48">
        <f ca="1">_xll.ciqfunctions.udf.CIQ($B48,"IQ_CDS_mid",R$2)</f>
        <v>57.756100000000004</v>
      </c>
      <c r="S48">
        <f ca="1">_xll.ciqfunctions.udf.CIQ($B48,"IQ_CDS_mid",S$2)</f>
        <v>53.530099999999997</v>
      </c>
      <c r="T48">
        <f t="shared" ref="T48:T54" ca="1" si="14">C48-H48</f>
        <v>1.2328000000000046</v>
      </c>
      <c r="U48">
        <f t="shared" ref="U48:U54" ca="1" si="15">C48-M48</f>
        <v>0.31760000000000588</v>
      </c>
      <c r="V48">
        <f t="shared" ref="V48:V54" ca="1" si="16">C48-Q48</f>
        <v>1.9346999999999994</v>
      </c>
      <c r="W48">
        <f t="shared" ref="W48:W54" ca="1" si="17">C48-R48</f>
        <v>-3.7693000000000012</v>
      </c>
      <c r="X48">
        <f t="shared" ca="1" si="13"/>
        <v>0.45670000000000499</v>
      </c>
    </row>
    <row r="49" spans="1:24" ht="15.5">
      <c r="A49" s="27" t="s">
        <v>11</v>
      </c>
      <c r="B49" s="25" t="s">
        <v>147</v>
      </c>
      <c r="C49">
        <f ca="1">_xll.ciqfunctions.udf.CIQ($B49,"IQ_CDS_mid",C$2)</f>
        <v>56.415900000000001</v>
      </c>
      <c r="D49">
        <f ca="1">_xll.ciqfunctions.udf.CIQ($B49,"IQ_CDS_mid",D$2)</f>
        <v>56.415900000000001</v>
      </c>
      <c r="E49">
        <f ca="1">_xll.ciqfunctions.udf.CIQ($B49,"IQ_CDS_mid",E$2)</f>
        <v>56.415900000000001</v>
      </c>
      <c r="F49">
        <f ca="1">_xll.ciqfunctions.udf.CIQ($B49,"IQ_CDS_mid",F$2)</f>
        <v>56.415900000000001</v>
      </c>
      <c r="G49">
        <f ca="1">_xll.ciqfunctions.udf.CIQ($B49,"IQ_CDS_mid",G$2)</f>
        <v>55.957700000000003</v>
      </c>
      <c r="H49">
        <f ca="1">_xll.ciqfunctions.udf.CIQ($B49,"IQ_CDS_mid",H$2)</f>
        <v>54.962800000000001</v>
      </c>
      <c r="I49">
        <f ca="1">_xll.ciqfunctions.udf.CIQ($B49,"IQ_CDS_mid",I$2)</f>
        <v>55.371400000000001</v>
      </c>
      <c r="J49">
        <f ca="1">_xll.ciqfunctions.udf.CIQ($B49,"IQ_CDS_mid",J$2)</f>
        <v>55.431800000000003</v>
      </c>
      <c r="K49">
        <f ca="1">_xll.ciqfunctions.udf.CIQ($B49,"IQ_CDS_mid",K$2)</f>
        <v>55.617600000000003</v>
      </c>
      <c r="L49">
        <f ca="1">_xll.ciqfunctions.udf.CIQ($B49,"IQ_CDS_mid",L$2)</f>
        <v>55.617600000000003</v>
      </c>
      <c r="M49">
        <f ca="1">_xll.ciqfunctions.udf.CIQ($B49,"IQ_CDS_mid",M$2)</f>
        <v>55.617600000000003</v>
      </c>
      <c r="N49">
        <f ca="1">_xll.ciqfunctions.udf.CIQ($B49,"IQ_CDS_mid",N$2)</f>
        <v>54.933399999999999</v>
      </c>
      <c r="O49">
        <f ca="1">_xll.ciqfunctions.udf.CIQ($B49,"IQ_CDS_mid",O$2)</f>
        <v>54.99</v>
      </c>
      <c r="P49">
        <f ca="1">_xll.ciqfunctions.udf.CIQ($B49,"IQ_CDS_mid",P$2)</f>
        <v>54.603999999999999</v>
      </c>
      <c r="Q49">
        <f ca="1">_xll.ciqfunctions.udf.CIQ($B49,"IQ_CDS_mid",Q$2)</f>
        <v>54.226500000000001</v>
      </c>
      <c r="R49">
        <f ca="1">_xll.ciqfunctions.udf.CIQ($B49,"IQ_CDS_mid",R$2)</f>
        <v>58.875</v>
      </c>
      <c r="S49">
        <f ca="1">_xll.ciqfunctions.udf.CIQ($B49,"IQ_CDS_mid",S$2)</f>
        <v>52.9114</v>
      </c>
      <c r="T49">
        <f t="shared" ca="1" si="14"/>
        <v>1.4530999999999992</v>
      </c>
      <c r="U49">
        <f t="shared" ca="1" si="15"/>
        <v>0.79829999999999757</v>
      </c>
      <c r="V49">
        <f t="shared" ca="1" si="16"/>
        <v>2.1893999999999991</v>
      </c>
      <c r="W49">
        <f t="shared" ca="1" si="17"/>
        <v>-2.4590999999999994</v>
      </c>
      <c r="X49">
        <f t="shared" ca="1" si="13"/>
        <v>3.5045000000000002</v>
      </c>
    </row>
    <row r="50" spans="1:24" ht="15.5">
      <c r="A50" s="27" t="s">
        <v>146</v>
      </c>
      <c r="B50" s="25" t="s">
        <v>145</v>
      </c>
      <c r="C50">
        <f ca="1">_xll.ciqfunctions.udf.CIQ($B50,"IQ_CDS_mid",C$2)</f>
        <v>41.005299999999998</v>
      </c>
      <c r="D50">
        <f ca="1">_xll.ciqfunctions.udf.CIQ($B50,"IQ_CDS_mid",D$2)</f>
        <v>41.005299999999998</v>
      </c>
      <c r="E50">
        <f ca="1">_xll.ciqfunctions.udf.CIQ($B50,"IQ_CDS_mid",E$2)</f>
        <v>41.005299999999998</v>
      </c>
      <c r="F50">
        <f ca="1">_xll.ciqfunctions.udf.CIQ($B50,"IQ_CDS_mid",F$2)</f>
        <v>41.005299999999998</v>
      </c>
      <c r="G50">
        <f ca="1">_xll.ciqfunctions.udf.CIQ($B50,"IQ_CDS_mid",G$2)</f>
        <v>41.085299999999997</v>
      </c>
      <c r="H50">
        <f ca="1">_xll.ciqfunctions.udf.CIQ($B50,"IQ_CDS_mid",H$2)</f>
        <v>40.6</v>
      </c>
      <c r="I50">
        <f ca="1">_xll.ciqfunctions.udf.CIQ($B50,"IQ_CDS_mid",I$2)</f>
        <v>40.859499999999997</v>
      </c>
      <c r="J50">
        <f ca="1">_xll.ciqfunctions.udf.CIQ($B50,"IQ_CDS_mid",J$2)</f>
        <v>40.800600000000003</v>
      </c>
      <c r="K50">
        <f ca="1">_xll.ciqfunctions.udf.CIQ($B50,"IQ_CDS_mid",K$2)</f>
        <v>40.803199999999997</v>
      </c>
      <c r="L50">
        <f ca="1">_xll.ciqfunctions.udf.CIQ($B50,"IQ_CDS_mid",L$2)</f>
        <v>40.803199999999997</v>
      </c>
      <c r="M50">
        <f ca="1">_xll.ciqfunctions.udf.CIQ($B50,"IQ_CDS_mid",M$2)</f>
        <v>40.803199999999997</v>
      </c>
      <c r="N50">
        <f ca="1">_xll.ciqfunctions.udf.CIQ($B50,"IQ_CDS_mid",N$2)</f>
        <v>40.466700000000003</v>
      </c>
      <c r="O50">
        <f ca="1">_xll.ciqfunctions.udf.CIQ($B50,"IQ_CDS_mid",O$2)</f>
        <v>40.655299999999997</v>
      </c>
      <c r="P50">
        <f ca="1">_xll.ciqfunctions.udf.CIQ($B50,"IQ_CDS_mid",P$2)</f>
        <v>40.584200000000003</v>
      </c>
      <c r="Q50">
        <f ca="1">_xll.ciqfunctions.udf.CIQ($B50,"IQ_CDS_mid",Q$2)</f>
        <v>40.046799999999998</v>
      </c>
      <c r="R50">
        <f ca="1">_xll.ciqfunctions.udf.CIQ($B50,"IQ_CDS_mid",R$2)</f>
        <v>41.496899999999997</v>
      </c>
      <c r="S50">
        <f ca="1">_xll.ciqfunctions.udf.CIQ($B50,"IQ_CDS_mid",S$2)</f>
        <v>40.014899999999997</v>
      </c>
      <c r="T50">
        <f t="shared" ca="1" si="14"/>
        <v>0.40529999999999688</v>
      </c>
      <c r="U50">
        <f t="shared" ca="1" si="15"/>
        <v>0.2021000000000015</v>
      </c>
      <c r="V50">
        <f t="shared" ca="1" si="16"/>
        <v>0.9585000000000008</v>
      </c>
      <c r="W50">
        <f t="shared" ca="1" si="17"/>
        <v>-0.49159999999999826</v>
      </c>
      <c r="X50">
        <f t="shared" ca="1" si="13"/>
        <v>0.99040000000000106</v>
      </c>
    </row>
    <row r="51" spans="1:24" ht="15.5">
      <c r="A51" s="27" t="s">
        <v>144</v>
      </c>
      <c r="B51" s="25" t="s">
        <v>143</v>
      </c>
      <c r="C51">
        <f ca="1">_xll.ciqfunctions.udf.CIQ($B51,"IQ_CDS_mid",C$2)</f>
        <v>55.823700000000002</v>
      </c>
      <c r="D51">
        <f ca="1">_xll.ciqfunctions.udf.CIQ($B51,"IQ_CDS_mid",D$2)</f>
        <v>55.823700000000002</v>
      </c>
      <c r="E51">
        <f ca="1">_xll.ciqfunctions.udf.CIQ($B51,"IQ_CDS_mid",E$2)</f>
        <v>55.823700000000002</v>
      </c>
      <c r="F51">
        <f ca="1">_xll.ciqfunctions.udf.CIQ($B51,"IQ_CDS_mid",F$2)</f>
        <v>55.823700000000002</v>
      </c>
      <c r="G51">
        <f ca="1">_xll.ciqfunctions.udf.CIQ($B51,"IQ_CDS_mid",G$2)</f>
        <v>55.764400000000002</v>
      </c>
      <c r="H51">
        <f ca="1">_xll.ciqfunctions.udf.CIQ($B51,"IQ_CDS_mid",H$2)</f>
        <v>54.8</v>
      </c>
      <c r="I51">
        <f ca="1">_xll.ciqfunctions.udf.CIQ($B51,"IQ_CDS_mid",I$2)</f>
        <v>55.2</v>
      </c>
      <c r="J51">
        <f ca="1">_xll.ciqfunctions.udf.CIQ($B51,"IQ_CDS_mid",J$2)</f>
        <v>55.226500000000001</v>
      </c>
      <c r="K51">
        <f ca="1">_xll.ciqfunctions.udf.CIQ($B51,"IQ_CDS_mid",K$2)</f>
        <v>55.264099999999999</v>
      </c>
      <c r="L51">
        <f ca="1">_xll.ciqfunctions.udf.CIQ($B51,"IQ_CDS_mid",L$2)</f>
        <v>55.264099999999999</v>
      </c>
      <c r="M51">
        <f ca="1">_xll.ciqfunctions.udf.CIQ($B51,"IQ_CDS_mid",M$2)</f>
        <v>55.264099999999999</v>
      </c>
      <c r="N51">
        <f ca="1">_xll.ciqfunctions.udf.CIQ($B51,"IQ_CDS_mid",N$2)</f>
        <v>55.012</v>
      </c>
      <c r="O51">
        <f ca="1">_xll.ciqfunctions.udf.CIQ($B51,"IQ_CDS_mid",O$2)</f>
        <v>54.687399999999997</v>
      </c>
      <c r="P51">
        <f ca="1">_xll.ciqfunctions.udf.CIQ($B51,"IQ_CDS_mid",P$2)</f>
        <v>54.431199999999997</v>
      </c>
      <c r="Q51">
        <f ca="1">_xll.ciqfunctions.udf.CIQ($B51,"IQ_CDS_mid",Q$2)</f>
        <v>54.126199999999997</v>
      </c>
      <c r="R51">
        <f ca="1">_xll.ciqfunctions.udf.CIQ($B51,"IQ_CDS_mid",R$2)</f>
        <v>58.1</v>
      </c>
      <c r="S51">
        <f ca="1">_xll.ciqfunctions.udf.CIQ($B51,"IQ_CDS_mid",S$2)</f>
        <v>57.432299999999998</v>
      </c>
      <c r="T51">
        <f t="shared" ca="1" si="14"/>
        <v>1.0237000000000052</v>
      </c>
      <c r="U51">
        <f t="shared" ca="1" si="15"/>
        <v>0.55960000000000321</v>
      </c>
      <c r="V51">
        <f t="shared" ca="1" si="16"/>
        <v>1.6975000000000051</v>
      </c>
      <c r="W51">
        <f t="shared" ca="1" si="17"/>
        <v>-2.2762999999999991</v>
      </c>
      <c r="X51">
        <f t="shared" ca="1" si="13"/>
        <v>-1.6085999999999956</v>
      </c>
    </row>
    <row r="52" spans="1:24" ht="15.5">
      <c r="A52" s="27" t="s">
        <v>14</v>
      </c>
      <c r="B52" s="25" t="s">
        <v>142</v>
      </c>
      <c r="C52">
        <f ca="1">_xll.ciqfunctions.udf.CIQ($B52,"IQ_CDS_mid",C$2)</f>
        <v>59.418599999999998</v>
      </c>
      <c r="D52">
        <f ca="1">_xll.ciqfunctions.udf.CIQ($B52,"IQ_CDS_mid",D$2)</f>
        <v>59.418599999999998</v>
      </c>
      <c r="E52">
        <f ca="1">_xll.ciqfunctions.udf.CIQ($B52,"IQ_CDS_mid",E$2)</f>
        <v>59.418599999999998</v>
      </c>
      <c r="F52">
        <f ca="1">_xll.ciqfunctions.udf.CIQ($B52,"IQ_CDS_mid",F$2)</f>
        <v>59.418599999999998</v>
      </c>
      <c r="G52">
        <f ca="1">_xll.ciqfunctions.udf.CIQ($B52,"IQ_CDS_mid",G$2)</f>
        <v>58.413899999999998</v>
      </c>
      <c r="H52">
        <f ca="1">_xll.ciqfunctions.udf.CIQ($B52,"IQ_CDS_mid",H$2)</f>
        <v>57.467300000000002</v>
      </c>
      <c r="I52">
        <f ca="1">_xll.ciqfunctions.udf.CIQ($B52,"IQ_CDS_mid",I$2)</f>
        <v>57.930500000000002</v>
      </c>
      <c r="J52">
        <f ca="1">_xll.ciqfunctions.udf.CIQ($B52,"IQ_CDS_mid",J$2)</f>
        <v>58.177799999999998</v>
      </c>
      <c r="K52">
        <f ca="1">_xll.ciqfunctions.udf.CIQ($B52,"IQ_CDS_mid",K$2)</f>
        <v>58.314</v>
      </c>
      <c r="L52">
        <f ca="1">_xll.ciqfunctions.udf.CIQ($B52,"IQ_CDS_mid",L$2)</f>
        <v>58.314</v>
      </c>
      <c r="M52">
        <f ca="1">_xll.ciqfunctions.udf.CIQ($B52,"IQ_CDS_mid",M$2)</f>
        <v>58.314</v>
      </c>
      <c r="N52">
        <f ca="1">_xll.ciqfunctions.udf.CIQ($B52,"IQ_CDS_mid",N$2)</f>
        <v>57.456099999999999</v>
      </c>
      <c r="O52">
        <f ca="1">_xll.ciqfunctions.udf.CIQ($B52,"IQ_CDS_mid",O$2)</f>
        <v>57.236800000000002</v>
      </c>
      <c r="P52">
        <f ca="1">_xll.ciqfunctions.udf.CIQ($B52,"IQ_CDS_mid",P$2)</f>
        <v>56.741100000000003</v>
      </c>
      <c r="Q52">
        <f ca="1">_xll.ciqfunctions.udf.CIQ($B52,"IQ_CDS_mid",Q$2)</f>
        <v>55.769300000000001</v>
      </c>
      <c r="R52">
        <f ca="1">_xll.ciqfunctions.udf.CIQ($B52,"IQ_CDS_mid",R$2)</f>
        <v>59.5</v>
      </c>
      <c r="S52">
        <f ca="1">_xll.ciqfunctions.udf.CIQ($B52,"IQ_CDS_mid",S$2)</f>
        <v>54.5242</v>
      </c>
      <c r="T52">
        <f t="shared" ca="1" si="14"/>
        <v>1.9512999999999963</v>
      </c>
      <c r="U52">
        <f t="shared" ca="1" si="15"/>
        <v>1.1045999999999978</v>
      </c>
      <c r="V52">
        <f t="shared" ca="1" si="16"/>
        <v>3.6492999999999967</v>
      </c>
      <c r="W52">
        <f t="shared" ca="1" si="17"/>
        <v>-8.1400000000002137E-2</v>
      </c>
      <c r="X52">
        <f t="shared" ca="1" si="13"/>
        <v>4.8943999999999974</v>
      </c>
    </row>
    <row r="53" spans="1:24" ht="15.5">
      <c r="A53" s="27" t="s">
        <v>15</v>
      </c>
      <c r="B53" s="25" t="s">
        <v>141</v>
      </c>
      <c r="C53">
        <f ca="1">_xll.ciqfunctions.udf.CIQ($B53,"IQ_CDS_mid",C$2)</f>
        <v>49.935400000000001</v>
      </c>
      <c r="D53">
        <f ca="1">_xll.ciqfunctions.udf.CIQ($B53,"IQ_CDS_mid",D$2)</f>
        <v>49.935400000000001</v>
      </c>
      <c r="E53">
        <f ca="1">_xll.ciqfunctions.udf.CIQ($B53,"IQ_CDS_mid",E$2)</f>
        <v>49.935400000000001</v>
      </c>
      <c r="F53">
        <f ca="1">_xll.ciqfunctions.udf.CIQ($B53,"IQ_CDS_mid",F$2)</f>
        <v>49.935400000000001</v>
      </c>
      <c r="G53">
        <f ca="1">_xll.ciqfunctions.udf.CIQ($B53,"IQ_CDS_mid",G$2)</f>
        <v>49.769300000000001</v>
      </c>
      <c r="H53">
        <f ca="1">_xll.ciqfunctions.udf.CIQ($B53,"IQ_CDS_mid",H$2)</f>
        <v>49.133800000000001</v>
      </c>
      <c r="I53">
        <f ca="1">_xll.ciqfunctions.udf.CIQ($B53,"IQ_CDS_mid",I$2)</f>
        <v>49.003</v>
      </c>
      <c r="J53">
        <f ca="1">_xll.ciqfunctions.udf.CIQ($B53,"IQ_CDS_mid",J$2)</f>
        <v>49.430999999999997</v>
      </c>
      <c r="K53">
        <f ca="1">_xll.ciqfunctions.udf.CIQ($B53,"IQ_CDS_mid",K$2)</f>
        <v>49.766399999999997</v>
      </c>
      <c r="L53">
        <f ca="1">_xll.ciqfunctions.udf.CIQ($B53,"IQ_CDS_mid",L$2)</f>
        <v>49.766399999999997</v>
      </c>
      <c r="M53">
        <f ca="1">_xll.ciqfunctions.udf.CIQ($B53,"IQ_CDS_mid",M$2)</f>
        <v>49.766399999999997</v>
      </c>
      <c r="N53">
        <f ca="1">_xll.ciqfunctions.udf.CIQ($B53,"IQ_CDS_mid",N$2)</f>
        <v>49.697600000000001</v>
      </c>
      <c r="O53">
        <f ca="1">_xll.ciqfunctions.udf.CIQ($B53,"IQ_CDS_mid",O$2)</f>
        <v>49.7881</v>
      </c>
      <c r="P53">
        <f ca="1">_xll.ciqfunctions.udf.CIQ($B53,"IQ_CDS_mid",P$2)</f>
        <v>49.850200000000001</v>
      </c>
      <c r="Q53">
        <f ca="1">_xll.ciqfunctions.udf.CIQ($B53,"IQ_CDS_mid",Q$2)</f>
        <v>49.295900000000003</v>
      </c>
      <c r="R53">
        <f ca="1">_xll.ciqfunctions.udf.CIQ($B53,"IQ_CDS_mid",R$2)</f>
        <v>54.3658</v>
      </c>
      <c r="S53">
        <f ca="1">_xll.ciqfunctions.udf.CIQ($B53,"IQ_CDS_mid",S$2)</f>
        <v>48.0443</v>
      </c>
      <c r="T53">
        <f t="shared" ca="1" si="14"/>
        <v>0.80160000000000053</v>
      </c>
      <c r="U53">
        <f t="shared" ca="1" si="15"/>
        <v>0.16900000000000404</v>
      </c>
      <c r="V53">
        <f t="shared" ca="1" si="16"/>
        <v>0.63949999999999818</v>
      </c>
      <c r="W53">
        <f t="shared" ca="1" si="17"/>
        <v>-4.4303999999999988</v>
      </c>
      <c r="X53">
        <f t="shared" ca="1" si="13"/>
        <v>1.8911000000000016</v>
      </c>
    </row>
    <row r="54" spans="1:24" ht="15.5">
      <c r="A54" s="27" t="s">
        <v>140</v>
      </c>
      <c r="B54" s="25" t="s">
        <v>139</v>
      </c>
      <c r="C54">
        <f ca="1">_xll.ciqfunctions.udf.CIQ($B54,"IQ_CDS_mid",C$2)</f>
        <v>52.4938</v>
      </c>
      <c r="D54">
        <f ca="1">_xll.ciqfunctions.udf.CIQ($B54,"IQ_CDS_mid",D$2)</f>
        <v>52.4938</v>
      </c>
      <c r="E54">
        <f ca="1">_xll.ciqfunctions.udf.CIQ($B54,"IQ_CDS_mid",E$2)</f>
        <v>52.4938</v>
      </c>
      <c r="F54">
        <f ca="1">_xll.ciqfunctions.udf.CIQ($B54,"IQ_CDS_mid",F$2)</f>
        <v>52.4938</v>
      </c>
      <c r="G54">
        <f ca="1">_xll.ciqfunctions.udf.CIQ($B54,"IQ_CDS_mid",G$2)</f>
        <v>52.120199999999997</v>
      </c>
      <c r="H54">
        <f ca="1">_xll.ciqfunctions.udf.CIQ($B54,"IQ_CDS_mid",H$2)</f>
        <v>51.539200000000001</v>
      </c>
      <c r="I54">
        <f ca="1">_xll.ciqfunctions.udf.CIQ($B54,"IQ_CDS_mid",I$2)</f>
        <v>52.011600000000001</v>
      </c>
      <c r="J54">
        <f ca="1">_xll.ciqfunctions.udf.CIQ($B54,"IQ_CDS_mid",J$2)</f>
        <v>52.311799999999998</v>
      </c>
      <c r="K54">
        <f ca="1">_xll.ciqfunctions.udf.CIQ($B54,"IQ_CDS_mid",K$2)</f>
        <v>51.447800000000001</v>
      </c>
      <c r="L54">
        <f ca="1">_xll.ciqfunctions.udf.CIQ($B54,"IQ_CDS_mid",L$2)</f>
        <v>51.447800000000001</v>
      </c>
      <c r="M54">
        <f ca="1">_xll.ciqfunctions.udf.CIQ($B54,"IQ_CDS_mid",M$2)</f>
        <v>51.447800000000001</v>
      </c>
      <c r="N54">
        <f ca="1">_xll.ciqfunctions.udf.CIQ($B54,"IQ_CDS_mid",N$2)</f>
        <v>51.436399999999999</v>
      </c>
      <c r="O54">
        <f ca="1">_xll.ciqfunctions.udf.CIQ($B54,"IQ_CDS_mid",O$2)</f>
        <v>51.862000000000002</v>
      </c>
      <c r="P54">
        <f ca="1">_xll.ciqfunctions.udf.CIQ($B54,"IQ_CDS_mid",P$2)</f>
        <v>52.4953</v>
      </c>
      <c r="Q54">
        <f ca="1">_xll.ciqfunctions.udf.CIQ($B54,"IQ_CDS_mid",Q$2)</f>
        <v>52.8553</v>
      </c>
      <c r="R54">
        <f ca="1">_xll.ciqfunctions.udf.CIQ($B54,"IQ_CDS_mid",R$2)</f>
        <v>55.3523</v>
      </c>
      <c r="S54">
        <f ca="1">_xll.ciqfunctions.udf.CIQ($B54,"IQ_CDS_mid",S$2)</f>
        <v>48.7241</v>
      </c>
      <c r="T54">
        <f t="shared" ca="1" si="14"/>
        <v>0.95459999999999923</v>
      </c>
      <c r="U54">
        <f t="shared" ca="1" si="15"/>
        <v>1.0459999999999994</v>
      </c>
      <c r="V54">
        <f t="shared" ca="1" si="16"/>
        <v>-0.36149999999999949</v>
      </c>
      <c r="W54">
        <f t="shared" ca="1" si="17"/>
        <v>-2.8584999999999994</v>
      </c>
      <c r="X54">
        <f t="shared" ca="1" si="13"/>
        <v>3.7697000000000003</v>
      </c>
    </row>
    <row r="55" spans="1:24" ht="15.5">
      <c r="A55" s="28" t="s">
        <v>17</v>
      </c>
      <c r="X55">
        <f t="shared" si="13"/>
        <v>0</v>
      </c>
    </row>
    <row r="56" spans="1:24" ht="15.5">
      <c r="A56" s="27" t="s">
        <v>18</v>
      </c>
      <c r="B56" s="25" t="s">
        <v>138</v>
      </c>
      <c r="C56">
        <f ca="1">_xll.ciqfunctions.udf.CIQ($B56,"IQ_CDS_mid",C$2)</f>
        <v>44.712000000000003</v>
      </c>
      <c r="D56">
        <f ca="1">_xll.ciqfunctions.udf.CIQ($B56,"IQ_CDS_mid",D$2)</f>
        <v>44.712000000000003</v>
      </c>
      <c r="E56">
        <f ca="1">_xll.ciqfunctions.udf.CIQ($B56,"IQ_CDS_mid",E$2)</f>
        <v>44.712000000000003</v>
      </c>
      <c r="F56">
        <f ca="1">_xll.ciqfunctions.udf.CIQ($B56,"IQ_CDS_mid",F$2)</f>
        <v>44.712000000000003</v>
      </c>
      <c r="G56">
        <f ca="1">_xll.ciqfunctions.udf.CIQ($B56,"IQ_CDS_mid",G$2)</f>
        <v>44.498699999999999</v>
      </c>
      <c r="H56">
        <f ca="1">_xll.ciqfunctions.udf.CIQ($B56,"IQ_CDS_mid",H$2)</f>
        <v>43.959699999999998</v>
      </c>
      <c r="I56">
        <f ca="1">_xll.ciqfunctions.udf.CIQ($B56,"IQ_CDS_mid",I$2)</f>
        <v>43.959600000000002</v>
      </c>
      <c r="J56">
        <f ca="1">_xll.ciqfunctions.udf.CIQ($B56,"IQ_CDS_mid",J$2)</f>
        <v>43.866</v>
      </c>
      <c r="K56">
        <f ca="1">_xll.ciqfunctions.udf.CIQ($B56,"IQ_CDS_mid",K$2)</f>
        <v>43.5488</v>
      </c>
      <c r="L56">
        <f ca="1">_xll.ciqfunctions.udf.CIQ($B56,"IQ_CDS_mid",L$2)</f>
        <v>43.5488</v>
      </c>
      <c r="M56">
        <f ca="1">_xll.ciqfunctions.udf.CIQ($B56,"IQ_CDS_mid",M$2)</f>
        <v>43.5488</v>
      </c>
      <c r="N56">
        <f ca="1">_xll.ciqfunctions.udf.CIQ($B56,"IQ_CDS_mid",N$2)</f>
        <v>42.543799999999997</v>
      </c>
      <c r="O56">
        <f ca="1">_xll.ciqfunctions.udf.CIQ($B56,"IQ_CDS_mid",O$2)</f>
        <v>42.1143</v>
      </c>
      <c r="P56">
        <f ca="1">_xll.ciqfunctions.udf.CIQ($B56,"IQ_CDS_mid",P$2)</f>
        <v>42.162100000000002</v>
      </c>
      <c r="Q56">
        <f ca="1">_xll.ciqfunctions.udf.CIQ($B56,"IQ_CDS_mid",Q$2)</f>
        <v>41.708199999999998</v>
      </c>
      <c r="R56">
        <f ca="1">_xll.ciqfunctions.udf.CIQ($B56,"IQ_CDS_mid",R$2)</f>
        <v>41.432099999999998</v>
      </c>
      <c r="S56">
        <f ca="1">_xll.ciqfunctions.udf.CIQ($B56,"IQ_CDS_mid",S$2)</f>
        <v>41.567599999999999</v>
      </c>
      <c r="T56">
        <f ca="1">C56-H56</f>
        <v>0.7523000000000053</v>
      </c>
      <c r="U56">
        <f ca="1">C56-M56</f>
        <v>1.1632000000000033</v>
      </c>
      <c r="V56">
        <f ca="1">C56-Q56</f>
        <v>3.0038000000000054</v>
      </c>
      <c r="W56">
        <f ca="1">C56-R56</f>
        <v>3.2799000000000049</v>
      </c>
      <c r="X56">
        <f t="shared" ca="1" si="13"/>
        <v>3.1444000000000045</v>
      </c>
    </row>
    <row r="57" spans="1:24" ht="15.5">
      <c r="A57" s="27" t="s">
        <v>19</v>
      </c>
      <c r="B57" s="25" t="s">
        <v>137</v>
      </c>
      <c r="C57">
        <f ca="1">_xll.ciqfunctions.udf.CIQ($B57,"IQ_CDS_mid",C$2)</f>
        <v>36.635399999999997</v>
      </c>
      <c r="D57">
        <f ca="1">_xll.ciqfunctions.udf.CIQ($B57,"IQ_CDS_mid",D$2)</f>
        <v>36.635399999999997</v>
      </c>
      <c r="E57">
        <f ca="1">_xll.ciqfunctions.udf.CIQ($B57,"IQ_CDS_mid",E$2)</f>
        <v>36.635399999999997</v>
      </c>
      <c r="F57">
        <f ca="1">_xll.ciqfunctions.udf.CIQ($B57,"IQ_CDS_mid",F$2)</f>
        <v>36.635399999999997</v>
      </c>
      <c r="G57">
        <f ca="1">_xll.ciqfunctions.udf.CIQ($B57,"IQ_CDS_mid",G$2)</f>
        <v>36.427700000000002</v>
      </c>
      <c r="H57">
        <f ca="1">_xll.ciqfunctions.udf.CIQ($B57,"IQ_CDS_mid",H$2)</f>
        <v>36</v>
      </c>
      <c r="I57">
        <f ca="1">_xll.ciqfunctions.udf.CIQ($B57,"IQ_CDS_mid",I$2)</f>
        <v>35.580599999999997</v>
      </c>
      <c r="J57">
        <f ca="1">_xll.ciqfunctions.udf.CIQ($B57,"IQ_CDS_mid",J$2)</f>
        <v>35.32</v>
      </c>
      <c r="K57">
        <f ca="1">_xll.ciqfunctions.udf.CIQ($B57,"IQ_CDS_mid",K$2)</f>
        <v>35.233699999999999</v>
      </c>
      <c r="L57">
        <f ca="1">_xll.ciqfunctions.udf.CIQ($B57,"IQ_CDS_mid",L$2)</f>
        <v>35.233699999999999</v>
      </c>
      <c r="M57">
        <f ca="1">_xll.ciqfunctions.udf.CIQ($B57,"IQ_CDS_mid",M$2)</f>
        <v>35.233699999999999</v>
      </c>
      <c r="N57">
        <f ca="1">_xll.ciqfunctions.udf.CIQ($B57,"IQ_CDS_mid",N$2)</f>
        <v>35.06</v>
      </c>
      <c r="O57">
        <f ca="1">_xll.ciqfunctions.udf.CIQ($B57,"IQ_CDS_mid",O$2)</f>
        <v>34.434600000000003</v>
      </c>
      <c r="P57">
        <f ca="1">_xll.ciqfunctions.udf.CIQ($B57,"IQ_CDS_mid",P$2)</f>
        <v>34.1</v>
      </c>
      <c r="Q57">
        <f ca="1">_xll.ciqfunctions.udf.CIQ($B57,"IQ_CDS_mid",Q$2)</f>
        <v>33.725000000000001</v>
      </c>
      <c r="R57">
        <f ca="1">_xll.ciqfunctions.udf.CIQ($B57,"IQ_CDS_mid",R$2)</f>
        <v>35.357100000000003</v>
      </c>
      <c r="S57">
        <f ca="1">_xll.ciqfunctions.udf.CIQ($B57,"IQ_CDS_mid",S$2)</f>
        <v>37.838299999999997</v>
      </c>
      <c r="T57">
        <f ca="1">C57-H57</f>
        <v>0.63539999999999708</v>
      </c>
      <c r="U57">
        <f ca="1">C57-M57</f>
        <v>1.4016999999999982</v>
      </c>
      <c r="V57">
        <f ca="1">C57-Q57</f>
        <v>2.9103999999999957</v>
      </c>
      <c r="W57">
        <f ca="1">C57-R57</f>
        <v>1.2782999999999944</v>
      </c>
      <c r="X57">
        <f t="shared" ca="1" si="13"/>
        <v>-1.2028999999999996</v>
      </c>
    </row>
    <row r="58" spans="1:24" ht="15.5">
      <c r="A58" s="27" t="s">
        <v>136</v>
      </c>
      <c r="B58" s="25" t="s">
        <v>135</v>
      </c>
      <c r="C58">
        <f ca="1">_xll.ciqfunctions.udf.CIQ($B58,"IQ_CDS_mid",C$2)</f>
        <v>45.578400000000002</v>
      </c>
      <c r="D58">
        <f ca="1">_xll.ciqfunctions.udf.CIQ($B58,"IQ_CDS_mid",D$2)</f>
        <v>45.578400000000002</v>
      </c>
      <c r="E58">
        <f ca="1">_xll.ciqfunctions.udf.CIQ($B58,"IQ_CDS_mid",E$2)</f>
        <v>45.578400000000002</v>
      </c>
      <c r="F58">
        <f ca="1">_xll.ciqfunctions.udf.CIQ($B58,"IQ_CDS_mid",F$2)</f>
        <v>45.578400000000002</v>
      </c>
      <c r="G58">
        <f ca="1">_xll.ciqfunctions.udf.CIQ($B58,"IQ_CDS_mid",G$2)</f>
        <v>45.462200000000003</v>
      </c>
      <c r="H58">
        <f ca="1">_xll.ciqfunctions.udf.CIQ($B58,"IQ_CDS_mid",H$2)</f>
        <v>44.748600000000003</v>
      </c>
      <c r="I58">
        <f ca="1">_xll.ciqfunctions.udf.CIQ($B58,"IQ_CDS_mid",I$2)</f>
        <v>44.74</v>
      </c>
      <c r="J58">
        <f ca="1">_xll.ciqfunctions.udf.CIQ($B58,"IQ_CDS_mid",J$2)</f>
        <v>44.251100000000001</v>
      </c>
      <c r="K58">
        <f ca="1">_xll.ciqfunctions.udf.CIQ($B58,"IQ_CDS_mid",K$2)</f>
        <v>43.881100000000004</v>
      </c>
      <c r="L58">
        <f ca="1">_xll.ciqfunctions.udf.CIQ($B58,"IQ_CDS_mid",L$2)</f>
        <v>43.881100000000004</v>
      </c>
      <c r="M58">
        <f ca="1">_xll.ciqfunctions.udf.CIQ($B58,"IQ_CDS_mid",M$2)</f>
        <v>43.881100000000004</v>
      </c>
      <c r="N58">
        <f ca="1">_xll.ciqfunctions.udf.CIQ($B58,"IQ_CDS_mid",N$2)</f>
        <v>43.142200000000003</v>
      </c>
      <c r="O58">
        <f ca="1">_xll.ciqfunctions.udf.CIQ($B58,"IQ_CDS_mid",O$2)</f>
        <v>42.128900000000002</v>
      </c>
      <c r="P58">
        <f ca="1">_xll.ciqfunctions.udf.CIQ($B58,"IQ_CDS_mid",P$2)</f>
        <v>42.4</v>
      </c>
      <c r="Q58">
        <f ca="1">_xll.ciqfunctions.udf.CIQ($B58,"IQ_CDS_mid",Q$2)</f>
        <v>41.86</v>
      </c>
      <c r="R58">
        <f ca="1">_xll.ciqfunctions.udf.CIQ($B58,"IQ_CDS_mid",R$2)</f>
        <v>44.704999999999998</v>
      </c>
      <c r="S58">
        <f ca="1">_xll.ciqfunctions.udf.CIQ($B58,"IQ_CDS_mid",S$2)</f>
        <v>46.034700000000001</v>
      </c>
      <c r="T58">
        <f ca="1">C58-H58</f>
        <v>0.82979999999999876</v>
      </c>
      <c r="U58">
        <f ca="1">C58-M58</f>
        <v>1.6972999999999985</v>
      </c>
      <c r="V58">
        <f ca="1">C58-Q58</f>
        <v>3.7184000000000026</v>
      </c>
      <c r="W58">
        <f ca="1">C58-R58</f>
        <v>0.87340000000000373</v>
      </c>
      <c r="X58">
        <f t="shared" ca="1" si="13"/>
        <v>-0.45629999999999882</v>
      </c>
    </row>
    <row r="59" spans="1:24" ht="15.5">
      <c r="A59" s="28" t="s">
        <v>21</v>
      </c>
      <c r="X59">
        <f t="shared" si="13"/>
        <v>0</v>
      </c>
    </row>
    <row r="60" spans="1:24" ht="15.5">
      <c r="A60" s="27" t="s">
        <v>134</v>
      </c>
      <c r="B60" s="25" t="s">
        <v>133</v>
      </c>
      <c r="C60">
        <f ca="1">_xll.ciqfunctions.udf.CIQ($B60,"IQ_CDS_mid",C$2)</f>
        <v>48.299700000000001</v>
      </c>
      <c r="D60">
        <f ca="1">_xll.ciqfunctions.udf.CIQ($B60,"IQ_CDS_mid",D$2)</f>
        <v>48.299700000000001</v>
      </c>
      <c r="E60">
        <f ca="1">_xll.ciqfunctions.udf.CIQ($B60,"IQ_CDS_mid",E$2)</f>
        <v>48.299700000000001</v>
      </c>
      <c r="F60">
        <f ca="1">_xll.ciqfunctions.udf.CIQ($B60,"IQ_CDS_mid",F$2)</f>
        <v>48.299700000000001</v>
      </c>
      <c r="G60">
        <f ca="1">_xll.ciqfunctions.udf.CIQ($B60,"IQ_CDS_mid",G$2)</f>
        <v>48.071399999999997</v>
      </c>
      <c r="H60">
        <f ca="1">_xll.ciqfunctions.udf.CIQ($B60,"IQ_CDS_mid",H$2)</f>
        <v>46.984099999999998</v>
      </c>
      <c r="I60">
        <f ca="1">_xll.ciqfunctions.udf.CIQ($B60,"IQ_CDS_mid",I$2)</f>
        <v>47.017400000000002</v>
      </c>
      <c r="J60">
        <f ca="1">_xll.ciqfunctions.udf.CIQ($B60,"IQ_CDS_mid",J$2)</f>
        <v>47.860199999999999</v>
      </c>
      <c r="K60">
        <f ca="1">_xll.ciqfunctions.udf.CIQ($B60,"IQ_CDS_mid",K$2)</f>
        <v>47.959400000000002</v>
      </c>
      <c r="L60">
        <f ca="1">_xll.ciqfunctions.udf.CIQ($B60,"IQ_CDS_mid",L$2)</f>
        <v>47.959400000000002</v>
      </c>
      <c r="M60">
        <f ca="1">_xll.ciqfunctions.udf.CIQ($B60,"IQ_CDS_mid",M$2)</f>
        <v>47.959400000000002</v>
      </c>
      <c r="N60">
        <f ca="1">_xll.ciqfunctions.udf.CIQ($B60,"IQ_CDS_mid",N$2)</f>
        <v>47.282699999999998</v>
      </c>
      <c r="O60">
        <f ca="1">_xll.ciqfunctions.udf.CIQ($B60,"IQ_CDS_mid",O$2)</f>
        <v>47.254100000000001</v>
      </c>
      <c r="P60">
        <f ca="1">_xll.ciqfunctions.udf.CIQ($B60,"IQ_CDS_mid",P$2)</f>
        <v>47.4893</v>
      </c>
      <c r="Q60">
        <f ca="1">_xll.ciqfunctions.udf.CIQ($B60,"IQ_CDS_mid",Q$2)</f>
        <v>46.8643</v>
      </c>
      <c r="R60">
        <f ca="1">_xll.ciqfunctions.udf.CIQ($B60,"IQ_CDS_mid",R$2)</f>
        <v>55.879899999999999</v>
      </c>
      <c r="S60">
        <f ca="1">_xll.ciqfunctions.udf.CIQ($B60,"IQ_CDS_mid",S$2)</f>
        <v>47</v>
      </c>
      <c r="T60">
        <f ca="1">C60-H60</f>
        <v>1.3156000000000034</v>
      </c>
      <c r="U60">
        <f ca="1">C60-M60</f>
        <v>0.34029999999999916</v>
      </c>
      <c r="V60">
        <f ca="1">C60-Q60</f>
        <v>1.4354000000000013</v>
      </c>
      <c r="W60">
        <f ca="1">C60-R60</f>
        <v>-7.5801999999999978</v>
      </c>
      <c r="X60">
        <f t="shared" ca="1" si="13"/>
        <v>1.2997000000000014</v>
      </c>
    </row>
    <row r="61" spans="1:24" ht="15.5">
      <c r="A61" s="27" t="s">
        <v>132</v>
      </c>
      <c r="B61" s="25" t="s">
        <v>131</v>
      </c>
      <c r="C61">
        <f ca="1">_xll.ciqfunctions.udf.CIQ($B61,"IQ_CDS_mid",C$2)</f>
        <v>0</v>
      </c>
      <c r="D61">
        <f ca="1">_xll.ciqfunctions.udf.CIQ($B61,"IQ_CDS_mid",D$2)</f>
        <v>0</v>
      </c>
      <c r="E61">
        <f ca="1">_xll.ciqfunctions.udf.CIQ($B61,"IQ_CDS_mid",E$2)</f>
        <v>0</v>
      </c>
      <c r="F61">
        <f ca="1">_xll.ciqfunctions.udf.CIQ($B61,"IQ_CDS_mid",F$2)</f>
        <v>0</v>
      </c>
      <c r="G61">
        <f ca="1">_xll.ciqfunctions.udf.CIQ($B61,"IQ_CDS_mid",G$2)</f>
        <v>0</v>
      </c>
      <c r="H61">
        <f ca="1">_xll.ciqfunctions.udf.CIQ($B61,"IQ_CDS_mid",H$2)</f>
        <v>0</v>
      </c>
      <c r="I61">
        <f ca="1">_xll.ciqfunctions.udf.CIQ($B61,"IQ_CDS_mid",I$2)</f>
        <v>0</v>
      </c>
      <c r="J61">
        <f ca="1">_xll.ciqfunctions.udf.CIQ($B61,"IQ_CDS_mid",J$2)</f>
        <v>0</v>
      </c>
      <c r="K61">
        <f ca="1">_xll.ciqfunctions.udf.CIQ($B61,"IQ_CDS_mid",K$2)</f>
        <v>0</v>
      </c>
      <c r="L61">
        <f ca="1">_xll.ciqfunctions.udf.CIQ($B61,"IQ_CDS_mid",L$2)</f>
        <v>0</v>
      </c>
      <c r="M61">
        <f ca="1">_xll.ciqfunctions.udf.CIQ($B61,"IQ_CDS_mid",M$2)</f>
        <v>0</v>
      </c>
      <c r="N61">
        <f ca="1">_xll.ciqfunctions.udf.CIQ($B61,"IQ_CDS_mid",N$2)</f>
        <v>0</v>
      </c>
      <c r="O61">
        <f ca="1">_xll.ciqfunctions.udf.CIQ($B61,"IQ_CDS_mid",O$2)</f>
        <v>0</v>
      </c>
      <c r="P61">
        <f ca="1">_xll.ciqfunctions.udf.CIQ($B61,"IQ_CDS_mid",P$2)</f>
        <v>0</v>
      </c>
      <c r="Q61">
        <f ca="1">_xll.ciqfunctions.udf.CIQ($B61,"IQ_CDS_mid",Q$2)</f>
        <v>0</v>
      </c>
      <c r="R61">
        <f ca="1">_xll.ciqfunctions.udf.CIQ($B61,"IQ_CDS_mid",R$2)</f>
        <v>0</v>
      </c>
      <c r="S61">
        <f ca="1">_xll.ciqfunctions.udf.CIQ($B61,"IQ_CDS_mid",S$2)</f>
        <v>0</v>
      </c>
      <c r="T61">
        <f ca="1">C61-H61</f>
        <v>0</v>
      </c>
      <c r="U61">
        <f ca="1">C61-M61</f>
        <v>0</v>
      </c>
      <c r="V61">
        <f ca="1">C61-Q61</f>
        <v>0</v>
      </c>
      <c r="W61">
        <f ca="1">C61-R61</f>
        <v>0</v>
      </c>
      <c r="X61">
        <f t="shared" ca="1" si="13"/>
        <v>0</v>
      </c>
    </row>
    <row r="62" spans="1:24" ht="15.5">
      <c r="A62" s="28" t="s">
        <v>23</v>
      </c>
      <c r="X62">
        <f t="shared" si="13"/>
        <v>0</v>
      </c>
    </row>
    <row r="63" spans="1:24" ht="15.5">
      <c r="A63" s="27" t="s">
        <v>24</v>
      </c>
      <c r="B63" s="25" t="s">
        <v>130</v>
      </c>
      <c r="C63">
        <f ca="1">_xll.ciqfunctions.udf.CIQ($B63,"IQ_CDS_mid",C$2)</f>
        <v>60.904699999999998</v>
      </c>
      <c r="D63">
        <f ca="1">_xll.ciqfunctions.udf.CIQ($B63,"IQ_CDS_mid",D$2)</f>
        <v>60.904699999999998</v>
      </c>
      <c r="E63">
        <f ca="1">_xll.ciqfunctions.udf.CIQ($B63,"IQ_CDS_mid",E$2)</f>
        <v>60.904699999999998</v>
      </c>
      <c r="F63">
        <f ca="1">_xll.ciqfunctions.udf.CIQ($B63,"IQ_CDS_mid",F$2)</f>
        <v>60.904699999999998</v>
      </c>
      <c r="G63">
        <f ca="1">_xll.ciqfunctions.udf.CIQ($B63,"IQ_CDS_mid",G$2)</f>
        <v>60.795099999999998</v>
      </c>
      <c r="H63">
        <f ca="1">_xll.ciqfunctions.udf.CIQ($B63,"IQ_CDS_mid",H$2)</f>
        <v>59.663699999999999</v>
      </c>
      <c r="I63">
        <f ca="1">_xll.ciqfunctions.udf.CIQ($B63,"IQ_CDS_mid",I$2)</f>
        <v>59.75</v>
      </c>
      <c r="J63">
        <f ca="1">_xll.ciqfunctions.udf.CIQ($B63,"IQ_CDS_mid",J$2)</f>
        <v>60.25</v>
      </c>
      <c r="K63">
        <f ca="1">_xll.ciqfunctions.udf.CIQ($B63,"IQ_CDS_mid",K$2)</f>
        <v>60.666699999999999</v>
      </c>
      <c r="L63">
        <f ca="1">_xll.ciqfunctions.udf.CIQ($B63,"IQ_CDS_mid",L$2)</f>
        <v>60.666699999999999</v>
      </c>
      <c r="M63">
        <f ca="1">_xll.ciqfunctions.udf.CIQ($B63,"IQ_CDS_mid",M$2)</f>
        <v>60.666699999999999</v>
      </c>
      <c r="N63">
        <f ca="1">_xll.ciqfunctions.udf.CIQ($B63,"IQ_CDS_mid",N$2)</f>
        <v>59.799199999999999</v>
      </c>
      <c r="O63">
        <f ca="1">_xll.ciqfunctions.udf.CIQ($B63,"IQ_CDS_mid",O$2)</f>
        <v>60.664400000000001</v>
      </c>
      <c r="P63">
        <f ca="1">_xll.ciqfunctions.udf.CIQ($B63,"IQ_CDS_mid",P$2)</f>
        <v>60.900700000000001</v>
      </c>
      <c r="Q63">
        <f ca="1">_xll.ciqfunctions.udf.CIQ($B63,"IQ_CDS_mid",Q$2)</f>
        <v>60.703299999999999</v>
      </c>
      <c r="R63">
        <f ca="1">_xll.ciqfunctions.udf.CIQ($B63,"IQ_CDS_mid",R$2)</f>
        <v>69.872900000000001</v>
      </c>
      <c r="S63">
        <f ca="1">_xll.ciqfunctions.udf.CIQ($B63,"IQ_CDS_mid",S$2)</f>
        <v>61.924399999999999</v>
      </c>
      <c r="T63">
        <f ca="1">C63-H63</f>
        <v>1.2409999999999997</v>
      </c>
      <c r="U63">
        <f ca="1">C63-M63</f>
        <v>0.23799999999999955</v>
      </c>
      <c r="V63">
        <f ca="1">C63-Q63</f>
        <v>0.20139999999999958</v>
      </c>
      <c r="W63">
        <f ca="1">C63-R63</f>
        <v>-8.9682000000000031</v>
      </c>
      <c r="X63">
        <f t="shared" ca="1" si="13"/>
        <v>-1.0197000000000003</v>
      </c>
    </row>
    <row r="64" spans="1:24" ht="15.5">
      <c r="A64" s="27" t="s">
        <v>25</v>
      </c>
      <c r="B64" s="25" t="s">
        <v>129</v>
      </c>
      <c r="C64">
        <f ca="1">_xll.ciqfunctions.udf.CIQ($B64,"IQ_CDS_mid",C$2)</f>
        <v>39.554400000000001</v>
      </c>
      <c r="D64">
        <f ca="1">_xll.ciqfunctions.udf.CIQ($B64,"IQ_CDS_mid",D$2)</f>
        <v>39.554400000000001</v>
      </c>
      <c r="E64">
        <f ca="1">_xll.ciqfunctions.udf.CIQ($B64,"IQ_CDS_mid",E$2)</f>
        <v>39.554400000000001</v>
      </c>
      <c r="F64">
        <f ca="1">_xll.ciqfunctions.udf.CIQ($B64,"IQ_CDS_mid",F$2)</f>
        <v>39.554400000000001</v>
      </c>
      <c r="G64">
        <f ca="1">_xll.ciqfunctions.udf.CIQ($B64,"IQ_CDS_mid",G$2)</f>
        <v>39.338200000000001</v>
      </c>
      <c r="H64">
        <f ca="1">_xll.ciqfunctions.udf.CIQ($B64,"IQ_CDS_mid",H$2)</f>
        <v>38.584499999999998</v>
      </c>
      <c r="I64">
        <f ca="1">_xll.ciqfunctions.udf.CIQ($B64,"IQ_CDS_mid",I$2)</f>
        <v>38.505899999999997</v>
      </c>
      <c r="J64">
        <f ca="1">_xll.ciqfunctions.udf.CIQ($B64,"IQ_CDS_mid",J$2)</f>
        <v>39.0777</v>
      </c>
      <c r="K64">
        <f ca="1">_xll.ciqfunctions.udf.CIQ($B64,"IQ_CDS_mid",K$2)</f>
        <v>39.036700000000003</v>
      </c>
      <c r="L64">
        <f ca="1">_xll.ciqfunctions.udf.CIQ($B64,"IQ_CDS_mid",L$2)</f>
        <v>39.036700000000003</v>
      </c>
      <c r="M64">
        <f ca="1">_xll.ciqfunctions.udf.CIQ($B64,"IQ_CDS_mid",M$2)</f>
        <v>39.036700000000003</v>
      </c>
      <c r="N64">
        <f ca="1">_xll.ciqfunctions.udf.CIQ($B64,"IQ_CDS_mid",N$2)</f>
        <v>38.414999999999999</v>
      </c>
      <c r="O64">
        <f ca="1">_xll.ciqfunctions.udf.CIQ($B64,"IQ_CDS_mid",O$2)</f>
        <v>38.5015</v>
      </c>
      <c r="P64">
        <f ca="1">_xll.ciqfunctions.udf.CIQ($B64,"IQ_CDS_mid",P$2)</f>
        <v>38.765599999999999</v>
      </c>
      <c r="Q64">
        <f ca="1">_xll.ciqfunctions.udf.CIQ($B64,"IQ_CDS_mid",Q$2)</f>
        <v>38.46</v>
      </c>
      <c r="R64">
        <f ca="1">_xll.ciqfunctions.udf.CIQ($B64,"IQ_CDS_mid",R$2)</f>
        <v>47.856400000000001</v>
      </c>
      <c r="S64">
        <f ca="1">_xll.ciqfunctions.udf.CIQ($B64,"IQ_CDS_mid",S$2)</f>
        <v>47.762500000000003</v>
      </c>
      <c r="T64">
        <f ca="1">C64-H64</f>
        <v>0.96990000000000265</v>
      </c>
      <c r="U64">
        <f ca="1">C64-M64</f>
        <v>0.51769999999999783</v>
      </c>
      <c r="V64">
        <f ca="1">C64-Q64</f>
        <v>1.0944000000000003</v>
      </c>
      <c r="W64">
        <f ca="1">C64-R64</f>
        <v>-8.3019999999999996</v>
      </c>
      <c r="X64">
        <f t="shared" ca="1" si="13"/>
        <v>-8.2081000000000017</v>
      </c>
    </row>
    <row r="65" spans="1:24" ht="15.5">
      <c r="A65" s="27" t="s">
        <v>26</v>
      </c>
      <c r="B65" s="25" t="s">
        <v>128</v>
      </c>
      <c r="C65">
        <f ca="1">_xll.ciqfunctions.udf.CIQ($B65,"IQ_CDS_mid",C$2)</f>
        <v>56.539099999999998</v>
      </c>
      <c r="D65">
        <f ca="1">_xll.ciqfunctions.udf.CIQ($B65,"IQ_CDS_mid",D$2)</f>
        <v>56.539099999999998</v>
      </c>
      <c r="E65">
        <f ca="1">_xll.ciqfunctions.udf.CIQ($B65,"IQ_CDS_mid",E$2)</f>
        <v>56.539099999999998</v>
      </c>
      <c r="F65">
        <f ca="1">_xll.ciqfunctions.udf.CIQ($B65,"IQ_CDS_mid",F$2)</f>
        <v>56.539099999999998</v>
      </c>
      <c r="G65">
        <f ca="1">_xll.ciqfunctions.udf.CIQ($B65,"IQ_CDS_mid",G$2)</f>
        <v>56.534500000000001</v>
      </c>
      <c r="H65">
        <f ca="1">_xll.ciqfunctions.udf.CIQ($B65,"IQ_CDS_mid",H$2)</f>
        <v>55.296500000000002</v>
      </c>
      <c r="I65">
        <f ca="1">_xll.ciqfunctions.udf.CIQ($B65,"IQ_CDS_mid",I$2)</f>
        <v>55.125</v>
      </c>
      <c r="J65">
        <f ca="1">_xll.ciqfunctions.udf.CIQ($B65,"IQ_CDS_mid",J$2)</f>
        <v>55.688800000000001</v>
      </c>
      <c r="K65">
        <f ca="1">_xll.ciqfunctions.udf.CIQ($B65,"IQ_CDS_mid",K$2)</f>
        <v>55.879399999999997</v>
      </c>
      <c r="L65">
        <f ca="1">_xll.ciqfunctions.udf.CIQ($B65,"IQ_CDS_mid",L$2)</f>
        <v>55.879399999999997</v>
      </c>
      <c r="M65">
        <f ca="1">_xll.ciqfunctions.udf.CIQ($B65,"IQ_CDS_mid",M$2)</f>
        <v>55.879399999999997</v>
      </c>
      <c r="N65">
        <f ca="1">_xll.ciqfunctions.udf.CIQ($B65,"IQ_CDS_mid",N$2)</f>
        <v>55.098700000000001</v>
      </c>
      <c r="O65">
        <f ca="1">_xll.ciqfunctions.udf.CIQ($B65,"IQ_CDS_mid",O$2)</f>
        <v>55.1267</v>
      </c>
      <c r="P65">
        <f ca="1">_xll.ciqfunctions.udf.CIQ($B65,"IQ_CDS_mid",P$2)</f>
        <v>55.5715</v>
      </c>
      <c r="Q65">
        <f ca="1">_xll.ciqfunctions.udf.CIQ($B65,"IQ_CDS_mid",Q$2)</f>
        <v>55.329700000000003</v>
      </c>
      <c r="R65">
        <f ca="1">_xll.ciqfunctions.udf.CIQ($B65,"IQ_CDS_mid",R$2)</f>
        <v>63.45</v>
      </c>
      <c r="S65">
        <f ca="1">_xll.ciqfunctions.udf.CIQ($B65,"IQ_CDS_mid",S$2)</f>
        <v>55.362900000000003</v>
      </c>
      <c r="T65">
        <f ca="1">C65-H65</f>
        <v>1.2425999999999959</v>
      </c>
      <c r="U65">
        <f ca="1">C65-M65</f>
        <v>0.65970000000000084</v>
      </c>
      <c r="V65">
        <f ca="1">C65-Q65</f>
        <v>1.2093999999999951</v>
      </c>
      <c r="W65">
        <f ca="1">C65-R65</f>
        <v>-6.9109000000000052</v>
      </c>
      <c r="X65">
        <f t="shared" ca="1" si="13"/>
        <v>1.1761999999999944</v>
      </c>
    </row>
    <row r="66" spans="1:24" ht="15.5">
      <c r="A66" s="27" t="s">
        <v>127</v>
      </c>
      <c r="B66" s="25" t="s">
        <v>126</v>
      </c>
      <c r="C66">
        <f ca="1">_xll.ciqfunctions.udf.CIQ($B66,"IQ_CDS_mid",C$2)</f>
        <v>43.705300000000001</v>
      </c>
      <c r="D66">
        <f ca="1">_xll.ciqfunctions.udf.CIQ($B66,"IQ_CDS_mid",D$2)</f>
        <v>43.705300000000001</v>
      </c>
      <c r="E66">
        <f ca="1">_xll.ciqfunctions.udf.CIQ($B66,"IQ_CDS_mid",E$2)</f>
        <v>43.705300000000001</v>
      </c>
      <c r="F66">
        <f ca="1">_xll.ciqfunctions.udf.CIQ($B66,"IQ_CDS_mid",F$2)</f>
        <v>43.705300000000001</v>
      </c>
      <c r="G66">
        <f ca="1">_xll.ciqfunctions.udf.CIQ($B66,"IQ_CDS_mid",G$2)</f>
        <v>43.5822</v>
      </c>
      <c r="H66">
        <f ca="1">_xll.ciqfunctions.udf.CIQ($B66,"IQ_CDS_mid",H$2)</f>
        <v>42.75</v>
      </c>
      <c r="I66">
        <f ca="1">_xll.ciqfunctions.udf.CIQ($B66,"IQ_CDS_mid",I$2)</f>
        <v>42.7438</v>
      </c>
      <c r="J66">
        <f ca="1">_xll.ciqfunctions.udf.CIQ($B66,"IQ_CDS_mid",J$2)</f>
        <v>43.200800000000001</v>
      </c>
      <c r="K66">
        <f ca="1">_xll.ciqfunctions.udf.CIQ($B66,"IQ_CDS_mid",K$2)</f>
        <v>43.3386</v>
      </c>
      <c r="L66">
        <f ca="1">_xll.ciqfunctions.udf.CIQ($B66,"IQ_CDS_mid",L$2)</f>
        <v>43.3386</v>
      </c>
      <c r="M66">
        <f ca="1">_xll.ciqfunctions.udf.CIQ($B66,"IQ_CDS_mid",M$2)</f>
        <v>43.3386</v>
      </c>
      <c r="N66">
        <f ca="1">_xll.ciqfunctions.udf.CIQ($B66,"IQ_CDS_mid",N$2)</f>
        <v>43</v>
      </c>
      <c r="O66">
        <f ca="1">_xll.ciqfunctions.udf.CIQ($B66,"IQ_CDS_mid",O$2)</f>
        <v>43.125</v>
      </c>
      <c r="P66">
        <f ca="1">_xll.ciqfunctions.udf.CIQ($B66,"IQ_CDS_mid",P$2)</f>
        <v>43.497</v>
      </c>
      <c r="Q66">
        <f ca="1">_xll.ciqfunctions.udf.CIQ($B66,"IQ_CDS_mid",Q$2)</f>
        <v>43.1</v>
      </c>
      <c r="R66">
        <f ca="1">_xll.ciqfunctions.udf.CIQ($B66,"IQ_CDS_mid",R$2)</f>
        <v>55.165300000000002</v>
      </c>
      <c r="S66">
        <f ca="1">_xll.ciqfunctions.udf.CIQ($B66,"IQ_CDS_mid",S$2)</f>
        <v>55.116999999999997</v>
      </c>
      <c r="T66">
        <f ca="1">C66-H66</f>
        <v>0.95530000000000115</v>
      </c>
      <c r="U66">
        <f ca="1">C66-M66</f>
        <v>0.36670000000000158</v>
      </c>
      <c r="V66">
        <f ca="1">C66-Q66</f>
        <v>0.60529999999999973</v>
      </c>
      <c r="W66">
        <f ca="1">C66-R66</f>
        <v>-11.46</v>
      </c>
      <c r="X66">
        <f t="shared" ca="1" si="13"/>
        <v>-11.411699999999996</v>
      </c>
    </row>
    <row r="67" spans="1:24" ht="15.5">
      <c r="A67" s="28" t="s">
        <v>28</v>
      </c>
      <c r="X67">
        <f t="shared" si="13"/>
        <v>0</v>
      </c>
    </row>
    <row r="68" spans="1:24" ht="15.5">
      <c r="A68" s="27" t="s">
        <v>125</v>
      </c>
      <c r="B68" s="25" t="s">
        <v>124</v>
      </c>
      <c r="C68">
        <f ca="1">_xll.ciqfunctions.udf.CIQ($B68,"IQ_CDS_mid",C$2)</f>
        <v>46.344900000000003</v>
      </c>
      <c r="D68">
        <f ca="1">_xll.ciqfunctions.udf.CIQ($B68,"IQ_CDS_mid",D$2)</f>
        <v>46.344900000000003</v>
      </c>
      <c r="E68">
        <f ca="1">_xll.ciqfunctions.udf.CIQ($B68,"IQ_CDS_mid",E$2)</f>
        <v>46.344900000000003</v>
      </c>
      <c r="F68">
        <f ca="1">_xll.ciqfunctions.udf.CIQ($B68,"IQ_CDS_mid",F$2)</f>
        <v>46.344900000000003</v>
      </c>
      <c r="G68">
        <f ca="1">_xll.ciqfunctions.udf.CIQ($B68,"IQ_CDS_mid",G$2)</f>
        <v>45.904400000000003</v>
      </c>
      <c r="H68">
        <f ca="1">_xll.ciqfunctions.udf.CIQ($B68,"IQ_CDS_mid",H$2)</f>
        <v>44.75</v>
      </c>
      <c r="I68">
        <f ca="1">_xll.ciqfunctions.udf.CIQ($B68,"IQ_CDS_mid",I$2)</f>
        <v>44.851300000000002</v>
      </c>
      <c r="J68">
        <f ca="1">_xll.ciqfunctions.udf.CIQ($B68,"IQ_CDS_mid",J$2)</f>
        <v>45.375</v>
      </c>
      <c r="K68">
        <f ca="1">_xll.ciqfunctions.udf.CIQ($B68,"IQ_CDS_mid",K$2)</f>
        <v>45.833300000000001</v>
      </c>
      <c r="L68">
        <f ca="1">_xll.ciqfunctions.udf.CIQ($B68,"IQ_CDS_mid",L$2)</f>
        <v>45.833300000000001</v>
      </c>
      <c r="M68">
        <f ca="1">_xll.ciqfunctions.udf.CIQ($B68,"IQ_CDS_mid",M$2)</f>
        <v>45.833300000000001</v>
      </c>
      <c r="N68">
        <f ca="1">_xll.ciqfunctions.udf.CIQ($B68,"IQ_CDS_mid",N$2)</f>
        <v>45.355499999999999</v>
      </c>
      <c r="O68">
        <f ca="1">_xll.ciqfunctions.udf.CIQ($B68,"IQ_CDS_mid",O$2)</f>
        <v>46.150799999999997</v>
      </c>
      <c r="P68">
        <f ca="1">_xll.ciqfunctions.udf.CIQ($B68,"IQ_CDS_mid",P$2)</f>
        <v>46.210500000000003</v>
      </c>
      <c r="Q68">
        <f ca="1">_xll.ciqfunctions.udf.CIQ($B68,"IQ_CDS_mid",Q$2)</f>
        <v>46.432499999999997</v>
      </c>
      <c r="R68">
        <f ca="1">_xll.ciqfunctions.udf.CIQ($B68,"IQ_CDS_mid",R$2)</f>
        <v>57.7</v>
      </c>
      <c r="S68">
        <f ca="1">_xll.ciqfunctions.udf.CIQ($B68,"IQ_CDS_mid",S$2)</f>
        <v>52.124000000000002</v>
      </c>
      <c r="T68">
        <f ca="1">C68-H68</f>
        <v>1.5949000000000026</v>
      </c>
      <c r="U68">
        <f ca="1">C68-M68</f>
        <v>0.51160000000000139</v>
      </c>
      <c r="V68">
        <f ca="1">C68-Q68</f>
        <v>-8.7599999999994793E-2</v>
      </c>
      <c r="W68">
        <f ca="1">C68-R68</f>
        <v>-11.3551</v>
      </c>
      <c r="X68">
        <f t="shared" ca="1" si="13"/>
        <v>-5.7790999999999997</v>
      </c>
    </row>
    <row r="69" spans="1:24" ht="15.5">
      <c r="A69" s="29" t="s">
        <v>30</v>
      </c>
      <c r="B69" s="25" t="s">
        <v>123</v>
      </c>
      <c r="C69">
        <f ca="1">_xll.ciqfunctions.udf.CIQ($B69,"IQ_CDS_mid",C$2)</f>
        <v>37</v>
      </c>
      <c r="D69">
        <f ca="1">_xll.ciqfunctions.udf.CIQ($B69,"IQ_CDS_mid",D$2)</f>
        <v>37</v>
      </c>
      <c r="E69">
        <f ca="1">_xll.ciqfunctions.udf.CIQ($B69,"IQ_CDS_mid",E$2)</f>
        <v>37</v>
      </c>
      <c r="F69">
        <f ca="1">_xll.ciqfunctions.udf.CIQ($B69,"IQ_CDS_mid",F$2)</f>
        <v>37</v>
      </c>
      <c r="G69">
        <f ca="1">_xll.ciqfunctions.udf.CIQ($B69,"IQ_CDS_mid",G$2)</f>
        <v>37.083300000000001</v>
      </c>
      <c r="H69">
        <f ca="1">_xll.ciqfunctions.udf.CIQ($B69,"IQ_CDS_mid",H$2)</f>
        <v>36.833300000000001</v>
      </c>
      <c r="I69">
        <f ca="1">_xll.ciqfunctions.udf.CIQ($B69,"IQ_CDS_mid",I$2)</f>
        <v>36.5</v>
      </c>
      <c r="J69">
        <f ca="1">_xll.ciqfunctions.udf.CIQ($B69,"IQ_CDS_mid",J$2)</f>
        <v>36.75</v>
      </c>
      <c r="K69">
        <f ca="1">_xll.ciqfunctions.udf.CIQ($B69,"IQ_CDS_mid",K$2)</f>
        <v>36.5</v>
      </c>
      <c r="L69">
        <f ca="1">_xll.ciqfunctions.udf.CIQ($B69,"IQ_CDS_mid",L$2)</f>
        <v>36.5</v>
      </c>
      <c r="M69">
        <f ca="1">_xll.ciqfunctions.udf.CIQ($B69,"IQ_CDS_mid",M$2)</f>
        <v>36.5</v>
      </c>
      <c r="N69">
        <f ca="1">_xll.ciqfunctions.udf.CIQ($B69,"IQ_CDS_mid",N$2)</f>
        <v>37.1</v>
      </c>
      <c r="O69">
        <f ca="1">_xll.ciqfunctions.udf.CIQ($B69,"IQ_CDS_mid",O$2)</f>
        <v>37.5</v>
      </c>
      <c r="P69">
        <f ca="1">_xll.ciqfunctions.udf.CIQ($B69,"IQ_CDS_mid",P$2)</f>
        <v>37.5</v>
      </c>
      <c r="Q69">
        <f ca="1">_xll.ciqfunctions.udf.CIQ($B69,"IQ_CDS_mid",Q$2)</f>
        <v>37.375999999999998</v>
      </c>
      <c r="R69">
        <f ca="1">_xll.ciqfunctions.udf.CIQ($B69,"IQ_CDS_mid",R$2)</f>
        <v>46.375</v>
      </c>
      <c r="S69">
        <f ca="1">_xll.ciqfunctions.udf.CIQ($B69,"IQ_CDS_mid",S$2)</f>
        <v>42.281199999999998</v>
      </c>
      <c r="T69">
        <f ca="1">C69-H69</f>
        <v>0.16669999999999874</v>
      </c>
      <c r="U69">
        <f ca="1">C69-M69</f>
        <v>0.5</v>
      </c>
      <c r="V69">
        <f ca="1">C69-Q69</f>
        <v>-0.37599999999999767</v>
      </c>
      <c r="W69">
        <f ca="1">C69-R69</f>
        <v>-9.375</v>
      </c>
      <c r="X69">
        <f t="shared" ca="1" si="13"/>
        <v>-5.2811999999999983</v>
      </c>
    </row>
    <row r="70" spans="1:24" ht="15.5">
      <c r="A70" s="28" t="s">
        <v>31</v>
      </c>
      <c r="B70" s="25"/>
      <c r="X70">
        <f t="shared" si="13"/>
        <v>0</v>
      </c>
    </row>
    <row r="71" spans="1:24" ht="15.5">
      <c r="A71" s="29" t="s">
        <v>32</v>
      </c>
      <c r="B71" s="25" t="s">
        <v>122</v>
      </c>
      <c r="C71">
        <f ca="1">_xll.ciqfunctions.udf.CIQ($B71,"IQ_CDS_mid",C$2)</f>
        <v>25.592400000000001</v>
      </c>
      <c r="D71">
        <f ca="1">_xll.ciqfunctions.udf.CIQ($B71,"IQ_CDS_mid",D$2)</f>
        <v>25.592400000000001</v>
      </c>
      <c r="E71">
        <f ca="1">_xll.ciqfunctions.udf.CIQ($B71,"IQ_CDS_mid",E$2)</f>
        <v>25.592400000000001</v>
      </c>
      <c r="F71">
        <f ca="1">_xll.ciqfunctions.udf.CIQ($B71,"IQ_CDS_mid",F$2)</f>
        <v>25.592400000000001</v>
      </c>
      <c r="G71">
        <f ca="1">_xll.ciqfunctions.udf.CIQ($B71,"IQ_CDS_mid",G$2)</f>
        <v>25.5366</v>
      </c>
      <c r="H71">
        <f ca="1">_xll.ciqfunctions.udf.CIQ($B71,"IQ_CDS_mid",H$2)</f>
        <v>25.1</v>
      </c>
      <c r="I71">
        <f ca="1">_xll.ciqfunctions.udf.CIQ($B71,"IQ_CDS_mid",I$2)</f>
        <v>25.074999999999999</v>
      </c>
      <c r="J71">
        <f ca="1">_xll.ciqfunctions.udf.CIQ($B71,"IQ_CDS_mid",J$2)</f>
        <v>25.1</v>
      </c>
      <c r="K71">
        <f ca="1">_xll.ciqfunctions.udf.CIQ($B71,"IQ_CDS_mid",K$2)</f>
        <v>25.16</v>
      </c>
      <c r="L71">
        <f ca="1">_xll.ciqfunctions.udf.CIQ($B71,"IQ_CDS_mid",L$2)</f>
        <v>25.16</v>
      </c>
      <c r="M71">
        <f ca="1">_xll.ciqfunctions.udf.CIQ($B71,"IQ_CDS_mid",M$2)</f>
        <v>25.16</v>
      </c>
      <c r="N71">
        <f ca="1">_xll.ciqfunctions.udf.CIQ($B71,"IQ_CDS_mid",N$2)</f>
        <v>25</v>
      </c>
      <c r="O71">
        <f ca="1">_xll.ciqfunctions.udf.CIQ($B71,"IQ_CDS_mid",O$2)</f>
        <v>24.86</v>
      </c>
      <c r="P71">
        <f ca="1">_xll.ciqfunctions.udf.CIQ($B71,"IQ_CDS_mid",P$2)</f>
        <v>25.02</v>
      </c>
      <c r="Q71">
        <f ca="1">_xll.ciqfunctions.udf.CIQ($B71,"IQ_CDS_mid",Q$2)</f>
        <v>24.98</v>
      </c>
      <c r="R71">
        <f ca="1">_xll.ciqfunctions.udf.CIQ($B71,"IQ_CDS_mid",R$2)</f>
        <v>29.5</v>
      </c>
      <c r="S71">
        <f ca="1">_xll.ciqfunctions.udf.CIQ($B71,"IQ_CDS_mid",S$2)</f>
        <v>36.954300000000003</v>
      </c>
      <c r="T71">
        <f ca="1">C71-H71</f>
        <v>0.49239999999999995</v>
      </c>
      <c r="U71">
        <f ca="1">C71-M71</f>
        <v>0.43240000000000123</v>
      </c>
      <c r="V71">
        <f ca="1">C71-Q71</f>
        <v>0.61240000000000094</v>
      </c>
      <c r="W71">
        <f ca="1">C71-R71</f>
        <v>-3.9075999999999986</v>
      </c>
      <c r="X71">
        <f t="shared" ca="1" si="13"/>
        <v>-11.361900000000002</v>
      </c>
    </row>
    <row r="72" spans="1:24" ht="15.5">
      <c r="A72" s="28" t="s">
        <v>33</v>
      </c>
      <c r="X72">
        <f t="shared" si="13"/>
        <v>0</v>
      </c>
    </row>
    <row r="73" spans="1:24" ht="15.5">
      <c r="A73" s="27" t="s">
        <v>35</v>
      </c>
      <c r="B73" s="25" t="s">
        <v>121</v>
      </c>
      <c r="C73">
        <f ca="1">_xll.ciqfunctions.udf.CIQ($B73,"IQ_CDS_mid",C$2)</f>
        <v>43.461500000000001</v>
      </c>
      <c r="D73">
        <f ca="1">_xll.ciqfunctions.udf.CIQ($B73,"IQ_CDS_mid",D$2)</f>
        <v>43.461500000000001</v>
      </c>
      <c r="E73">
        <f ca="1">_xll.ciqfunctions.udf.CIQ($B73,"IQ_CDS_mid",E$2)</f>
        <v>43.461500000000001</v>
      </c>
      <c r="F73">
        <f ca="1">_xll.ciqfunctions.udf.CIQ($B73,"IQ_CDS_mid",F$2)</f>
        <v>43.461500000000001</v>
      </c>
      <c r="G73">
        <f ca="1">_xll.ciqfunctions.udf.CIQ($B73,"IQ_CDS_mid",G$2)</f>
        <v>43.4407</v>
      </c>
      <c r="H73">
        <f ca="1">_xll.ciqfunctions.udf.CIQ($B73,"IQ_CDS_mid",H$2)</f>
        <v>43.426000000000002</v>
      </c>
      <c r="I73">
        <f ca="1">_xll.ciqfunctions.udf.CIQ($B73,"IQ_CDS_mid",I$2)</f>
        <v>43.393099999999997</v>
      </c>
      <c r="J73">
        <f ca="1">_xll.ciqfunctions.udf.CIQ($B73,"IQ_CDS_mid",J$2)</f>
        <v>43.315399999999997</v>
      </c>
      <c r="K73">
        <f ca="1">_xll.ciqfunctions.udf.CIQ($B73,"IQ_CDS_mid",K$2)</f>
        <v>43.433900000000001</v>
      </c>
      <c r="L73">
        <f ca="1">_xll.ciqfunctions.udf.CIQ($B73,"IQ_CDS_mid",L$2)</f>
        <v>43.433900000000001</v>
      </c>
      <c r="M73">
        <f ca="1">_xll.ciqfunctions.udf.CIQ($B73,"IQ_CDS_mid",M$2)</f>
        <v>43.433900000000001</v>
      </c>
      <c r="N73">
        <f ca="1">_xll.ciqfunctions.udf.CIQ($B73,"IQ_CDS_mid",N$2)</f>
        <v>43.392099999999999</v>
      </c>
      <c r="O73">
        <f ca="1">_xll.ciqfunctions.udf.CIQ($B73,"IQ_CDS_mid",O$2)</f>
        <v>43.332000000000001</v>
      </c>
      <c r="P73">
        <f ca="1">_xll.ciqfunctions.udf.CIQ($B73,"IQ_CDS_mid",P$2)</f>
        <v>43.197099999999999</v>
      </c>
      <c r="Q73">
        <f ca="1">_xll.ciqfunctions.udf.CIQ($B73,"IQ_CDS_mid",Q$2)</f>
        <v>41.173699999999997</v>
      </c>
      <c r="R73">
        <f ca="1">_xll.ciqfunctions.udf.CIQ($B73,"IQ_CDS_mid",R$2)</f>
        <v>42.827199999999998</v>
      </c>
      <c r="S73">
        <f ca="1">_xll.ciqfunctions.udf.CIQ($B73,"IQ_CDS_mid",S$2)</f>
        <v>36.0533</v>
      </c>
      <c r="T73">
        <f ca="1">C73-H73</f>
        <v>3.5499999999998977E-2</v>
      </c>
      <c r="U73">
        <f ca="1">C73-M73</f>
        <v>2.7599999999999625E-2</v>
      </c>
      <c r="V73">
        <f ca="1">C73-Q73</f>
        <v>2.2878000000000043</v>
      </c>
      <c r="W73">
        <f ca="1">C73-R73</f>
        <v>0.63430000000000319</v>
      </c>
      <c r="X73">
        <f t="shared" ca="1" si="13"/>
        <v>7.4082000000000008</v>
      </c>
    </row>
    <row r="74" spans="1:24" ht="15.5">
      <c r="A74" s="27" t="s">
        <v>36</v>
      </c>
      <c r="B74" s="25" t="s">
        <v>120</v>
      </c>
      <c r="C74">
        <f ca="1">_xll.ciqfunctions.udf.CIQ($B74,"IQ_CDS_mid",C$2)</f>
        <v>42.411499999999997</v>
      </c>
      <c r="D74">
        <f ca="1">_xll.ciqfunctions.udf.CIQ($B74,"IQ_CDS_mid",D$2)</f>
        <v>42.411499999999997</v>
      </c>
      <c r="E74">
        <f ca="1">_xll.ciqfunctions.udf.CIQ($B74,"IQ_CDS_mid",E$2)</f>
        <v>42.411499999999997</v>
      </c>
      <c r="F74">
        <f ca="1">_xll.ciqfunctions.udf.CIQ($B74,"IQ_CDS_mid",F$2)</f>
        <v>42.411499999999997</v>
      </c>
      <c r="G74">
        <f ca="1">_xll.ciqfunctions.udf.CIQ($B74,"IQ_CDS_mid",G$2)</f>
        <v>42.341000000000001</v>
      </c>
      <c r="H74">
        <f ca="1">_xll.ciqfunctions.udf.CIQ($B74,"IQ_CDS_mid",H$2)</f>
        <v>42.098999999999997</v>
      </c>
      <c r="I74">
        <f ca="1">_xll.ciqfunctions.udf.CIQ($B74,"IQ_CDS_mid",I$2)</f>
        <v>41.339500000000001</v>
      </c>
      <c r="J74">
        <f ca="1">_xll.ciqfunctions.udf.CIQ($B74,"IQ_CDS_mid",J$2)</f>
        <v>41.657699999999998</v>
      </c>
      <c r="K74">
        <f ca="1">_xll.ciqfunctions.udf.CIQ($B74,"IQ_CDS_mid",K$2)</f>
        <v>41.3125</v>
      </c>
      <c r="L74">
        <f ca="1">_xll.ciqfunctions.udf.CIQ($B74,"IQ_CDS_mid",L$2)</f>
        <v>41.3125</v>
      </c>
      <c r="M74">
        <f ca="1">_xll.ciqfunctions.udf.CIQ($B74,"IQ_CDS_mid",M$2)</f>
        <v>41.3125</v>
      </c>
      <c r="N74">
        <f ca="1">_xll.ciqfunctions.udf.CIQ($B74,"IQ_CDS_mid",N$2)</f>
        <v>41.3309</v>
      </c>
      <c r="O74">
        <f ca="1">_xll.ciqfunctions.udf.CIQ($B74,"IQ_CDS_mid",O$2)</f>
        <v>41.817799999999998</v>
      </c>
      <c r="P74">
        <f ca="1">_xll.ciqfunctions.udf.CIQ($B74,"IQ_CDS_mid",P$2)</f>
        <v>43.6434</v>
      </c>
      <c r="Q74">
        <f ca="1">_xll.ciqfunctions.udf.CIQ($B74,"IQ_CDS_mid",Q$2)</f>
        <v>41.251800000000003</v>
      </c>
      <c r="R74">
        <f ca="1">_xll.ciqfunctions.udf.CIQ($B74,"IQ_CDS_mid",R$2)</f>
        <v>39.695799999999998</v>
      </c>
      <c r="S74">
        <f ca="1">_xll.ciqfunctions.udf.CIQ($B74,"IQ_CDS_mid",S$2)</f>
        <v>30.3156</v>
      </c>
      <c r="T74">
        <f ca="1">C74-H74</f>
        <v>0.3125</v>
      </c>
      <c r="U74">
        <f ca="1">C74-M74</f>
        <v>1.0989999999999966</v>
      </c>
      <c r="V74">
        <f ca="1">C74-Q74</f>
        <v>1.1596999999999937</v>
      </c>
      <c r="W74">
        <f ca="1">C74-R74</f>
        <v>2.7156999999999982</v>
      </c>
      <c r="X74">
        <f t="shared" ca="1" si="13"/>
        <v>12.095899999999997</v>
      </c>
    </row>
    <row r="75" spans="1:24" ht="15.5">
      <c r="A75" s="27" t="s">
        <v>37</v>
      </c>
      <c r="B75" s="25" t="s">
        <v>119</v>
      </c>
      <c r="C75">
        <f ca="1">_xll.ciqfunctions.udf.CIQ($B75,"IQ_CDS_mid",C$2)</f>
        <v>41.214599999999997</v>
      </c>
      <c r="D75">
        <f ca="1">_xll.ciqfunctions.udf.CIQ($B75,"IQ_CDS_mid",D$2)</f>
        <v>41.214599999999997</v>
      </c>
      <c r="E75">
        <f ca="1">_xll.ciqfunctions.udf.CIQ($B75,"IQ_CDS_mid",E$2)</f>
        <v>41.214599999999997</v>
      </c>
      <c r="F75">
        <f ca="1">_xll.ciqfunctions.udf.CIQ($B75,"IQ_CDS_mid",F$2)</f>
        <v>41.214599999999997</v>
      </c>
      <c r="G75">
        <f ca="1">_xll.ciqfunctions.udf.CIQ($B75,"IQ_CDS_mid",G$2)</f>
        <v>40.949300000000001</v>
      </c>
      <c r="H75">
        <f ca="1">_xll.ciqfunctions.udf.CIQ($B75,"IQ_CDS_mid",H$2)</f>
        <v>40.966500000000003</v>
      </c>
      <c r="I75">
        <f ca="1">_xll.ciqfunctions.udf.CIQ($B75,"IQ_CDS_mid",I$2)</f>
        <v>41.008400000000002</v>
      </c>
      <c r="J75">
        <f ca="1">_xll.ciqfunctions.udf.CIQ($B75,"IQ_CDS_mid",J$2)</f>
        <v>41.039200000000001</v>
      </c>
      <c r="K75">
        <f ca="1">_xll.ciqfunctions.udf.CIQ($B75,"IQ_CDS_mid",K$2)</f>
        <v>41.042499999999997</v>
      </c>
      <c r="L75">
        <f ca="1">_xll.ciqfunctions.udf.CIQ($B75,"IQ_CDS_mid",L$2)</f>
        <v>41.042499999999997</v>
      </c>
      <c r="M75">
        <f ca="1">_xll.ciqfunctions.udf.CIQ($B75,"IQ_CDS_mid",M$2)</f>
        <v>41.042499999999997</v>
      </c>
      <c r="N75">
        <f ca="1">_xll.ciqfunctions.udf.CIQ($B75,"IQ_CDS_mid",N$2)</f>
        <v>41.052500000000002</v>
      </c>
      <c r="O75">
        <f ca="1">_xll.ciqfunctions.udf.CIQ($B75,"IQ_CDS_mid",O$2)</f>
        <v>41.089199999999998</v>
      </c>
      <c r="P75">
        <f ca="1">_xll.ciqfunctions.udf.CIQ($B75,"IQ_CDS_mid",P$2)</f>
        <v>41.145000000000003</v>
      </c>
      <c r="Q75">
        <f ca="1">_xll.ciqfunctions.udf.CIQ($B75,"IQ_CDS_mid",Q$2)</f>
        <v>41.148099999999999</v>
      </c>
      <c r="R75">
        <f ca="1">_xll.ciqfunctions.udf.CIQ($B75,"IQ_CDS_mid",R$2)</f>
        <v>46.023099999999999</v>
      </c>
      <c r="S75">
        <f ca="1">_xll.ciqfunctions.udf.CIQ($B75,"IQ_CDS_mid",S$2)</f>
        <v>54.529899999999998</v>
      </c>
      <c r="T75">
        <f ca="1">C75-H75</f>
        <v>0.24809999999999377</v>
      </c>
      <c r="U75">
        <f ca="1">C75-M75</f>
        <v>0.17210000000000036</v>
      </c>
      <c r="V75">
        <f ca="1">C75-Q75</f>
        <v>6.6499999999997783E-2</v>
      </c>
      <c r="W75">
        <f ca="1">C75-R75</f>
        <v>-4.8085000000000022</v>
      </c>
      <c r="X75">
        <f t="shared" ca="1" si="13"/>
        <v>-13.315300000000001</v>
      </c>
    </row>
    <row r="76" spans="1:24" ht="15.5">
      <c r="A76" s="29" t="s">
        <v>38</v>
      </c>
      <c r="B76" s="25" t="s">
        <v>118</v>
      </c>
      <c r="C76">
        <f ca="1">_xll.ciqfunctions.udf.CIQ($B76,"IQ_CDS_mid",C$2)</f>
        <v>62.384099999999997</v>
      </c>
      <c r="D76">
        <f ca="1">_xll.ciqfunctions.udf.CIQ($B76,"IQ_CDS_mid",D$2)</f>
        <v>62.384099999999997</v>
      </c>
      <c r="E76">
        <f ca="1">_xll.ciqfunctions.udf.CIQ($B76,"IQ_CDS_mid",E$2)</f>
        <v>62.384099999999997</v>
      </c>
      <c r="F76">
        <f ca="1">_xll.ciqfunctions.udf.CIQ($B76,"IQ_CDS_mid",F$2)</f>
        <v>62.384099999999997</v>
      </c>
      <c r="G76">
        <f ca="1">_xll.ciqfunctions.udf.CIQ($B76,"IQ_CDS_mid",G$2)</f>
        <v>61.472900000000003</v>
      </c>
      <c r="H76">
        <f ca="1">_xll.ciqfunctions.udf.CIQ($B76,"IQ_CDS_mid",H$2)</f>
        <v>61.718400000000003</v>
      </c>
      <c r="I76">
        <f ca="1">_xll.ciqfunctions.udf.CIQ($B76,"IQ_CDS_mid",I$2)</f>
        <v>62.207799999999999</v>
      </c>
      <c r="J76">
        <f ca="1">_xll.ciqfunctions.udf.CIQ($B76,"IQ_CDS_mid",J$2)</f>
        <v>62.165799999999997</v>
      </c>
      <c r="K76">
        <f ca="1">_xll.ciqfunctions.udf.CIQ($B76,"IQ_CDS_mid",K$2)</f>
        <v>63.653300000000002</v>
      </c>
      <c r="L76">
        <f ca="1">_xll.ciqfunctions.udf.CIQ($B76,"IQ_CDS_mid",L$2)</f>
        <v>63.653300000000002</v>
      </c>
      <c r="M76">
        <f ca="1">_xll.ciqfunctions.udf.CIQ($B76,"IQ_CDS_mid",M$2)</f>
        <v>63.653300000000002</v>
      </c>
      <c r="N76">
        <f ca="1">_xll.ciqfunctions.udf.CIQ($B76,"IQ_CDS_mid",N$2)</f>
        <v>63.594999999999999</v>
      </c>
      <c r="O76">
        <f ca="1">_xll.ciqfunctions.udf.CIQ($B76,"IQ_CDS_mid",O$2)</f>
        <v>64.0749</v>
      </c>
      <c r="P76">
        <f ca="1">_xll.ciqfunctions.udf.CIQ($B76,"IQ_CDS_mid",P$2)</f>
        <v>64.131299999999996</v>
      </c>
      <c r="Q76">
        <f ca="1">_xll.ciqfunctions.udf.CIQ($B76,"IQ_CDS_mid",Q$2)</f>
        <v>64.544399999999996</v>
      </c>
      <c r="R76">
        <f ca="1">_xll.ciqfunctions.udf.CIQ($B76,"IQ_CDS_mid",R$2)</f>
        <v>67.915300000000002</v>
      </c>
      <c r="S76">
        <f ca="1">_xll.ciqfunctions.udf.CIQ($B76,"IQ_CDS_mid",S$2)</f>
        <v>68.294200000000004</v>
      </c>
      <c r="T76">
        <f ca="1">C76-H76</f>
        <v>0.66569999999999396</v>
      </c>
      <c r="U76">
        <f ca="1">C76-M76</f>
        <v>-1.269200000000005</v>
      </c>
      <c r="V76">
        <f ca="1">C76-Q76</f>
        <v>-2.1602999999999994</v>
      </c>
      <c r="W76">
        <f ca="1">C76-R76</f>
        <v>-5.5312000000000054</v>
      </c>
      <c r="X76">
        <f t="shared" ca="1" si="13"/>
        <v>-5.910100000000007</v>
      </c>
    </row>
    <row r="77" spans="1:24" ht="15.5">
      <c r="A77" s="29" t="s">
        <v>39</v>
      </c>
      <c r="B77" s="25" t="s">
        <v>117</v>
      </c>
      <c r="C77">
        <f ca="1">_xll.ciqfunctions.udf.CIQ($B77,"IQ_CDS_mid",C$2)</f>
        <v>75.2102</v>
      </c>
      <c r="D77">
        <f ca="1">_xll.ciqfunctions.udf.CIQ($B77,"IQ_CDS_mid",D$2)</f>
        <v>75.2102</v>
      </c>
      <c r="E77">
        <f ca="1">_xll.ciqfunctions.udf.CIQ($B77,"IQ_CDS_mid",E$2)</f>
        <v>75.2102</v>
      </c>
      <c r="F77">
        <f ca="1">_xll.ciqfunctions.udf.CIQ($B77,"IQ_CDS_mid",F$2)</f>
        <v>75.2102</v>
      </c>
      <c r="G77">
        <f ca="1">_xll.ciqfunctions.udf.CIQ($B77,"IQ_CDS_mid",G$2)</f>
        <v>75.203500000000005</v>
      </c>
      <c r="H77">
        <f ca="1">_xll.ciqfunctions.udf.CIQ($B77,"IQ_CDS_mid",H$2)</f>
        <v>75.207400000000007</v>
      </c>
      <c r="I77">
        <f ca="1">_xll.ciqfunctions.udf.CIQ($B77,"IQ_CDS_mid",I$2)</f>
        <v>75.209900000000005</v>
      </c>
      <c r="J77">
        <f ca="1">_xll.ciqfunctions.udf.CIQ($B77,"IQ_CDS_mid",J$2)</f>
        <v>74.622</v>
      </c>
      <c r="K77">
        <f ca="1">_xll.ciqfunctions.udf.CIQ($B77,"IQ_CDS_mid",K$2)</f>
        <v>75.218100000000007</v>
      </c>
      <c r="L77">
        <f ca="1">_xll.ciqfunctions.udf.CIQ($B77,"IQ_CDS_mid",L$2)</f>
        <v>75.218100000000007</v>
      </c>
      <c r="M77">
        <f ca="1">_xll.ciqfunctions.udf.CIQ($B77,"IQ_CDS_mid",M$2)</f>
        <v>75.218100000000007</v>
      </c>
      <c r="N77">
        <f ca="1">_xll.ciqfunctions.udf.CIQ($B77,"IQ_CDS_mid",N$2)</f>
        <v>75.213499999999996</v>
      </c>
      <c r="O77">
        <f ca="1">_xll.ciqfunctions.udf.CIQ($B77,"IQ_CDS_mid",O$2)</f>
        <v>75.210700000000003</v>
      </c>
      <c r="P77">
        <f ca="1">_xll.ciqfunctions.udf.CIQ($B77,"IQ_CDS_mid",P$2)</f>
        <v>74.631799999999998</v>
      </c>
      <c r="Q77">
        <f ca="1">_xll.ciqfunctions.udf.CIQ($B77,"IQ_CDS_mid",Q$2)</f>
        <v>75.213800000000006</v>
      </c>
      <c r="R77">
        <f ca="1">_xll.ciqfunctions.udf.CIQ($B77,"IQ_CDS_mid",R$2)</f>
        <v>74.134299999999996</v>
      </c>
      <c r="S77">
        <f ca="1">_xll.ciqfunctions.udf.CIQ($B77,"IQ_CDS_mid",S$2)</f>
        <v>77.104500000000002</v>
      </c>
      <c r="T77">
        <f ca="1">C77-H77</f>
        <v>2.7999999999934744E-3</v>
      </c>
      <c r="U77">
        <f ca="1">C77-M77</f>
        <v>-7.9000000000064574E-3</v>
      </c>
      <c r="V77">
        <f ca="1">C77-Q77</f>
        <v>-3.6000000000058208E-3</v>
      </c>
      <c r="W77">
        <f ca="1">C77-R77</f>
        <v>1.0759000000000043</v>
      </c>
      <c r="X77">
        <f t="shared" ca="1" si="13"/>
        <v>-1.8943000000000012</v>
      </c>
    </row>
    <row r="78" spans="1:24" ht="15.5">
      <c r="A78" s="28" t="s">
        <v>40</v>
      </c>
      <c r="X78">
        <f t="shared" si="13"/>
        <v>0</v>
      </c>
    </row>
    <row r="79" spans="1:24" ht="15.5">
      <c r="A79" s="27" t="s">
        <v>42</v>
      </c>
      <c r="B79" s="25" t="s">
        <v>116</v>
      </c>
      <c r="C79">
        <f ca="1">_xll.ciqfunctions.udf.CIQ($B79,"IQ_CDS_mid",C$2)</f>
        <v>61.666699999999999</v>
      </c>
      <c r="D79">
        <f ca="1">_xll.ciqfunctions.udf.CIQ($B79,"IQ_CDS_mid",D$2)</f>
        <v>61.666699999999999</v>
      </c>
      <c r="E79">
        <f ca="1">_xll.ciqfunctions.udf.CIQ($B79,"IQ_CDS_mid",E$2)</f>
        <v>61.666699999999999</v>
      </c>
      <c r="F79">
        <f ca="1">_xll.ciqfunctions.udf.CIQ($B79,"IQ_CDS_mid",F$2)</f>
        <v>61.666699999999999</v>
      </c>
      <c r="G79">
        <f ca="1">_xll.ciqfunctions.udf.CIQ($B79,"IQ_CDS_mid",G$2)</f>
        <v>61.666699999999999</v>
      </c>
      <c r="H79">
        <f ca="1">_xll.ciqfunctions.udf.CIQ($B79,"IQ_CDS_mid",H$2)</f>
        <v>61.5</v>
      </c>
      <c r="I79">
        <f ca="1">_xll.ciqfunctions.udf.CIQ($B79,"IQ_CDS_mid",I$2)</f>
        <v>61.166699999999999</v>
      </c>
      <c r="J79">
        <f ca="1">_xll.ciqfunctions.udf.CIQ($B79,"IQ_CDS_mid",J$2)</f>
        <v>61.166699999999999</v>
      </c>
      <c r="K79">
        <f ca="1">_xll.ciqfunctions.udf.CIQ($B79,"IQ_CDS_mid",K$2)</f>
        <v>61.166699999999999</v>
      </c>
      <c r="L79">
        <f ca="1">_xll.ciqfunctions.udf.CIQ($B79,"IQ_CDS_mid",L$2)</f>
        <v>61.166699999999999</v>
      </c>
      <c r="M79">
        <f ca="1">_xll.ciqfunctions.udf.CIQ($B79,"IQ_CDS_mid",M$2)</f>
        <v>61.166699999999999</v>
      </c>
      <c r="N79">
        <f ca="1">_xll.ciqfunctions.udf.CIQ($B79,"IQ_CDS_mid",N$2)</f>
        <v>61.166699999999999</v>
      </c>
      <c r="O79">
        <f ca="1">_xll.ciqfunctions.udf.CIQ($B79,"IQ_CDS_mid",O$2)</f>
        <v>61.5</v>
      </c>
      <c r="P79">
        <f ca="1">_xll.ciqfunctions.udf.CIQ($B79,"IQ_CDS_mid",P$2)</f>
        <v>61.5</v>
      </c>
      <c r="Q79">
        <f ca="1">_xll.ciqfunctions.udf.CIQ($B79,"IQ_CDS_mid",Q$2)</f>
        <v>61.5</v>
      </c>
      <c r="R79">
        <f ca="1">_xll.ciqfunctions.udf.CIQ($B79,"IQ_CDS_mid",R$2)</f>
        <v>63</v>
      </c>
      <c r="S79">
        <f ca="1">_xll.ciqfunctions.udf.CIQ($B79,"IQ_CDS_mid",S$2)</f>
        <v>39.189</v>
      </c>
      <c r="T79">
        <f t="shared" ref="T79:T84" ca="1" si="18">C79-H79</f>
        <v>0.16669999999999874</v>
      </c>
      <c r="U79">
        <f t="shared" ref="U79:U84" ca="1" si="19">C79-M79</f>
        <v>0.5</v>
      </c>
      <c r="V79">
        <f t="shared" ref="V79:V84" ca="1" si="20">C79-Q79</f>
        <v>0.16669999999999874</v>
      </c>
      <c r="W79">
        <f t="shared" ref="W79:W84" ca="1" si="21">C79-R79</f>
        <v>-1.3333000000000013</v>
      </c>
      <c r="X79">
        <f t="shared" ca="1" si="13"/>
        <v>22.477699999999999</v>
      </c>
    </row>
    <row r="80" spans="1:24" ht="15.5">
      <c r="A80" s="27" t="s">
        <v>43</v>
      </c>
      <c r="B80" s="25" t="s">
        <v>115</v>
      </c>
      <c r="C80">
        <f ca="1">_xll.ciqfunctions.udf.CIQ($B80,"IQ_CDS_mid",C$2)</f>
        <v>58.165100000000002</v>
      </c>
      <c r="D80">
        <f ca="1">_xll.ciqfunctions.udf.CIQ($B80,"IQ_CDS_mid",D$2)</f>
        <v>58.165100000000002</v>
      </c>
      <c r="E80">
        <f ca="1">_xll.ciqfunctions.udf.CIQ($B80,"IQ_CDS_mid",E$2)</f>
        <v>58.165100000000002</v>
      </c>
      <c r="F80">
        <f ca="1">_xll.ciqfunctions.udf.CIQ($B80,"IQ_CDS_mid",F$2)</f>
        <v>58.165100000000002</v>
      </c>
      <c r="G80">
        <f ca="1">_xll.ciqfunctions.udf.CIQ($B80,"IQ_CDS_mid",G$2)</f>
        <v>58.165900000000001</v>
      </c>
      <c r="H80">
        <f ca="1">_xll.ciqfunctions.udf.CIQ($B80,"IQ_CDS_mid",H$2)</f>
        <v>58.166600000000003</v>
      </c>
      <c r="I80">
        <f ca="1">_xll.ciqfunctions.udf.CIQ($B80,"IQ_CDS_mid",I$2)</f>
        <v>57.834099999999999</v>
      </c>
      <c r="J80">
        <f ca="1">_xll.ciqfunctions.udf.CIQ($B80,"IQ_CDS_mid",J$2)</f>
        <v>57.834899999999998</v>
      </c>
      <c r="K80">
        <f ca="1">_xll.ciqfunctions.udf.CIQ($B80,"IQ_CDS_mid",K$2)</f>
        <v>57.836399999999998</v>
      </c>
      <c r="L80">
        <f ca="1">_xll.ciqfunctions.udf.CIQ($B80,"IQ_CDS_mid",L$2)</f>
        <v>57.836399999999998</v>
      </c>
      <c r="M80">
        <f ca="1">_xll.ciqfunctions.udf.CIQ($B80,"IQ_CDS_mid",M$2)</f>
        <v>57.836399999999998</v>
      </c>
      <c r="N80">
        <f ca="1">_xll.ciqfunctions.udf.CIQ($B80,"IQ_CDS_mid",N$2)</f>
        <v>57.837000000000003</v>
      </c>
      <c r="O80">
        <f ca="1">_xll.ciqfunctions.udf.CIQ($B80,"IQ_CDS_mid",O$2)</f>
        <v>56.5</v>
      </c>
      <c r="P80">
        <f ca="1">_xll.ciqfunctions.udf.CIQ($B80,"IQ_CDS_mid",P$2)</f>
        <v>56.5</v>
      </c>
      <c r="Q80">
        <f ca="1">_xll.ciqfunctions.udf.CIQ($B80,"IQ_CDS_mid",Q$2)</f>
        <v>56.5</v>
      </c>
      <c r="R80">
        <f ca="1">_xll.ciqfunctions.udf.CIQ($B80,"IQ_CDS_mid",R$2)</f>
        <v>55</v>
      </c>
      <c r="S80">
        <f ca="1">_xll.ciqfunctions.udf.CIQ($B80,"IQ_CDS_mid",S$2)</f>
        <v>41.4435</v>
      </c>
      <c r="T80">
        <f t="shared" ca="1" si="18"/>
        <v>-1.5000000000000568E-3</v>
      </c>
      <c r="U80">
        <f t="shared" ca="1" si="19"/>
        <v>0.32870000000000488</v>
      </c>
      <c r="V80">
        <f t="shared" ca="1" si="20"/>
        <v>1.6651000000000025</v>
      </c>
      <c r="W80">
        <f t="shared" ca="1" si="21"/>
        <v>3.1651000000000025</v>
      </c>
      <c r="X80">
        <f t="shared" ca="1" si="13"/>
        <v>16.721600000000002</v>
      </c>
    </row>
    <row r="81" spans="1:24" ht="15.5">
      <c r="A81" s="27" t="s">
        <v>44</v>
      </c>
      <c r="B81" t="s">
        <v>114</v>
      </c>
      <c r="C81">
        <f ca="1">_xll.ciqfunctions.udf.CIQ($B81,"IQ_CDS_mid",C$2)</f>
        <v>62.506700000000002</v>
      </c>
      <c r="D81">
        <f ca="1">_xll.ciqfunctions.udf.CIQ($B81,"IQ_CDS_mid",D$2)</f>
        <v>62.506700000000002</v>
      </c>
      <c r="E81">
        <f ca="1">_xll.ciqfunctions.udf.CIQ($B81,"IQ_CDS_mid",E$2)</f>
        <v>62.506700000000002</v>
      </c>
      <c r="F81">
        <f ca="1">_xll.ciqfunctions.udf.CIQ($B81,"IQ_CDS_mid",F$2)</f>
        <v>62.506700000000002</v>
      </c>
      <c r="G81">
        <f ca="1">_xll.ciqfunctions.udf.CIQ($B81,"IQ_CDS_mid",G$2)</f>
        <v>62.503500000000003</v>
      </c>
      <c r="H81">
        <f ca="1">_xll.ciqfunctions.udf.CIQ($B81,"IQ_CDS_mid",H$2)</f>
        <v>62.171300000000002</v>
      </c>
      <c r="I81">
        <f ca="1">_xll.ciqfunctions.udf.CIQ($B81,"IQ_CDS_mid",I$2)</f>
        <v>61.837000000000003</v>
      </c>
      <c r="J81">
        <f ca="1">_xll.ciqfunctions.udf.CIQ($B81,"IQ_CDS_mid",J$2)</f>
        <v>62.167299999999997</v>
      </c>
      <c r="K81">
        <f ca="1">_xll.ciqfunctions.udf.CIQ($B81,"IQ_CDS_mid",K$2)</f>
        <v>62.128599999999999</v>
      </c>
      <c r="L81">
        <f ca="1">_xll.ciqfunctions.udf.CIQ($B81,"IQ_CDS_mid",L$2)</f>
        <v>62.128599999999999</v>
      </c>
      <c r="M81">
        <f ca="1">_xll.ciqfunctions.udf.CIQ($B81,"IQ_CDS_mid",M$2)</f>
        <v>62.128599999999999</v>
      </c>
      <c r="N81">
        <f ca="1">_xll.ciqfunctions.udf.CIQ($B81,"IQ_CDS_mid",N$2)</f>
        <v>62.166600000000003</v>
      </c>
      <c r="O81">
        <f ca="1">_xll.ciqfunctions.udf.CIQ($B81,"IQ_CDS_mid",O$2)</f>
        <v>62.506599999999999</v>
      </c>
      <c r="P81">
        <f ca="1">_xll.ciqfunctions.udf.CIQ($B81,"IQ_CDS_mid",P$2)</f>
        <v>62.501300000000001</v>
      </c>
      <c r="Q81">
        <f ca="1">_xll.ciqfunctions.udf.CIQ($B81,"IQ_CDS_mid",Q$2)</f>
        <v>62.333300000000001</v>
      </c>
      <c r="R81">
        <f ca="1">_xll.ciqfunctions.udf.CIQ($B81,"IQ_CDS_mid",R$2)</f>
        <v>61.001300000000001</v>
      </c>
      <c r="S81">
        <f ca="1">_xll.ciqfunctions.udf.CIQ($B81,"IQ_CDS_mid",S$2)</f>
        <v>41.433300000000003</v>
      </c>
      <c r="T81">
        <f t="shared" ca="1" si="18"/>
        <v>0.33539999999999992</v>
      </c>
      <c r="U81">
        <f t="shared" ca="1" si="19"/>
        <v>0.37810000000000343</v>
      </c>
      <c r="V81">
        <f t="shared" ca="1" si="20"/>
        <v>0.17340000000000089</v>
      </c>
      <c r="W81">
        <f t="shared" ca="1" si="21"/>
        <v>1.5054000000000016</v>
      </c>
      <c r="X81">
        <f t="shared" ca="1" si="13"/>
        <v>21.073399999999999</v>
      </c>
    </row>
    <row r="82" spans="1:24" ht="15.5">
      <c r="A82" s="27" t="s">
        <v>45</v>
      </c>
      <c r="B82" s="25" t="s">
        <v>113</v>
      </c>
      <c r="C82">
        <f ca="1">_xll.ciqfunctions.udf.CIQ($B82,"IQ_CDS_mid",C$2)</f>
        <v>56.673999999999999</v>
      </c>
      <c r="D82">
        <f ca="1">_xll.ciqfunctions.udf.CIQ($B82,"IQ_CDS_mid",D$2)</f>
        <v>56.673999999999999</v>
      </c>
      <c r="E82">
        <f ca="1">_xll.ciqfunctions.udf.CIQ($B82,"IQ_CDS_mid",E$2)</f>
        <v>56.673999999999999</v>
      </c>
      <c r="F82">
        <f ca="1">_xll.ciqfunctions.udf.CIQ($B82,"IQ_CDS_mid",F$2)</f>
        <v>56.673999999999999</v>
      </c>
      <c r="G82">
        <f ca="1">_xll.ciqfunctions.udf.CIQ($B82,"IQ_CDS_mid",G$2)</f>
        <v>56.653599999999997</v>
      </c>
      <c r="H82">
        <f ca="1">_xll.ciqfunctions.udf.CIQ($B82,"IQ_CDS_mid",H$2)</f>
        <v>56.653599999999997</v>
      </c>
      <c r="I82">
        <f ca="1">_xll.ciqfunctions.udf.CIQ($B82,"IQ_CDS_mid",I$2)</f>
        <v>56.315600000000003</v>
      </c>
      <c r="J82">
        <f ca="1">_xll.ciqfunctions.udf.CIQ($B82,"IQ_CDS_mid",J$2)</f>
        <v>56</v>
      </c>
      <c r="K82">
        <f ca="1">_xll.ciqfunctions.udf.CIQ($B82,"IQ_CDS_mid",K$2)</f>
        <v>56</v>
      </c>
      <c r="L82">
        <f ca="1">_xll.ciqfunctions.udf.CIQ($B82,"IQ_CDS_mid",L$2)</f>
        <v>56</v>
      </c>
      <c r="M82">
        <f ca="1">_xll.ciqfunctions.udf.CIQ($B82,"IQ_CDS_mid",M$2)</f>
        <v>56</v>
      </c>
      <c r="N82">
        <f ca="1">_xll.ciqfunctions.udf.CIQ($B82,"IQ_CDS_mid",N$2)</f>
        <v>56</v>
      </c>
      <c r="O82">
        <f ca="1">_xll.ciqfunctions.udf.CIQ($B82,"IQ_CDS_mid",O$2)</f>
        <v>56.5</v>
      </c>
      <c r="P82">
        <f ca="1">_xll.ciqfunctions.udf.CIQ($B82,"IQ_CDS_mid",P$2)</f>
        <v>56.5</v>
      </c>
      <c r="Q82">
        <f ca="1">_xll.ciqfunctions.udf.CIQ($B82,"IQ_CDS_mid",Q$2)</f>
        <v>56.5</v>
      </c>
      <c r="R82">
        <f ca="1">_xll.ciqfunctions.udf.CIQ($B82,"IQ_CDS_mid",R$2)</f>
        <v>55</v>
      </c>
      <c r="S82">
        <f ca="1">_xll.ciqfunctions.udf.CIQ($B82,"IQ_CDS_mid",S$2)</f>
        <v>44.5336</v>
      </c>
      <c r="T82">
        <f t="shared" ca="1" si="18"/>
        <v>2.0400000000002194E-2</v>
      </c>
      <c r="U82">
        <f t="shared" ca="1" si="19"/>
        <v>0.67399999999999949</v>
      </c>
      <c r="V82">
        <f t="shared" ca="1" si="20"/>
        <v>0.17399999999999949</v>
      </c>
      <c r="W82">
        <f t="shared" ca="1" si="21"/>
        <v>1.6739999999999995</v>
      </c>
      <c r="X82">
        <f t="shared" ca="1" si="13"/>
        <v>12.1404</v>
      </c>
    </row>
    <row r="83" spans="1:24" ht="15.5">
      <c r="A83" s="27" t="s">
        <v>46</v>
      </c>
      <c r="B83" s="25" t="s">
        <v>112</v>
      </c>
      <c r="C83">
        <f ca="1">_xll.ciqfunctions.udf.CIQ($B83,"IQ_CDS_mid",C$2)</f>
        <v>61.2928</v>
      </c>
      <c r="D83">
        <f ca="1">_xll.ciqfunctions.udf.CIQ($B83,"IQ_CDS_mid",D$2)</f>
        <v>61.2928</v>
      </c>
      <c r="E83">
        <f ca="1">_xll.ciqfunctions.udf.CIQ($B83,"IQ_CDS_mid",E$2)</f>
        <v>61.2928</v>
      </c>
      <c r="F83">
        <f ca="1">_xll.ciqfunctions.udf.CIQ($B83,"IQ_CDS_mid",F$2)</f>
        <v>61.2928</v>
      </c>
      <c r="G83">
        <f ca="1">_xll.ciqfunctions.udf.CIQ($B83,"IQ_CDS_mid",G$2)</f>
        <v>60.9788</v>
      </c>
      <c r="H83">
        <f ca="1">_xll.ciqfunctions.udf.CIQ($B83,"IQ_CDS_mid",H$2)</f>
        <v>60.3842</v>
      </c>
      <c r="I83">
        <f ca="1">_xll.ciqfunctions.udf.CIQ($B83,"IQ_CDS_mid",I$2)</f>
        <v>60.128599999999999</v>
      </c>
      <c r="J83">
        <f ca="1">_xll.ciqfunctions.udf.CIQ($B83,"IQ_CDS_mid",J$2)</f>
        <v>60.285200000000003</v>
      </c>
      <c r="K83">
        <f ca="1">_xll.ciqfunctions.udf.CIQ($B83,"IQ_CDS_mid",K$2)</f>
        <v>60.8123</v>
      </c>
      <c r="L83">
        <f ca="1">_xll.ciqfunctions.udf.CIQ($B83,"IQ_CDS_mid",L$2)</f>
        <v>60.8123</v>
      </c>
      <c r="M83">
        <f ca="1">_xll.ciqfunctions.udf.CIQ($B83,"IQ_CDS_mid",M$2)</f>
        <v>60.8123</v>
      </c>
      <c r="N83">
        <f ca="1">_xll.ciqfunctions.udf.CIQ($B83,"IQ_CDS_mid",N$2)</f>
        <v>60.219499999999996</v>
      </c>
      <c r="O83">
        <f ca="1">_xll.ciqfunctions.udf.CIQ($B83,"IQ_CDS_mid",O$2)</f>
        <v>60.520600000000002</v>
      </c>
      <c r="P83">
        <f ca="1">_xll.ciqfunctions.udf.CIQ($B83,"IQ_CDS_mid",P$2)</f>
        <v>60.506</v>
      </c>
      <c r="Q83">
        <f ca="1">_xll.ciqfunctions.udf.CIQ($B83,"IQ_CDS_mid",Q$2)</f>
        <v>60.502299999999998</v>
      </c>
      <c r="R83">
        <f ca="1">_xll.ciqfunctions.udf.CIQ($B83,"IQ_CDS_mid",R$2)</f>
        <v>56.699199999999998</v>
      </c>
      <c r="S83">
        <f ca="1">_xll.ciqfunctions.udf.CIQ($B83,"IQ_CDS_mid",S$2)</f>
        <v>37.821899999999999</v>
      </c>
      <c r="T83">
        <f t="shared" ca="1" si="18"/>
        <v>0.90859999999999985</v>
      </c>
      <c r="U83">
        <f t="shared" ca="1" si="19"/>
        <v>0.48049999999999926</v>
      </c>
      <c r="V83">
        <f t="shared" ca="1" si="20"/>
        <v>0.79050000000000153</v>
      </c>
      <c r="W83">
        <f t="shared" ca="1" si="21"/>
        <v>4.5936000000000021</v>
      </c>
      <c r="X83">
        <f t="shared" ca="1" si="13"/>
        <v>23.4709</v>
      </c>
    </row>
    <row r="84" spans="1:24" ht="15.5">
      <c r="A84" s="27" t="s">
        <v>47</v>
      </c>
      <c r="B84" t="s">
        <v>111</v>
      </c>
      <c r="C84">
        <f ca="1">_xll.ciqfunctions.udf.CIQ($B84,"IQ_CDS_mid",C$2)</f>
        <v>60.521999999999998</v>
      </c>
      <c r="D84">
        <f ca="1">_xll.ciqfunctions.udf.CIQ($B84,"IQ_CDS_mid",D$2)</f>
        <v>60.521999999999998</v>
      </c>
      <c r="E84">
        <f ca="1">_xll.ciqfunctions.udf.CIQ($B84,"IQ_CDS_mid",E$2)</f>
        <v>60.521999999999998</v>
      </c>
      <c r="F84">
        <f ca="1">_xll.ciqfunctions.udf.CIQ($B84,"IQ_CDS_mid",F$2)</f>
        <v>60.521999999999998</v>
      </c>
      <c r="G84">
        <f ca="1">_xll.ciqfunctions.udf.CIQ($B84,"IQ_CDS_mid",G$2)</f>
        <v>60.519199999999998</v>
      </c>
      <c r="H84">
        <f ca="1">_xll.ciqfunctions.udf.CIQ($B84,"IQ_CDS_mid",H$2)</f>
        <v>60.468699999999998</v>
      </c>
      <c r="I84">
        <f ca="1">_xll.ciqfunctions.udf.CIQ($B84,"IQ_CDS_mid",I$2)</f>
        <v>59.969299999999997</v>
      </c>
      <c r="J84">
        <f ca="1">_xll.ciqfunctions.udf.CIQ($B84,"IQ_CDS_mid",J$2)</f>
        <v>59.9754</v>
      </c>
      <c r="K84">
        <f ca="1">_xll.ciqfunctions.udf.CIQ($B84,"IQ_CDS_mid",K$2)</f>
        <v>60.006599999999999</v>
      </c>
      <c r="L84">
        <f ca="1">_xll.ciqfunctions.udf.CIQ($B84,"IQ_CDS_mid",L$2)</f>
        <v>60.006599999999999</v>
      </c>
      <c r="M84">
        <f ca="1">_xll.ciqfunctions.udf.CIQ($B84,"IQ_CDS_mid",M$2)</f>
        <v>60.006599999999999</v>
      </c>
      <c r="N84">
        <f ca="1">_xll.ciqfunctions.udf.CIQ($B84,"IQ_CDS_mid",N$2)</f>
        <v>60.068199999999997</v>
      </c>
      <c r="O84">
        <f ca="1">_xll.ciqfunctions.udf.CIQ($B84,"IQ_CDS_mid",O$2)</f>
        <v>60.554099999999998</v>
      </c>
      <c r="P84">
        <f ca="1">_xll.ciqfunctions.udf.CIQ($B84,"IQ_CDS_mid",P$2)</f>
        <v>60.538899999999998</v>
      </c>
      <c r="Q84">
        <f ca="1">_xll.ciqfunctions.udf.CIQ($B84,"IQ_CDS_mid",Q$2)</f>
        <v>60.4801</v>
      </c>
      <c r="R84">
        <f ca="1">_xll.ciqfunctions.udf.CIQ($B84,"IQ_CDS_mid",R$2)</f>
        <v>53.939700000000002</v>
      </c>
      <c r="S84">
        <f ca="1">_xll.ciqfunctions.udf.CIQ($B84,"IQ_CDS_mid",S$2)</f>
        <v>51.478099999999998</v>
      </c>
      <c r="T84">
        <f t="shared" ca="1" si="18"/>
        <v>5.3300000000000125E-2</v>
      </c>
      <c r="U84">
        <f t="shared" ca="1" si="19"/>
        <v>0.51539999999999964</v>
      </c>
      <c r="V84">
        <f t="shared" ca="1" si="20"/>
        <v>4.1899999999998272E-2</v>
      </c>
      <c r="W84">
        <f t="shared" ca="1" si="21"/>
        <v>6.5822999999999965</v>
      </c>
      <c r="X84">
        <f t="shared" ca="1" si="13"/>
        <v>9.0439000000000007</v>
      </c>
    </row>
    <row r="85" spans="1:24" ht="15.5">
      <c r="A85" s="26" t="s">
        <v>48</v>
      </c>
      <c r="B85" s="25"/>
    </row>
  </sheetData>
  <conditionalFormatting sqref="O3:S6 C3:N15 O8:S15 C16:S16 O17:S20 C17:N44 O22:S29 O31:S42 O44:S44 C45:C52 D48:S52 C53:S84">
    <cfRule type="cellIs" dxfId="1" priority="2" operator="greaterThan">
      <formula>150</formula>
    </cfRule>
    <cfRule type="cellIs" priority="3" operator="greaterThan">
      <formula>150</formula>
    </cfRule>
  </conditionalFormatting>
  <conditionalFormatting sqref="T3:U84">
    <cfRule type="cellIs" dxfId="0" priority="1" operator="greaterThan">
      <formula>10</formula>
    </cfRule>
  </conditionalFormatting>
  <pageMargins left="0.7" right="0.7" top="0.75" bottom="0.75" header="0.3" footer="0.3"/>
  <headerFooter>
    <oddHeader>&amp;R&amp;"Aptos"&amp;10&amp;K000000 Category/Catégorie: Non-Sensitive/Non-Délicat&amp;1#_x000D_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Risk Score Model</vt:lpstr>
      <vt:lpstr>CDS from CapitalIQ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Evangelista</dc:creator>
  <cp:lastModifiedBy>Josh Evangelista</cp:lastModifiedBy>
  <dcterms:created xsi:type="dcterms:W3CDTF">2026-06-08T17:51:02Z</dcterms:created>
  <dcterms:modified xsi:type="dcterms:W3CDTF">2026-07-27T16:46:13Z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bacc78-dcc9-4733-835b-33704aeb5fb9_Enabled">
    <vt:lpwstr>true</vt:lpwstr>
  </property>
  <property fmtid="{D5CDD505-2E9C-101B-9397-08002B2CF9AE}" pid="3" name="MSIP_Label_aebacc78-dcc9-4733-835b-33704aeb5fb9_SetDate">
    <vt:lpwstr>2026-07-20T17:11:27Z</vt:lpwstr>
  </property>
  <property fmtid="{D5CDD505-2E9C-101B-9397-08002B2CF9AE}" pid="4" name="MSIP_Label_aebacc78-dcc9-4733-835b-33704aeb5fb9_Method">
    <vt:lpwstr>Privileged</vt:lpwstr>
  </property>
  <property fmtid="{D5CDD505-2E9C-101B-9397-08002B2CF9AE}" pid="5" name="MSIP_Label_aebacc78-dcc9-4733-835b-33704aeb5fb9_Name">
    <vt:lpwstr>Non-Sensitive - Non-Délicat</vt:lpwstr>
  </property>
  <property fmtid="{D5CDD505-2E9C-101B-9397-08002B2CF9AE}" pid="6" name="MSIP_Label_aebacc78-dcc9-4733-835b-33704aeb5fb9_SiteId">
    <vt:lpwstr>164f988b-a2f4-4584-aeaa-21bd4a0234bc</vt:lpwstr>
  </property>
  <property fmtid="{D5CDD505-2E9C-101B-9397-08002B2CF9AE}" pid="7" name="MSIP_Label_aebacc78-dcc9-4733-835b-33704aeb5fb9_ActionId">
    <vt:lpwstr>01940038-6609-4fb7-8904-5c361468ad28</vt:lpwstr>
  </property>
  <property fmtid="{D5CDD505-2E9C-101B-9397-08002B2CF9AE}" pid="8" name="MSIP_Label_aebacc78-dcc9-4733-835b-33704aeb5fb9_ContentBits">
    <vt:lpwstr>1</vt:lpwstr>
  </property>
  <property fmtid="{D5CDD505-2E9C-101B-9397-08002B2CF9AE}" pid="9" name="MSIP_Label_aebacc78-dcc9-4733-835b-33704aeb5fb9_Tag">
    <vt:lpwstr>10, 0, 1, 1</vt:lpwstr>
  </property>
</Properties>
</file>