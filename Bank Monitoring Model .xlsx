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10241" documentId="8_{CDDB89CF-5CE4-4A65-99F7-7EF0C0A12C4C}" xr6:coauthVersionLast="47" xr6:coauthVersionMax="47" xr10:uidLastSave="{718E9D13-248F-4D1F-B875-5695BEFC0494}"/>
  <bookViews>
    <workbookView minimized="1" xWindow="410" yWindow="840" windowWidth="14400" windowHeight="8980" firstSheet="1" activeTab="1" xr2:uid="{A93B9CC2-92A3-4946-B0CF-93E1751ADFB7}"/>
  </bookViews>
  <sheets>
    <sheet name="_CIQHiddenCacheSheet" sheetId="522" state="veryHidden" r:id="rId1"/>
    <sheet name="Report" sheetId="1" r:id="rId2"/>
    <sheet name="Risk Score Model" sheetId="466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"0e0e22b5-b5e9-4d05-b4de-0ce618e07a16"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M2" i="1" a="1"/>
  <c r="T84" i="3" l="1"/>
  <c r="V84" i="3"/>
  <c r="W84" i="3"/>
  <c r="X84" i="3"/>
  <c r="U84" i="3"/>
  <c r="X83" i="3"/>
  <c r="T83" i="3"/>
  <c r="U83" i="3"/>
  <c r="V83" i="3"/>
  <c r="W83" i="3"/>
  <c r="T82" i="3"/>
  <c r="V82" i="3"/>
  <c r="W82" i="3"/>
  <c r="X82" i="3"/>
  <c r="U82" i="3"/>
  <c r="T81" i="3"/>
  <c r="U81" i="3"/>
  <c r="X81" i="3"/>
  <c r="V81" i="3"/>
  <c r="W81" i="3"/>
  <c r="T80" i="3"/>
  <c r="V80" i="3"/>
  <c r="X80" i="3"/>
  <c r="W80" i="3"/>
  <c r="U80" i="3"/>
  <c r="X79" i="3"/>
  <c r="T79" i="3"/>
  <c r="U79" i="3"/>
  <c r="W79" i="3"/>
  <c r="V79" i="3"/>
  <c r="T77" i="3"/>
  <c r="U77" i="3"/>
  <c r="W77" i="3"/>
  <c r="X77" i="3"/>
  <c r="V77" i="3"/>
  <c r="T76" i="3"/>
  <c r="U76" i="3"/>
  <c r="V76" i="3"/>
  <c r="W76" i="3"/>
  <c r="X76" i="3"/>
  <c r="T75" i="3"/>
  <c r="U75" i="3"/>
  <c r="W75" i="3"/>
  <c r="X75" i="3"/>
  <c r="V75" i="3"/>
  <c r="T74" i="3"/>
  <c r="U74" i="3"/>
  <c r="V74" i="3"/>
  <c r="W74" i="3"/>
  <c r="X74" i="3"/>
  <c r="T73" i="3"/>
  <c r="U73" i="3"/>
  <c r="X73" i="3"/>
  <c r="V73" i="3"/>
  <c r="W73" i="3"/>
  <c r="T71" i="3"/>
  <c r="U71" i="3"/>
  <c r="V71" i="3"/>
  <c r="W71" i="3"/>
  <c r="X71" i="3"/>
  <c r="V69" i="3"/>
  <c r="W69" i="3"/>
  <c r="U69" i="3"/>
  <c r="X69" i="3"/>
  <c r="T69" i="3"/>
  <c r="V68" i="3"/>
  <c r="W68" i="3"/>
  <c r="X68" i="3"/>
  <c r="T68" i="3"/>
  <c r="U68" i="3"/>
  <c r="T66" i="3"/>
  <c r="U66" i="3"/>
  <c r="V66" i="3"/>
  <c r="W66" i="3"/>
  <c r="X66" i="3"/>
  <c r="U65" i="3"/>
  <c r="W65" i="3"/>
  <c r="V65" i="3"/>
  <c r="X65" i="3"/>
  <c r="T65" i="3"/>
  <c r="W64" i="3"/>
  <c r="X64" i="3"/>
  <c r="T64" i="3"/>
  <c r="U64" i="3"/>
  <c r="V64" i="3"/>
  <c r="V63" i="3"/>
  <c r="W63" i="3"/>
  <c r="X63" i="3"/>
  <c r="U63" i="3"/>
  <c r="T63" i="3"/>
  <c r="T61" i="3"/>
  <c r="U61" i="3"/>
  <c r="V61" i="3"/>
  <c r="W61" i="3"/>
  <c r="X61" i="3"/>
  <c r="T60" i="3"/>
  <c r="V60" i="3"/>
  <c r="W60" i="3"/>
  <c r="X60" i="3"/>
  <c r="U60" i="3"/>
  <c r="V58" i="3"/>
  <c r="X58" i="3"/>
  <c r="T58" i="3"/>
  <c r="W58" i="3"/>
  <c r="U58" i="3"/>
  <c r="T57" i="3"/>
  <c r="U57" i="3"/>
  <c r="V57" i="3"/>
  <c r="X57" i="3"/>
  <c r="W57" i="3"/>
  <c r="T56" i="3"/>
  <c r="U56" i="3"/>
  <c r="V56" i="3"/>
  <c r="W56" i="3"/>
  <c r="X56" i="3"/>
  <c r="U54" i="3"/>
  <c r="V54" i="3"/>
  <c r="X54" i="3"/>
  <c r="W54" i="3"/>
  <c r="T54" i="3"/>
  <c r="U53" i="3"/>
  <c r="V53" i="3"/>
  <c r="W53" i="3"/>
  <c r="X53" i="3"/>
  <c r="T53" i="3"/>
  <c r="U52" i="3"/>
  <c r="T52" i="3"/>
  <c r="V52" i="3"/>
  <c r="X52" i="3"/>
  <c r="W52" i="3"/>
  <c r="T51" i="3"/>
  <c r="U51" i="3"/>
  <c r="V51" i="3"/>
  <c r="W51" i="3"/>
  <c r="X51" i="3"/>
  <c r="U50" i="3"/>
  <c r="V50" i="3"/>
  <c r="X50" i="3"/>
  <c r="T50" i="3"/>
  <c r="W50" i="3"/>
  <c r="U49" i="3"/>
  <c r="X49" i="3"/>
  <c r="T49" i="3"/>
  <c r="W49" i="3"/>
  <c r="V49" i="3"/>
  <c r="V48" i="3"/>
  <c r="T48" i="3"/>
  <c r="U48" i="3"/>
  <c r="W48" i="3"/>
  <c r="X48" i="3"/>
  <c r="T44" i="3"/>
  <c r="V44" i="3"/>
  <c r="W44" i="3"/>
  <c r="X44" i="3"/>
  <c r="U44" i="3"/>
  <c r="V42" i="3"/>
  <c r="W42" i="3"/>
  <c r="X42" i="3"/>
  <c r="T42" i="3"/>
  <c r="U42" i="3"/>
  <c r="T40" i="3"/>
  <c r="U40" i="3"/>
  <c r="W40" i="3"/>
  <c r="V40" i="3"/>
  <c r="X40" i="3"/>
  <c r="T39" i="3"/>
  <c r="U39" i="3"/>
  <c r="V39" i="3"/>
  <c r="X39" i="3"/>
  <c r="W39" i="3"/>
  <c r="T38" i="3"/>
  <c r="U38" i="3"/>
  <c r="W38" i="3"/>
  <c r="X38" i="3"/>
  <c r="V38" i="3"/>
  <c r="V37" i="3"/>
  <c r="W37" i="3"/>
  <c r="T37" i="3"/>
  <c r="U37" i="3"/>
  <c r="X37" i="3"/>
  <c r="U36" i="3"/>
  <c r="T36" i="3"/>
  <c r="W36" i="3"/>
  <c r="X36" i="3"/>
  <c r="V36" i="3"/>
  <c r="T35" i="3"/>
  <c r="U35" i="3"/>
  <c r="V35" i="3"/>
  <c r="W35" i="3"/>
  <c r="X35" i="3"/>
  <c r="T34" i="3"/>
  <c r="U34" i="3"/>
  <c r="W34" i="3"/>
  <c r="X34" i="3"/>
  <c r="V34" i="3"/>
  <c r="T33" i="3"/>
  <c r="U33" i="3"/>
  <c r="V33" i="3"/>
  <c r="W33" i="3"/>
  <c r="X33" i="3"/>
  <c r="T32" i="3"/>
  <c r="U32" i="3"/>
  <c r="W32" i="3"/>
  <c r="X32" i="3"/>
  <c r="V32" i="3"/>
  <c r="T31" i="3"/>
  <c r="U31" i="3"/>
  <c r="V31" i="3"/>
  <c r="W31" i="3"/>
  <c r="X31" i="3"/>
  <c r="U29" i="3"/>
  <c r="V29" i="3"/>
  <c r="X29" i="3"/>
  <c r="T29" i="3"/>
  <c r="W29" i="3"/>
  <c r="U28" i="3"/>
  <c r="V28" i="3"/>
  <c r="T28" i="3"/>
  <c r="W28" i="3"/>
  <c r="X28" i="3"/>
  <c r="T27" i="3"/>
  <c r="V27" i="3"/>
  <c r="U27" i="3"/>
  <c r="W27" i="3"/>
  <c r="X27" i="3"/>
  <c r="T26" i="3"/>
  <c r="U26" i="3"/>
  <c r="V26" i="3"/>
  <c r="W26" i="3"/>
  <c r="X26" i="3"/>
  <c r="U25" i="3"/>
  <c r="V25" i="3"/>
  <c r="X25" i="3"/>
  <c r="W25" i="3"/>
  <c r="T25" i="3"/>
  <c r="T24" i="3"/>
  <c r="U24" i="3"/>
  <c r="V24" i="3"/>
  <c r="W24" i="3"/>
  <c r="X24" i="3"/>
  <c r="T23" i="3"/>
  <c r="U23" i="3"/>
  <c r="V23" i="3"/>
  <c r="X23" i="3"/>
  <c r="W23" i="3"/>
  <c r="T22" i="3"/>
  <c r="U22" i="3"/>
  <c r="V22" i="3"/>
  <c r="W22" i="3"/>
  <c r="X22" i="3"/>
  <c r="V20" i="3"/>
  <c r="W20" i="3"/>
  <c r="U20" i="3"/>
  <c r="T20" i="3"/>
  <c r="X20" i="3"/>
  <c r="W19" i="3"/>
  <c r="T19" i="3"/>
  <c r="U19" i="3"/>
  <c r="V19" i="3"/>
  <c r="X19" i="3"/>
  <c r="W18" i="3"/>
  <c r="T18" i="3"/>
  <c r="U18" i="3"/>
  <c r="V18" i="3"/>
  <c r="X18" i="3"/>
  <c r="T17" i="3"/>
  <c r="U17" i="3"/>
  <c r="V17" i="3"/>
  <c r="W17" i="3"/>
  <c r="X17" i="3"/>
  <c r="V16" i="3"/>
  <c r="W16" i="3"/>
  <c r="U16" i="3"/>
  <c r="T16" i="3"/>
  <c r="X16" i="3"/>
  <c r="T15" i="3"/>
  <c r="U15" i="3"/>
  <c r="V15" i="3"/>
  <c r="W15" i="3"/>
  <c r="X15" i="3"/>
  <c r="W14" i="3"/>
  <c r="T14" i="3"/>
  <c r="U14" i="3"/>
  <c r="V14" i="3"/>
  <c r="X14" i="3"/>
  <c r="T13" i="3"/>
  <c r="U13" i="3"/>
  <c r="V13" i="3"/>
  <c r="W13" i="3"/>
  <c r="X13" i="3"/>
  <c r="V12" i="3"/>
  <c r="W12" i="3"/>
  <c r="U12" i="3"/>
  <c r="X12" i="3"/>
  <c r="T12" i="3"/>
  <c r="W11" i="3"/>
  <c r="U11" i="3"/>
  <c r="V11" i="3"/>
  <c r="X11" i="3"/>
  <c r="T11" i="3"/>
  <c r="W10" i="3"/>
  <c r="T10" i="3"/>
  <c r="U10" i="3"/>
  <c r="V10" i="3"/>
  <c r="X10" i="3"/>
  <c r="T9" i="3"/>
  <c r="U9" i="3"/>
  <c r="V9" i="3"/>
  <c r="W9" i="3"/>
  <c r="X9" i="3"/>
  <c r="V8" i="3"/>
  <c r="W8" i="3"/>
  <c r="T8" i="3"/>
  <c r="U8" i="3"/>
  <c r="X8" i="3"/>
  <c r="T6" i="3"/>
  <c r="U6" i="3"/>
  <c r="V6" i="3"/>
  <c r="W6" i="3"/>
  <c r="X6" i="3"/>
  <c r="T5" i="3"/>
  <c r="W5" i="3"/>
  <c r="X5" i="3"/>
  <c r="U5" i="3"/>
  <c r="V5" i="3"/>
  <c r="U4" i="3"/>
  <c r="V4" i="3"/>
  <c r="W4" i="3"/>
  <c r="X4" i="3"/>
  <c r="T4" i="3"/>
  <c r="W3" i="3"/>
  <c r="X3" i="3"/>
  <c r="V3" i="3"/>
  <c r="T3" i="3"/>
  <c r="U3" i="3"/>
  <c r="M2" i="1"/>
  <c r="M5" i="1" a="1"/>
  <c r="M5" i="1"/>
  <c r="C8" i="1"/>
  <c r="C8" i="466" s="1"/>
  <c r="D8" i="1"/>
  <c r="E8" i="1"/>
  <c r="F8" i="1"/>
  <c r="G8" i="1"/>
  <c r="H8" i="1" a="1"/>
  <c r="H8" i="1" l="1"/>
  <c r="I8" i="1" a="1"/>
  <c r="I8" i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9" i="466"/>
  <c r="E10" i="466"/>
  <c r="E11" i="466"/>
  <c r="E12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2" i="466"/>
  <c r="G12" i="466" s="1"/>
  <c r="H12" i="466" s="1"/>
  <c r="F11" i="466"/>
  <c r="G11" i="466" s="1"/>
  <c r="H11" i="466" s="1"/>
  <c r="F10" i="466"/>
  <c r="G10" i="466" s="1"/>
  <c r="H10" i="466" s="1"/>
  <c r="F9" i="466"/>
  <c r="G9" i="466" s="1"/>
  <c r="H9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7" i="466"/>
  <c r="E16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2" i="466"/>
  <c r="E23" i="466"/>
  <c r="H25" i="1"/>
  <c r="I25" i="1" a="1"/>
  <c r="I25" i="1" l="1"/>
  <c r="D25" i="466" s="1"/>
  <c r="J25" i="1" a="1"/>
  <c r="F25" i="466" l="1"/>
  <c r="G25" i="466" s="1"/>
  <c r="H25" i="466" s="1"/>
  <c r="F24" i="466"/>
  <c r="G24" i="466" s="1"/>
  <c r="H24" i="466" s="1"/>
  <c r="F23" i="466"/>
  <c r="G23" i="466" s="1"/>
  <c r="H23" i="466" s="1"/>
  <c r="F22" i="466"/>
  <c r="G22" i="466" s="1"/>
  <c r="H22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4" i="466"/>
  <c r="E33" i="466"/>
  <c r="E32" i="466"/>
  <c r="H36" i="1"/>
  <c r="I36" i="1" a="1"/>
  <c r="I36" i="1" l="1"/>
  <c r="D36" i="466" s="1"/>
  <c r="J36" i="1" a="1"/>
  <c r="F36" i="466" l="1"/>
  <c r="G36" i="466" s="1"/>
  <c r="H36" i="466" s="1"/>
  <c r="F35" i="466"/>
  <c r="G35" i="466" s="1"/>
  <c r="H35" i="466" s="1"/>
  <c r="F33" i="466"/>
  <c r="G33" i="466" s="1"/>
  <c r="H33" i="466" s="1"/>
  <c r="F34" i="466"/>
  <c r="G34" i="466" s="1"/>
  <c r="H34" i="466" s="1"/>
  <c r="F32" i="466"/>
  <c r="G32" i="466" s="1"/>
  <c r="H32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41" i="466"/>
  <c r="E38" i="466"/>
  <c r="E44" i="466"/>
  <c r="G44" i="466" s="1"/>
  <c r="H44" i="466" s="1"/>
  <c r="E40" i="466"/>
  <c r="E39" i="466"/>
  <c r="H43" i="1"/>
  <c r="I43" i="1" a="1"/>
  <c r="I43" i="1" l="1"/>
  <c r="D43" i="466" s="1"/>
  <c r="J43" i="1" a="1"/>
  <c r="F43" i="466" l="1"/>
  <c r="G43" i="466" s="1"/>
  <c r="H43" i="466" s="1"/>
  <c r="F38" i="466"/>
  <c r="G38" i="466" s="1"/>
  <c r="H38" i="466" s="1"/>
  <c r="F42" i="466"/>
  <c r="G42" i="466" s="1"/>
  <c r="H42" i="466" s="1"/>
  <c r="F40" i="466"/>
  <c r="G40" i="466" s="1"/>
  <c r="H40" i="466" s="1"/>
  <c r="F39" i="466"/>
  <c r="G39" i="466" s="1"/>
  <c r="H39" i="466" s="1"/>
  <c r="F41" i="466"/>
  <c r="G41" i="466" s="1"/>
  <c r="H41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K46" i="1" s="1"/>
  <c r="H46" i="1"/>
  <c r="I46" i="1"/>
  <c r="J46" i="1"/>
  <c r="H47" i="1"/>
  <c r="I47" i="1"/>
  <c r="J47" i="1"/>
  <c r="K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<sst xmlns="http://schemas.openxmlformats.org/spreadsheetml/2006/main" count="540" uniqueCount="372">
  <si>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</si>
  <si>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</si>
  <si>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</si>
  <si>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</si>
  <si>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</si>
  <si>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</si>
  <si>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</si>
  <si>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</si>
  <si>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</si>
  <si>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</si>
  <si>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</si>
  <si>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</si>
  <si>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</si>
  <si>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</si>
  <si>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</si>
  <si>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</si>
  <si>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</si>
  <si>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</si>
  <si>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</si>
  <si>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</si>
  <si>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</si>
  <si>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</si>
  <si>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</si>
  <si>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</si>
  <si>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</si>
  <si>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</si>
  <si>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</si>
  <si>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</si>
  <si>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</si>
  <si>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</si>
  <si>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</si>
  <si>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</si>
  <si>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</si>
  <si>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</si>
  <si>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</si>
  <si>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</si>
  <si>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</si>
  <si>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</si>
  <si>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</si>
  <si>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</si>
  <si>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</si>
  <si>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</si>
  <si>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</si>
  <si>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</si>
  <si>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</si>
  <si>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</si>
  <si>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</si>
  <si>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</si>
  <si>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</si>
  <si>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</si>
  <si>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</si>
  <si>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</si>
  <si>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</si>
  <si>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</si>
  <si>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</si>
  <si>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</si>
  <si>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</si>
  <si>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</si>
  <si>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</si>
  <si>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</si>
  <si>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</si>
  <si>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</si>
  <si>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</si>
  <si>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</si>
  <si>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</si>
  <si>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</si>
  <si>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</si>
  <si>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</si>
  <si>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</si>
  <si>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</si>
  <si>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</si>
  <si>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</si>
  <si>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</si>
  <si>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</si>
  <si>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</si>
  <si>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</si>
  <si>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</si>
  <si>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</si>
  <si>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</si>
  <si>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</si>
  <si>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</si>
  <si>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</si>
  <si>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</si>
  <si>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</si>
  <si>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</si>
  <si>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</si>
  <si>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</si>
  <si>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</si>
  <si>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</si>
  <si>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</si>
  <si>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</si>
  <si>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</si>
  <si>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</si>
  <si>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</si>
  <si>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</si>
  <si>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</si>
  <si>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</si>
  <si>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</si>
  <si>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</si>
  <si>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</si>
  <si>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</si>
  <si>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</si>
  <si>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</si>
  <si>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</si>
  <si>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</si>
  <si>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</si>
  <si>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</si>
  <si>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</si>
  <si>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</si>
  <si>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</si>
  <si>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</si>
  <si>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</si>
  <si>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</si>
  <si>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</si>
  <si>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</si>
  <si>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</si>
  <si>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</si>
  <si>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</si>
  <si>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</si>
  <si>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</si>
  <si>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</si>
  <si>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</si>
  <si>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</si>
  <si>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</si>
  <si>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</si>
  <si>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</si>
  <si>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</si>
  <si>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</si>
  <si>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</si>
  <si>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</si>
  <si>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</si>
  <si>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</si>
  <si>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</si>
  <si>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</si>
  <si>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</si>
  <si>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</si>
  <si>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</si>
  <si>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</si>
  <si>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</si>
  <si>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</si>
  <si>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</si>
  <si>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</si>
  <si>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</si>
  <si>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</si>
  <si>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</si>
  <si>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</si>
  <si>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</si>
  <si>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</si>
  <si>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</si>
  <si>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</si>
  <si>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</si>
  <si>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</si>
  <si>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</si>
  <si>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</si>
  <si>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</si>
  <si>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</si>
  <si>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</si>
  <si>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</si>
  <si>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</si>
  <si>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</si>
  <si>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</si>
  <si>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</si>
  <si>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</si>
  <si>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</si>
  <si>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</si>
  <si>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</si>
  <si>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</si>
  <si>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</si>
  <si>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</si>
  <si>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</si>
  <si>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</si>
  <si>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</si>
  <si>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</si>
  <si>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</si>
  <si>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</si>
  <si>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</si>
  <si>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</si>
  <si>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</si>
  <si>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</si>
  <si>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</si>
  <si>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</si>
  <si>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</si>
  <si>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</si>
  <si>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</si>
  <si>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</si>
  <si>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</si>
  <si>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</si>
  <si>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</si>
  <si>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</si>
  <si>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</si>
  <si>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</si>
  <si>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</si>
  <si>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</si>
  <si>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</si>
  <si>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</si>
  <si>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</si>
  <si>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</si>
  <si>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</si>
  <si>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</si>
  <si>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</si>
  <si>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</si>
  <si>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</si>
  <si>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</si>
  <si>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</si>
  <si>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</si>
  <si>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</si>
  <si>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</si>
  <si>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</si>
  <si>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</si>
  <si>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</si>
  <si>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</si>
  <si>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</si>
  <si>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</si>
  <si>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</si>
  <si>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</si>
  <si>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</si>
  <si>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</si>
  <si>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</si>
  <si>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</si>
  <si>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</si>
  <si>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</si>
  <si>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</si>
  <si>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</si>
  <si>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</si>
  <si>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</si>
  <si>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</si>
  <si>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</si>
  <si>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</si>
  <si>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</si>
  <si>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</si>
  <si>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</si>
  <si>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</si>
  <si>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</si>
  <si>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</si>
  <si>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</si>
  <si>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</si>
  <si>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</si>
  <si>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</si>
  <si>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</si>
  <si>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</si>
  <si>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</si>
  <si>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</si>
  <si>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</si>
  <si>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</si>
  <si>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</si>
  <si>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</si>
  <si>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</si>
  <si>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</si>
  <si>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</si>
  <si>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</si>
  <si>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</si>
  <si>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</si>
  <si>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</si>
  <si>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</si>
  <si>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</si>
  <si>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</si>
  <si>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</si>
  <si>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</si>
  <si>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</si>
  <si>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</si>
  <si>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</si>
  <si>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</si>
  <si>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</si>
  <si>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</si>
  <si>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</si>
  <si>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</si>
  <si>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</si>
  <si>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2AMAACNDSVEuSVFUNDYyNjIzNzguSVFfQ0RTX01JRC4wOS8wOC8yNgEAAABA0okBAgAAAAUxNy45NQAzsqRtk/feCH7K6fOT994II0NJUS5JUVQ0NjE5NzY5NC5JUV9DRFNfTUlELjA5LzA4LzI2AQAAAAf6BQACAAAABzUyLjI3MDUAM7KkbZP33gidP+rzk/feCCNDSVEuSVFUNjIyNzAxMDcuSVFfQ0RTX01JRC4wOS8wOC8yNgEAAAAVWQAAAgAAAAc0My4zMzc0ADOypG2T994IurTq85P33ggjQ0lRLklRVDQ2MjA3MzA4LklRX0NEU19NSUQuMTEvMDgvMjUBAAAAOYl6AQIAAAAHMTcuODMzMwAzsqRtk/feCPlZ8vOT994II0NJUS5JUVQ0NjIxMDAzMi5JUV9DRFNfTUlELjExLzA4LzI1AQAAAI9VowECAAAABzQzLjIyMjIAM7KkbZP33gijpfLzk/feCCNDSVEuSVFUNDYyMjUzNzQuSVFfQ0RTX01JRC4xMS8wOC8yNQEAAAC11gUAAgAAAAY0Ni44ODcAM7KkbZP33giY8/Lzk/feCCNDSVEuSVFUNDYyMTg2NzQuSVFfQ0RTX01JRC4wOC8wOC8yNgEAAABXyjYAAgAAAAgxMjEuNjI1MwAzsqRtk/feCPHh2POT994II0NJUS5JUVQ0NjIyNTcxNS5JUV9DRFNfTUlELjA4LzA4LzI2AQAAALflBAACAAAABzQzLjUwNTUAM7KkbZP33ghvzNnzk/feCCNDSVEuSVFUNDYyMDQ4ODQuSVFfQ0RTX01JRC4wMi8wOC8yNgEAAACBUcABAgAAAAIyOQAzsqRtk/feCHkb4/OT994II0NJUS5JUVQ0</t>
  </si>
  <si>
    <t>NjIwNzc4OS5JUV9DRFNfTUlELjAyLzA4LzI2AQAAACpYowECAAAABzI2LjkzMDgAM7KkbZP33gir9OPzk/feCCRDSVEuSVFUMjg2MDk2MTMxLklRX0NEU19NSUQuMDIvMDgvMjYBAAAAO/EEAAIAAAAHNTguODQ2MgAzsqRtk/feCDTM5POT994II0NJUS5JUVQ0NjIxMDU2MC5JUV9DRFNfTUlELjI4LzA3LzI2AQAAAPYaNwACAAAABzg2LjIxNDcAM7KkbZP33ggiuuzzk/feCCNDSVEuSVFUNDYyMTk5MjIuSVFfQ0RTX01JRC4yOC8wNy8yNgEAAADWRzkBAgAAAAY3LjAwODgAM7KkbZP33gg+CO3zk/feCCNDSVEuSVFUNDYyMjM2NDYuSVFfQ0RTX01JRC4yOC8wNy8yNgEAAAAbeAQAAgAAAAc0OS45MzA4ADOypG2T994IlKTt85P33ggkQ0lRLklRVDMxMzMxNDk3Ni5JUV9DRFNfTUlELjI4LzA3LzI2AQAAAG1KAAACAAAABzU3LjgzMDEATQlUbZP33gieVu7zk/feCCNDSVEuSVFUNDYyMTg1MTYuSVFfQ0RTX01JRC4wNy8wOC8yNgEAAACmVaMBAgAAAAczNi44MzY3ADOypG2T994IGXva85P33ggjQ0lRLklRVDQ2MjIwODAzLklRX0NEU19NSUQuMDcvMDgvMjYBAAAA1sk2AAIAAAAHNDEuNDkzMgAzsqRtk/feCEcX2/OT994II0NJUS5JUVQ0NjIwMDM2NC5JUV9DRFNfTUlELjA3LzA4LzI2AQAAAFeGCAACAAAABDI0LjMAM7KkbZP33giFe9vzk/feCCNDSVEuSVFUNDYyMDQzMDAuSVFfQ0RTX01JRC4yOS8wNy8y</t>
  </si>
  <si>
    <t>NgEAAAD2JX0AAgAAAAY3LjE1NjcAM7KkbZP33giEPuvzk/feCCNDSVEuSVFUNjAzODgwNTcuSVFfQ0RTX01JRC4yOS8wNy8yNgEAAADfyX0BAwAAAAAAM7KkbZP33gikjevzk/feCCNDSVEuSVFUNDYxOTk4NDEuSVFfQ0RTX01JRC4yOS8wNy8yNgEAAADrMAYAAwAAAAAAM7KkbZP33ggHQuzzk/feCCRDSVEuSVFUMzEzMzEwMTg0LklRX0NEU19NSUQuMDYvMDgvMjYBAAAAYEQ+AAIAAAAHMTEuMDAxNAAzsqRtk/feCLnH2/OT994II0NJUS5JUVQ0NjIxNDg3OS5JUV9DRFNfTUlELjA2LzA4LzI2AQAAAPUaNwACAAAABzUwLjc5NDMAM7KkbZP33gjWFdzzk/feCCNDSVEuSVFUNDY0NzA4NzcuSVFfQ0RTX01JRC4wNi8wOC8yNgEAAABCNwcAAgAAAAc1OC41MTY0ADOypG2T994I0GTc85P33ggkQ0lRLklRVDMxMzMxMDg1NC5JUV9DRFNfTUlELjA2LzA4LzI2AQAAAK9UDQACAAAABzYwLjgzMzMATQlUbZP33giQO93zk/feCCNDSVEuSVFUNDYyMTQ5NTQuSVFfQ0RTX01JRC4wNS8wOC8yNgEAAAA6PTkBAgAAAAUxNC4yNQAzsqRtk/feCEX/3fOT994II0NJUS5JUVQ0NjIwODYzNC5JUV9DRFNfTUlELjA1LzA4LzI2AQAAAAMfwgACAAAABzIyLjI5MTcAM7KkbZP33ghfTd7zk/feCCNDSVEuSVFUNDYyMjUwODMuSVFfQ0RTX01JRC4wNS8wOC8yNgEAAABWRAYAAgAAAAYzNS4zNzUAM7KkbZP33gjP1t7zk/feCCND</t>
  </si>
  <si>
    <t>SVEuSVFUNDYyMDM3MTQuSVFfQ0RTX01JRC4wNC8wOC8yNgEAAABfBTUAAgAAAAczMS4wMzMxADOypG2T994IeMHf85P33ggjQ0lRLklRVDc5NjM5OTUzLklRX0NEU19NSUQuMDQvMDgvMjYBAAAANJtWAQIAAAAHMjQuOTU4NwAzsqRtk/feCD294POT994IJENJUS5JUVQ1Mjg5MzY4MTIuSVFfQ0RTX01JRC4wNC8wOC8yNgEAAABsWwYAAgAAAAc0NS4zMTI5ADOypG2T994IZpTh85P33ggjQ0lRLklRVDQ2MTk3MTM4LklRX0NEU19NSUQuMDEvMDgvMjYBAAAA7pQ4AQIAAAAIMTI0LjkyNjUAM7KkbZP33ghMGuXzk/feCCNDSVEuSVFUNTEwMjM0ODAuSVFfQ0RTX01JRC4wMS8wOC8yNgEAAADCRfEBAgAAAAY0LjgzODQAM7KkbZP33gh7j+Xzk/feCCNDSVEuSVFUNDYyMDQ5NTcuSVFfQ0RTX01JRC4wMS8wOC8yNgEAAAAhFQYAAgAAAAY1Ni45NDEAM7KkbZP33girP+bzk/feCCNDSVEuSVFUNjIyNzAxMDYuSVFfQ0RTX01JRC4wMS8wOC8yNgEAAACtd4MAAgAAAAc3NS4yMDExAE0JVG2T994IxlLn85P33ggjQ0lRLklRVDc5NjQwMDI0LklRX0NEU19NSUQuMTEvMDUvMjYBAAAANY+bAQIAAAAFNy44NzUAM7KkbZP33giQo+7zk/feCCRDSVEuSVFUMzEzMzA1ODc5LklRX0NEU19NSUQuMTEvMDUvMjYBAAAAhNbcAQIAAAAGMi4zMzM0ADOypG2T994Is/Hu85P33ggjQ0lRLklRVDQ2MjAwNDEyLklRX0NEU19NSUQu</t>
  </si>
  <si>
    <t>MTEvMDUvMjYBAAAAY0MGAAIAAAAGNTQuNjI1ADOypG2T994IQlXv85P33ggjQ0lRLklRVDQ2MjAzMzMyLklRX0NEU19NSUQuMDMvMDgvMjYBAAAAXx43AAIAAAAHMTEuMTA3MwAzsqRtk/feCKQK4vOT994II0NJUS5JUVQ0NjIxNTExMS5JUV9DRFNfTUlELjAzLzA4LzI2AQAAAKBLsgECAAAABzM3LjkxMzQAM7KkbZP33gjyMeLzk/feCCNDSVEuSVFUNDYyMjYxMzIuSVFfQ0RTX01JRC4wMy8wOC8yNgEAAADdWQAAAgAAAAc0My4yOTg2ADOypG2T994IV6fi85P33ggkQ0lRLklRVDMxMzMxMzUyNC5JUV9DRFNfTUlELjAzLzA4LzI2AQAAAO9VDQACAAAABzU5Ljk5MjQATQlUbZP33ghd9OLzk/feCCNDSVEuSVFUNzk2Mzk5MTMuSVFfQ0RTX01JRC4zMS8wNy8yNgEAAAAgYxwCAgAAAAY3LjY2NjcAM7KkbZP33gg6fejzk/feCCNDSVEuSVFUNDYyMDc4NzIuSVFfQ0RTX01JRC4zMS8wNy8yNgEAAABYDQoAAgAAAAY0MC43MzYAM7KkbZP33ghm8ujzk/feCCNDSVEuSVFUNDYyMDAzMTcuSVFfQ0RTX01JRC4zMS8wNy8yNgEAAAD+VA0AAgAAAAc2Mi40MjAxAE0JVG2T994IylTp85P33ggkQ0lRLklRVDY0NDcwMTc5Ny5JUV9DRFNfTUlELjMwLzA3LzI2AQAAAFM/fQECAAAABjkuNzc5NwAzsqRtk/feCLrH7/OT994II0NJUS5JUVQ0NjIxNjk4Ni5JUV9DRFNfTUlELjMwLzA3LzI2AQAAAM5EOAEDAAAAAAAzsqRt</t>
  </si>
  <si>
    <t>k/feCNU88POT994IJENJUS5JUVQyNTQ5NTUyMzMuSVFfQ0RTX01JRC4zMC8wNy8yNgEAAAA5VgoAAgAAAAc0Mi4xMjg0ADOypG2T994IBWPx85P33ggjQ0lRLklRVDQ2MTk3Njk0LklRX0NEU19NSUQuMDgvMDgvMjYBAAAAB/oFAAIAAAAHNTIuMjcwNQAzsqRtk/feCPHh2POT994II0NJUS5JUVQ0NjIwMDI3Ni5JUV9DRFNfTUlELjA5LzA4LzI2AQAAAJZ3fAECAAAABzI4LjAyMDYAM7KkbZP33gh+yunzk/feCCNDSVEuSVFUNDYxOTU0OTEuSVFfQ0RTX01JRC4wOS8wOC8yNgEAAABpSgAAAgAAAAc1My40MzA5ADOypG2T994InT/q85P33ggjQ0lRLklRVDc5NjM0OTAxLklRX0NEU19NSUQuMDkvMDgvMjYBAAAAnAYQAAIAAAAHNDAuNTk4MQAzsqRtk/feCLq06vOT994II0NJUS5JUVQ0NjIwNzU3MS5JUV9DRFNfTUlELjExLzA4LzI1AQAAAG3vNQACAAAABTM4Ljc1ADOypG2T994I+Vny85P33ggjQ0lRLklRVDQ2MjEzNDcyLklRX0NEU19NSUQuMTEvMDgvMjUBAAAAuVo4AAIAAAAHMTQuMzA0NQAzsqRtk/feCKOl8vOT994IJENJUS5JUVQyNjMyMTMxMzIuSVFfQ0RTX01JRC4xMS8wOC8yNQEAAADhmggAAgAAAAc1My43NDkzADOypG2T994ImPPy85P33ggjQ0lRLklRVDYyMjcwMTA3LklRX0NEU19NSUQuMDgvMDgvMjYBAAAAFVkAAAIAAAAHNDMuMzM3NAAzsqRtk/feCG/M2fOT994II0NJUS5JUVQ0NjIw</t>
  </si>
  <si>
    <t>NzMwOC5JUV9DRFNfTUlELjAyLzA4LzI2AQAAADmJegECAAAABzE0LjUxNjcAM7KkbZP33gijMOPzk/feCCNDSVEuSVFUNDYyMTAwMzIuSVFfQ0RTX01JRC4wMi8wOC8yNgEAAACPVaMBAgAAAAczNi45Njg1ADOypG2T994Iq/Tj85P33ggjQ0lRLklRVDQ2MjI1Mzc0LklRX0NEU19NSUQuMDIvMDgvMjYBAAAAtdYFAAIAAAAHMzcuNDgzMwAzsqRtk/feCDTM5POT994II0NJUS5JUVQ0OTc1MTE5Ni5JUV9DRFNfTUlELjI4LzA3LzI2AQAAAM2ZvQACAAAABzQwLjA3MDEAM7KkbZP33ggiuuzzk/feCCNDSVEuSVFUNjAzODk1MTYuSVFfQ0RTX01JRC4yOC8wNy8yNgEAAACl8MMBAgAAAAY3LjI1MDQAM7KkbZP33gg+CO3zk/feCCRDSVEuSVFUMzIzNjgwMTMwLklRX0NEU19NSUQuMjgvMDcvMjYBAAAAceECAAIAAAAHNTIuMTg2MQAzsqRtk/feCJ3L7fOT994IJENJUS5JUVQzMTMzMTU0MjkuSVFfQ0RTX01JRC4yOC8wNy8yNgEAAAA55wUAAgAAAAc2Mi4zMzMzAE0JVG2T994Inlbu85P33ggjQ0lRLklRVDQ2MjA2Nzc5LklRX0NEU19NSUQuMDcvMDgvMjYBAAAA/O82AAIAAAAHMTUuODMzMwAzsqRtk/feCBl72vOT994II0NJUS5JUVQ0NjIwNDg4NC5JUV9DRFNfTUlELjI5LzA3LzI2AQAAAIFRwAECAAAABjI5LjQxNQAzsqRtk/feCIQ+6/OT994II0NJUS5JUVQ0NjIyMzY0Ni5JUV9DRFNfTUlELjA2LzA4LzI2</t>
  </si>
  <si>
    <t>AQAAABt4BAACAAAABzQ4LjAzODgAM7KkbZP33gjQZNzzk/feCCNDSVEuSVFUNDYyMjA4MDMuSVFfQ0RTX01JRC4wNS8wOC8yNgEAAADWyTYAAgAAAAc0MS4xOTAzADOypG2T994IX03e85P33ggjQ0lRLklRVDQ2MjE0ODc5LklRX0NEU19NSUQuMDEvMDgvMjYBAAAA9Ro3AAIAAAAHNTEuNDkzOQAzsqRtk/feCHuP5fOT994II0NJUS5JUVQ0NjIyNTA4My5JUV9DRFNfTUlELjMwLzA3LzI2AQAAAFZEBgACAAAABjM2Ljg3NQAzsqRtk/feCAuK8fOT994II0NJUS5JUVQ3OTYzOTkxMy5JUV9DRFNfTUlELjA5LzA4LzI2AQAAACBjHAICAAAABjcuODMzMwAzsqRtk/feCH7K6fOT994II0NJUS5JUVQ0NjIwNzg3Mi5JUV9DRFNfTUlELjA5LzA4LzI2AQAAAFgNCgACAAAABjM4LjcwNQAzsqRtk/feCJ0/6vOT994II0NJUS5JUVQ0NjIwMDMxNy5JUV9DRFNfTUlELjA5LzA4LzI2AQAAAP5UDQACAAAABzYzLjAwNDIATQlUbZP33gi6tOrzk/feCCRDSVEuSVFUNjQ0NzAxNzk3LklRX0NEU19NSUQuMTEvMDgvMjUBAAAAUz99AQIAAAAHMTQuMzY2OAAzsqRtk/feCPlZ8vOT994II0NJUS5JUVQ0NjIxNjk4Ni5JUV9DRFNfTUlELjExLzA4LzI1AQAAAM5EOAEDAAAAAAAzsqRtk/feCKOl8vOT994IJENJUS5JUVQyNTQ5NTUyMzMuSVFfQ0RTX01JRC4xMS8wOC8yNQEAAAA5VgoAAgAAAAc1Mi45NTE4ADOypG2T994IoRvz</t>
  </si>
  <si>
    <t>85P33ggjQ0lRLklRVDQ2MTk1NDkxLklRX0NEU19NSUQuMDgvMDgvMjYBAAAAaUoAAAIAAAAHNTMuNDMwOQAzsqRtk/feCA8J2fOT994II0NJUS5JUVQ3OTYzNDkwMS5JUV9DRFNfTUlELjA4LzA4LzI2AQAAAJwGEAACAAAABzQwLjU5ODEAM7KkbZP33ghV89nzk/feCCNDSVEuSVFUNDYyMDc1NzEuSVFfQ0RTX01JRC4wMi8wOC8yNgEAAABt7zUAAgAAAAczMC4zNzUzADOypG2T994IozDj85P33ggjQ0lRLklRVDQ2MjEzNDcyLklRX0NEU19NSUQuMDIvMDgvMjYBAAAAuVo4AAIAAAAGMTUuNzI5ADOypG2T994Iuxvk85P33ggkQ0lRLklRVDI2MzIxMzEzMi5JUV9DRFNfTUlELjAyLzA4LzI2AQAAAOGaCAACAAAABzU0LjU1MTcAM7KkbZP33gg0zOTzk/feCCNDSVEuSVFUNDYxOTQ5OTUuSVFfQ0RTX01JRC4yOC8wNy8yNgEAAABuEDEAAgAAAAcxMS4wNzM5ADOypG2T994IIrrs85P33ggjQ0lRLklRVDQ2MjIyMjkyLklRX0NEU19NSUQuMjgvMDcvMjYBAAAA0ZGbAQIAAAAINzUwLjExODEAM7KkbZP33ghkL+3zk/feCCNDSVEuSVFUNDYyMjUwMDYuSVFfQ0RTX01JRC4yOC8wNy8yNgEAAAD4VQ0AAgAAAAc0My44MDE3ADOypG2T994Incvt85P33ggjQ0lRLklRVDQ2MjIwMzI5LklRX0NEU19NSUQuMjgvMDcvMjYBAAAA21sAAAIAAAAHNTYuMzQ0OABNCVRtk/feCJ5W7vOT994II0NJUS5JUVQ0NjI2MjM3OC5J</t>
  </si>
  <si>
    <t>UV9DRFNfTUlELjA3LzA4LzI2AQAAAEDSiQECAAAABTE3Ljk1ADOypG2T994IGXva85P33ggjQ0lRLklRVDQ2MTk3Njk0LklRX0NEU19NSUQuMDcvMDgvMjYBAAAAB/oFAAIAAAAHNTIuMjcwNQAzsqRtk/feCFI+2/OT994II0NJUS5JUVQ2MjI3MDEwNy5JUV9DRFNfTUlELjA3LzA4LzI2AQAAABVZAAACAAAABzQzLjMzNzQAM7KkbZP33giFe9vzk/feCCNDSVEuSVFUNDYyMDczMDguSVFfQ0RTX01JRC4yOS8wNy8yNgEAAAA5iXoBAgAAAAQxNC41ADOypG2T994IhD7r85P33ggjQ0lRLklRVDQ2MjEwMDMyLklRX0NEU19NSUQuMjkvMDcvMjYBAAAAj1WjAQIAAAAHMzguMDI5NAAzsqRtk/feCKSN6/OT994II0NJUS5JUVQ0NjIyNTM3NC5JUV9DRFNfTUlELjI5LzA3LzI2AQAAALXWBQACAAAABzM5LjA2NTcAM7KkbZP33ggHQuzzk/feCCNDSVEuSVFUNDk3NTExOTYuSVFfQ0RTX01JRC4wNi8wOC8yNgEAAADNmb0AAgAAAAIzOQAzsqRtk/feCLnH2/OT994II0NJUS5JUVQ2MDM4OTUxNi5JUV9DRFNfTUlELjA2LzA4LzI2AQAAAKXwwwECAAAABjcuMTkyMgAzsqRtk/feCNYV3POT994IJENJUS5JUVQzMjM2ODAxMzAuSVFfQ0RTX01JRC4wNi8wOC8yNgEAAABx4QIAAgAAAAc1MC44MzM1ADOypG2T994I0GTc85P33ggkQ0lRLklRVDMxMzMxNTQyOS5JUV9DRFNfTUlELjA2LzA4LzI2AQAAADnnBQACAAAABzYw</t>
  </si>
  <si>
    <t>LjgzMzMATQlUbZP33gj3Yt3zk/feCCNDSVEuSVFUNDYyMDY3NzkuSVFfQ0RTX01JRC4wNS8wOC8yNgEAAAD87zYAAgAAAAIxNgAzsqRtk/feCEX/3fOT994II0NJUS5JUVQ0NjIxODY3NC5JUV9DRFNfTUlELjA1LzA4LzI2AQAAAFfKNgACAAAACDEyMi42MjYxADOypG2T994IX03e85P33ggjQ0lRLklRVDQ2MjI1NzE1LklRX0NEU19NSUQuMDUvMDgvMjYBAAAAt+UEAAIAAAAHNDMuNTE4MgAzsqRtk/feCDH+3vOT994II0NJUS5JUVQ0NjIwNDg4NC5JUV9DRFNfTUlELjA0LzA4LzI2AQAAAIFRwAECAAAABzI5LjE2NjcAM7KkbZP33giK6N/zk/feCCNDSVEuSVFUNDYyMDc3ODkuSVFfQ0RTX01JRC4wNC8wOC8yNgEAAAAqWKMBAgAAAAcyNi41NDQ2ADOypG2T994IPb3g85P33ggkQ0lRLklRVDI4NjA5NjEzMS5JUV9DRFNfTUlELjA0LzA4LzI2AQAAADvxBAACAAAABzU2Ljc1NDMAM7KkbZP33ghmlOHzk/feCCNDSVEuSVFUNDYyMTA1NjAuSVFfQ0RTX01JRC4wMS8wOC8yNgEAAAD2GjcAAgAAAAY4Ni4yMTUAM7KkbZP33ghdQuXzk/feCCNDSVEuSVFUNDYyMTk5MjIuSVFfQ0RTX01JRC4wMS8wOC8yNgEAAADWRzkBAgAAAAY2LjM2NDQAM7KkbZP33gh7j+Xzk/feCCNDSVEuSVFUNDYyMjM2NDYuSVFfQ0RTX01JRC4wMS8wOC8yNgEAAAAbeAQAAgAAAAc1MC4yMDg0ADOypG2T994IEmfm85P33ggkQ0lRLklR</t>
  </si>
  <si>
    <t>VDMxMzMxNDk3Ni5JUV9DRFNfTUlELjAxLzA4LzI2AQAAAG1KAAACAAAABzU3LjgyODgATQlUbZP33gghfufzk/feCCNDSVEuSVFUNDYyMTg1MTYuSVFfQ0RTX01JRC4xMS8wNS8yNgEAAACmVaMBAgAAAAczNy4xODM3ADOypG2T994IkKPu85P33ggjQ0lRLklRVDQ2MjIwODAzLklRX0NEU19NSUQuMTEvMDUvMjYBAAAA1sk2AAIAAAAHNDkuMDk2NwAzsqRtk/feCHIU7/OT994II0NJUS5JUVQ0NjIwMDM2NC5JUV9DRFNfTUlELjExLzA1LzI2AQAAAFeGCAACAAAABjI3LjYyNQAzsqRtk/feCEJV7/OT994II0NJUS5JUVQ0NjIwNDMwMC5JUV9DRFNfTUlELjAzLzA4LzI2AQAAAPYlfQACAAAABjcuMTY2NQAzsqRtk/feCKQK4vOT994II0NJUS5JUVQ2MDM4ODA1Ny5JUV9DRFNfTUlELjAzLzA4LzI2AQAAAN/JfQEDAAAAAAAzsqRtk/feCAZZ4vOT994II0NJUS5JUVQ0NjE5OTg0MS5JUV9DRFNfTUlELjAzLzA4LzI2AQAAAOswBgADAAAAAAAzsqRtk/feCFen4vOT994IJENJUS5JUVQzMTMzMTAxODQuSVFfQ0RTX01JRC4zMS8wNy8yNgEAAABgRD4AAgAAAAcxMC45NzAzADOypG2T994IGrnn85P33ggjQ0lRLklRVDQ2MjE0ODc5LklRX0NEU19NSUQuMzEvMDcvMjYBAAAA9Ro3AAIAAAAHNTEuNDkzOQAzsqRtk/feCDp96POT994II0NJUS5JUVQ0NjQ3MDg3Ny5JUV9DRFNfTUlELjMxLzA3LzI2AQAAAEI3BwAC</t>
  </si>
  <si>
    <t>AAAABzYyLjAyNzYAM7KkbZP33ghm8ujzk/feCCRDSVEuSVFUMzEzMzEwODU0LklRX0NEU19NSUQuMzEvMDcvMjYBAAAAr1QNAAIAAAAHNjEuMzMzMwBNCVRtk/feCMpU6fOT994II0NJUS5JUVQ0NjIxNDk1NC5JUV9DRFNfTUlELjMwLzA3LzI2AQAAADo9OQECAAAABzE0LjMzMzMAM7KkbZP33gi97u/zk/feCCNDSVEuSVFUNDYxOTcxMzguSVFfQ0RTX01JRC4wOS8wOC8yNgEAAADulDgBAgAAAAgxMjEuOTU0OQAzsqRtk/feCN176fOT994II0NJUS5JUVQ1MTAyMzQ4MC5JUV9DRFNfTUlELjA5LzA4LzI2AQAAAMJF8QECAAAABjQuNjQyNgAzsqRtk/feCH7K6fOT994II0NJUS5JUVQ0NjIwNDk1Ny5JUV9DRFNfTUlELjA5LzA4LzI2AQAAACEVBgACAAAABzUzLjA3MzEAM7KkbZP33gidP+rzk/feCCNDSVEuSVFUNjIyNzAxMDYuSVFfQ0RTX01JRC4wOS8wOC8yNgEAAACtd4MAAgAAAAc3NS41MzcxAE0JVG2T994IurTq85P33ggjQ0lRLklRVDc5NjQwMDI0LklRX0NEU19NSUQuMTEvMDgvMjUBAAAANY+bAQIAAAAGMTAuNDc0ADOypG2T994I+Vny85P33ggkQ0lRLklRVDMxMzMwNTg3OS5JUV9DRFNfTUlELjExLzA4LzI1AQAAAITW3AECAAAABjMuMjcyNgAzsqRtk/feCKjM8vOT994II0NJUS5JUVQ0NjIwMDQxMi5JUV9DRFNfTUlELjExLzA4LzI1AQAAAGNDBgACAAAABTUxLjc1ADOypG2T994IoRvz85P3</t>
  </si>
  <si>
    <t>3ggjQ0lRLklRVDQ2MjA3ODcyLklRX0NEU19NSUQuMDgvMDgvMjYBAAAAWA0KAAIAAAAGMzguNzA1ADOypG2T994IDwnZ85P33ggjQ0lRLklRVDQ2MjAwMzE3LklRX0NEU19NSUQuMDgvMDgvMjYBAAAA/lQNAAIAAAAHNjMuMDA0MgBNCVRtk/feCFXz2fOT994IJENJUS5JUVQ2NDQ3MDE3OTcuSVFfQ0RTX01JRC4wMi8wOC8yNgEAAABTP30BAgAAAAY5LjY3NjIAM7KkbZP33gijMOPzk/feCCNDSVEuSVFUNDYyMTY5ODYuSVFfQ0RTX01JRC4wMi8wOC8yNgEAAADORDgBAwAAAAAAM7KkbZP33gi7G+Tzk/feCCRDSVEuSVFUMjU0OTU1MjMzLklRX0NEU19NSUQuMDIvMDgvMjYBAAAAOVYKAAIAAAAHNDEuMzgwNgAzsqRtk/feCDrz5POT994II0NJUS5JUVQ0NjE5NjIyNS5JUV9DRFNfTUlELjI4LzA3LzI2AQAAAL5VowECAAAABjE3LjMyNQAzsqRtk/feCDbh7POT994II0NJUS5JUVQ1MTAyMzI2MC5JUV9DRFNfTUlELjI4LzA3LzI2AQAAALERfwECAAAABzE0LjIzMTMAM7KkbZP33ghkL+3zk/feCCNDSVEuSVFUNDYyMjQ3NDAuSVFfQ0RTX01JRC4yOC8wNy8yNgEAAADTcggAAgAAAAczNi4wOTE3ADOypG2T994Ihd/t85P33ggkQ0lRLklRVDMxMzMxNzM0NC5JUV9DRFNfTUlELjI4LzA3LzI2AQAAAPGsAQACAAAABzYxLjI0OTcATQlUbZP33gieVu7zk/feCCNDSVEuSVFUNDYyMDAyNzYuSVFfQ0RTX01JRC4w</t>
  </si>
  <si>
    <t>Ny8wOC8yNgEAAACWd3wBAgAAAAcyOC4wMjA2ADOypG2T994IGXva85P33ggjQ0lRLklRVDQ2MTk1NDkxLklRX0NEU19NSUQuMDcvMDgvMjYBAAAAaUoAAAIAAAAHNTMuNDMwOQAzsqRtk/feCFI+2/OT994II0NJUS5JUVQ3OTYzNDkwMS5JUV9DRFNfTUlELjA3LzA4LzI2AQAAAJwGEAACAAAABzQwLjU5ODEAM7KkbZP33giFe9vzk/feCCNDSVEuSVFUNDYyMDc1NzEuSVFfQ0RTX01JRC4yOS8wNy8yNgEAAABt7zUAAgAAAAYzMC4xNDYAM7KkbZP33giEPuvzk/feCCNDSVEuSVFUNDYyMTM0NzIuSVFfQ0RTX01JRC4yOS8wNy8yNgEAAAC5WjgAAgAAAAcxNS4zNjU1ADOypG2T994IpI3r85P33ggkQ0lRLklRVDI2MzIxMzEzMi5JUV9DRFNfTUlELjI5LzA3LzI2AQAAAOGaCAACAAAABzU2LjA5NTMAM7KkbZP33ggtZOzzk/feCCNDSVEuSVFUNDYxOTQ5OTUuSVFfQ0RTX01JRC4wNi8wOC8yNgEAAABuEDEAAgAAAAcxMS4wMDAyADOypG2T994Iucfb85P33ggjQ0lRLklRVDQ2MjIyMjkyLklRX0NEU19NSUQuMDYvMDgvMjYBAAAA0ZGbAQIAAAAINzYzLjM1ODcAM7KkbZP33gjWFdzzk/feCCNDSVEuSVFUNDYyMjUwMDYuSVFfQ0RTX01JRC4wNi8wOC8yNgEAAAD4VQ0AAgAAAAc0MS41MTAyADOypG2T994I0GTc85P33ggjQ0lRLklRVDQ2MjIwMzI5LklRX0NEU19NSUQuMDYvMDgvMjYBAAAA21sAAAIAAAAHNTYu</t>
  </si>
  <si>
    <t>MzExMwBNCVRtk/feCPdi3fOT994II0NJUS5JUVQ0NjI2MjM3OC5JUV9DRFNfTUlELjA1LzA4LzI2AQAAAEDSiQECAAAABzE4LjA2MjUAM7KkbZP33ghF/93zk/feCCNDSVEuSVFUNDYxOTc2OTQuSVFfQ0RTX01JRC4wNS8wOC8yNgEAAAAH+gUAAgAAAAc1Mi44OTk1ADOypG2T994IX03e85P33ggjQ0lRLklRVDYyMjcwMTA3LklRX0NEU19NSUQuMDUvMDgvMjYBAAAAFVkAAAIAAAAGNDMuNjQ3ADOypG2T994IMf7e85P33ggjQ0lRLklRVDQ2MjA3MzA4LklRX0NEU19NSUQuMDQvMDgvMjYBAAAAOYl6AQIAAAAHMTQuNDYzOAAzsqRtk/feCIro3/OT994II0NJUS5JUVQ0NjIxMDAzMi5JUV9DRFNfTUlELjA0LzA4LzI2AQAAAI9VowECAAAABzM1Ljg2MjEAM7KkbZP33ghY5ODzk/feCCNDSVEuSVFUNDYyMjUzNzQuSVFfQ0RTX01JRC4wNC8wOC8yNgEAAAC11gUAAgAAAAczNi4xMDgyADOypG2T994IZpTh85P33ggjQ0lRLklRVDQ5NzUxMTk2LklRX0NEU19NSUQuMDEvMDgvMjYBAAAAzZm9AAIAAAAHNDAuMDA3NgAzsqRtk/feCF1C5fOT994II0NJUS5JUVQ2MDM4OTUxNi5JUV9DRFNfTUlELjAxLzA4LzI2AQAAAKXwwwECAAAABjcuMjQ0MwAzsqRtk/feCHuP5fOT994IJENJUS5JUVQzMjM2ODAxMzAuSVFfQ0RTX01JRC4wMS8wOC8yNgEAAABx4QIAAgAAAAc1MS41NzQyADOypG2T994IEmfm85P33ggkQ0lR</t>
  </si>
  <si>
    <t>LklRVDMxMzMxNTQyOS5JUV9DRFNfTUlELjAxLzA4LzI2AQAAADnnBQACAAAABzYxLjE2OTYATQlUbZP33gghfufzk/feCCNDSVEuSVFUNDYyMDY3NzkuSVFfQ0RTX01JRC4xMS8wNS8yNgEAAAD87zYAAgAAAAUxNi4yNQAzsqRtk/feCJCj7vOT994II0NJUS5JUVQ0NjIxODY3NC5JUV9DRFNfTUlELjExLzA1LzI2AQAAAFfKNgACAAAACDE0Ni4xNjU4ADOypG2T994Izxbv85P33ggjQ0lRLklRVDQ2MjI1NzE1LklRX0NEU19NSUQuMTEvMDUvMjYBAAAAt+UEAAIAAAAHNDEuNzU1NAAzsqRtk/feCEJV7/OT994II0NJUS5JUVQ0NjIwNDg4NC5JUV9DRFNfTUlELjAzLzA4LzI2AQAAAIFRwAECAAAABzI5LjEwMjQAM7KkbZP33gikCuLzk/feCCNDSVEuSVFUNDYyMDc3ODkuSVFfQ0RTX01JRC4wMy8wOC8yNgEAAAAqWKMBAgAAAAcyNy4xMzA0ADOypG2T994IBlni85P33ggkQ0lRLklRVDI4NjA5NjEzMS5JUV9DRFNfTUlELjAzLzA4LzI2AQAAADvxBAACAAAABzU4LjAyNzYAM7KkbZP33ghXp+Lzk/feCCNDSVEuSVFUNDYyMTA1NjAuSVFfQ0RTX01JRC4zMS8wNy8yNgEAAAD2GjcAAgAAAAY4Ni4yMTUAM7KkbZP33ggauefzk/feCCNDSVEuSVFUNDYyMTk5MjIuSVFfQ0RTX01JRC4zMS8wNy8yNgEAAADWRzkBAgAAAAY2LjM2NDQAM7KkbZP33gg6fejzk/feCCNDSVEuSVFUNDYyMjM2NDYuSVFfQ0RTX01JRC4z</t>
  </si>
  <si>
    <t>MS8wNy8yNgEAAAAbeAQAAgAAAAc1MC4yMDg0ADOypG2T994IZvLo85P33ggkQ0lRLklRVDMxMzMxNDk3Ni5JUV9DRFNfTUlELjMxLzA3LzI2AQAAAG1KAAACAAAABzU3LjgyODgATQlUbZP33gjKVOnzk/feCCNDSVEuSVFUNDYyMTg1MTYuSVFfQ0RTX01JRC4zMC8wNy8yNgEAAACmVaMBAgAAAAczNi4zOTU5ADOypG2T994Ive7v85P33ggjQ0lRLklRVDQ2MjIwODAzLklRX0NEU19NSUQuMzAvMDcvMjYBAAAA1sk2AAIAAAAHNDQuNTM0NQAzsqRtk/feCAlk8POT994II0NJUS5JUVQ0NjIwMDM2NC5JUV9DRFNfTUlELjMwLzA3LzI2AQAAAFeGCAACAAAABzI1LjEzMzMAM7KkbZP33ggLivHzk/feCCNDSVEuSVFUNDYyMTQ5NTQuSVFfQ0RTX01JRC4xMS8wOC8yNQEAAAA6PTkBAgAAAAYyMi44NzUAM7KkbZP33gj5WfLzk/feCCNDSVEuSVFUNDYyMDg2MzQuSVFfQ0RTX01JRC4xMS8wOC8yNQEAAAADH8IAAgAAAAcyMS45NTQ5ADOypG2T994IqMzy85P33ggjQ0lRLklRVDQ2MjI1MDgzLklRX0NEU19NSUQuMTEvMDgvMjUBAAAAVkQGAAIAAAAHNDEuNTcxNAAzsqRtk/feCKEb8/OT994II0NJUS5JUVQ0NjIwNDk1Ny5JUV9DRFNfTUlELjA4LzA4LzI2AQAAACEVBgACAAAABzUzLjA3MzEAM7KkbZP33ggPCdnzk/feCCNDSVEuSVFUNjIyNzAxMDYuSVFfQ0RTX01JRC4wOC8wOC8yNgEAAACtd4MAAgAAAAc3NS41</t>
  </si>
  <si>
    <t>MzcxAE0JVG2T994IVfPZ85P33ggjQ0lRLklRVDc5NjQwMDI0LklRX0NEU19NSUQuMDIvMDgvMjYBAAAANY+bAQIAAAAFNy44NjMAM7KkbZP33gijMOPzk/feCCRDSVEuSVFUMzEzMzA1ODc5LklRX0NEU19NSUQuMDIvMDgvMjYBAAAAhNbcAQIAAAAGMi4zNzcxADOypG2T994Iuxvk85P33ggkQ0lRLklRVDMxMzMxMzUyNC5JUV9DRFNfTUlELjI4LzA3LzI2AQAAAO9VDQACAAAABzYwLjA3MjcATQlUbZP33gieVu7zk/feCCNDSVEuSVFUNzk2Mzk5MTMuSVFfQ0RTX01JRC4wNy8wOC8yNgEAAAAgYxwCAgAAAAY3LjgzMzMAM7KkbZP33ggZe9rzk/feCCNDSVEuSVFUNDYyMDc4NzIuSVFfQ0RTX01JRC4wNy8wOC8yNgEAAABYDQoAAgAAAAYzOC43MDUAM7KkbZP33ghSPtvzk/feCCNDSVEuSVFUNDYyMDAzMTcuSVFfQ0RTX01JRC4wNy8wOC8yNgEAAAD+VA0AAgAAAAc2My4wMDQyAE0JVG2T994IhXvb85P33ggjQ0lRLklRVDQ2MTk2MjI1LklRX0NEU19NSUQuMDYvMDgvMjYBAAAAvlWjAQIAAAAFMTcuMjUAM7KkbZP33gi5x9vzk/feCCRDSVEuSVFUMzEzMzE3MzQ0LklRX0NEU19NSUQuMDYvMDgvMjYBAAAA8awBAAIAAAAHNjEuMDAxNQBNCVRtk/feCPdi3fOT994II0NJUS5JUVQ0NjE5NTQ5MS5JUV9DRFNfTUlELjA1LzA4LzI2AQAAAGlKAAACAAAABTU0LjEyADOypG2T994IX03e85P33ggjQ0lRLklRVDQ2</t>
  </si>
  <si>
    <t>MTk0OTk1LklRX0NEU19NSUQuMDEvMDgvMjYBAAAAbhAxAAIAAAAHMTEuMDY1NwAzsqRtk/feCF1C5fOT994II0NJUS5JUVQ0NjIyNTAwNi5JUV9DRFNfTUlELjAxLzA4LzI2AQAAAPhVDQACAAAABzQzLjI4NTUAM7KkbZP33ggSZ+bzk/feCCNDSVEuSVFUNDYyNjIzNzguSVFfQ0RTX01JRC4xMS8wNS8yNgEAAABA0okBAgAAAAcxOC4zNjU2ADOypG2T994IkKPu85P33ggjQ0lRLklRVDYyMjcwMTA3LklRX0NEU19NSUQuMTEvMDUvMjYBAAAAFVkAAAIAAAAHMzkuNzgxMgAzsqRtk/feCEN57/OT994II0NJUS5JUVQ0NjIwNzMwOC5JUV9DRFNfTUlELjAzLzA4LzI2AQAAADmJegECAAAABzE0LjQ2NDgAM7KkbZP33gikCuLzk/feCCNDSVEuSVFUNDYyMjUzNzQuSVFfQ0RTX01JRC4wMy8wOC8yNgEAAAC11gUAAgAAAAczNy4wNjg2ADOypG2T994IV6fi85P33ggjQ0lRLklRVDQ5NzUxMTk2LklRX0NEU19NSUQuMzEvMDcvMjYBAAAAzZm9AAIAAAAHNDAuMDA3NgAzsqRtk/feCI/g5/OT994II0NJUS5JUVQ2MDM4OTUxNi5JUV9DRFNfTUlELjMxLzA3LzI2AQAAAKXwwwECAAAABjcuMjQ0MwAzsqRtk/feCD6k6POT994IJENJUS5JUVQzMjM2ODAxMzAuSVFfQ0RTX01JRC4zMS8wNy8yNgEAAABx4QIAAgAAAAc1MS41NzQyADOypG2T994IZvLo85P33ggkQ0lRLklRVDMxMzMxNTQyOS5JUV9DRFNfTUlELjMxLzA3</t>
  </si>
  <si>
    <t>LzI2AQAAADnnBQACAAAABzYxLjE2OTYATQlUbZP33gjKVOnzk/feCCNDSVEuSVFUNDYyMDY3NzkuSVFfQ0RTX01JRC4zMC8wNy8yNgEAAAD87zYAAgAAAAIxNgAzsqRtk/feCL3u7/OT994II0NJUS5JUVQ0NjIxODY3NC5JUV9DRFNfTUlELjMwLzA3LzI2AQAAAFfKNgACAAAACDEyOS41Mjc5ADOypG2T994ICWTw85P33ggjQ0lRLklRVDQ2MjI1NzE1LklRX0NEU19NSUQuMzAvMDcvMjYBAAAAt+UEAAIAAAAHNDMuNjEwMgAzsqRtk/feCD6x8fOT994II0NJUS5JUVQ2MjI3MDEwNi5JUV9DRFNfTUlELjA3LzA4LzI2AQAAAK13gwACAAAABzc1LjUzNzEATQlUbZP33gjDoNvzk/feCCNDSVEuSVFUNzk2NDAwMjQuSVFfQ0RTX01JRC4yOS8wNy8yNgEAAAA1j5sBAgAAAAY3LjkzMzMAM7KkbZP33giEPuvzk/feCCRDSVEuSVFUMzEzMzA1ODc5LklRX0NEU19NSUQuMjkvMDcvMjYBAAAAhNbcAQIAAAAGMi45NTY1ADOypG2T994InLPr85P33ggjQ0lRLklRVDQ2MjAwNDEyLklRX0NEU19NSUQuMjkvMDcvMjYBAAAAY0MGAAIAAAAENDUuNgAzsqRtk/feCC1k7POT994II0NJUS5JUVQ0NjIwMzMzMi5JUV9DRFNfTUlELjA2LzA4LzI2AQAAAF8eNwACAAAABzEwLjY2NjcAM7KkbZP33gi5x9vzk/feCCNDSVEuSVFUNDYyMTUxMTEuSVFfQ0RTX01JRC4wNi8wOC8yNgEAAACgS7IBAgAAAAYzNy4yNjgAM7KkbZP33gjW</t>
  </si>
  <si>
    <t>Fdzzk/feCCNDSVEuSVFUNDYyMjYxMzIuSVFfQ0RTX01JRC4wNi8wOC8yNgEAAADdWQAAAgAAAAc0My4yMTQzADOypG2T994I2ovc85P33ggjQ0lRLklRVDc5NjM5OTEzLklRX0NEU19NSUQuMDUvMDgvMjYBAAAAIGMcAgIAAAABOAAzsqRtk/feCEX/3fOT994II0NJUS5JUVQ0NjIwNzg3Mi5JUV9DRFNfTUlELjA1LzA4LzI2AQAAAFgNCgACAAAABzM4LjkxOTQAM7KkbZP33ghfTd7zk/feCCRDSVEuSVFUMzEzMzEwMTg0LklRX0NEU19NSUQuMDkvMDgvMjYBAAAAYEQ+AAIAAAAHMTEuMDE5MgAzsqRtk/feCN176fOT994II0NJUS5JUVQ0NjIxNDg3OS5JUV9DRFNfTUlELjA5LzA4LzI2AQAAAPUaNwACAAAABzUwLjc5NTIAM7KkbZP33gh+yunzk/feCCNDSVEuSVFUNDY0NzA4NzcuSVFfQ0RTX01JRC4wOS8wOC8yNgEAAABCNwcAAgAAAAc1Ny43NDY4ADOypG2T994InT/q85P33ggkQ0lRLklRVDMxMzMxMDg1NC5JUV9DRFNfTUlELjA5LzA4LzI2AQAAAK9UDQACAAAABzYwLjY2NjcATQlUbZP33giYyOrzk/feCCNDSVEuSVFUNDYyMDA0MTIuSVFfQ0RTX01JRC4wMi8wOC8yNgEAAABjQwYAAgAAAAc0NS4wOTQ0ADOypG2T994IOvPk85P33ggjQ0lRLklRVDQ2MjAzMzMyLklRX0NEU19NSUQuMjgvMDcvMjYBAAAAXx43AAIAAAAHMTEuMDk1OQAzsqRtk/feCDbh7POT994II0NJUS5JUVQ0NjIxNTExMS5JUV9D</t>
  </si>
  <si>
    <t>RFNfTUlELjI4LzA3LzI2AQAAAKBLsgECAAAABzM4LjMzOTYAM7KkbZP33ghkL+3zk/feCCNDSVEuSVFUNDYyMjYxMzIuSVFfQ0RTX01JRC4yOC8wNy8yNgEAAADdWQAAAgAAAAc0NC42MTU3ADOypG2T994Ihd/t85P33ggkQ0lRLklRVDY0NDcwMTc5Ny5JUV9DRFNfTUlELjI5LzA3LzI2AQAAAFM/fQECAAAABjkuODYyNAAzsqRtk/feCIQ+6/OT994II0NJUS5JUVQ0NjIxNjk4Ni5JUV9DRFNfTUlELjI5LzA3LzI2AQAAAM5EOAEDAAAAAAAzsqRtk/feCKSN6/OT994IJENJUS5JUVQyNTQ5NTUyMzMuSVFfQ0RTX01JRC4yOS8wNy8yNgEAAAA5VgoAAgAAAAc0Mi43MzU0ADOypG2T994ILWTs85P33ggjQ0lRLklRVDUxMDIzMjYwLklRX0NEU19NSUQuMDYvMDgvMjYBAAAAsRF/AQIAAAAFMTQuODMAM7KkbZP33gjWFdzzk/feCCNDSVEuSVFUNDYyMjQ3NDAuSVFfQ0RTX01JRC4wNi8wOC8yNgEAAADTcggAAgAAAAczNS41MzU3ADOypG2T994I0GTc85P33ggjQ0lRLklRVDQ2MjAwMjc2LklRX0NEU19NSUQuMDUvMDgvMjYBAAAAlnd8AQIAAAAHMjguMDUzMQAzsqRtk/feCEX/3fOT994II0NJUS5JUVQ3OTYzNDkwMS5JUV9DRFNfTUlELjA1LzA4LzI2AQAAAJwGEAACAAAABzQwLjg3MTkAM7KkbZP33ghKJd/zk/feCCNDSVEuSVFUNDYyMDc1NzEuSVFfQ0RTX01JRC4wNC8wOC8yNgEAAABt7zUAAgAAAAcyOS45</t>
  </si>
  <si>
    <t>Mzk3ADOypG2T994Iiujf85P33ggjQ0lRLklRVDQ2MjEzNDcyLklRX0NEU19NSUQuMDQvMDgvMjYBAAAAuVo4AAIAAAAHMTUuMTg3NQAzsqRtk/feCFjk4POT994IJENJUS5JUVQyNjMyMTMxMzIuSVFfQ0RTX01JRC4wNC8wOC8yNgEAAADhmggAAgAAAAc1Mi41NDMzADOypG2T994IGb3h85P33ggjQ0lRLklRVDQ2MjIyMjkyLklRX0NEU19NSUQuMDEvMDgvMjYBAAAA0ZGbAQIAAAAINzQyLjkzNTQAM7KkbZP33gh7j+Xzk/feCCNDSVEuSVFUNDYyMjAzMjkuSVFfQ0RTX01JRC4wMS8wOC8yNgEAAADbWwAAAgAAAAc1Ni4zMTYyAE0JVG2T994IIX7n85P33ggjQ0lRLklRVDQ2MTk3Njk0LklRX0NEU19NSUQuMTEvMDUvMjYBAAAAB/oFAAIAAAAHNTQuNzU1NwAzsqRtk/feCM8W7/OT994II0NJUS5JUVQ0NjIxMDAzMi5JUV9DRFNfTUlELjAzLzA4LzI2AQAAAI9VowECAAAABzM2LjYyMDQAM7KkbZP33ggGWeLzk/feCCRDSVEuSVFUNjQ0NzAxNzk3LklRX0NEU19NSUQuMDQvMDgvMjYBAAAAUz99AQIAAAAHMTAuMjQ2NAAzsqRtk/feCJYP4POT994II0NJUS5JUVQ0NjIxNjk4Ni5JUV9DRFNfTUlELjA0LzA4LzI2AQAAAM5EOAEDAAAAAAAzsqRtk/feCFjk4POT994IJENJUS5JUVQyNTQ5NTUyMzMuSVFfQ0RTX01JRC4wNC8wOC8yNgEAAAA5VgoAAgAAAAczOS42MjQ5ADOypG2T994IGb3h85P33ggjQ0lRLklR</t>
  </si>
  <si>
    <t>VDQ2MTk2MjI1LklRX0NEU19NSUQuMDEvMDgvMjYBAAAAvlWjAQIAAAAEMTcuNAAzsqRtk/feCF1C5fOT994II0NJUS5JUVQ1MTAyMzI2MC5JUV9DRFNfTUlELjAxLzA4LzI2AQAAALERfwECAAAABjE0Ljc4NgAzsqRtk/feCHuP5fOT994II0NJUS5JUVQ0NjIyNDc0MC5JUV9DRFNfTUlELjAxLzA4LzI2AQAAANNyCAACAAAABzM2LjE1MTgAM7KkbZP33gh6jubzk/feCCNDSVEuSVFUNDYyMDAyNzYuSVFfQ0RTX01JRC4xMS8wNS8yNgEAAACWd3wBAgAAAAYyOS4zNzIAM7KkbZP33giQo+7zk/feCCNDSVEuSVFUNDYxOTU0OTEuSVFfQ0RTX01JRC4xMS8wNS8yNgEAAABpSgAAAgAAAAc1NS40MjA5ADOypG2T994Izxbv85P33ggjQ0lRLklRVDQ2MjA3NTcxLklRX0NEU19NSUQuMDMvMDgvMjYBAAAAbe81AAIAAAAGMzAuMTI1ADOypG2T994IpAri85P33ggkQ0lRLklRVDI2MzIxMzEzMi5JUV9DRFNfTUlELjAzLzA4LzI2AQAAAOGaCAACAAAABzUyLjQ3MzUAM7KkbZP33ghXp+Lzk/feCCNDSVEuSVFUNTEwMjMyNjAuSVFfQ0RTX01JRC4wMy8wOC8yNgEAAACxEX8BAgAAAAYxNC4zNzUAM7KkbZP33gjyMeLzk/feCCNDSVEuSVFUNDYyMTg1MTYuSVFfQ0RTX01JRC4wNS8wOC8yNgEAAACmVaMBAgAAAAczNi43NzIyADOypG2T994IRf/d85P33ggjQ0lRLklRVDQ2MjEwNTYwLklRX0NEU19NSUQuMDkvMDgvMjYB</t>
  </si>
  <si>
    <t>AAAA9ho3AAIAAAAHODIuMTAwNAAzsqRtk/feCN176fOT994II0NJUS5JUVQ0NjIxOTkyMi5JUV9DRFNfTUlELjA5LzA4LzI2AQAAANZHOQECAAAABDUuOTEAM7KkbZP33gh+yunzk/feCCNDSVEuSVFUNDYyMjM2NDYuSVFfQ0RTX01JRC4wOS8wOC8yNgEAAAAbeAQAAgAAAAc0Ny43NTI3ADOypG2T994InT/q85P33ggkQ0lRLklRVDMxMzMxNDk3Ni5JUV9DRFNfTUlELjA5LzA4LzI2AQAAAG1KAAACAAAABzU3LjgyNTMATQlUbZP33giYyOrzk/feCCNDSVEuSVFUNDYyMTg1MTYuSVFfQ0RTX01JRC4xMS8wOC8yNQEAAACmVaMBAgAAAAczMS40MzcxADOypG2T994I+Vny85P33ggjQ0lRLklRVDQ2MjIwODAzLklRX0NEU19NSUQuMTEvMDgvMjUBAAAA1sk2AAIAAAAFNDIuNTgAM7KkbZP33giozPLzk/feCCNDSVEuSVFUNDYyMDAzNjQuSVFfQ0RTX01JRC4xMS8wOC8yNQEAAABXhggAAgAAAAUzNS4zNgAzsqRtk/feCKEb8/OT994II0NJUS5JUVQ0NjIxNDg3OS5JUV9DRFNfTUlELjA4LzA4LzI2AQAAAPUaNwACAAAABzUwLjc5NTIAM7KkbZP33ghXCdjzk/feCCNDSVEuSVFUNDY0NzA4NzcuSVFfQ0RTX01JRC4wOC8wOC8yNgEAAABCNwcAAgAAAAc1Ny43NDY4ADOypG2T994IDwnZ85P33ggkQ0lRLklRVDMxMzMxMDg1NC5JUV9DRFNfTUlELjA4LzA4LzI2AQAAAK9UDQACAAAABzYwLjY2NjcATQlUbZP33ghV</t>
  </si>
  <si>
    <t>89nzk/feCCNDSVEuSVFUNDYyMTQ5NTQuSVFfQ0RTX01JRC4wMi8wOC8yNgEAAAA6PTkBAgAAAAcxNC4zMzMzADOypG2T994IG1jj85P33ggjQ0lRLklRVDQ2MjA4NjM0LklRX0NEU19NSUQuMDIvMDgvMjYBAAAAAx/CAAIAAAAHMjIuODMzMwAzsqRtk/feCLsb5POT994II0NJUS5JUVQ0NjIyNTA4My5JUV9DRFNfTUlELjAyLzA4LzI2AQAAAFZEBgACAAAABDM2LjcAM7KkbZP33gg68+Tzk/feCCNDSVEuSVFUNDYyMDM3MTQuSVFfQ0RTX01JRC4yOC8wNy8yNgEAAABfBTUAAgAAAAYzMS4yNTIAM7KkbZP33gg24ezzk/feCCNDSVEuSVFUNzk2Mzk5NTMuSVFfQ0RTX01JRC4yOC8wNy8yNgEAAAA0m1YBAgAAAAcyNC45MDY1ADOypG2T994IZC/t85P33ggkQ0lRLklRVDUyODkzNjgxMi5JUV9DRFNfTUlELjI4LzA3LzI2AQAAAGxbBgACAAAABzQ3LjIyNTQAM7KkbZP33giF3+3zk/feCCNDSVEuSVFUNDYxOTcxMzguSVFfQ0RTX01JRC4wNy8wOC8yNgEAAADulDgBAgAAAAgxMjEuOTU0OQAzsqRtk/feCN4s2vOT994II0NJUS5JUVQ1MTAyMzQ4MC5JUV9DRFNfTUlELjA3LzA4LzI2AQAAAMJF8QECAAAABjQuNjQyNgAzsqRtk/feCBl72vOT994II0NJUS5JUVQ0NjIwNDk1Ny5JUV9DRFNfTUlELjA3LzA4LzI2AQAAACEVBgACAAAABzUzLjA3MzEAM7KkbZP33ghSPtvzk/feCCRDSVEuSVFUMzEzMzEzNTI0LklR</t>
  </si>
  <si>
    <t>X0NEU19NSUQuMDYvMDgvMjYBAAAA71UNAAIAAAAHNTkuOTU2MgBNCVRtk/feCAGK3fOT994II0NJUS5JUVQ0NjIwMDMxNy5JUV9DRFNfTUlELjA1LzA4LzI2AQAAAP5UDQACAAAABzYzLjE2MjgATQlUbZP33ghKJd/zk/feCCRDSVEuSVFUMzEzMzE3MzQ0LklRX0NEU19NSUQuMDEvMDgvMjYBAAAA8awBAAIAAAAHNjEuMTUwMwBNCVRtk/feCCF+5/OT994II0NJUS5JUVQ3OTYzNDkwMS5JUV9DRFNfTUlELjExLzA1LzI2AQAAAJwGEAACAAAABzQ0Ljg5NjIATQlUbZP33ghDee/zk/feCCNDSVEuSVFUNDYyMTM0NzIuSVFfQ0RTX01JRC4wMy8wOC8yNgEAAAC5WjgAAgAAAAYxNS42NDMAM7KkbZP33ggGWeLzk/feCCNDSVEuSVFUNDYxOTQ5OTUuSVFfQ0RTX01JRC4zMS8wNy8yNgEAAABuEDEAAgAAAAcxMS4wNjU3ADOypG2T994Ij+Dn85P33ggjQ0lRLklRVDQ2MjIyMjkyLklRX0NEU19NSUQuMzEvMDcvMjYBAAAA0ZGbAQIAAAAINzQyLjkzNTQAM7KkbZP33gg+pOjzk/feCCNDSVEuSVFUNDYyMjUwMDYuSVFfQ0RTX01JRC4zMS8wNy8yNgEAAAD4VQ0AAgAAAAc0My4yODU1ADOypG2T994IZvLo85P33ggjQ0lRLklRVDQ2MjIwMzI5LklRX0NEU19NSUQuMzEvMDcvMjYBAAAA21sAAAIAAAAHNTYuMzE2MgBNCVRtk/feCMpU6fOT994II0NJUS5JUVQ0NjI2MjM3OC5JUV9DRFNfTUlELjMwLzA3LzI2AQAAAEDS</t>
  </si>
  <si>
    <t>iQECAAAABTE4LjI1ADOypG2T994Ive7v85P33ggjQ0lRLklRVDQ2MTk3Njk0LklRX0NEU19NSUQuMzAvMDcvMjYBAAAAB/oFAAIAAAAHNTUuNzA3NgAzsqRtk/feCAlk8POT994II0NJUS5JUVQ2MjI3MDEwNy5JUV9DRFNfTUlELjMwLzA3LzI2AQAAABVZAAACAAAABzQ0LjIyOTMAM7KkbZP33gg+sfHzk/feCCNDSVEuSVFUNDYyMDc4NzIuSVFfQ0RTX01JRC4wMS8wOC8yNgEAAABYDQoAAgAAAAY0MC43MzYAM7KkbZP33girP+bzk/feCCNDSVEuSVFUNDYxOTU0OTEuSVFfQ0RTX01JRC4zMS8wNy8yNgEAAABpSgAAAgAAAAc1Ny42Njk4ADOypG2T994IZvLo85P33ggjQ0lRLklRVDQ2MjI1NzE1LklRX0NEU19NSUQuMDcvMDgvMjYBAAAAt+UEAAIAAAAHNDMuNTA1NQAzsqRtk/feCIV72/OT994II0NJUS5JUVQ0OTc1MTE5Ni5JUV9DRFNfTUlELjA5LzA4LzI2AQAAAM2ZvQACAAAABzM4LjAzMjgAM7KkbZP33gjde+nzk/feCCNDSVEuSVFUNjAzODk1MTYuSVFfQ0RTX01JRC4wOS8wOC8yNgEAAACl8MMBAgAAAAY3LjE3ODUAM7KkbZP33gh+yunzk/feCCRDSVEuSVFUMzIzNjgwMTMwLklRX0NEU19NSUQuMDkvMDgvMjYBAAAAceECAAIAAAAGNTAuNzE4ADOypG2T994InGbq85P33ggkQ0lRLklRVDMxMzMxNTQyOS5JUV9DRFNfTUlELjA5LzA4LzI2AQAAADnnBQACAAAABzYwLjgzODUATQlUbZP33giYyOrz</t>
  </si>
  <si>
    <t>k/feCCNDSVEuSVFUNDYyMDY3NzkuSVFfQ0RTX01JRC4xMS8wOC8yNQEAAAD87zYAAgAAAAQyNi41ADOypG2T994I+Vny85P33ggjQ0lRLklRVDQ2MjE4Njc0LklRX0NEU19NSUQuMTEvMDgvMjUBAAAAV8o2AAIAAAAIMTgxLjE5MDkAM7KkbZP33giozPLzk/feCCNDSVEuSVFUNDYyMjU3MTUuSVFfQ0RTX01JRC4xMS8wOC8yNQEAAAC35QQAAgAAAAczNS4wMzYzADOypG2T994IoRvz85P33ggjQ0lRLklRVDQ2MjE5OTIyLklRX0NEU19NSUQuMDgvMDgvMjYBAAAA1kc5AQIAAAAENS45MQAzsqRtk/feCOcw2POT994II0NJUS5JUVQ0NjIyMzY0Ni5JUV9DRFNfTUlELjA4LzA4LzI2AQAAABt4BAACAAAABzQ3Ljc1MjcAM7KkbZP33ggcMNnzk/feCCRDSVEuSVFUMzEzMzE0OTc2LklRX0NEU19NSUQuMDgvMDgvMjYBAAAAbUoAAAIAAAAHNTcuODI1MwBNCVRtk/feCFXz2fOT994II0NJUS5JUVQ0NjIxODUxNi5JUV9DRFNfTUlELjAyLzA4LzI2AQAAAKZVowECAAAABzM2LjU1MzMAM7KkbZP33ggbWOPzk/feCCNDSVEuSVFUNDYyMjA4MDMuSVFfQ0RTX01JRC4wMi8wOC8yNgEAAADWyTYAAgAAAAY0Mi43NTMAM7KkbZP33gjOQuTzk/feCCNDSVEuSVFUNDYyMDAzNjQuSVFfQ0RTX01JRC4wMi8wOC8yNgEAAABXhggAAgAAAAUyNS4wNgAzsqRtk/feCDrz5POT994II0NJUS5JUVQ0NjIwNDMwMC5JUV9DRFNfTUlE</t>
  </si>
  <si>
    <t>LjI4LzA3LzI2AQAAAPYlfQACAAAABjcuMTI2NgAzsqRtk/feCDbh7POT994II0NJUS5JUVQ2MDM4ODA1Ny5JUV9DRFNfTUlELjI4LzA3LzI2AQAAAN/JfQEDAAAAAAAzsqRtk/feCGQv7fOT994II0NJUS5JUVQ0NjE5OTg0MS5JUV9DRFNfTUlELjI4LzA3LzI2AQAAAOswBgADAAAAAAAzsqRtk/feCPwG7vOT994IJENJUS5JUVQzMTMzMTAxODQuSVFfQ0RTX01JRC4wNy8wOC8yNgEAAABgRD4AAgAAAAcxMS4wMTkyADOypG2T994I9VPa85P33ggjQ0lRLklRVDQ2MjE0ODc5LklRX0NEU19NSUQuMDcvMDgvMjYBAAAA9Ro3AAIAAAAHNTAuNzk1MgAzsqRtk/feCBl72vOT994II0NJUS5JUVQ0NjQ3MDg3Ny5JUV9DRFNfTUlELjA3LzA4LzI2AQAAAEI3BwACAAAABzU3Ljc0NjgAM7KkbZP33ghSPtvzk/feCCRDSVEuSVFUMzEzMzEwODU0LklRX0NEU19NSUQuMDcvMDgvMjYBAAAAr1QNAAIAAAAHNjAuNjY2NwBNCVRtk/feCMOg2/OT994II0NJUS5JUVQ0NjIxNDk1NC5JUV9DRFNfTUlELjI5LzA3LzI2AQAAADo9OQECAAAABzE0LjE2NjcAM7KkbZP33ggJZ+vzk/feCCNDSVEuSVFUNDYyMDg2MzQuSVFfQ0RTX01JRC4yOS8wNy8yNgEAAAADH8IAAgAAAAcyMy4yOTE3ADOypG2T994InLPr85P33ggjQ0lRLklRVDQ2MjI1MDgzLklRX0NEU19NSUQuMjkvMDcvMjYBAAAAVkQGAAIAAAAEMzYuOAAzsqRtk/feCBGT</t>
  </si>
  <si>
    <t>7POT994II0NJUS5JUVQ0NjIwMzcxNC5JUV9DRFNfTUlELjA2LzA4LzI2AQAAAF8FNQACAAAABzMxLjE2NjcAM7KkbZP33gi5x9vzk/feCCNDSVEuSVFUNzk2Mzk5NTMuSVFfQ0RTX01JRC4wNi8wOC8yNgEAAAA0m1YBAgAAAAcyNC45NTA2ADOypG2T994I1hXc85P33ggkQ0lRLklRVDUyODkzNjgxMi5JUV9DRFNfTUlELjA2LzA4LzI2AQAAAGxbBgACAAAABzQ1LjE3ODIAM7KkbZP33gjai9zzk/feCCNDSVEuSVFUNDYxOTcxMzguSVFfQ0RTX01JRC4wNS8wOC8yNgEAAADulDgBAgAAAAgxMjEuMjIzOAAzsqRtk/feCAGK3fOT994II0NJUS5JUVQ1MTAyMzQ4MC5JUV9DRFNfTUlELjA1LzA4LzI2AQAAAMJF8QECAAAABjQuODM3MgAzsqRtk/feCEX/3fOT994II0NJUS5JUVQ0NjIwNDk1Ny5JUV9DRFNfTUlELjA1LzA4LzI2AQAAACEVBgACAAAABzU0LjA4MzYAM7KkbZP33ghfTd7zk/feCCNDSVEuSVFUNjIyNzAxMDYuSVFfQ0RTX01JRC4wNS8wOC8yNgEAAACtd4MAAgAAAAc3NS4yMTMyAE0JVG2T994ISiXf85P33ggjQ0lRLklRVDc5NjQwMDI0LklRX0NEU19NSUQuMDQvMDgvMjYBAAAANY+bAQIAAAABOAAzsqRtk/feCJYP4POT994IJENJUS5JUVQzMTMzMDU4NzkuSVFfQ0RTX01JRC4wNC8wOC8yNgEAAACE1twBAgAAAAYyLjM3NzEAM7KkbZP33ghY5ODzk/feCCNDSVEuSVFUNDYyMDA0MTIuSVFfQ0RT</t>
  </si>
  <si>
    <t>X01JRC4wNC8wOC8yNgEAAABjQwYAAgAAAAU0NC4wNwAzsqRtk/feCBm94fOT994II0NJUS5JUVQ0NjIwMzMzMi5JUV9DRFNfTUlELjAxLzA4LzI2AQAAAF8eNwACAAAABzExLjExMTYAM7KkbZP33ghdQuXzk/feCCNDSVEuSVFUNDYyMTUxMTEuSVFfQ0RTX01JRC4wMS8wOC8yNgEAAACgS7IBAgAAAAczNy45ODUyADOypG2T994Ie4/l85P33ggjQ0lRLklRVDQ2MjI2MTMyLklRX0NEU19NSUQuMDEvMDgvMjYBAAAA3VkAAAIAAAAHNDMuOTU2NAAzsqRtk/feCHqO5vOT994IJENJUS5JUVQzMTMzMTM1MjQuSVFfQ0RTX01JRC4wMS8wOC8yNgEAAADvVQ0AAgAAAAc1OS45Njg4AE0JVG2T994IIX7n85P33ggjQ0lRLklRVDc5NjM5OTEzLklRX0NEU19NSUQuMTEvMDUvMjYBAAAAIGMcAgIAAAAGOC42MTMzADOypG2T994IkKPu85P33ggjQ0lRLklRVDQ2MjA3ODcyLklRX0NEU19NSUQuMTEvMDUvMjYBAAAAWA0KAAIAAAAHNDAuOTc1MQAzsqRtk/feCM8W7/OT994II0NJUS5JUVQ0NjIwMDMxNy5JUV9DRFNfTUlELjExLzA1LzI2AQAAAP5UDQACAAAABzY3Ljg2NDcATQlUbZP33ghDee/zk/feCCRDSVEuSVFUNjQ0NzAxNzk3LklRX0NEU19NSUQuMDMvMDgvMjYBAAAAUz99AQIAAAAGOS45Mjg2ADOypG2T994IpAri85P33ggjQ0lRLklRVDQ2MjE2OTg2LklRX0NEU19NSUQuMDMvMDgvMjYBAAAAzkQ4AQMAAAAA</t>
  </si>
  <si>
    <t>ADOypG2T994IBlni85P33ggkQ0lRLklRVDI1NDk1NTIzMy5JUV9DRFNfTUlELjAzLzA4LzI2AQAAADlWCgACAAAABzQwLjU1ODgAM7KkbZP33ghXp+Lzk/feCCNDSVEuSVFUNDYxOTYyMjUuSVFfQ0RTX01JRC4zMS8wNy8yNgEAAAC+VaMBAgAAAAQxNy40ADOypG2T994Ij+Dn85P33ggjQ0lRLklRVDUxMDIzMjYwLklRX0NEU19NSUQuMzEvMDcvMjYBAAAAsRF/AQIAAAAGMTQuNzg2ADOypG2T994IPqTo85P33ggjQ0lRLklRVDQ2MjI0NzQwLklRX0NEU19NSUQuMzEvMDcvMjYBAAAA03IIAAIAAAAHMzYuMTUxOAAzsqRtk/feCGby6POT994IJENJUS5JUVQzMTMzMTczNDQuSVFfQ0RTX01JRC4zMS8wNy8yNgEAAADxrAEAAgAAAAc2MS4xNTAzAE0JVG2T994I3Xvp85P33ggjQ0lRLklRVDQ2MjAwMjc2LklRX0NEU19NSUQuMzAvMDcvMjYBAAAAlnd8AQIAAAAHMjguMzQ2MgAzsqRtk/feCL3u7/OT994II0NJUS5JUVQ0NjE5NTQ5MS5JUV9DRFNfTUlELjMwLzA3LzI2AQAAAGlKAAACAAAABzU4LjA0OTcAM7KkbZP33ggWi/Dzk/feCCNDSVEuSVFUNzk2MzQ5MDEuSVFfQ0RTX01JRC4zMC8wNy8yNgEAAACcBhAAAgAAAAc0MS40MzQ4ADOypG2T994IxNLx85P33ggjQ0lRLklRVDUxMDIzNDgwLklRX0NEU19NSUQuMTEvMDUvMjYBAAAAwkXxAQIAAAAGNS41NDMyADOypG2T994IkKPu85P33ggjQ0lRLklRVDQ2</t>
  </si>
  <si>
    <t>MjA0OTU3LklRX0NEU19NSUQuMTEvMDUvMjYBAAAAIRUGAAIAAAAHNTUuMjg2NQAzsqRtk/feCM8W7/OT994II0NJUS5JUVQ2MjI3MDEwNi5JUV9DRFNfTUlELjExLzA1LzI2AQAAAK13gwACAAAABzczLjYyODQATQlUbZP33ghDee/zk/feCCNDSVEuSVFUNzk2NDAwMjQuSVFfQ0RTX01JRC4wMy8wOC8yNgEAAAA1j5sBAgAAAAY3Ljg2MzEAM7KkbZP33gikCuLzk/feCCRDSVEuSVFUMzEzMzA1ODc5LklRX0NEU19NSUQuMDMvMDgvMjYBAAAAhNbcAQIAAAAGMi4zNzcxADOypG2T994IKX/i85P33ggjQ0lRLklRVDQ2MjAwNDEyLklRX0NEU19NSUQuMDMvMDgvMjYBAAAAY0MGAAIAAAAHNDQuMzU2NAAzsqRtk/feCFen4vOT994II0NJUS5JUVQ0NjIwMzMzMi5JUV9DRFNfTUlELjMxLzA3LzI2AQAAAF8eNwACAAAABzExLjExMTYAM7KkbZP33gj+B+jzk/feCCNDSVEuSVFUNDYyMTUxMTEuSVFfQ0RTX01JRC4zMS8wNy8yNgEAAACgS7IBAgAAAAczNy45ODUyADOypG2T994IPqTo85P33ggjQ0lRLklRVDQ2MjI2MTMyLklRX0NEU19NSUQuMzEvMDcvMjYBAAAA3VkAAAIAAAAHNDMuOTU2NAAzsqRtk/feCGby6POT994IJENJUS5JUVQzMTMzMTM1MjQuSVFfQ0RTX01JRC4zMS8wNy8yNgEAAADvVQ0AAgAAAAc1OS45Njg4AE0JVG2T994I3Xvp85P33ggjQ0lRLklRVDc5NjM5OTEzLklRX0NEU19NSUQuMzAvMDcv</t>
  </si>
  <si>
    <t>MjYBAAAAIGMcAgIAAAAFOC4xMjUAM7KkbZP33gi97u/zk/feCCNDSVEuSVFUNDYyMDc4NzIuSVFfQ0RTX01JRC4zMC8wNy8yNgEAAABYDQoAAgAAAAc0MS4xMDg1ADOypG2T994IFovw85P33ggjQ0lRLklRVDQ2MjAwMzE3LklRX0NEU19NSUQuMzAvMDcvMjYBAAAA/lQNAAIAAAAHNjIuNzA1NQBNCVRtk/feCMTS8fOT994IJENJUS5JUVQzMjM2ODAxMzAuSVFfQ0RTX01JRC4wNy8wOC8yNgEAAABx4QIAAgAAAAY1MC43MTgAM7KkbZP33ghSPtvzk/feCCNDSVEuSVFUNDYyMDY3NzkuSVFfQ0RTX01JRC4yOS8wNy8yNgEAAAD87zYAAgAAAAcxNi4wODMzADOypG2T994ICWfr85P33ggjQ0lRLklRVDQ2MjI1NzE1LklRX0NEU19NSUQuMjkvMDcvMjYBAAAAt+UEAAIAAAAHNDMuNjc3NQAzsqRtk/feCBGT7POT994II0NJUS5JUVQ0NjIwNDg4NC5JUV9DRFNfTUlELjA2LzA4LzI2AQAAAIFRwAECAAAABjI5LjM3NQAzsqRtk/feCLvu2/OT994II0NJUS5JUVQ0NjIwNzc4OS5JUV9DRFNfTUlELjA2LzA4LzI2AQAAACpYowECAAAABzI2LjYxMjUAM7KkbZP33gjhPNzzk/feCCNDSVEuSVFUNDYyMTk5MjIuSVFfQ0RTX01JRC4wNS8wOC8yNgEAAADWRzkBAgAAAAY2LjEzNjgAM7KkbZP33ghF/93zk/feCCNDSVEuSVFUNDYyMjM2NDYuSVFfQ0RTX01JRC4wNS8wOC8yNgEAAAAbeAQAAgAAAAc0OC4xOTk1ADOypG2T</t>
  </si>
  <si>
    <t>994IX03e85P33ggjQ0lRLklRVDQ2MjE4NTE2LklRX0NEU19NSUQuMDQvMDgvMjYBAAAAplWjAQIAAAAHMzYuNzI0MQAzsqRtk/feCJYP4POT994II0NJUS5JUVQ0NjIyMDgwMy5JUV9DRFNfTUlELjA0LzA4LzI2AQAAANbJNgACAAAABzQxLjg0ODkAM7KkbZP33ghnC+Hzk/feCCNDSVEuSVFUNDYyMDAzNjQuSVFfQ0RTX01JRC4wNC8wOC8yNgEAAABXhggAAgAAAAUyNC41NQAzsqRtk/feCBm94fOT994II0NJUS5JUVQ0NjIwNDMwMC5JUV9DRFNfTUlELjAxLzA4LzI2AQAAAPYlfQACAAAABjcuMTY2MQAzsqRtk/feCF1C5fOT994II0NJUS5JUVQ2MDM4ODA1Ny5JUV9DRFNfTUlELjAxLzA4LzI2AQAAAN/JfQEDAAAAAAAzsqRtk/feCHuP5fOT994II0NJUS5JUVQ0NjE5OTg0MS5JUV9DRFNfTUlELjAxLzA4LzI2AQAAAOswBgADAAAAAAAzsqRtk/feCIO15vOT994IJENJUS5JUVQzMTMzMTAxODQuSVFfQ0RTX01JRC4xMS8wNS8yNgEAAABgRD4AAgAAAAYxMi4xODgAM7KkbZP33gieVu7zk/feCCNDSVEuSVFUNDYyMTQ4NzkuSVFfQ0RTX01JRC4xMS8wNS8yNgEAAAD1GjcAAgAAAAY0OS44NzUAM7KkbZP33giQo+7zk/feCCNDSVEuSVFUNDY0NzA4NzcuSVFfQ0RTX01JRC4xMS8wNS8yNgEAAABCNwcAAgAAAAc1Ni40NjI4ADOypG2T994Izxbv85P33ggkQ0lRLklRVDMxMzMxMDg1NC5JUV9DRFNfTUlELjEx</t>
  </si>
  <si>
    <t>LzA1LzI2AQAAAK9UDQACAAAAAjYzAE0JVG2T994IQ3nv85P33ggjQ0lRLklRVDQ2MjE0OTU0LklRX0NEU19NSUQuMDMvMDgvMjYBAAAAOj05AQIAAAAHMTQuMzMzMwAzsqRtk/feCKQK4vOT994II0NJUS5JUVQ0NjIwODYzNC5JUV9DRFNfTUlELjAzLzA4LzI2AQAAAAMfwgACAAAABTIyLjg4ADOypG2T994IKX/i85P33ggjQ0lRLklRVDQ2MjI1MDgzLklRX0NEU19NSUQuMDMvMDgvMjYBAAAAVkQGAAIAAAAFMzYuMjUAM7KkbZP33ghrzeLzk/feCCNDSVEuSVFUNDYyMDM3MTQuSVFfQ0RTX01JRC4zMS8wNy8yNgEAAABfBTUAAgAAAAYzMS41NzkAM7KkbZP33gj+B+jzk/feCCRDSVEuSVFUNTI4OTM2ODEyLklRX0NEU19NSUQuMzEvMDcvMjYBAAAAbFsGAAIAAAAHNDYuNzc5NwAzsqRtk/feCGby6POT994II0NJUS5JUVQ0NjE5NzEzOC5JUV9DRFNfTUlELjMwLzA3LzI2AQAAAO6UOAECAAAACDEyNS4wODU4ADOypG2T994ISqDv85P33ggkQ0lRLklRVDMxMzMxMDE4NC5JUV9DRFNfTUlELjAxLzA4LzI2AQAAAGBEPgACAAAABzEwLjk3MDMAM7KkbZP33ghMGuXzk/feCCNDSVEuSVFUNTEwMjM0ODAuSVFfQ0RTX01JRC4zMS8wNy8yNgEAAADCRfEBAgAAAAY0LjgzODQAM7KkbZP33gg6fejzk/feCCNDSVEuSVFUNDYxOTQ5OTUuSVFfQ0RTX01JRC4wOS8wOC8yNgEAAABuEDEAAgAAAAcxMS4wMDAxADOypG2T</t>
  </si>
  <si>
    <t>994I3Xvp85P33ggjQ0lRLklRVDQ2MjIyMjkyLklRX0NEU19NSUQuMDkvMDgvMjYBAAAA0ZGbAQIAAAAINzY0LjQwOTYAM7KkbZP33ghV8enzk/feCCNDSVEuSVFUNDYyMjUwMDYuSVFfQ0RTX01JRC4wOS8wOC8yNgEAAAD4VQ0AAgAAAAY0MS4zMDYAM7KkbZP33gicZurzk/feCCNDSVEuSVFUNDYyMjAzMjkuSVFfQ0RTX01JRC4wOS8wOC8yNgEAAADbWwAAAgAAAAc1Ni4zNDUyAE0JVG2T994ImMjq85P33ggjQ0lRLklRVDQ2MjYyMzc4LklRX0NEU19NSUQuMTEvMDgvMjUBAAAAQNKJAQIAAAAHMTYuMjc1NAAzsqRtk/feCPlZ8vOT994II0NJUS5JUVQ0NjE5NzY5NC5JUV9DRFNfTUlELjExLzA4LzI1AQAAAAf6BQACAAAABzU0LjYzNDYAM7KkbZP33giozPLzk/feCCNDSVEuSVFUNjIyNzAxMDcuSVFfQ0RTX01JRC4xMS8wOC8yNQEAAAAVWQAAAgAAAAcyOC42NjU5ADOypG2T994IoRvz85P33ggjQ0lRLklRVDYwMzg5NTE2LklRX0NEU19NSUQuMDgvMDgvMjYBAAAApfDDAQIAAAAGNy4xNzg1ADOypG2T994I5zDY85P33ggkQ0lRLklRVDMyMzY4MDEzMC5JUV9DRFNfTUlELjA4LzA4LzI2AQAAAHHhAgACAAAABjUwLjcxOAAzsqRtk/feCBww2fOT994IJENJUS5JUVQzMTMzMTU0MjkuSVFfQ0RTX01JRC4wOC8wOC8yNgEAAAA55wUAAgAAAAc2MC44Mzg1AE0JVG2T994I3iza85P33ggjQ0lRLklRVDQ2MjA2</t>
  </si>
  <si>
    <t>Nzc5LklRX0NEU19NSUQuMDIvMDgvMjYBAAAA/O82AAIAAAACMTYAM7KkbZP33ggbWOPzk/feCCNDSVEuSVFUNDYyMTg2NzQuSVFfQ0RTX01JRC4wMi8wOC8yNgEAAABXyjYAAgAAAAgxMjguODI3MwAzsqRtk/feCM5C5POT994II0NJUS5JUVQ0NjIyNTcxNS5JUV9DRFNfTUlELjAyLzA4LzI2AQAAALflBAACAAAABzQzLjU1MDUAM7KkbZP33gg68+Tzk/feCCNDSVEuSVFUNDYyMDQ4ODQuSVFfQ0RTX01JRC4yOC8wNy8yNgEAAACBUcABAgAAAAcyOS4zMjc1ADOypG2T994INuHs85P33ggjQ0lRLklRVDQ2MjA3Nzg5LklRX0NEU19NSUQuMjgvMDcvMjYBAAAAKlijAQIAAAAHMjcuMTI0NAAzsqRtk/feCGQv7fOT994IJENJUS5JUVQyODYwOTYxMzEuSVFfQ0RTX01JRC4yOC8wNy8yNgEAAAA78QQAAgAAAAc1OS40MjEzADOypG2T994I/Abu85P33ggjQ0lRLklRVDQ2MjEwNTYwLklRX0NEU19NSUQuMDcvMDgvMjYBAAAA9ho3AAIAAAAHODIuMTAwNAAzsqRtk/feCPVT2vOT994II0NJUS5JUVQ0NjIxOTkyMi5JUV9DRFNfTUlELjA3LzA4LzI2AQAAANZHOQECAAAABDUuOTEAM7KkbZP33ggQo9rzk/feCCNDSVEuSVFUNDYyMjM2NDYuSVFfQ0RTX01JRC4wNy8wOC8yNgEAAAAbeAQAAgAAAAc0Ny43NTI3ADOypG2T994IUj7b85P33ggkQ0lRLklRVDMxMzMxNDk3Ni5JUV9DRFNfTUlELjA3LzA4LzI2AQAAAG1K</t>
  </si>
  <si>
    <t>AAACAAAABzU3LjgyNTMATQlUbZP33gjDoNvzk/feCCNDSVEuSVFUNDYyMTg1MTYuSVFfQ0RTX01JRC4yOS8wNy8yNgEAAACmVaMBAgAAAAczNi4yMjg2ADOypG2T994ICWfr85P33ggjQ0lRLklRVDQ2MjIwODAzLklRX0NEU19NSUQuMjkvMDcvMjYBAAAA1sk2AAIAAAAGNDMuNzI1ADOypG2T994InLPr85P33ggjQ0lRLklRVDQ2MjAwMzY0LklRX0NEU19NSUQuMjkvMDcvMjYBAAAAV4YIAAIAAAAHMjUuMjE3OQAzsqRtk/feCBGT7POT994II0NJUS5JUVQ0NjIwNDMwMC5JUV9DRFNfTUlELjA2LzA4LzI2AQAAAPYlfQACAAAABjcuMDkxNwAzsqRtk/feCLvu2/OT994II0NJUS5JUVQ2MDM4ODA1Ny5JUV9DRFNfTUlELjA2LzA4LzI2AQAAAN/JfQEDAAAAAAAzsqRtk/feCNYV3POT994II0NJUS5JUVQ0NjE5OTg0MS5JUV9DRFNfTUlELjA2LzA4LzI2AQAAAOswBgADAAAAAAAzsqRtk/feCNqL3POT994IJENJUS5JUVQzMTMzMTAxODQuSVFfQ0RTX01JRC4wNS8wOC8yNgEAAABgRD4AAgAAAAcxMC45OTE4ADOypG2T994IAYrd85P33ggjQ0lRLklRVDQ2MjE0ODc5LklRX0NEU19NSUQuMDUvMDgvMjYBAAAA9Ro3AAIAAAAHNTAuNDg1MgAzsqRtk/feCEX/3fOT994II0NJUS5JUVQ0NjQ3MDg3Ny5JUV9DRFNfTUlELjA1LzA4LzI2AQAAAEI3BwACAAAABjU4LjE5MgAzsqRtk/feCF9N3vOT994IJENJUS5JUVQz</t>
  </si>
  <si>
    <t>MTMzMTA4NTQuSVFfQ0RTX01JRC4wNS8wOC8yNgEAAACvVA0AAgAAAAc2MC44MzMzAE0JVG2T994ISiXf85P33ggjQ0lRLklRVDQ2MjE0OTU0LklRX0NEU19NSUQuMDQvMDgvMjYBAAAAOj05AQIAAAAFMTQuMjUAM7KkbZP33giWD+Dzk/feCCNDSVEuSVFUNDYyMDg2MzQuSVFfQ0RTX01JRC4wNC8wOC8yNgEAAAADH8IAAgAAAAcyMi43NDg4ADOypG2T994IZwvh85P33ggjQ0lRLklRVDQ2MjI1MDgzLklRX0NEU19NSUQuMDQvMDgvMjYBAAAAVkQGAAIAAAACMzYAM7KkbZP33ggZveHzk/feCCNDSVEuSVFUNDYyMDM3MTQuSVFfQ0RTX01JRC4wMS8wOC8yNgEAAABfBTUAAgAAAAYzMS41NzkAM7KkbZP33ghdQuXzk/feCCNDSVEuSVFUNzk2Mzk5NTMuSVFfQ0RTX01JRC4wMS8wOC8yNgEAAAA0m1YBAgAAAAcyNC45NjM1ADOypG2T994Ie4/l85P33ggkQ0lRLklRVDUyODkzNjgxMi5JUV9DRFNfTUlELjAxLzA4LzI2AQAAAGxbBgACAAAABzQ2Ljc3OTcAM7KkbZP33gh6jubzk/feCCNDSVEuSVFUNDYxOTcxMzguSVFfQ0RTX01JRC4xMS8wNS8yNgEAAADulDgBAgAAAAgxMTguOTU1NwAzsqRtk/feCJ5W7vOT994IJENJUS5JUVQzMTMzMTU0MjkuSVFfQ0RTX01JRC4wNy8wOC8yNgEAAAA55wUAAgAAAAc2MC44Mzg1AE0JVG2T994Iw6Db85P33ggjQ0lRLklRVDQ2MjE4Njc0LklRX0NEU19NSUQuMjkvMDcvMjYB</t>
  </si>
  <si>
    <t>AAAAV8o2AAIAAAAIMTMwLjYyNDMAM7KkbZP33gics+vzk/feCCRDSVEuSVFUMjg2MDk2MTMxLklRX0NEU19NSUQuMDYvMDgvMjYBAAAAO/EEAAIAAAAGNTQuNTk1ADOypG2T994IMbLc85P33ggjQ0lRLklRVDQ2MjEwNTYwLklRX0NEU19NSUQuMDUvMDgvMjYBAAAA9ho3AAIAAAAHODIuNTMxNwAzsqRtk/feCAGK3fOT994IJENJUS5JUVQzMTMzMTQ5NzYuSVFfQ0RTX01JRC4wNS8wOC8yNgEAAABtSgAAAgAAAAc1Ny44MjY2AE0JVG2T994IQ0zf85P33ggjQ0lRLklRVDc5NjM5OTUzLklRX0NEU19NSUQuMzEvMDcvMjYBAAAANJtWAQIAAAAHMjQuOTYzNQAzsqRtk/feCD6k6POT994II0NJUS5JUVQ1MTAyMzQ4MC5JUV9DRFNfTUlELjMwLzA3LzI2AQAAAMJF8QECAAAABjQuODc1NgAzsqRtk/feCL3u7/OT994II0NJUS5JUVQ0NjIwNDk1Ny5JUV9DRFNfTUlELjMwLzA3LzI2AQAAACEVBgACAAAABzU2Ljk4ODUAM7KkbZP33ggi2fDzk/feCCNDSVEuSVFUNjIyNzAxMDYuSVFfQ0RTX01JRC4zMC8wNy8yNgEAAACtd4MAAgAAAAc3NS4xOTQzAE0JVG2T994Itebx85P33ggkQ0lRLklRVDMxMzMxMDE4NC5JUV9DRFNfTUlELjMwLzA3LzI2AQAAAGBEPgACAAAABzExLjAwNzEAM7KkbZP33ghKoO/zk/feCCNDSVEuSVFUNDYyMTQ4NzkuSVFfQ0RTX01JRC4zMC8wNy8yNgEAAAD1GjcAAgAAAAc1MS4wODMzADOy</t>
  </si>
  <si>
    <t>pG2T994IyhXw85P33ggjQ0lRLklRVDQ2NDcwODc3LklRX0NEU19NSUQuMzAvMDcvMjYBAAAAQjcHAAIAAAAHNjIuNjUwNwAzsqRtk/feCAnt8POT994II0NJUS5JUVQ0NjIxMDU2MC5JUV9DRFNfTUlELjMwLzA3LzI2AQAAAPYaNwACAAAABzg2LjIyOTMAM7KkbZP33ghKoO/zk/feCCNDSVEuSVFUNDYyMjM2NDYuSVFfQ0RTX01JRC4zMC8wNy8yNgEAAAAbeAQAAgAAAAc1MC42NjExADOypG2T994ICe3w85P33ggjQ0lRLklRVDQ2MjA3ODcyLklRX0NEU19NSUQuMjkvMDcvMjYBAAAAWA0KAAIAAAAGNDEuOTI1ADOypG2T994Iwdrr85P33ggkQ0lRLklRVDY0NDcwMTc5Ny5JUV9DRFNfTUlELjA2LzA4LzI2AQAAAFM/fQECAAAABjkuNTcyMwAzsqRtk/feCLvu2/OT994IJENJUS5JUVQyNTQ5NTUyMzMuSVFfQ0RTX01JRC4wNi8wOC8yNgEAAAA5VgoAAgAAAAczOS40MDU3ADOypG2T994ILdnc85P33ggjQ0lRLklRVDQ2MTk2MjI1LklRX0NEU19NSUQuMDUvMDgvMjYBAAAAvlWjAQIAAAAGMTcuMTI1ADOypG2T994IFLHd85P33ggjQ0lRLklRVDQ2MjI0NzQwLklRX0NEU19NSUQuMDUvMDgvMjYBAAAA03IIAAIAAAAEMzUuNQAzsqRtk/feCF9N3vOT994II0NJUS5JUVQ0NjIwMDI3Ni5JUV9DRFNfTUlELjA0LzA4LzI2AQAAAJZ3fAECAAAABzI4LjA5NjYAM7KkbZP33ggVSODzk/feCCNDSVEuSVFUNzk2MzQ5</t>
  </si>
  <si>
    <t>MDEuSVFfQ0RTX01JRC4wNC8wOC8yNgEAAACcBhAAAgAAAAc0MS4yNDE1ADOypG2T994IGb3h85P33ggjQ0lRLklRVDQ2MjEzNDcyLklRX0NEU19NSUQuMDEvMDgvMjYBAAAAuVo4AAIAAAAGMTUuNzI5ADOypG2T994Idd7l85P33ggjQ0lRLklRVDQ2MTk0OTk1LklRX0NEU19NSUQuMTEvMDUvMjYBAAAAbhAxAAIAAAAHMTEuNzU2NwAzsqRtk/feCCF+7vOT994II0NJUS5JUVQ0NjIyMjI5Mi5JUV9DRFNfTUlELjExLzA1LzI2AQAAANGRmwECAAAACDc3NS41NjQ5ADOypG2T994Ij8ru85P33ggjQ0lRLklRVDQ2MjI1MDA2LklRX0NEU19NSUQuMTEvMDUvMjYBAAAA+FUNAAIAAAAHMzkuODQzNgAzsqRtk/feCM8W7/OT994II0NJUS5JUVQ0NjIyMDMyOS5JUV9DRFNfTUlELjExLzA1LzI2AQAAANtbAAACAAAABDU1LjUATQlUbZP33ghKoO/zk/feCCNDSVEuSVFUNDYxOTc2OTQuSVFfQ0RTX01JRC4wMy8wOC8yNgEAAAAH+gUAAgAAAAc1NC4xODY1ADOypG2T994IKX/i85P33ggjQ0lRLklRVDQ2MjA3MzA4LklRX0NEU19NSUQuMzEvMDcvMjYBAAAAOYl6AQIAAAAHMTQuNTE2NwAzsqRtk/feCBMv6POT994II0NJUS5JUVQ2MDM4OTUxNi5JUV9DRFNfTUlELjMwLzA3LzI2AQAAAKXwwwECAAAABjcuMjQ3NQAzsqRtk/feCMoV8POT994IJENJUS5JUVQyODYwOTYxMzEuSVFfQ0RTX01JRC4wOC8wOC8yNgEAAAA7</t>
  </si>
  <si>
    <t>8QQAAgAAAAc1My44ODg1ADOypG2T994IMn7Z85P33ggjQ0lRLklRVDQ2MjE5OTIyLklRX0NEU19NSUQuMDIvMDgvMjYBAAAA1kc5AQIAAAAGNi4zNjQ0ADOypG2T994Ijabj85P33ggjQ0lRLklRVDQ2MjE4NTE2LklRX0NEU19NSUQuMjgvMDcvMjYBAAAAplWjAQIAAAAHMzUuOTk2NwAzsqRtk/feCD4I7fOT994II0NJUS5JUVQ2MDM4ODA1Ny5JUV9DRFNfTUlELjA3LzA4LzI2AQAAAN/JfQEDAAAAAAAzsqRtk/feCE3w2vOT994II0NJUS5JUVQ0NjE5OTg0MS5JUV9DRFNfTUlELjA3LzA4LzI2AQAAAOswBgADAAAAAAAzsqRtk/feCFI+2/OT994II0NJUS5JUVQ0NjIxNDg3OS5JUV9DRFNfTUlELjI5LzA3LzI2AQAAAPUaNwACAAAABzUxLjA3ODUAM7KkbZP33ggJZ+vzk/feCCRDSVEuSVFUMjU0OTU1MjMzLklRX0NEU19NSUQuMzEvMDcvMjYBAAAAOVYKAAIAAAAHNDEuMzgwNgAzsqRtk/feCFYt6fOT994II0NJUS5JUVQ0NjIxMzQ3Mi5JUV9DRFNfTUlELjA1LzA4LzI2AQAAALlaOAACAAAABzE1LjE4NzUAM7KkbZP33ghAJt7zk/feCCNDSVEuSVFUNDYyMjIyOTIuSVFfQ0RTX01JRC4wNC8wOC8yNgEAAADRkZsBAgAAAAc3NjQuMzMxADOypG2T994INJbg85P33ggjQ0lRLklRVDQ2MjYyMzc4LklRX0NEU19NSUQuMDEvMDgvMjYBAAAAQNKJAQIAAAAHMTguMTE4NQAzsqRtk/feCF1p5fOT994II0NJUS5J</t>
  </si>
  <si>
    <t>UVQ0NjIyNTM3NC5JUV9DRFNfTUlELjExLzA1LzI2AQAAALXWBQACAAAABzQzLjkwMzcAM7KkbZP33ghCVe/zk/feCCRDSVEuSVFUMzIzNjgwMTMwLklRX0NEU19NSUQuMDMvMDgvMjYBAAAAceECAAIAAAAHNTAuNzAxMwAzsqRtk/feCCl/4vOT994II0NJUS5JUVQ0NjIwNjc3OS5JUV9DRFNfTUlELjMxLzA3LzI2AQAAAPzvNgACAAAAAjE2ADOypG2T994IHlbo85P33ggjQ0lRLklRVDQ2MjA3Nzg5LklRX0NEU19NSUQuMzAvMDcvMjYBAAAAKlijAQIAAAAHMjcuMDk0NwAzsqRtk/feCMoV8POT994II0NJUS5JUVQ0NjIwNzc4OS5JUV9DRFNfTUlELjExLzA4LzI1AQAAACpYowECAAAABzIwLjgzMTYAM7KkbZP33gijpfLzk/feCCNDSVEuSVFUNDYxOTYyMjUuSVFfQ0RTX01JRC4wOS8wOC8yNgEAAAC+VaMBAgAAAAYxNy4zNzUAM7KkbZP33gjde+nzk/feCCNDSVEuSVFUNTEwMjMyNjAuSVFfQ0RTX01JRC4wOS8wOC8yNgEAAACxEX8BAgAAAAYxNC44NzUAM7KkbZP33ghV8enzk/feCCNDSVEuSVFUNDYyMjQ3NDAuSVFfQ0RTX01JRC4wOS8wOC8yNgEAAADTcggAAgAAAAQzNS41ADOypG2T994InGbq85P33ggkQ0lRLklRVDMxMzMxNzM0NC5JUV9DRFNfTUlELjA5LzA4LzI2AQAAAPGsAQACAAAABzYxLjAyMDMATQlUbZP33giYyOrzk/feCCNDSVEuSVFUNDYyMDAyNzYuSVFfQ0RTX01JRC4xMS8wOC8yNQEA</t>
  </si>
  <si>
    <t>AACWd3wBAgAAAAcyMy41MzUxADOypG2T994I+Vny85P33ggjQ0lRLklRVDQ2MTk1NDkxLklRX0NEU19NSUQuMTEvMDgvMjUBAAAAaUoAAAIAAAAHNTMuOTMxOAAzsqRtk/feCKjM8vOT994II0NJUS5JUVQ3OTYzNDkwMS5JUV9DRFNfTUlELjExLzA4LzI1AQAAAJwGEAACAAAABzU2LjI2NjYATQlUbZP33gihG/Pzk/feCCNDSVEuSVFUNDYyMjIyOTIuSVFfQ0RTX01JRC4wOC8wOC8yNgEAAADRkZsBAgAAAAg3NjQuNDA5NgAzsqRtk/feCOcw2POT994II0NJUS5JUVQ0NjIyNTAwNi5JUV9DRFNfTUlELjA4LzA4LzI2AQAAAPhVDQACAAAABjQxLjMwNgAzsqRtk/feCBww2fOT994II0NJUS5JUVQ0NjIyMDMyOS5JUV9DRFNfTUlELjA4LzA4LzI2AQAAANtbAAACAAAABzU2LjM0NTIATQlUbZP33gjeLNrzk/feCCNDSVEuSVFUNDYyNjIzNzguSVFfQ0RTX01JRC4wMi8wOC8yNgEAAABA0okBAgAAAAcxOC4xMTg1ADOypG2T994If3/j85P33ggjQ0lRLklRVDQ2MTk3Njk0LklRX0NEU19NSUQuMDIvMDgvMjYBAAAAB/oFAAIAAAAHNTUuMDY1OAAzsqRtk/feCM5C5POT994II0NJUS5JUVQ2MjI3MDEwNy5JUV9DRFNfTUlELjAyLzA4LzI2AQAAABVZAAACAAAABzQzLjYyOTMAM7KkbZP33gg68+Tzk/feCCNDSVEuSVFUNDYyMDczMDguSVFfQ0RTX01JRC4yOC8wNy8yNgEAAAA5iXoBAgAAAAcxNC41ODMzADOypG2T</t>
  </si>
  <si>
    <t>994INuHs85P33ggjQ0lRLklRVDQ2MjEwMDMyLklRX0NEU19NSUQuMjgvMDcvMjYBAAAAj1WjAQIAAAAHMzguMDEyNwAzsqRtk/feCGQv7fOT994II0NJUS5JUVQ0NjIyNTM3NC5JUV9DRFNfTUlELjI4LzA3LzI2AQAAALXWBQACAAAABzM4LjI0NzcAM7KkbZP33gj8Bu7zk/feCCNDSVEuSVFUNDk3NTExOTYuSVFfQ0RTX01JRC4wNy8wOC8yNgEAAADNmb0AAgAAAAczOC4wMzI4ADOypG2T994I9VPa85P33ggjQ0lRLklRVDYwMzg5NTE2LklRX0NEU19NSUQuMDcvMDgvMjYBAAAApfDDAQIAAAAGNy4xNzg1ADOypG2T994IEKPa85P33ggjQ0lRLklRVDQ2MTk2MjI1LklRX0NEU19NSUQuMDMvMDgvMjYBAAAAvlWjAQIAAAAGMTcuMzc1ADOypG2T994IpAri85P33ggkQ0lRLklRVDMxMzMwNTg3OS5JUV9DRFNfTUlELjMwLzA3LzI2AQAAAITW3AECAAAABjIuMzc3MQAzsqRtk/feCNU88POT994II0NJUS5JUVQ0NjIwMzMzMi5JUV9DRFNfTUlELjA5LzA4LzI2AQAAAF8eNwACAAAABzEwLjY2NjcAM7KkbZP33gjde+nzk/feCCNDSVEuSVFUNDYyMTUxMTEuSVFfQ0RTX01JRC4wOS8wOC8yNgEAAACgS7IBAgAAAAczNy4yNTAyADOypG2T994IVfHp85P33ggjQ0lRLklRVDQ2MjI2MTMyLklRX0NEU19NSUQuMDkvMDgvMjYBAAAA3VkAAAIAAAAHNDMuMDgzMwAzsqRtk/feCJxm6vOT994IJENJUS5JUVQzMTMzMTM1</t>
  </si>
  <si>
    <t>MjQuSVFfQ0RTX01JRC4wOS8wOC8yNgEAAADvVQ0AAgAAAAc1OS45OTU2AE0JVG2T994ImMjq85P33ggjQ0lRLklRVDc5NjM5OTEzLklRX0NEU19NSUQuMTEvMDgvMjUBAAAAIGMcAgIAAAAGOC45NzY1ADOypG2T994I+Vny85P33ggjQ0lRLklRVDQ2MjA3ODcyLklRX0NEU19NSUQuMTEvMDgvMjUBAAAAWA0KAAIAAAAHMzkuODMzNQAzsqRtk/feCKjM8vOT994II0NJUS5JUVQ0NjIwMDMxNy5JUV9DRFNfTUlELjExLzA4LzI1AQAAAP5UDQACAAAABzY4LjA3ODYATQlUbZP33gihG/Pzk/feCCNDSVEuSVFUNTEwMjMyNjAuSVFfQ0RTX01JRC4wOC8wOC8yNgEAAACxEX8BAgAAAAYxNC44NzUAM7KkbZP33gjnMNjzk/feCCNDSVEuSVFUNDYyMjQ3NDAuSVFfQ0RTX01JRC4wOC8wOC8yNgEAAADTcggAAgAAAAQzNS41ADOypG2T994IIlfZ85P33ggkQ0lRLklRVDMxMzMxNzM0NC5JUV9DRFNfTUlELjA4LzA4LzI2AQAAAPGsAQACAAAABzYxLjAyMDMATQlUbZP33gjeLNrzk/feCCNDSVEuSVFUNDYyMDAyNzYuSVFfQ0RTX01JRC4wMi8wOC8yNgEAAACWd3wBAgAAAAcyOC4wOTA3ADOypG2T994If3/j85P33ggjQ0lRLklRVDQ2MTk1NDkxLklRX0NEU19NSUQuMDIvMDgvMjYBAAAAaUoAAAIAAAAHNTcuNjY5OAAzsqRtk/feCN1p5POT994II0NJUS5JUVQ3OTYzNDkwMS5JUV9DRFNfTUlELjAyLzA4LzI2AQAAAJwG</t>
  </si>
  <si>
    <t>EAACAAAABzQxLjQzMTkAM7KkbZP33gg68+Tzk/feCCNDSVEuSVFUNDYyMDc1NzEuSVFfQ0RTX01JRC4yOC8wNy8yNgEAAABt7zUAAgAAAAcyOS44NjA1ADOypG2T994INuHs85P33ggjQ0lRLklRVDQ2MjEzNDcyLklRX0NEU19NSUQuMjgvMDcvMjYBAAAAuVo4AAIAAAAHMTUuMjkzNQAzsqRtk/feCHRW7fOT994IJENJUS5JUVQyNjMyMTMxMzIuSVFfQ0RTX01JRC4yOC8wNy8yNgEAAADhmggAAgAAAAc1NS4wNTY5ADOypG2T994Iey7u85P33ggjQ0lRLklRVDQ2MTk0OTk1LklRX0NEU19NSUQuMDcvMDgvMjYBAAAAbhAxAAIAAAAHMTEuMDAwMQAzsqRtk/feCPVT2vOT994II0NJUS5JUVQ0NjIyMjI5Mi5JUV9DRFNfTUlELjA3LzA4LzI2AQAAANGRmwECAAAACDc2NC40MDk2ADOypG2T994IEKPa85P33ggjQ0lRLklRVDQ2MjI1MDA2LklRX0NEU19NSUQuMDcvMDgvMjYBAAAA+FUNAAIAAAAGNDEuMzA2ADOypG2T994IUj7b85P33ggjQ0lRLklRVDQ2MjIwMzI5LklRX0NEU19NSUQuMDcvMDgvMjYBAAAA21sAAAIAAAAHNTYuMzQ1MgBNCVRtk/feCMOg2/OT994II0NJUS5JUVQ0NjI2MjM3OC5JUV9DRFNfTUlELjI5LzA3LzI2AQAAAEDSiQECAAAABzE4LjMwNjYAM7KkbZP33ggJZ+vzk/feCCNDSVEuSVFUNDYxOTc2OTQuSVFfQ0RTX01JRC4yOS8wNy8yNgEAAAAH+gUAAgAAAAc1NS4zMzI0ADOypG2T994I</t>
  </si>
  <si>
    <t>nLPr85P33ggjQ0lRLklRVDYyMjcwMTA3LklRX0NEU19NSUQuMjkvMDcvMjYBAAAAFVkAAAIAAAAGNDMuNzQzADOypG2T994IEZPs85P33ggjQ0lRLklRVDQ2MjA3MzA4LklRX0NEU19NSUQuMDYvMDgvMjYBAAAAOYl6AQIAAAAGMTQuMzU4ADOypG2T994Iu+7b85P33ggjQ0lRLklRVDQ2MjEwMDMyLklRX0NEU19NSUQuMDYvMDgvMjYBAAAAj1WjAQIAAAAHMzUuMDE1MgAzsqRtk/feCOE83POT994II0NJUS5JUVQ0NjIyNTM3NC5JUV9DRFNfTUlELjA2LzA4LzI2AQAAALXWBQACAAAABzM2Ljk2MzcAM7KkbZP33ggxstzzk/feCCNDSVEuSVFUNDk3NTExOTYuSVFfQ0RTX01JRC4wNS8wOC8yNgEAAADNmb0AAgAAAAczOS43MDUzADOypG2T994IFLHd85P33ggjQ0lRLklRVDYwMzg5NTE2LklRX0NEU19NSUQuMDUvMDgvMjYBAAAApfDDAQIAAAAFNy4yNDgAM7KkbZP33ghAJt7zk/feCCRDSVEuSVFUMzIzNjgwMTMwLklRX0NEU19NSUQuMDUvMDgvMjYBAAAAceECAAIAAAAHNTAuMTY2OQAzsqRtk/feCF9N3vOT994IJENJUS5JUVQzMTMzMTU0MjkuSVFfQ0RTX01JRC4wNS8wOC8yNgEAAAA55wUAAgAAAAc2MC44MzMzAE0JVG2T994IQ0zf85P33ggjQ0lRLklRVDQ2MjA2Nzc5LklRX0NEU19NSUQuMDQvMDgvMjYBAAAA/O82AAIAAAACMTYAM7KkbZP33giWD+Dzk/feCCNDSVEuSVFUNDYyMTg2NzQuSVFfQ0RT</t>
  </si>
  <si>
    <t>X01JRC4wNC8wOC8yNgEAAABXyjYAAgAAAAgxMjIuMjcwNwAzsqRtk/feCGcL4fOT994II0NJUS5JUVQ0NjIyNTcxNS5JUV9DRFNfTUlELjA0LzA4LzI2AQAAALflBAACAAAABzQzLjUzNzEAM7KkbZP33ggZveHzk/feCCNDSVEuSVFUNDYyMDQ4ODQuSVFfQ0RTX01JRC4wMS8wOC8yNgEAAACBUcABAgAAAAIyOQAzsqRtk/feCF1C5fOT994II0NJUS5JUVQ0NjIwNzc4OS5JUV9DRFNfTUlELjAxLzA4LzI2AQAAACpYowECAAAABzI2LjkzMDgAM7KkbZP33gh+tuXzk/feCCRDSVEuSVFUMjg2MDk2MTMxLklRX0NEU19NSUQuMDEvMDgvMjYBAAAAO/EEAAIAAAAHNTguODQ2MgAzsqRtk/feCIO15vOT994II0NJUS5JUVQ0NjIxMDU2MC5JUV9DRFNfTUlELjExLzA1LzI2AQAAAPYaNwACAAAABzg1Ljk0NjMAM7KkbZP33gieVu7zk/feCCNDSVEuSVFUNDYyMTk5MjIuSVFfQ0RTX01JRC4xMS8wNS8yNgEAAADWRzkBAgAAAAY3LjkzNzUAM7KkbZP33giQo+7zk/feCCNDSVEuSVFUNDYyMjM2NDYuSVFfQ0RTX01JRC4xMS8wNS8yNgEAAAAbeAQAAgAAAAc1MS4zMTI1ADOypG2T994Izxbv85P33ggkQ0lRLklRVDMxMzMxNDk3Ni5JUV9DRFNfTUlELjExLzA1LzI2AQAAAG1KAAACAAAABDU1LjUATQlUbZP33ghDee/zk/feCCNDSVEuSVFUNDYyMTg1MTYuSVFfQ0RTX01JRC4wMy8wOC8yNgEAAACmVaMBAgAAAAczNi42</t>
  </si>
  <si>
    <t>NTI4ADOypG2T994IpAri85P33ggjQ0lRLklRVDQ2MjIwODAzLklRX0NEU19NSUQuMDMvMDgvMjYBAAAA1sk2AAIAAAAHNDIuODk0OAAzsqRtk/feCCl/4vOT994II0NJUS5JUVQ0NjIwMDM2NC5JUV9DRFNfTUlELjAzLzA4LzI2AQAAAFeGCAACAAAABTI0Ljc1ADOypG2T994Ia83i85P33ggjQ0lRLklRVDQ2MjA0MzAwLklRX0NEU19NSUQuMzEvMDcvMjYBAAAA9iV9AAIAAAAGNy4xNjYxADOypG2T994I/gfo85P33ggjQ0lRLklRVDYwMzg4MDU3LklRX0NEU19NSUQuMzEvMDcvMjYBAAAA38l9AQMAAAAAADOypG2T994IPqTo85P33ggjQ0lRLklRVDQ2MTk5ODQxLklRX0NEU19NSUQuMzEvMDcvMjYBAAAA6zAGAAMAAAAAADOypG2T994IZvLo85P33ggkQ0lRLklRVDMxMzMxMDg1NC5JUV9DRFNfTUlELjMwLzA3LzI2AQAAAK9UDQACAAAABDYxLjUATQlUbZP33gi15vHzk/feCCNDSVEuSVFUNDYyMTk5MjIuSVFfQ0RTX01JRC4zMC8wNy8yNgEAAADWRzkBAgAAAAY2LjQwMzQAM7KkbZP33gjKFfDzk/feCCNDSVEuSVFUNDYyMDc1NzEuSVFfQ0RTX01JRC4wMS8wOC8yNgEAAABt7zUAAgAAAAczMC4zNzUzADOypG2T994IXULl85P33ggjQ0lRLklRVDYyMjcwMTA3LklRX0NEU19NSUQuMDMvMDgvMjYBAAAAFVkAAAIAAAAHNDQuMDMxNwAzsqRtk/feCGvN4vOT994II0NJUS5JUVQ0NjIyNTM3NC5JUV9DRFNf</t>
  </si>
  <si>
    <t>TUlELjMxLzA3LzI2AQAAALXWBQACAAAABzM3LjQ4MzMAM7KkbZP33ghm8ujzk/feCCRDSVEuSVFUMzEzMzE1NDI5LklRX0NEU19NSUQuMzAvMDcvMjYBAAAAOecFAAIAAAAGNjEuNDk3AE0JVG2T994IfgHy85P33ggjQ0lRLklRVDQ2MjIzNjQ2LklRX0NEU19NSUQuMDIvMDgvMjYBAAAAG3gEAAIAAAAHNTAuMjA4NAAzsqRtk/feCN1p5POT994IJENJUS5JUVQzMTMzMTAxODQuSVFfQ0RTX01JRC4yOS8wNy8yNgEAAABgRD4AAgAAAAcxMS4wMzkzADOypG2T994IBvDq85P33ggjQ0lRLklRVDQ2NDcwODc3LklRX0NEU19NSUQuMjkvMDcvMjYBAAAAQjcHAAIAAAAHNjIuMzcyNQAzsqRtk/feCMHa6/OT994II0NJUS5JUVQ0NjIwODYzNC5JUV9DRFNfTUlELjA2LzA4LzI2AQAAAAMfwgACAAAABDIyLjUAM7KkbZP33gjhPNzzk/feCCRDSVEuSVFUNTI4OTM2ODEyLklRX0NEU19NSUQuMDUvMDgvMjYBAAAAbFsGAAIAAAAHNDUuMTA1NwAzsqRtk/feCEeI3vOT994II0NJUS5JUVQ0NjE5NzEzOC5JUV9DRFNfTUlELjA0LzA4LzI2AQAAAO6UOAECAAAACDEyMC43NzMxADOypG2T994IW3Pf85P33ggjQ0lRLklRVDQ2MjA0OTU3LklRX0NEU19NSUQuMDQvMDgvMjYBAAAAIRUGAAIAAAAHNTMuOTI1NAAzsqRtk/feCGgy4fOT994II0NJUS5JUVQ2MjI3MDEwNi5JUV9DRFNfTUlELjA0LzA4LzI2AQAAAK13gwACAAAA</t>
  </si>
  <si>
    <t>Bzc1LjIyMDkATQlUbZP33ggZveHzk/feCCRDSVEuSVFUMzEzMzA1ODc5LklRX0NEU19NSUQuMDEvMDgvMjYBAAAAhNbcAQIAAAAGMi4zNzcxADOypG2T994Idd7l85P33ggjQ0lRLklRVDQ2MjAwNDEyLklRX0NEU19NSUQuMDEvMDgvMjYBAAAAY0MGAAIAAAAHNDUuMDk0NAAzsqRtk/feCJQD5/OT994II0NJUS5JUVQ0NjIwMzMzMi5JUV9DRFNfTUlELjExLzA1LzI2AQAAAF8eNwACAAAABzEyLjMzMzMAM7KkbZP33gghfu7zk/feCCNDSVEuSVFUNDYyMjYxMzIuSVFfQ0RTX01JRC4xMS8wNS8yNgEAAADdWQAAAgAAAAc0My4zMzI5ADOypG2T994Izxbv85P33ggjQ0lRLklRVDc5NjM5OTEzLklRX0NEU19NSUQuMDMvMDgvMjYBAAAAIGMcAgIAAAAGNy44MzMzADOypG2T994I8jHi85P33ggjQ0lRLklRVDQ2MjEwMDMyLklRX0NEU19NSUQuMTEvMDUvMjYBAAAAj1WjAQIAAAAHMzQuNDUzNAAzsqRtk/feCI/K7vOT994II0NJUS5JUVQ0OTc1MTE5Ni5JUV9DRFNfTUlELjAzLzA4LzI2AQAAAM2ZvQACAAAABjM5LjgwNgAzsqRtk/feCN/j4fOT994IJENJUS5JUVQzMTMzMTU0MjkuSVFfQ0RTX01JRC4wMy8wOC8yNgEAAAA55wUAAgAAAAc2MS4xNzY4AE0JVG2T994Ia83i85P33ggjQ0lRLklRVDQ2MjE4Njc0LklRX0NEU19NSUQuMzEvMDcvMjYBAAAAV8o2AAIAAAAIMTI4LjgyNzMAM7KkbZP33gjLzOjzk/fe</t>
  </si>
  <si>
    <t>CCNDSVEuSVFUNDYyMDQ4ODQuSVFfQ0RTX01JRC4xMS8wOC8yNQEAAACBUcABAgAAAAQ0Mi41ADOypG2T994Ijhvy85P33ggjQ0lRLklRVDQ2MjIwODAzLklRX0NEU19NSUQuMDgvMDgvMjYBAAAA1sk2AAIAAAAHNDEuNDkzMgAzsqRtk/feCPHh2POT994II0NJUS5JUVQ0NjIwMzcxNC5JUV9DRFNfTUlELjA5LzA4LzI2AQAAAF8FNQACAAAABzMxLjEwMjIAM7KkbZP33gjDpOnzk/feCCNDSVEuSVFUNzk2Mzk5NTMuSVFfQ0RTX01JRC4wOS8wOC8yNgEAAAA0m1YBAgAAAAcyNC45MDM5ADOypG2T994IVfHp85P33ggkQ0lRLklRVDUyODkzNjgxMi5JUV9DRFNfTUlELjA5LzA4LzI2AQAAAGxbBgACAAAABzQ1LjEzMTcAM7KkbZP33gicZurzk/feCCNDSVEuSVFUNDYxOTcxMzguSVFfQ0RTX01JRC4xMS8wOC8yNQEAAADulDgBAgAAAAUxMzkuMwAzsqRtk/feCI4b8vOT994II0NJUS5JUVQ1MTAyMzQ4MC5JUV9DRFNfTUlELjExLzA4LzI1AQAAAMJF8QECAAAABjcuNDY2MgAzsqRtk/feCGp+8vOT994II0NJUS5JUVQ0NjIwNDk1Ny5JUV9DRFNfTUlELjExLzA4LzI1AQAAACEVBgACAAAABzU3LjE4NzUAM7KkbZP33giozPLzk/feCCNDSVEuSVFUNjIyNzAxMDYuSVFfQ0RTX01JRC4xMS8wOC8yNQEAAACtd4MAAgAAAAc3Ny41Mjc3AE0JVG2T994IoRvz85P33ggjQ0lRLklRVDQ2MjE1MTExLklRX0NEU19NSUQu</t>
  </si>
  <si>
    <t>MDgvMDgvMjYBAAAAoEuyAQIAAAAHMzcuMjUwMgAzsqRtk/feCOdr2POT994II0NJUS5JUVQ0NjIyNjEzMi5JUV9DRFNfTUlELjA4LzA4LzI2AQAAAN1ZAAACAAAABzQzLjA4MzMAM7KkbZP33ggiV9nzk/feCCRDSVEuSVFUMzEzMzEzNTI0LklRX0NEU19NSUQuMDgvMDgvMjYBAAAA71UNAAIAAAAHNTkuOTk1NgBNCVRtk/feCN4s2vOT994II0NJUS5JUVQ3OTYzOTkxMy5JUV9DRFNfTUlELjAyLzA4LzI2AQAAACBjHAICAAAABjcuNjY2NwAzsqRtk/feCH9/4/OT994II0NJUS5JUVQ0NjIwNzg3Mi5JUV9DRFNfTUlELjAyLzA4LzI2AQAAAFgNCgACAAAABjQwLjczNgAzsqRtk/feCN1p5POT994II0NJUS5JUVQ0NjIwMDMxNy5JUV9DRFNfTUlELjAyLzA4LzI2AQAAAP5UDQACAAAABzYyLjQyMDEATQlUbZP33ghMGuXzk/feCCRDSVEuSVFUNjQ0NzAxNzk3LklRX0NEU19NSUQuMjgvMDcvMjYBAAAAUz99AQIAAAAHMTAuNDA1MgAzsqRtk/feCDbh7POT994II0NJUS5JUVQ0NjIxNjk4Ni5JUV9DRFNfTUlELjI4LzA3LzI2AQAAAM5EOAEDAAAAAAAzsqRtk/feCHRW7fOT994IJENJUS5JUVQyNTQ5NTUyMzMuSVFfQ0RTX01JRC4yOC8wNy8yNgEAAAA5VgoAAgAAAAc0Mi42NzI0ADOypG2T994Iey7u85P33ggjQ0lRLklRVDQ2MTk2MjI1LklRX0NEU19NSUQuMDcvMDgvMjYBAAAAvlWjAQIAAAAGMTcuMzc1ADOy</t>
  </si>
  <si>
    <t>pG2T994I9VPa85P33ggjQ0lRLklRVDUxMDIzMjYwLklRX0NEU19NSUQuMDcvMDgvMjYBAAAAsRF/AQIAAAAGMTQuODc1ADOypG2T994IKcna85P33ggjQ0lRLklRVDQ2MjI0NzQwLklRX0NEU19NSUQuMDcvMDgvMjYBAAAA03IIAAIAAAAEMzUuNQAzsqRtk/feCFI+2/OT994IJENJUS5JUVQzMTMzMTczNDQuSVFfQ0RTX01JRC4wNy8wOC8yNgEAAADxrAEAAgAAAAc2MS4wMjAzAE0JVG2T994Iucfb85P33ggjQ0lRLklRVDQ2MjAwMjc2LklRX0NEU19NSUQuMjkvMDcvMjYBAAAAlnd8AQIAAAAHMjkuMzU5NQAzsqRtk/feCAln6/OT994II0NJUS5JUVQ0NjE5NTQ5MS5JUV9DRFNfTUlELjI5LzA3LzI2AQAAAGlKAAACAAAABzU3Ljg4NTQAM7KkbZP33gics+vzk/feCCNDSVEuSVFUNzk2MzQ5MDEuSVFfQ0RTX01JRC4yOS8wNy8yNgEAAACcBhAAAgAAAAc0MS40Nzk0ADOypG2T994IEZPs85P33ggjQ0lRLklRVDQ2MjA3NTcxLklRX0NEU19NSUQuMDYvMDgvMjYBAAAAbe81AAIAAAAHMjkuODMzMwAzsqRtk/feCLvu2/OT994II0NJUS5JUVQ0NjIxMzQ3Mi5JUV9DRFNfTUlELjA2LzA4LzI2AQAAALlaOAACAAAABzE1LjM3MzUAM7KkbZP33gjhPNzzk/feCCRDSVEuSVFUMjYzMjEzMTMyLklRX0NEU19NSUQuMDYvMDgvMjYBAAAA4ZoIAAIAAAAHNTIuMDMwMQAzsqRtk/feCDGy3POT994II0NJUS5JUVQ0NjE5</t>
  </si>
  <si>
    <t>NDk5NS5JUV9DRFNfTUlELjA1LzA4LzI2AQAAAG4QMQACAAAABjExLjAwMQAzsqRtk/feCBSx3fOT994II0NJUS5JUVQ0NjIyMjI5Mi5JUV9DRFNfTUlELjA1LzA4LzI2AQAAANGRmwECAAAACDc2My42NDU0ADOypG2T994IQCbe85P33ggjQ0lRLklRVDQ2MjI1MDA2LklRX0NEU19NSUQuMDUvMDgvMjYBAAAA+FUNAAIAAAAHNDEuMzE5NgAzsqRtk/feCF9N3vOT994II0NJUS5JUVQ0NjIyMDMyOS5JUV9DRFNfTUlELjA1LzA4LzI2AQAAANtbAAACAAAABzU2LjMzNjgATQlUbZP33ghDTN/zk/feCCNDSVEuSVFUNDYyNjIzNzguSVFfQ0RTX01JRC4wNC8wOC8yNgEAAABA0okBAgAAAAcxOC4wNjI1ADOypG2T994IFUjg85P33ggjQ0lRLklRVDQ2MTk3Njk0LklRX0NEU19NSUQuMDQvMDgvMjYBAAAAB/oFAAIAAAAHNTIuOTU4MgAzsqRtk/feCGgy4fOT994II0NJUS5JUVQ2MjI3MDEwNy5JUV9DRFNfTUlELjA0LzA4LzI2AQAAABVZAAACAAAABzQ0LjA2MDYAM7KkbZP33ggZveHzk/feCCNDSVEuSVFUNDYyMDczMDguSVFfQ0RTX01JRC4wMS8wOC8yNgEAAAA5iXoBAgAAAAcxNC41MTY3ADOypG2T994IXULl85P33ggjQ0lRLklRVDQ2MjEwMDMyLklRX0NEU19NSUQuMDEvMDgvMjYBAAAAj1WjAQIAAAAHMzYuOTY4NQAzsqRtk/feCH625fOT994II0NJUS5JUVQ0NjIyNTM3NC5JUV9DRFNfTUlELjAxLzA4LzI2</t>
  </si>
  <si>
    <t>AQAAALXWBQACAAAABzM3LjQ4MzMAM7KkbZP33giN3Obzk/feCCNDSVEuSVFUNDk3NTExOTYuSVFfQ0RTX01JRC4xMS8wNS8yNgEAAADNmb0AAgAAAAc0MC40NzM2ADOypG2T994Inlbu85P33ggjQ0lRLklRVDYwMzg5NTE2LklRX0NEU19NSUQuMTEvMDUvMjYBAAAApfDDAQIAAAAGNy40NjkyADOypG2T994Ij8ru85P33ggkQ0lRLklRVDMyMzY4MDEzMC5JUV9DRFNfTUlELjExLzA1LzI2AQAAAHHhAgACAAAABzUxLjk3MzgAM7KkbZP33gjPFu/zk/feCCRDSVEuSVFUMzEzMzE1NDI5LklRX0NEU19NSUQuMTEvMDUvMjYBAAAAOecFAAIAAAAFNjIuMzIATQlUbZP33ghKoO/zk/feCCNDSVEuSVFUNDYyMDY3NzkuSVFfQ0RTX01JRC4wMy8wOC8yNgEAAAD87zYAAgAAAAIxNgAzsqRtk/feCPIx4vOT994II0NJUS5JUVQ0NjIxODY3NC5JUV9DRFNfTUlELjAzLzA4LzI2AQAAAFfKNgACAAAACDEyNC4xODQ4ADOypG2T994IKX/i85P33ggjQ0lRLklRVDQ2MjI1NzE1LklRX0NEU19NSUQuMDMvMDgvMjYBAAAAt+UEAAIAAAAHNDMuNTQ4MQAzsqRtk/feCGvN4vOT994II0NJUS5JUVQ0NjIwNDg4NC5JUV9DRFNfTUlELjMxLzA3LzI2AQAAAIFRwAECAAAAAjI5ADOypG2T994I/gfo85P33ggjQ0lRLklRVDQ2MjA3Nzg5LklRX0NEU19NSUQuMzEvMDcvMjYBAAAAKlijAQIAAAAHMjYuOTMwOAAzsqRtk/feCD6k6POT</t>
  </si>
  <si>
    <t>994IJENJUS5JUVQyODYwOTYxMzEuSVFfQ0RTX01JRC4zMS8wNy8yNgEAAAA78QQAAgAAAAc1OC44NDYyADOypG2T994IZvLo85P33ggkQ0lRLklRVDMxMzMxNDk3Ni5JUV9DRFNfTUlELjMwLzA3LzI2AQAAAG1KAAACAAAABzU3LjgyOTIATQlUbZP33gh+AfLzk/feCCNDSVEuSVFUNTEwMjMyNjAuSVFfQ0RTX01JRC4wNS8wOC8yNgEAAACxEX8BAgAAAAcxNC43NDcxADOypG2T994IQCbe85P33ggjQ0lRLklRVDQ2MTk1NDkxLklRX0NEU19NSUQuMDQvMDgvMjYBAAAAaUoAAAIAAAAHNTQuMDAzOQAzsqRtk/feCGgy4fOT994IJENJUS5JUVQyNjMyMTMxMzIuSVFfQ0RTX01JRC4wMS8wOC8yNgEAAADhmggAAgAAAAc1NC41NTE3ADOypG2T994Ijdzm85P33ggjQ0lRLklRVDQ2MjYyMzc4LklRX0NEU19NSUQuMDMvMDgvMjYBAAAAQNKJAQIAAAAGMTguMTI1ADOypG2T994I8jHi85P33ggkQ0lRLklRVDMyMzY4MDEzMC5JUV9DRFNfTUlELjMwLzA3LzI2AQAAAHHhAgACAAAABzUxLjg5NzIAM7KkbZP33ggJ7fDzk/feCCNDSVEuSVFUNDYyMjAzMjkuSVFfQ0RTX01JRC4zMC8wNy8yNgEAAADbWwAAAgAAAAc1Ni4zMzIyAE0JVG2T994Ijhvy85P33ggkQ0lRLklRVDMxMzMxNTQyOS5JUV9DRFNfTUlELjExLzA4LzI1AQAAADnnBQACAAAABzQzLjA5NDYATQlUbZP33gjDQfPzk/feCCNDSVEuSVFUNDYyMDc3ODku</t>
  </si>
  <si>
    <t>SVFfQ0RTX01JRC4wOC8wOC8yNgEAAAAqWKMBAgAAAAcyNi42NjY2ADOypG2T994Ia5PY85P33ggjQ0lRLklRVDQ2MjEwNTYwLklRX0NEU19NSUQuMDIvMDgvMjYBAAAA9ho3AAIAAAAGODYuMjE1ADOypG2T994IXfTi85P33ggjQ0lRLklRVDQ2MjAwMzY0LklRX0NEU19NSUQuMjgvMDcvMjYBAAAAV4YIAAIAAAAFMjUuMTYAM7KkbZP33gh7Lu7zk/feCCNDSVEuSVFUNDYyMjQ3NDAuSVFfQ0RTX01JRC4zMC8wNy8yNgEAAADTcggAAgAAAAczNi40MzYzADOypG2T994IhxTx85P33ggjQ0lRLklRVDQ2MjI1MDA2LklRX0NEU19NSUQuMDQvMDgvMjYBAAAA+FUNAAIAAAAHNDIuMjc0NQAzsqRtk/feCIFZ4fOT994II0NJUS5JUVQ2MjI3MDEwNy5JUV9DRFNfTUlELjAxLzA4LzI2AQAAABVZAAACAAAABzQzLjYyOTMAM7KkbZP33gi0Kufzk/feCCRDSVEuSVFUMjg2MDk2MTMxLklRX0NEU19NSUQuMzAvMDcvMjYBAAAAO/EEAAIAAAAHNTkuMTMwMwAzsqRtk/feCAVj8fOT994II0NJUS5JUVQ0NjIwMDM2NC5JUV9DRFNfTUlELjA4LzA4LzI2AQAAAFeGCAACAAAABDI0LjMAM7KkbZP33ghvzNnzk/feCCRDSVEuSVFUMzEzMzEwODU0LklRX0NEU19NSUQuMjgvMDcvMjYBAAAAr1QNAAIAAAAENjEuNQBNCVRtk/feCJ5W7vOT994II0NJUS5JUVQ0NjE5NzEzOC5JUV9DRFNfTUlELjA2LzA4LzI2AQAAAO6UOAECAAAA</t>
  </si>
  <si>
    <t>CDEyMi40MDI0ADOypG2T994Iucfb85P33ggjQ0lRLklRVDYyMjcwMTA2LklRX0NEU19NSUQuMDYvMDgvMjYBAAAArXeDAAIAAAAHNzUuNTM5NQBNCVRtk/feCJA73fOT994II0NJUS5JUVQ0NjIwMDMxNy5JUV9DRFNfTUlELjAxLzA4LzI2AQAAAP5UDQACAAAABzYyLjQyMDEATQlUbZP33gjGUufzk/feCCNDSVEuSVFUNDYyMjQ3NDAuSVFfQ0RTX01JRC4wMy8wOC8yNgEAAADTcggAAgAAAAQzNS41ADOypG2T994IV6fi85P33ggkQ0lRLklRVDMxMzMxNzM0NC5JUV9DRFNfTUlELjAzLzA4LzI2AQAAAPGsAQACAAAABzYxLjA4NTIATQlUbZP33ghd9OLzk/feCCNDSVEuSVFUNDYyMDAyNzYuSVFfQ0RTX01JRC4zMS8wNy8yNgEAAACWd3wBAgAAAAcyOC4wOTA3ADOypG2T994IOn3o85P33ggjQ0lRLklRVDc5NjM0OTAxLklRX0NEU19NSUQuMzEvMDcvMjYBAAAAnAYQAAIAAAAHNDEuNDMxOQAzsqRtk/feCFYt6fOT994II0NJUS5JUVQ0NjIxMzQ3Mi5JUV9DRFNfTUlELjMwLzA3LzI2AQAAALlaOAACAAAABzE1LjQ3ODUAM7KkbZP33gjVPPDzk/feCCRDSVEuSVFUMjg2MDk2MTMxLklRX0NEU19NSUQuMjkvMDcvMjYBAAAAO/EEAAIAAAAHNjAuMTU2NAAzsqRtk/feCAdC7POT994II0NJUS5JUVQ2MDM4ODA1Ny5JUV9DRFNfTUlELjA0LzA4LzI2AQAAAN/JfQEDAAAAAAAzsqRtk/feCD294POT994IJENJUS5J</t>
  </si>
  <si>
    <t>UVQ1Mjg5MzY4MTIuSVFfQ0RTX01JRC4wMy8wOC8yNgEAAABsWwYAAgAAAAc0Ni4zMDcyADOypG2T994IV6fi85P33ggjQ0lRLklRVDc5NjQwMDI0LklRX0NEU19NSUQuMzAvMDcvMjYBAAAANY+bAQIAAAAGNy44NzU2ADOypG2T994Ive7v85P33ggjQ0lRLklRVDQ2MjA4NjM0LklRX0NEU19NSUQuMzAvMDcvMjYBAAAAAx/CAAIAAAAHMjMuNTMxMwAzsqRtk/feCNU88POT994II0NJUS5JUVQ0NjIwNDMwMC5JUV9DRFNfTUlELjA5LzA4LzI2AQAAAPYlfQACAAAABjcuMTE4MwAzsqRtk/feCMOk6fOT994II0NJUS5JUVQ2MDM4ODA1Ny5JUV9DRFNfTUlELjA5LzA4LzI2AQAAAN/JfQEDAAAAAAAzsqRtk/feCI0Y6vOT994II0NJUS5JUVQ0NjE5OTg0MS5JUV9DRFNfTUlELjA5LzA4LzI2AQAAAOswBgADAAAAAAAzsqRtk/feCJxm6vOT994IJENJUS5JUVQzMTMzMTAxODQuSVFfQ0RTX01JRC4xMS8wOC8yNQEAAABgRD4AAgAAAAYxNS45MTYAM7KkbZP33giOG/Lzk/feCCNDSVEuSVFUNDYyMTQ4NzkuSVFfQ0RTX01JRC4xMS8wOC8yNQEAAAD1GjcAAgAAAAc2Mi41NzIyADOypG2T994Ian7y85P33ggjQ0lRLklRVDQ2NDcwODc3LklRX0NEU19NSUQuMTEvMDgvMjUBAAAAQjcHAAIAAAAHNTMuOTcxMQAzsqRtk/feCKjM8vOT994IJENJUS5JUVQzMTMzMTA4NTQuSVFfQ0RTX01JRC4xMS8wOC8yNQEAAACvVA0A</t>
  </si>
  <si>
    <t>AgAAAAc0MS40OTU2AE0JVG2T994IoRvz85P33ggjQ0lRLklRVDc5NjM5OTUzLklRX0NEU19NSUQuMDgvMDgvMjYBAAAANJtWAQIAAAAHMjQuOTAzOQAzsqRtk/feCHVu2POT994IJENJUS5JUVQ1Mjg5MzY4MTIuSVFfQ0RTX01JRC4wOC8wOC8yNgEAAABsWwYAAgAAAAc0NS4xMzE3ADOypG2T994IIlfZ85P33ggjQ0lRLklRVDQ2MTk3MTM4LklRX0NEU19NSUQuMDIvMDgvMjYBAAAA7pQ4AQIAAAAIMTI0LjkyNjUAM7KkbZP33ghd9OLzk/feCCNDSVEuSVFUNTEwMjM0ODAuSVFfQ0RTX01JRC4wMi8wOC8yNgEAAADCRfEBAgAAAAY0LjgzODQAM7KkbZP33giNpuPzk/feCCNDSVEuSVFUNDYyMDQ5NTcuSVFfQ0RTX01JRC4wMi8wOC8yNgEAAAAhFQYAAgAAAAY1Ni45NDEAM7KkbZP33gjdaeTzk/feCCNDSVEuSVFUNjIyNzAxMDYuSVFfQ0RTX01JRC4wMi8wOC8yNgEAAACtd4MAAgAAAAc3NS4yMDExAE0JVG2T994ITBrl85P33ggjQ0lRLklRVDc5NjQwMDI0LklRX0NEU19NSUQuMjgvMDcvMjYBAAAANY+bAQIAAAAGNy44ODcxADOypG2T994INuHs85P33ggkQ0lRLklRVDMxMzMwNTg3OS5JUV9DRFNfTUlELjI4LzA3LzI2AQAAAITW3AECAAAABjIuMzU0NgAzsqRtk/feCIV97fOT994II0NJUS5JUVQ0NjIwMDQxMi5JUV9DRFNfTUlELjI4LzA3LzI2AQAAAGNDBgACAAAABzQ1LjI1MDMAM7KkbZP33gh7Lu7z</t>
  </si>
  <si>
    <t>k/feCCNDSVEuSVFUNDYyMDMzMzIuSVFfQ0RTX01JRC4wNy8wOC8yNgEAAABfHjcAAgAAAAcxMC42NjY3ADOypG2T994I9VPa85P33ggjQ0lRLklRVDQ2MjE1MTExLklRX0NEU19NSUQuMDcvMDgvMjYBAAAAoEuyAQIAAAAHMzcuMjUwMgAzsqRtk/feCCnJ2vOT994II0NJUS5JUVQ0NjIyNjEzMi5JUV9DRFNfTUlELjA3LzA4LzI2AQAAAN1ZAAACAAAABzQzLjA4MzMAM7KkbZP33ghSPtvzk/feCCRDSVEuSVFUMzEzMzEzNTI0LklRX0NEU19NSUQuMDcvMDgvMjYBAAAA71UNAAIAAAAHNTkuOTk1NgBNCVRtk/feCLnH2/OT994II0NJUS5JUVQ3OTYzOTkxMy5JUV9DRFNfTUlELjI5LzA3LzI2AQAAACBjHAICAAAABjcuNjY2NwAzsqRtk/feCAln6/OT994II0NJUS5JUVQ0NjIwMDMxNy5JUV9DRFNfTUlELjI5LzA3LzI2AQAAAP5UDQACAAAABjYyLjgxNQBNCVRtk/feCBGT7POT994II0NJUS5JUVQ0NjIxNjk4Ni5JUV9DRFNfTUlELjA2LzA4LzI2AQAAAM5EOAEDAAAAAAAzsqRtk/feCOE83POT994IJENJUS5JUVQzMTMzMTczNDQuSVFfQ0RTX01JRC4wNS8wOC8yNgEAAADxrAEAAgAAAAc2MC45MzY1AE0JVG2T994IW3Pf85P33ggjQ0lRLklRVDQ2MjEwMDMyLklRX0NEU19NSUQuMzEvMDcvMjYBAAAAj1WjAQIAAAAHMzYuOTY4NQAzsqRtk/feCD6k6POT994II0NJUS5JUVQ0OTc1MTE5Ni5JUV9DRFNfTUlE</t>
  </si>
  <si>
    <t>LjMwLzA3LzI2AQAAAM2ZvQACAAAABzQwLjAwMzMAM7KkbZP33ghKoO/zk/feCCRDSVEuSVFUMzIzNjgwMTMwLklRX0NEU19NSUQuMTEvMDgvMjUBAAAAceECAAIAAAAHNDkuNzc2OQAzsqRtk/feCJjz8vOT994IJENJUS5JUVQzMTMzMTQ5NzYuSVFfQ0RTX01JRC4wMi8wOC8yNgEAAABtSgAAAgAAAAc1Ny44Mjg4AE0JVG2T994ITBrl85P33ggjQ0lRLklRVDQ2MjIwODAzLklRX0NEU19NSUQuMjgvMDcvMjYBAAAA1sk2AAIAAAAHNDMuMjE2OAAzsqRtk/feCIV97fOT994II0NJUS5JUVQ0NjIwNDMwMC5JUV9DRFNfTUlELjA3LzA4LzI2AQAAAPYlfQACAAAABjcuMTE4MwAzsqRtk/feCPVT2vOT994IJENJUS5JUVQzMTMzMTA4NTQuSVFfQ0RTX01JRC4yOS8wNy8yNgEAAACvVA0AAgAAAAc2Mi42NjY3AE0JVG2T994IEZPs85P33ggjQ0lRLklRVDQ2MjE0OTU0LklRX0NEU19NSUQuMDYvMDgvMjYBAAAAOj05AQIAAAAFMTQuMjUAM7KkbZP33gi77tvzk/feCCNDSVEuSVFUNDYyMjUwODMuSVFfQ0RTX01JRC4wNi8wOC8yNgEAAABWRAYAAgAAAAQzNS4zADOypG2T994ILdnc85P33ggjQ0lRLklRVDQ2MjAzNzE0LklRX0NEU19NSUQuMDUvMDgvMjYBAAAAXwU1AAIAAAAGMzAuOTQ1ADOypG2T994IJdjd85P33ggjQ0lRLklRVDc5NjM5OTUzLklRX0NEU19NSUQuMDUvMDgvMjYBAAAANJtWAQIAAAAHMjQuOTg0</t>
  </si>
  <si>
    <t>MQAzsqRtk/feCEAm3vOT994II0NJUS5JUVQ1MTAyMzQ4MC5JUV9DRFNfTUlELjA0LzA4LzI2AQAAAMJF8QECAAAABjQuODMzOQAzsqRtk/feCCRv4POT994II0NJUS5JUVQ3OTY0MDAyNC5JUV9DRFNfTUlELjAxLzA4LzI2AQAAADWPmwECAAAABTcuODYzADOypG2T994IXWnl85P33ggjQ0lRLklRVDQ2MjE1MTExLklRX0NEU19NSUQuMTEvMDUvMjYBAAAAoEuyAQIAAAAHNDEuNjEyNQAzsqRtk/feCI/K7vOT994II0NJUS5JUVQ0NjIwNzg3Mi5JUV9DRFNfTUlELjAzLzA4LzI2AQAAAFgNCgACAAAABzQwLjA3NzcAM7KkbZP33ggpf+Lzk/feCCNDSVEuSVFUNDYyMDAzMTcuSVFfQ0RTX01JRC4wMy8wOC8yNgEAAAD+VA0AAgAAAAY2Mi44MTIATQlUbZP33ghrzeLzk/feCCRDSVEuSVFUNjQ0NzAxNzk3LklRX0NEU19NSUQuMzEvMDcvMjYBAAAAUz99AQIAAAAGOS42NzYyADOypG2T994IEy/o85P33ggjQ0lRLklRVDQ2MTk2MjI1LklRX0NEU19NSUQuMzAvMDcvMjYBAAAAvlWjAQIAAAAGMTcuMzc1ADOypG2T994Iusfv85P33ggjQ0lRLklRVDUxMDIzMjYwLklRX0NEU19NSUQuMzAvMDcvMjYBAAAAsRF/AQIAAAAHMTQuOTU4MwAzsqRtk/feCMoV8POT994IJENJUS5JUVQzMTMzMTczNDQuSVFfQ0RTX01JRC4zMC8wNy8yNgEAAADxrAEAAgAAAAc2MS4yNzExAE0JVG2T994Ijhvy85P33ggjQ0lRLklRVDQ2</t>
  </si>
  <si>
    <t>MjA3NTcxLklRX0NEU19NSUQuMDUvMDgvMjYBAAAAbe81AAIAAAAHMjkuODEyNQAzsqRtk/feCCXY3fOT994II0NJUS5JUVQ0NjE5NzY5NC5JUV9DRFNfTUlELjAxLzA4LzI2AQAAAAf6BQACAAAABzU1LjA2NTgAM7KkbZP33gi0BObzk/feCCNDSVEuSVFUNDYyMDczMDguSVFfQ0RTX01JRC4xMS8wNS8yNgEAAAA5iXoBAgAAAAcxNS4zMzMzADOypG2T994IIX7u85P33ggjQ0lRLklRVDQ2MjA0ODg0LklRX0NEU19NSUQuMzAvMDcvMjYBAAAAgVHAAQIAAAAEMjkuNQAzsqRtk/feCLrH7/OT994IJENJUS5JUVQyODYwOTYxMzEuSVFfQ0RTX01JRC4xMS8wOC8yNQEAAAA78QQAAgAAAAQ2MC4zADOypG2T994ImPPy85P33ggjQ0lRLklRVDYwMzg4MDU3LklRX0NEU19NSUQuMDIvMDgvMjYBAAAA38l9AQMAAAAAADOypG2T994Iq/Tj85P33ggjQ0lRLklRVDQ2MjE0OTU0LklRX0NEU19NSUQuMDcvMDgvMjYBAAAAOj05AQIAAAAFMTQuMzUAM7KkbZP33ggZe9rzk/feCCRDSVEuSVFUNTI4OTM2ODEyLklRX0NEU19NSUQuMjkvMDcvMjYBAAAAbFsGAAIAAAAHNDcuNjczMgAzsqRtk/feCLY87POT994II0NJUS5JUVQ0NjIwMDQxMi5JUV9DRFNfTUlELjA1LzA4LzI2AQAAAGNDBgACAAAABzQ0LjM3NTQAM7KkbZP33gjP1t7zk/feCCNDSVEuSVFUNDYyMjYxMzIuSVFfQ0RTX01JRC4wNC8wOC8yNgEAAADdWQAAAgAA</t>
  </si>
  <si>
    <t>AAc0Mi45OTIyADOypG2T994IZpTh85P33ggjQ0lRLklRVDc5NjM5OTEzLklRX0NEU19NSUQuMDEvMDgvMjYBAAAAIGMcAgIAAAAGNy42NjY3ADOypG2T994IXWnl85P33ggkQ0lRLklRVDY0NDcwMTc5Ny5JUV9DRFNfTUlELjExLzA1LzI2AQAAAFM/fQECAAAABjkuNjEyNQAzsqRtk/feCCF+7vOT994IJENJUS5JUVQzMTMzMTQ5NzYuSVFfQ0RTX01JRC4wNi8wOC8yNgEAAABtSgAAAgAAAAc1Ny44MjYyAE0JVG2T994IkDvd85P33ggjQ0lRLklRVDQ2MTk5ODQxLklRX0NEU19NSUQuMDQvMDgvMjYBAAAA6zAGAAMAAAAAADOypG2T994IZpTh85P33ggjQ0lRLklRVDQ2NDcwODc3LklRX0NEU19NSUQuMDEvMDgvMjYBAAAAQjcHAAIAAAAHNjIuMDI3NgAzsqRtk/feCKs/5vOT994II0NJUS5JUVQ0NjE5NzEzOC5JUV9DRFNfTUlELjMxLzA3LzI2AQAAAO6UOAECAAAACDEyNC45MjY1ADOypG2T994IGrnn85P33ggjQ0lRLklRVDQ2MjA0ODg0LklRX0NEU19NSUQuMDkvMDgvMjYBAAAAgVHAAQIAAAAHMjkuNDE4MwAzsqRtk/feCMOk6fOT994II0NJUS5JUVQ0NjIwNzc4OS5JUV9DRFNfTUlELjA5LzA4LzI2AQAAACpYowECAAAABzI2LjY2NjYAM7KkbZP33giNGOrzk/feCCRDSVEuSVFUMjg2MDk2MTMxLklRX0NEU19NSUQuMDkvMDgvMjYBAAAAO/EEAAIAAAAHNTMuODg4NQAzsqRtk/feCJxm6vOT994II0NJ</t>
  </si>
  <si>
    <t>US5JUVQ0NjIxMDU2MC5JUV9DRFNfTUlELjExLzA4LzI1AQAAAPYaNwACAAAACDEwMS4yNjc0ADOypG2T994Ijhvy85P33ggjQ0lRLklRVDQ2MjE5OTIyLklRX0NEU19NSUQuMTEvMDgvMjUBAAAA1kc5AQIAAAAGOS41NTgyADOypG2T994Ian7y85P33ggjQ0lRLklRVDQ2MjIzNjQ2LklRX0NEU19NSUQuMTEvMDgvMjUBAAAAG3gEAAIAAAAHNDcuOTI4MQAzsqRtk/feCJjz8vOT994IJENJUS5JUVQzMTMzMTQ5NzYuSVFfQ0RTX01JRC4xMS8wOC8yNQEAAABtSgAAAgAAAAc0NC45OTMxAE0JVG2T994Iw0Hz85P33ggjQ0lRLklRVDYwMzg4MDU3LklRX0NEU19NSUQuMDgvMDgvMjYBAAAA38l9AQMAAAAAADOypG2T994IdW7Y85P33ggjQ0lRLklRVDQ2MTk5ODQxLklRX0NEU19NSUQuMDgvMDgvMjYBAAAA6zAGAAMAAAAAADOypG2T994IMn7Z85P33ggkQ0lRLklRVDMxMzMxMDE4NC5JUV9DRFNfTUlELjAyLzA4LzI2AQAAAGBEPgACAAAABzEwLjk3MDMAM7KkbZP33ghd9OLzk/feCCNDSVEuSVFUNDYyMTQ4NzkuSVFfQ0RTX01JRC4wMi8wOC8yNgEAAAD1GjcAAgAAAAc1MS40OTM5ADOypG2T994Ijabj85P33ggjQ0lRLklRVDQ2NDcwODc3LklRX0NEU19NSUQuMDIvMDgvMjYBAAAAQjcHAAIAAAAHNjIuMDI3NgAzsqRtk/feCN1p5POT994IJENJUS5JUVQzMTMzMTA4NTQuSVFfQ0RTX01JRC4wMi8wOC8yNgEA</t>
  </si>
  <si>
    <t>AACvVA0AAgAAAAc2MS4zMzMzAE0JVG2T994ITBrl85P33ggjQ0lRLklRVDQ2MjE0OTU0LklRX0NEU19NSUQuMjgvMDcvMjYBAAAAOj05AQIAAAAGMTQuMzc1ADOypG2T994INuHs85P33ggjQ0lRLklRVDQ2MjA4NjM0LklRX0NEU19NSUQuMjgvMDcvMjYBAAAAAx/CAAIAAAAGMjMuMDc1ADOypG2T994IhX3t85P33ggjQ0lRLklRVDQ2MjI1MDgzLklRX0NEU19NSUQuMjgvMDcvMjYBAAAAVkQGAAIAAAAHMzYuNDE2NwAzsqRtk/feCHsu7vOT994II0NJUS5JUVQ0NjIwMzcxNC5JUV9DRFNfTUlELjA3LzA4LzI2AQAAAF8FNQACAAAABzMxLjEwMjIAM7KkbZP33gj1U9rzk/feCCNDSVEuSVFUNzk2Mzk5NTMuSVFfQ0RTX01JRC4wNy8wOC8yNgEAAAA0m1YBAgAAAAcyNC45MDM5ADOypG2T994IKcna85P33ggkQ0lRLklRVDUyODkzNjgxMi5JUV9DRFNfTUlELjA3LzA4LzI2AQAAAGxbBgACAAAABzQ1LjEzMTcAM7KkbZP33ghSPtvzk/feCCNDSVEuSVFUNDYxOTcxMzguSVFfQ0RTX01JRC4yOS8wNy8yNgEAAADulDgBAgAAAAgxMjkuMDM4NgAzsqRtk/feCJjI6vOT994II0NJUS5JUVQ1MTAyMzQ4MC5JUV9DRFNfTUlELjI5LzA3LzI2AQAAAMJF8QECAAAABjQuODM4NgAzsqRtk/feCAln6/OT994II0NJUS5JUVQ0NjIwNDk1Ny5JUV9DRFNfTUlELjI5LzA3LzI2AQAAACEVBgACAAAABzU2Ljk0ODgAM7KkbZP3</t>
  </si>
  <si>
    <t>3gjB2uvzk/feCCNDSVEuSVFUNjIyNzAxMDYuSVFfQ0RTX01JRC4yOS8wNy8yNgEAAACtd4MAAgAAAAY3NS4yMDcATQlUbZP33ggRk+zzk/feCCNDSVEuSVFUNzk2NDAwMjQuSVFfQ0RTX01JRC4wNi8wOC8yNgEAAAA1j5sBAgAAAAY3LjgzMzMAM7KkbZP33gi77tvzk/feCCRDSVEuSVFUMzEzMzA1ODc5LklRX0NEU19NSUQuMDYvMDgvMjYBAAAAhNbcAQIAAAAGMi4zNzcxADOypG2T994I4Tzc85P33ggjQ0lRLklRVDQ2MjAwNDEyLklRX0NEU19NSUQuMDYvMDgvMjYBAAAAY0MGAAIAAAAGNDQuNjI1ADOypG2T994ILdnc85P33ggjQ0lRLklRVDQ2MjAzMzMyLklRX0NEU19NSUQuMDUvMDgvMjYBAAAAXx43AAIAAAAGMTEuMTA3ADOypG2T994IJdjd85P33ggjQ0lRLklRVDQ2MjE1MTExLklRX0NEU19NSUQuMDUvMDgvMjYBAAAAoEuyAQIAAAAHMzYuOTkwMgAzsqRtk/feCEAm3vOT994II0NJUS5JUVQ0NjIyNjEzMi5JUV9DRFNfTUlELjA1LzA4LzI2AQAAAN1ZAAACAAAABzQzLjAzNzUAM7KkbZP33ghHiN7zk/feCCRDSVEuSVFUMzEzMzEzNTI0LklRX0NEU19NSUQuMDUvMDgvMjYBAAAA71UNAAIAAAAHNTkuOTg3MQBNCVRtk/feCFtz3/OT994II0NJUS5JUVQ3OTYzOTkxMy5JUV9DRFNfTUlELjA0LzA4LzI2AQAAACBjHAICAAAAATgAM7KkbZP33ggVSODzk/feCCNDSVEuSVFUNDYyMDc4NzIuSVFfQ0RT</t>
  </si>
  <si>
    <t>X01JRC4wNC8wOC8yNgEAAABYDQoAAgAAAAczOC45NDcyADOypG2T994IaDLh85P33ggjQ0lRLklRVDQ2MjAwMzE3LklRX0NEU19NSUQuMDQvMDgvMjYBAAAA/lQNAAIAAAAHNjMuMzI5MQBNCVRtk/feCBm94fOT994IJENJUS5JUVQ2NDQ3MDE3OTcuSVFfQ0RTX01JRC4wMS8wOC8yNgEAAABTP30BAgAAAAY5LjY3NjIAM7KkbZP33ghdaeXzk/feCCNDSVEuSVFUNDYyMTY5ODYuSVFfQ0RTX01JRC4wMS8wOC8yNgEAAADORDgBAwAAAAAAM7KkbZP33gh13uXzk/feCCRDSVEuSVFUMjU0OTU1MjMzLklRX0NEU19NSUQuMDEvMDgvMjYBAAAAOVYKAAIAAAAHNDEuMzgwNgAzsqRtk/feCI3c5vOT994II0NJUS5JUVQ0NjE5NjIyNS5JUV9DRFNfTUlELjExLzA1LzI2AQAAAL5VowECAAAABzE3LjkzNzUAM7KkbZP33gghfu7zk/feCCNDSVEuSVFUNTEwMjMyNjAuSVFfQ0RTX01JRC4xMS8wNS8yNgEAAACxEX8BAgAAAAcxMi44MTM4ADOypG2T994Ij8ru85P33ggjQ0lRLklRVDQ2MjI0NzQwLklRX0NEU19NSUQuMTEvMDUvMjYBAAAA03IIAAIAAAAGMzQuNjkxADOypG2T994Izxbv85P33ggkQ0lRLklRVDMxMzMxNzM0NC5JUV9DRFNfTUlELjExLzA1LzI2AQAAAPGsAQACAAAABzU3LjE0ODIATQlUbZP33ghKoO/zk/feCCNDSVEuSVFUNDYyMDAyNzYuSVFfQ0RTX01JRC4wMy8wOC8yNgEAAACWd3wBAgAAAAcyOC4x</t>
  </si>
  <si>
    <t>MTk5ADOypG2T994I8jHi85P33ggjQ0lRLklRVDQ2MTk1NDkxLklRX0NEU19NSUQuMDMvMDgvMjYBAAAAaUoAAAIAAAAHNTUuODk1MQAzsqRtk/feCCl/4vOT994II0NJUS5JUVQ3OTYzNDkwMS5JUV9DRFNfTUlELjAzLzA4LzI2AQAAAJwGEAACAAAABzQxLjQ0MjYAM7KkbZP33ghrzeLzk/feCCNDSVEuSVFUNDYyMDc1NzEuSVFfQ0RTX01JRC4zMS8wNy8yNgEAAABt7zUAAgAAAAczMC4zNzUzADOypG2T994IEy/o85P33ggjQ0lRLklRVDQ2MjEzNDcyLklRX0NEU19NSUQuMzEvMDcvMjYBAAAAuVo4AAIAAAAGMTUuNzI5ADOypG2T994Iy8zo85P33ggkQ0lRLklRVDI2MzIxMzEzMi5JUV9DRFNfTUlELjMxLzA3LzI2AQAAAOGaCAACAAAABzU0LjU1MTcAM7KkbZP33ghWLenzk/feCCNDSVEuSVFUNDYxOTQ5OTUuSVFfQ0RTX01JRC4zMC8wNy8yNgEAAABuEDEAAgAAAAcxMS4wNzg3ADOypG2T994ISqDv85P33ggjQ0lRLklRVDQ2MjIyMjkyLklRX0NEU19NSUQuMzAvMDcvMjYBAAAA0ZGbAQIAAAAINzU1Ljg4OTUAM7KkbZP33gjKFfDzk/feCCNDSVEuSVFUNDYyMjUwMDYuSVFfQ0RTX01JRC4zMC8wNy8yNgEAAAD4VQ0AAgAAAAc0My4zODM5ADOypG2T994IhxTx85P33ggkQ0lRLklRVDMxMzMxMzUyNC5JUV9DRFNfTUlELjExLzA1LzI2AQAAAO9VDQACAAAABzU0LjE4OTIATQlUbZP33ghKoO/zk/feCCND</t>
  </si>
  <si>
    <t>SVEuSVFUNDYyMTY5ODYuSVFfQ0RTX01JRC4zMS8wNy8yNgEAAADORDgBAwAAAAAAM7KkbZP33gjLzOjzk/feCCNDSVEuSVFUNDYxOTU0OTEuSVFfQ0RTX01JRC4wNi8wOC8yNgEAAABpSgAAAgAAAAc1NC4xNDg2ADOypG2T994I4Tzc85P33ggjQ0lRLklRVDQ2MjA3NTcxLklRX0NEU19NSUQuMzAvMDcvMjYBAAAAbe81AAIAAAAHMzAuMzI0NgAzsqRtk/feCLrH7/OT994II0NJUS5JUVQ0NjIxODY3NC5JUV9DRFNfTUlELjA3LzA4LzI2AQAAAFfKNgACAAAACDEyMS42MjUzADOypG2T994IRxfb85P33ggjQ0lRLklRVDQ2MjA0OTU3LklRX0NEU19NSUQuMzEvMDcvMjYBAAAAIRUGAAIAAAAGNTYuOTQxADOypG2T994IZvLo85P33ggjQ0lRLklRVDQ2MjA3MzA4LklRX0NEU19NSUQuMDkvMDgvMjYBAAAAOYl6AQIAAAAHMTQuMzU0OQAzsqRtk/feCMOk6fOT994II0NJUS5JUVQ0NjIxMDAzMi5JUV9DRFNfTUlELjA5LzA4LzI2AQAAAI9VowECAAAABzM1LjA1NDkAM7KkbZP33giNGOrzk/feCCNDSVEuSVFUNDYyMjUzNzQuSVFfQ0RTX01JRC4wOS8wOC8yNgEAAAC11gUAAgAAAAczNi44NjE5ADOypG2T994Il43q85P33ggjQ0lRLklRVDQ5NzUxMTk2LklRX0NEU19NSUQuMTEvMDgvMjUBAAAAzZm9AAIAAAAHNDAuMjQ3NwAzsqRtk/feCI4b8vOT994II0NJUS5JUVQ2MDM4OTUxNi5JUV9DRFNfTUlELjExLzA4</t>
  </si>
  <si>
    <t>LzI1AQAAAKXwwwECAAAABTcuOTk3ADOypG2T994Io6Xy85P33ggjQ0lRLklRVDQ2MjA3NTcxLklRX0NEU19NSUQuMDkvMDgvMjYBAAAAbe81AAIAAAAEMjkuNQAzsqRtk/feCMOk6fOT994II0NJUS5JUVQ0NjIxMzQ3Mi5JUV9DRFNfTUlELjA5LzA4LzI2AQAAALlaOAACAAAABjE1LjQxNQAzsqRtk/feCI0Y6vOT994IJENJUS5JUVQyNjMyMTMxMzIuSVFfQ0RTX01JRC4wOS8wOC8yNgEAAADhmggAAgAAAAc1MS43OTUzADOypG2T994Il43q85P33ggjQ0lRLklRVDQ2MTk0OTk1LklRX0NEU19NSUQuMTEvMDgvMjUBAAAAbhAxAAIAAAAHMTUuMDAwMwAzsqRtk/feCI4b8vOT994II0NJUS5JUVQ0NjIyMjI5Mi5JUV9DRFNfTUlELjExLzA4LzI1AQAAANGRmwECAAAACjE0Nzg3LjMyOTMAM7KkbZP33gijpfLzk/feCCNDSVEuSVFUNDYyMjUwMDYuSVFfQ0RTX01JRC4xMS8wOC8yNQEAAAD4VQ0AAgAAAAc0MS40NzE0ADOypG2T994ImPPy85P33ggjQ0lRLklRVDQ2MjIwMzI5LklRX0NEU19NSUQuMTEvMDgvMjUBAAAA21sAAAIAAAAHNDUuNDA3MwBNCVRtk/feCMNB8/OT994II0NJUS5JUVQ0NjIxMDAzMi5JUV9DRFNfTUlELjA4LzA4LzI2AQAAAI9VowECAAAABzM1LjA1NDkAM7KkbZP33ghrk9jzk/feCCNDSVEuSVFUNDYyMjUzNzQuSVFfQ0RTX01JRC4wOC8wOC8yNgEAAAC11gUAAgAAAAczNi44NjE5ADOy</t>
  </si>
  <si>
    <t>pG2T994IMn7Z85P33ggjQ0lRLklRVDQ5NzUxMTk2LklRX0NEU19NSUQuMDIvMDgvMjYBAAAAzZm9AAIAAAAHNDAuMDA3NgAzsqRtk/feCF304vOT994II0NJUS5JUVQ2MDM4OTUxNi5JUV9DRFNfTUlELjAyLzA4LzI2AQAAAKXwwwECAAAABjcuMjQ0MwAzsqRtk/feCI2m4/OT994IJENJUS5JUVQzMjM2ODAxMzAuSVFfQ0RTX01JRC4wMi8wOC8yNgEAAABx4QIAAgAAAAc1MS41NzQyADOypG2T994I3Wnk85P33ggkQ0lRLklRVDMxMzMxNTQyOS5JUV9DRFNfTUlELjAyLzA4LzI2AQAAADnnBQACAAAABzYxLjE2OTYATQlUbZP33ghMGuXzk/feCCNDSVEuSVFUNDYyMDY3NzkuSVFfQ0RTX01JRC4yOC8wNy8yNgEAAAD87zYAAgAAAAcxNi4wMjUxADOypG2T994IPgjt85P33ggjQ0lRLklRVDQ2MjE4Njc0LklRX0NEU19NSUQuMjgvMDcvMjYBAAAAV8o2AAIAAAAIMTMwLjAzMjYAM7KkbZP33giFfe3zk/feCCNDSVEuSVFUNDYyMjU3MTUuSVFfQ0RTX01JRC4yOC8wNy8yNgEAAAC35QQAAgAAAAc0My41NzI0ADOypG2T994Iey7u85P33ggjQ0lRLklRVDQ2MjA0ODg0LklRX0NEU19NSUQuMDcvMDgvMjYBAAAAgVHAAQIAAAAHMjkuNDE4MwAzsqRtk/feCPVT2vOT994II0NJUS5JUVQ0NjIwNzc4OS5JUV9DRFNfTUlELjA3LzA4LzI2AQAAACpYowECAAAABzI2LjY2NjYAM7KkbZP33ghN8Nrzk/feCCRDSVEuSVFU</t>
  </si>
  <si>
    <t>Mjg2MDk2MTMxLklRX0NEU19NSUQuMDcvMDgvMjYBAAAAO/EEAAIAAAAHNTMuODg4NQAzsqRtk/feCFI+2/OT994II0NJUS5JUVQ0NjIxMDU2MC5JUV9DRFNfTUlELjI5LzA3LzI2AQAAAPYaNwACAAAABjg4LjUwNgAzsqRtk/feCAbw6vOT994II0NJUS5JUVQ0NjIxOTkyMi5JUV9DRFNfTUlELjI5LzA3LzI2AQAAANZHOQECAAAABjYuNTM4OAAzsqRtk/feCAln6/OT994II0NJUS5JUVQ0NjIyMzY0Ni5JUV9DRFNfTUlELjI5LzA3LzI2AQAAABt4BAACAAAABzUxLjI0MzUAM7KkbZP33gjGAezzk/feCCRDSVEuSVFUMzEzMzE0OTc2LklRX0NEU19NSUQuMjkvMDcvMjYBAAAAbUoAAAIAAAAHNTguNDk2NQBNCVRtk/feCBGT7POT994II0NJUS5JUVQ0NjIxODUxNi5JUV9DRFNfTUlELjA2LzA4LzI2AQAAAKZVowECAAAABzM2LjgwNjEAM7KkbZP33gi77tvzk/feCCNDSVEuSVFUNDYyMjA4MDMuSVFfQ0RTX01JRC4wNi8wOC8yNgEAAADWyTYAAgAAAAc0MS40ODg4ADOypG2T994I4Tzc85P33ggjQ0lRLklRVDQ2MjAwMzY0LklRX0NEU19NSUQuMDYvMDgvMjYBAAAAV4YIAAIAAAAFMjQuMjUAM7KkbZP33gg7AN3zk/feCCNDSVEuSVFUNDYyMDQzMDAuSVFfQ0RTX01JRC4wNS8wOC8yNgEAAAD2JX0AAgAAAAY2Ljk1ODMAM7KkbZP33ggl2N3zk/feCCNDSVEuSVFUNjAzODgwNTcuSVFfQ0RTX01JRC4wNS8wOC8y</t>
  </si>
  <si>
    <t>NgEAAADfyX0BAwAAAAAAM7KkbZP33ghAJt7zk/feCCNDSVEuSVFUNDYxOTk4NDEuSVFfQ0RTX01JRC4wNS8wOC8yNgEAAADrMAYAAwAAAAAAM7KkbZP33ghHiN7zk/feCCRDSVEuSVFUMzEzMzEwMTg0LklRX0NEU19NSUQuMDQvMDgvMjYBAAAAYEQ+AAIAAAAHMTAuOTI0MgAzsqRtk/feCFtz3/OT994II0NJUS5JUVQ0NjIxNDg3OS5JUV9DRFNfTUlELjA0LzA4LzI2AQAAAPUaNwACAAAABzUwLjU2MjQAM7KkbZP33ggkb+Dzk/feCCNDSVEuSVFUNDY0NzA4NzcuSVFfQ0RTX01JRC4wNC8wOC8yNgEAAABCNwcAAgAAAAc1OC4xNDc2ADOypG2T994IgVnh85P33ggkQ0lRLklRVDMxMzMxMDg1NC5JUV9DRFNfTUlELjA0LzA4LzI2AQAAAK9UDQACAAAABDYwLjUATQlUbZP33ggZveHzk/feCCNDSVEuSVFUNDYyMTQ5NTQuSVFfQ0RTX01JRC4wMS8wOC8yNgEAAAA6PTkBAgAAAAcxNC4zMzMzADOypG2T994IXWnl85P33ggjQ0lRLklRVDQ2MjA4NjM0LklRX0NEU19NSUQuMDEvMDgvMjYBAAAAAx/CAAIAAAAHMjIuODMzMwAzsqRtk/feCHXe5fOT994II0NJUS5JUVQ0NjIyNTA4My5JUV9DRFNfTUlELjAxLzA4LzI2AQAAAFZEBgACAAAABDM2LjcAM7KkbZP33giUA+fzk/feCCNDSVEuSVFUNDYyMDM3MTQuSVFfQ0RTX01JRC4xMS8wNS8yNgEAAABfBTUAAgAAAAcyNy43NDk5ADOypG2T994IIX7u85P33ggjQ0lR</t>
  </si>
  <si>
    <t>LklRVDc5NjM5OTUzLklRX0NEU19NSUQuMTEvMDUvMjYBAAAANJtWAQIAAAAGMjUuMTA5ADOypG2T994Ij8ru85P33ggkQ0lRLklRVDUyODkzNjgxMi5JUV9DRFNfTUlELjExLzA1LzI2AQAAAGxbBgACAAAABzUzLjAzNzcAM7KkbZP33gjPFu/zk/feCCNDSVEuSVFUNDYxOTcxMzguSVFfQ0RTX01JRC4wMy8wOC8yNgEAAADulDgBAgAAAAgxMjIuMDAzNQAzsqRtk/feCN/j4fOT994II0NJUS5JUVQ1MTAyMzQ4MC5JUV9DRFNfTUlELjAzLzA4LzI2AQAAAMJF8QECAAAABjQuODIxNwAzsqRtk/feCPIx4vOT994II0NJUS5JUVQ0NjIwNDk1Ny5JUV9DRFNfTUlELjAzLzA4LzI2AQAAACEVBgACAAAABzU1LjUzMzUAM7KkbZP33ggpf+Lzk/feCCNDSVEuSVFUNjIyNzAxMDYuSVFfQ0RTX01JRC4wMy8wOC8yNgEAAACtd4MAAgAAAAc3NS4xOTYxAE0JVG2T994Ia83i85P33ggjQ0lRLklRVDc5NjQwMDI0LklRX0NEU19NSUQuMzEvMDcvMjYBAAAANY+bAQIAAAAFNy44NjMAM7KkbZP33ggTL+jzk/feCCRDSVEuSVFUMzEzMzA1ODc5LklRX0NEU19NSUQuMzEvMDcvMjYBAAAAhNbcAQIAAAAGMi4zNzcxADOypG2T994Iy8zo85P33ggjQ0lRLklRVDQ2MjAwNDEyLklRX0NEU19NSUQuMzEvMDcvMjYBAAAAY0MGAAIAAAAHNDUuMDk0NAAzsqRtk/feCFYt6fOT994II0NJUS5JUVQ0NjIwMzMzMi5JUV9DRFNfTUlELjMw</t>
  </si>
  <si>
    <t>LzA3LzI2AQAAAF8eNwACAAAABzExLjEwMjEAM7KkbZP33gi6x+/zk/feCCNDSVEuSVFUNDYyMTUxMTEuSVFfQ0RTX01JRC4zMC8wNy8yNgEAAACgS7IBAgAAAAczOC44MTc3ADOypG2T994IyhXw85P33ggjQ0lRLklRVDQ2MjI2MTMyLklRX0NEU19NSUQuMzAvMDcvMjYBAAAA3VkAAAIAAAAHNDQuNjY2NwAzsqRtk/feCBU88fOT994IJENJUS5JUVQzMTMzMTM1MjQuSVFfQ0RTX01JRC4zMC8wNy8yNgEAAADvVQ0AAgAAAAc2MC4wMTE2AE0JVG2T994Ijhvy85P33ggkQ0lRLklRVDUyODkzNjgxMi5JUV9DRFNfTUlELjMwLzA3LzI2AQAAAGxbBgACAAAABTQ3Ljc1ADOypG2T994IFTzx85P33ggjQ0lRLklRVDQ2MjI0NzQwLklRX0NEU19NSUQuMDIvMDgvMjYBAAAA03IIAAIAAAAHMzYuMTUxOAAzsqRtk/feCMWp5POT994II0NJUS5JUVQ3OTYzNDkwMS5JUV9DRFNfTUlELjI4LzA3LzI2AQAAAJwGEAACAAAABzQxLjQ2MzkAM7KkbZP33gh7Lu7zk/feCCNDSVEuSVFUNDYyMTM0NzIuSVFfQ0RTX01JRC4wNy8wOC8yNgEAAAC5WjgAAgAAAAYxNS40MTUAM7KkbZP33ghHF9vzk/feCCRDSVEuSVFUMjYzMjEzMTMyLklRX0NEU19NSUQuMDcvMDgvMjYBAAAA4ZoIAAIAAAAHNTEuNzk1MwAzsqRtk/feCDd52/OT994II0NJUS5JUVQ0NjE5NDk5NS5JUV9DRFNfTUlELjI5LzA3LzI2AQAAAG4QMQACAAAABzExLjA2</t>
  </si>
  <si>
    <t>NDgAM7KkbZP33gh1F+vzk/feCCNDSVEuSVFUNDYyMjIyOTIuSVFfQ0RTX01JRC4yOS8wNy8yNgEAAADRkZsBAgAAAAg3NTcuMDE5MQAzsqRtk/feCKSN6/OT994II0NJUS5JUVQ0NjE5NzY5NC5JUV9DRFNfTUlELjA2LzA4LzI2AQAAAAf6BQACAAAABzUyLjc3MDIAM7KkbZP33gjhPNzzk/feCCNDSVEuSVFUNDYyMTAwMzIuSVFfQ0RTX01JRC4wNS8wOC8yNgEAAACPVaMBAgAAAAYzNS4xMTkAM7KkbZP33ghAJt7zk/feCCNDSVEuSVFUNDYyMjUzNzQuSVFfQ0RTX01JRC4wNS8wOC8yNgEAAAC11gUAAgAAAAczNi4yMDkyADOypG2T994Iv6/e85P33ggjQ0lRLklRVDQ5NzUxMTk2LklRX0NEU19NSUQuMDQvMDgvMjYBAAAAzZm9AAIAAAAHMzkuNjEwMwAzsqRtk/feCGCa3/OT994II0NJUS5JUVQ2MDM4OTUxNi5JUV9DRFNfTUlELjA0LzA4LzI2AQAAAKXwwwECAAAABjcuMjUwMwAzsqRtk/feCCRv4POT994IJENJUS5JUVQzMjM2ODAxMzAuSVFfQ0RTX01JRC4wNC8wOC8yNgEAAABx4QIAAgAAAAc0OS44OTYxADOypG2T994IgVnh85P33ggjQ0lRLklRVDQ2MjEwNTYwLklRX0NEU19NSUQuMDYvMDgvMjYBAAAA9ho3AAIAAAAGODIuODcyADOypG2T994Iucfb85P33ggjQ0lRLklRVDQ2MjAzNzE0LklRX0NEU19NSUQuMDMvMDgvMjYBAAAAXwU1AAIAAAAHMzEuMTg1NgAzsqRtk/feCKQK4vOT994IJENJUS5J</t>
  </si>
  <si>
    <t>UVQ2NDQ3MDE3OTcuSVFfQ0RTX01JRC4wOS8wOC8yNgEAAABTP30BAgAAAAY5LjgzNTMAM7KkbZP33gjDpOnzk/feCCNDSVEuSVFUNDYyMTY5ODYuSVFfQ0RTX01JRC4wOS8wOC8yNgEAAADORDgBAwAAAAAAM7KkbZP33giNGOrzk/feCCRDSVEuSVFUMjU0OTU1MjMzLklRX0NEU19NSUQuMDkvMDgvMjYBAAAAOVYKAAIAAAAGMzkuMDUzADOypG2T994Il43q85P33ggjQ0lRLklRVDQ2MTk2MjI1LklRX0NEU19NSUQuMTEvMDgvMjUBAAAAvlWjAQIAAAAGMjIuODc1ADOypG2T994Ijhvy85P33ggjQ0lRLklRVDUxMDIzMjYwLklRX0NEU19NSUQuMTEvMDgvMjUBAAAAsRF/AQIAAAAHMTEuNTE4NAAzsqRtk/feCKOl8vOT994II0NJUS5JUVQ0NjIyNDc0MC5JUV9DRFNfTUlELjExLzA4LzI1AQAAANNyCAACAAAABzM3LjkzNTcAM7KkbZP33giY8/Lzk/feCCRDSVEuSVFUMzEzMzE3MzQ0LklRX0NEU19NSUQuMTEvMDgvMjUBAAAA8awBAAIAAAAHNTEuNDY0MwBNCVRtk/feCMNB8/OT994II0NJUS5JUVQ0NjIxMzQ3Mi5JUV9DRFNfTUlELjA4LzA4LzI2AQAAALlaOAACAAAABjE1LjQxNQAzsqRtk/feCGuT2POT994IJENJUS5JUVQyNjMyMTMxMzIuSVFfQ0RTX01JRC4wOC8wOC8yNgEAAADhmggAAgAAAAc1MS43OTUzADOypG2T994ISqXZ85P33ggjQ0lRLklRVDQ2MTk0OTk1LklRX0NEU19NSUQuMDIvMDgvMjYB</t>
  </si>
  <si>
    <t>AAAAbhAxAAIAAAAHMTEuMDY1NwAzsqRtk/feCF304vOT994II0NJUS5JUVQ0NjIyMjI5Mi5JUV9DRFNfTUlELjAyLzA4LzI2AQAAANGRmwECAAAACDc0Mi45MzU0ADOypG2T994Ipc3j85P33ggjQ0lRLklRVDQ2MjI1MDA2LklRX0NEU19NSUQuMDIvMDgvMjYBAAAA+FUNAAIAAAAHNDMuMjg1NQAzsqRtk/feCMWp5POT994II0NJUS5JUVQ0NjIyMDMyOS5JUV9DRFNfTUlELjAyLzA4LzI2AQAAANtbAAACAAAABzU2LjMxNjIATQlUbZP33ghMGuXzk/feCCNDSVEuSVFUNDYyNjIzNzguSVFfQ0RTX01JRC4yOC8wNy8yNgEAAABA0okBAgAAAAYxOC4xMjUAM7KkbZP33gg+CO3zk/feCCNDSVEuSVFUNDYxOTc2OTQuSVFfQ0RTX01JRC4yOC8wNy8yNgEAAAAH+gUAAgAAAAc1NC4yNzcyADOypG2T994IhX3t85P33ggjQ0lRLklRVDYyMjcwMTA3LklRX0NEU19NSUQuMjgvMDcvMjYBAAAAFVkAAAIAAAAHNDMuMDU0NQAzsqRtk/feCHsu7vOT994II0NJUS5JUVQ0NjIwNzMwOC5JUV9DRFNfTUlELjA3LzA4LzI2AQAAADmJegECAAAABzE0LjM1NDkAM7KkbZP33gj1U9rzk/feCCNDSVEuSVFUNDYyMTAwMzIuSVFfQ0RTX01JRC4wNy8wOC8yNgEAAACPVaMBAgAAAAczNS4wNTQ5ADOypG2T994ITfDa85P33ggjQ0lRLklRVDQ2MjI1Mzc0LklRX0NEU19NSUQuMDcvMDgvMjYBAAAAtdYFAAIAAAAHMzYuODYxOQAzsqRt</t>
  </si>
  <si>
    <t>k/feCFI+2/OT994II0NJUS5JUVQ0OTc1MTE5Ni5JUV9DRFNfTUlELjI5LzA3LzI2AQAAAM2ZvQACAAAABjQwLjAwNgAzsqRtk/feCHUX6/OT994II0NJUS5JUVQ2MDM4OTUxNi5JUV9DRFNfTUlELjI5LzA3LzI2AQAAAKXwwwECAAAABjcuMjQ3NQAzsqRtk/feCAln6/OT994IJENJUS5JUVQzMjM2ODAxMzAuSVFfQ0RTX01JRC4yOS8wNy8yNgEAAABx4QIAAgAAAAc1Mi40OTMyADOypG2T994IxgHs85P33ggkQ0lRLklRVDMxMzMxNTQyOS5JUV9DRFNfTUlELjI5LzA3LzI2AQAAADnnBQACAAAABzYyLjgzNzgATQlUbZP33ggiuuzzk/feCCNDSVEuSVFUNDYyMDY3NzkuSVFfQ0RTX01JRC4wNi8wOC8yNgEAAAD87zYAAgAAAAcxNS44MzMzADOypG2T994Iu+7b85P33ggjQ0lRLklRVDQ2MjE4Njc0LklRX0NEU19NSUQuMDYvMDgvMjYBAAAAV8o2AAIAAAAIMTIyLjMwNjcAM7KkbZP33gjhPNzzk/feCCNDSVEuSVFUNDYyMjU3MTUuSVFfQ0RTX01JRC4wNi8wOC8yNgEAAAC35QQAAgAAAAc0My40OTA1ADOypG2T994IOwDd85P33ggjQ0lRLklRVDQ2MjA0ODg0LklRX0NEU19NSUQuMDUvMDgvMjYBAAAAgVHAAQIAAAACMjkAM7KkbZP33ggl2N3zk/feCCNDSVEuSVFUNDYyMDc3ODkuSVFfQ0RTX01JRC4wNS8wOC8yNgEAAAAqWKMBAgAAAAcyNi42NDY1ADOypG2T994IQCbe85P33ggkQ0lRLklRVDI4NjA5NjEz</t>
  </si>
  <si>
    <t>MS5JUV9DRFNfTUlELjA1LzA4LzI2AQAAADvxBAACAAAABzU2LjEzMzUAM7KkbZP33gi/r97zk/feCCNDSVEuSVFUNDYyMTA1NjAuSVFfQ0RTX01JRC4wNC8wOC8yNgEAAAD2GjcAAgAAAAc4Mi42NDk1ADOypG2T994IYJrf85P33ggjQ0lRLklRVDQ2MjE5OTIyLklRX0NEU19NSUQuMDQvMDgvMjYBAAAA1kc5AQIAAAAGNi4zNDE4ADOypG2T994IJG/g85P33ggjQ0lRLklRVDQ2MjIzNjQ2LklRX0NEU19NSUQuMDQvMDgvMjYBAAAAG3gEAAIAAAAHNDguNTk0OAAzsqRtk/feCIFZ4fOT994IJENJUS5JUVQzMTMzMTQ5NzYuSVFfQ0RTX01JRC4wNC8wOC8yNgEAAABtSgAAAgAAAAc1Ny40OTM0AE0JVG2T994I3+Ph85P33ggjQ0lRLklRVDQ2MjE4NTE2LklRX0NEU19NSUQuMDEvMDgvMjYBAAAAplWjAQIAAAAHMzYuNTUzMwAzsqRtk/feCF1p5fOT994II0NJUS5JUVQ0NjIyMDgwMy5JUV9DRFNfTUlELjAxLzA4LzI2AQAAANbJNgACAAAABjQyLjc1MwAzsqRtk/feCLQE5vOT994II0NJUS5JUVQ0NjIwMDM2NC5JUV9DRFNfTUlELjAxLzA4LzI2AQAAAFeGCAACAAAABTI1LjA2ADOypG2T994IlAPn85P33ggjQ0lRLklRVDQ2MjA0MzAwLklRX0NEU19NSUQuMTEvMDUvMjYBAAAA9iV9AAIAAAADOC41ADOypG2T994IIX7u85P33ggjQ0lRLklRVDYwMzg4MDU3LklRX0NEU19NSUQuMTEvMDUvMjYBAAAA38l9AQMA</t>
  </si>
  <si>
    <t>AAAAADOypG2T994Ij8ru85P33ggjQ0lRLklRVDQ2MTk5ODQxLklRX0NEU19NSUQuMTEvMDUvMjYBAAAA6zAGAAMAAAAAADOypG2T994Izxbv85P33ggkQ0lRLklRVDMxMzMxMDE4NC5JUV9DRFNfTUlELjAzLzA4LzI2AQAAAGBEPgACAAAABjEwLjk2OQAzsqRtk/feCN/j4fOT994II0NJUS5JUVQ0NjIxNDg3OS5JUV9DRFNfTUlELjAzLzA4LzI2AQAAAPUaNwACAAAABzUwLjg1NTkAM7KkbZP33gjyMeLzk/feCCNDSVEuSVFUNDY0NzA4NzcuSVFfQ0RTX01JRC4wMy8wOC8yNgEAAABCNwcAAgAAAAc1OS43MTE3ADOypG2T994IKX/i85P33ggkQ0lRLklRVDMxMzMxMDg1NC5JUV9DRFNfTUlELjAzLzA4LzI2AQAAAK9UDQACAAAAAjYxAE0JVG2T994Ia83i85P33ggjQ0lRLklRVDQ2MjE0OTU0LklRX0NEU19NSUQuMzEvMDcvMjYBAAAAOj05AQIAAAAHMTQuMzMzMwAzsqRtk/feCBMv6POT994II0NJUS5JUVQ0NjIwODYzNC5JUV9DRFNfTUlELjMxLzA3LzI2AQAAAAMfwgACAAAABzIyLjgzMzMAM7KkbZP33gjLzOjzk/feCCNDSVEuSVFUNDYyMjUwODMuSVFfQ0RTX01JRC4zMS8wNy8yNgEAAABWRAYAAgAAAAQzNi43ADOypG2T994IVi3p85P33ggjQ0lRLklRVDQ2MjAzNzE0LklRX0NEU19NSUQuMzAvMDcvMjYBAAAAXwU1AAIAAAAHMzEuODgxMQAzsqRtk/feCLrH7/OT994II0NJUS5JUVQ3OTYzOTk1My5J</t>
  </si>
  <si>
    <t>UV9DRFNfTUlELjMwLzA3LzI2AQAAADSbVgECAAAABjI0LjkzMwAzsqRtk/feCMoV8POT994IJENJUS5JUVQzMTMzMTczNDQuSVFfQ0RTX01JRC4wMi8wOC8yNgEAAADxrAEAAgAAAAc2MS4xNTAzAE0JVG2T994ITBrl85P33ggjQ0lRLklRVDQ2MjAwMjc2LklRX0NEU19NSUQuMjgvMDcvMjYBAAAAlnd8AQIAAAAHMjkuMzY3NQAzsqRtk/feCD4I7fOT994II0NJUS5JUVQ0NjE5NTQ5MS5JUV9DRFNfTUlELjI4LzA3LzI2AQAAAGlKAAACAAAABzU2LjQ2NTkAM7KkbZP33giFfe3zk/feCCNDSVEuSVFUNDYyMDc1NzEuSVFfQ0RTX01JRC4wNy8wOC8yNgEAAABt7zUAAgAAAAQyOS41ADOypG2T994IGXva85P33ggjQ0lRLklRVDQ2MjI1MDA2LklRX0NEU19NSUQuMjkvMDcvMjYBAAAA+FUNAAIAAAAHNDQuMTEzOQAzsqRtk/feCMYB7POT994II0NJUS5JUVQ0NjIyMDMyOS5JUV9DRFNfTUlELjI5LzA3LzI2AQAAANtbAAACAAAABzU2Ljk5MjEATQlUbZP33ggiuuzzk/feCCNDSVEuSVFUNDYyNjIzNzguSVFfQ0RTX01JRC4wNi8wOC8yNgEAAABA0okBAgAAAAUxNy45NQAzsqRtk/feCLvu2/OT994II0NJUS5JUVQ2MjI3MDEwNy5JUV9DRFNfTUlELjA2LzA4LzI2AQAAABVZAAACAAAABzQzLjY0MTMAM7KkbZP33ggkFN3zk/feCCNDSVEuSVFUNDYyMDczMDguSVFfQ0RTX01JRC4wNS8wOC8yNgEAAAA5iXoBAgAA</t>
  </si>
  <si>
    <t>AAcxNC40NDMzADOypG2T994IJdjd85P33ggjQ0lRLklRVDQ2MjE4Njc0LklRX0NEU19NSUQuMDEvMDgvMjYBAAAAV8o2AAIAAAAIMTI4LjgyNzMAM7KkbZP33gi0BObzk/feCCNDSVEuSVFUNDYyMjU3MTUuSVFfQ0RTX01JRC4wMS8wOC8yNgEAAAC35QQAAgAAAAc0My41NTA1ADOypG2T994ItCrn85P33ggjQ0lRLklRVDQ2MjA0ODg0LklRX0NEU19NSUQuMTEvMDUvMjYBAAAAgVHAAQIAAAAHMjkuMjAxNwAzsqRtk/feCCF+7vOT994II0NJUS5JUVQ0NjIwNzc4OS5JUV9DRFNfTUlELjExLzA1LzI2AQAAACpYowECAAAABDI2LjUAM7KkbZP33giPyu7zk/feCCRDSVEuSVFUMjg2MDk2MTMxLklRX0NEU19NSUQuMTEvMDUvMjYBAAAAO/EEAAIAAAAHNjYuMTkxMQAzsqRtk/feCLtR7/OT994II0NJUS5JUVQ0NjIxMDU2MC5JUV9DRFNfTUlELjAzLzA4LzI2AQAAAPYaNwACAAAABzgzLjk1MzUAM7KkbZP33gjf4+Hzk/feCCNDSVEuSVFUNDYyMTk5MjIuSVFfQ0RTX01JRC4wMy8wOC8yNgEAAADWRzkBAgAAAAY2LjM0NjIAM7KkbZP33gjyMeLzk/feCCNDSVEuSVFUNDYyMjM2NDYuSVFfQ0RTX01JRC4wMy8wOC8yNgEAAAAbeAQAAgAAAAc0OS4zNDcxADOypG2T994IKX/i85P33ggkQ0lRLklRVDMxMzMxNDk3Ni5JUV9DRFNfTUlELjAzLzA4LzI2AQAAAG1KAAACAAAABzU3LjgyNzEATQlUbZP33ghrzeLzk/fe</t>
  </si>
  <si>
    <t>CCNDSVEuSVFUNDYyMDAzNjQuSVFfQ0RTX01JRC4zMS8wNy8yNgEAAABXhggAAgAAAAUyNS4wNgAzsqRtk/feCFYt6fOT994II0NJUS5JUVQ0NjIwNDMwMC5JUV9DRFNfTUlELjMwLzA3LzI2AQAAAPYlfQACAAAABjcuMTY0MgAzsqRtk/feCLrH7/OT994II0NJUS5JUVQ0NjE5OTg0MS5JUV9DRFNfTUlELjMwLzA3LzI2AQAAAOswBgADAAAAAAAzsqRtk/feCBU88fOT994IJENJUS5JUVQzMTMzMTczNDQuSVFfQ0RTX01JRC4yOS8wNy8yNgEAAADxrAEAAgAAAAc2MS42OTUxAE0JVG2T994IIrrs85P33ggjQ0lRLklRVDQ2MjIwMzI5LklRX0NEU19NSUQuMDQvMDgvMjYBAAAA21sAAAIAAAAHNTYuMDIyMwBNCVRtk/feCN/j4fOT994II0NJUS5JUVQ0NjIwNDMwMC5JUV9DRFNfTUlELjAyLzA4LzI2AQAAAPYlfQACAAAABjcuMTY2MQAzsqRtk/feCHkb4/OT994II0NJUS5JUVQ0NjIxNDg3OS5JUV9DRFNfTUlELjI4LzA3LzI2AQAAAPUaNwACAAAABzUwLjgyNDkAM7KkbZP33gg+CO3zk/feCCNDSVEuSVFUNDYyMDM3MTQuSVFfQ0RTX01JRC4yOS8wNy8yNgEAAABfBTUAAgAAAAczMS44MzMzADOypG2T994IhD7r85P33ggjQ0lRLklRVDQ2MjI1MDgzLklRX0NEU19NSUQuMTEvMDUvMjYBAAAAVkQGAAIAAAAHNDQuNDg2NwAzsqRtk/feCEJV7/OT994II0NJUS5JUVQ3OTY0MDAyNC5JUV9DRFNfTUlELjA5LzA4</t>
  </si>
  <si>
    <t>LzI2AQAAADWPmwECAAAABjcuODMzMwAzsqRtk/feCMOk6fOT994IJENJUS5JUVQzMTMzMDU4NzkuSVFfQ0RTX01JRC4wOS8wOC8yNgEAAACE1twBAgAAAAYyLjMwNTgAM7KkbZP33giNGOrzk/feCCNDSVEuSVFUNDYyMDA0MTIuSVFfQ0RTX01JRC4wOS8wOC8yNgEAAABjQwYAAgAAAAQ0NC41ADOypG2T994Il43q85P33ggjQ0lRLklRVDQ2MjAzMzMyLklRX0NEU19NSUQuMTEvMDgvMjUBAAAAXx43AAIAAAACMTUAM7KkbZP33giOG/Lzk/feCCNDSVEuSVFUNDYyMTUxMTEuSVFfQ0RTX01JRC4xMS8wOC8yNQEAAACgS7IBAgAAAAc0NC4yNTk4ADOypG2T994Io6Xy85P33ggjQ0lRLklRVDQ2MjI2MTMyLklRX0NEU19NSUQuMTEvMDgvMjUBAAAA3VkAAAIAAAAGNDUuNjI1ADOypG2T994ImPPy85P33ggkQ0lRLklRVDMxMzMxMzUyNC5JUV9DRFNfTUlELjExLzA4LzI1AQAAAO9VDQACAAAABjUxLjQ5OQBNCVRtk/feCMNB8/OT994II0NJUS5JUVQ0NjIxNjk4Ni5JUV9DRFNfTUlELjA4LzA4LzI2AQAAAM5EOAEDAAAAAAAzsqRtk/feCH662POT994IJENJUS5JUVQyNTQ5NTUyMzMuSVFfQ0RTX01JRC4wOC8wOC8yNgEAAAA5VgoAAgAAAAYzOS4wNTMAM7KkbZP33ghKpdnzk/feCCNDSVEuSVFUNDYxOTYyMjUuSVFfQ0RTX01JRC4wMi8wOC8yNgEAAAC+VaMBAgAAAAQxNy40ADOypG2T994IXfTi85P33ggjQ0lR</t>
  </si>
  <si>
    <t>LklRVDUxMDIzMjYwLklRX0NEU19NSUQuMDIvMDgvMjYBAAAAsRF/AQIAAAAGMTQuNzg2ADOypG2T994Ipc3j85P33ggkQ0lRLklRVDMxMzMxNTQyOS5JUV9DRFNfTUlELjA0LzA4LzI2AQAAADnnBQACAAAABDYwLjUATQlUbZP33gjf4+Hzk/feCCNDSVEuSVFUNDYyMDY3NzkuSVFfQ0RTX01JRC4wMS8wOC8yNgEAAAD87zYAAgAAAAIxNgAzsqRtk/feCF1p5fOT994II0NJUS5JUVQ0NjIxODUxNi5JUV9DRFNfTUlELjMxLzA3LzI2AQAAAKZVowECAAAABzM2LjU1MzMAM7KkbZP33ggeVujzk/feCCNDSVEuSVFUNDYyMjA4MDMuSVFfQ0RTX01JRC4zMS8wNy8yNgEAAADWyTYAAgAAAAY0Mi43NTMAM7KkbZP33gjLzOjzk/feCCNDSVEuSVFUNjAzODgwNTcuSVFfQ0RTX01JRC4zMC8wNy8yNgEAAADfyX0BAwAAAAAAM7KkbZP33gjKFfDzk/feCCNDSVEuSVFUNDYyMDAyNzYuSVFfQ0RTX01JRC4wNi8wOC8yNgEAAACWd3wBAgAAAAcyNy45OTk0ADOypG2T994I1hXc85P33ggjQ0lRLklRVDc5NjM0OTAxLklRX0NEU19NSUQuMDYvMDgvMjYBAAAAnAYQAAIAAAAHNDAuNjc3MwAzsqRtk/feCCQU3fOT994IJENJUS5JUVQyNjMyMTMxMzIuSVFfQ0RTX01JRC4wNS8wOC8yNgEAAADhmggAAgAAAAc1Mi4yNjg1ADOypG2T994Iv6/e85P33ggjQ0lRLklRVDQ2MTk0OTk1LklRX0NEU19NSUQuMDQvMDgvMjYBAAAAbhAx</t>
  </si>
  <si>
    <t>AAIAAAAHMTEuMDA0MQAzsqRtk/feCGCa3/OT994II0NJUS5JUVQ2MDM4OTUxNi5JUV9DRFNfTUlELjAzLzA4LzI2AQAAAKXwwwECAAAABjcuMjQ3NAAzsqRtk/feCPIx4vOT994II0NJUS5JUVQ0NjIyNTcxNS5JUV9DRFNfTUlELjMxLzA3LzI2AQAAALflBAACAAAABzQzLjU1MDUAM7KkbZP33ghWLenzk/feCCRDSVEuSVFUMzEzMzEwMTg0LklRX0NEU19NSUQuMjgvMDcvMjYBAAAAYEQ+AAIAAAAHMTEuMDY2MwAzsqRtk/feCCK67POT994II0NJUS5JUVQ0NjIyNTA4My5JUV9DRFNfTUlELjA3LzA4LzI2AQAAAFZEBgACAAAAAjM1ADOypG2T994IhXvb85P33ggjQ0lRLklRVDc5NjM5OTUzLklRX0NEU19NSUQuMjkvMDcvMjYBAAAANJtWAQIAAAAHMjQuOTUzNAAzsqRtk/feCKSN6/OT994II0NJUS5JUVQ1MTAyMzQ4MC5JUV9DRFNfTUlELjA2LzA4LzI2AQAAAMJF8QECAAAABjQuNjY5NwAzsqRtk/feCNYV3POT994II0NJUS5JUVQ0NjIwNDk1Ny5JUV9DRFNfTUlELjA2LzA4LzI2AQAAACEVBgACAAAABzUzLjUwOTUAM7KkbZP33gjQZNzzk/feCCNDSVEuSVFUNzk2NDAwMjQuSVFfQ0RTX01JRC4wNS8wOC8yNgEAAAA1j5sBAgAAAAU3Ljg2MwAzsqRtk/feCEX/3fOT994II0NJUS5JUVQ0NjIwMzMzMi5JUV9DRFNfTUlELjA0LzA4LzI2AQAAAF8eNwACAAAABzExLjEwNjEAM7KkbZP33gh4wd/zk/feCCND</t>
  </si>
  <si>
    <t>SVEuSVFUNDYyMTUxMTEuSVFfQ0RTX01JRC4wNC8wOC8yNgEAAACgS7IBAgAAAAczNy41MjQ5ADOypG2T994INJbg85P33ggkQ0lRLklRVDMxMzMxMzUyNC5JUV9DRFNfTUlELjA0LzA4LzI2AQAAAO9VDQACAAAABzU5LjUyOTIATQlUbZP33gjf4+Hzk/feCCRDSVEuSVFUMjU0OTU1MjMzLklRX0NEU19NSUQuMTEvMDUvMjYBAAAAOVYKAAIAAAAHNDkuOTc4OAAzsqRtk/feCEJV7/OT994II0NJUS5JUVQ0NjIwNzc4OS5JUV9DRFNfTUlELjI5LzA3LzI2AQAAACpYowECAAAABzI3LjAxOTYAM7KkbZP33gikjevzk/feCCNDSVEuSVFUNDYyMDAzNjQuSVFfQ0RTX01JRC4wNS8wOC8yNgEAAABXhggAAgAAAAQyNC41ADOypG2T994Iz9be85P33ggjQ0lRLklRVDQ2MjA0MzAwLklRX0NEU19NSUQuMDQvMDgvMjYBAAAA9iV9AAIAAAAGNy4wODMzADOypG2T994IeMHf85P33ggkQ0lRLklRVDMxMzMxMDg1NC5JUV9DRFNfTUlELjAxLzA4LzI2AQAAAK9UDQACAAAABzYxLjMzMzMATQlUbZP33gjGUufzk/feCCNDSVEuSVFUNDYyMDg2MzQuSVFfQ0RTX01JRC4xMS8wNS8yNgEAAAADH8IAAgAAAAUyNC41MQAzsqRtk/feCLPx7vOT994II0NJUS5JUVQ3OTYzOTk1My5JUV9DRFNfTUlELjAzLzA4LzI2AQAAADSbVgECAAAABzI0Ljg5ODIAM7KkbZP33ggGWeLzk/feCCNDSVEuSVFUNDYyMTQ5NTQuSVFfQ0RTX01JRC4w</t>
  </si>
  <si>
    <t>OS8wOC8yNgEAAAA6PTkBAgAAAAUxNC4zNQAzsqRtk/feCMOk6fOT994II0NJUS5JUVQ0NjIwODYzNC5JUV9DRFNfTUlELjA5LzA4LzI2AQAAAAMfwgACAAAABzIyLjY4NzUAM7KkbZP33giNGOrzk/feCCNDSVEuSVFUNDYyMjUwODMuSVFfQ0RTX01JRC4wOS8wOC8yNgEAAABWRAYAAgAAAAIzNQAzsqRtk/feCJeN6vOT994II0NJUS5JUVQ0NjIwMzcxNC5JUV9DRFNfTUlELjExLzA4LzI1AQAAAF8FNQACAAAABzMyLjQ3MDEAM7KkbZP33giOG/Lzk/feCCNDSVEuSVFUNzk2Mzk5NTMuSVFfQ0RTX01JRC4xMS8wOC8yNQEAAAA0m1YBAgAAAAczMy4yNjI2ADOypG2T994Io6Xy85P33ggkQ0lRLklRVDUyODkzNjgxMi5JUV9DRFNfTUlELjExLzA4LzI1AQAAAGxbBgACAAAABzQ3LjI5MjUAM7KkbZP33giY8/Lzk/feCCRDSVEuSVFUMzEzMzA1ODc5LklRX0NEU19NSUQuMDgvMDgvMjYBAAAAhNbcAQIAAAAGMi4zMDU4ADOypG2T994IfrrY85P33ggjQ0lRLklRVDQ2MjAwNDEyLklRX0NEU19NSUQuMDgvMDgvMjYBAAAAY0MGAAIAAAAENDQuNQAzsqRtk/feCEql2fOT994II0NJUS5JUVQ0NjIwMzMzMi5JUV9DRFNfTUlELjAyLzA4LzI2AQAAAF8eNwACAAAABzExLjExMTYAM7KkbZP33gh5G+Pzk/feCCNDSVEuSVFUNDYyMTUxMTEuSVFfQ0RTX01JRC4wMi8wOC8yNgEAAACgS7IBAgAAAAczNy45ODUyADOypG2T</t>
  </si>
  <si>
    <t>994Ipc3j85P33ggjQ0lRLklRVDQ2MjI2MTMyLklRX0NEU19NSUQuMDIvMDgvMjYBAAAA3VkAAAIAAAAHNDMuOTU2NAAzsqRtk/feCMWp5POT994IJENJUS5JUVQzMTMzMTM1MjQuSVFfQ0RTX01JRC4wMi8wOC8yNgEAAADvVQ0AAgAAAAc1OS45Njg4AE0JVG2T994ITBrl85P33ggjQ0lRLklRVDc5NjM5OTEzLklRX0NEU19NSUQuMjgvMDcvMjYBAAAAIGMcAgIAAAAFOC4xMjUAM7KkbZP33gg+CO3zk/feCCNDSVEuSVFUNDYyMDc4NzIuSVFfQ0RTX01JRC4yOC8wNy8yNgEAAABYDQoAAgAAAAU0MS4yMwAzsqRtk/feCJSk7fOT994II0NJUS5JUVQ0NjIwMDMxNy5JUV9DRFNfTUlELjI4LzA3LzI2AQAAAP5UDQACAAAABzYyLjU5MTEATQlUbZP33gh7Lu7zk/feCCRDSVEuSVFUNjQ0NzAxNzk3LklRX0NEU19NSUQuMDcvMDgvMjYBAAAAUz99AQIAAAAGOS44MzUzADOypG2T994IGXva85P33ggjQ0lRLklRVDQ2MjE2OTg2LklRX0NEU19NSUQuMDcvMDgvMjYBAAAAzkQ4AQMAAAAAADOypG2T994IRxfb85P33ggkQ0lRLklRVDI1NDk1NTIzMy5JUV9DRFNfTUlELjA3LzA4LzI2AQAAADlWCgACAAAABjM5LjA1MwAzsqRtk/feCIV72/OT994II0NJUS5JUVQ0NjE5NjIyNS5JUV9DRFNfTUlELjI5LzA3LzI2AQAAAL5VowECAAAABzE3LjY2NjcAM7KkbZP33gh1F+vzk/feCCNDSVEuSVFUNTEwMjMyNjAuSVFfQ0RT</t>
  </si>
  <si>
    <t>X01JRC4yOS8wNy8yNgEAAACxEX8BAgAAAAcxNC40NTcyADOypG2T994IpI3r85P33ggjQ0lRLklRVDQ2MjI0NzQwLklRX0NEU19NSUQuMjkvMDcvMjYBAAAA03IIAAIAAAAHMzYuMzMxNAAzsqRtk/feCMYB7POT994II0NJUS5JUVQ0NjIxODUxNi5JUV9DRFNfTUlELjA5LzA4LzI2AQAAAKZVowECAAAABzM2LjgzNjcAM7KkbZP33gjDpOnzk/feCCNDSVEuSVFUNDYyMjA4MDMuSVFfQ0RTX01JRC4wOS8wOC8yNgEAAADWyTYAAgAAAAc0MS40OTMyADOypG2T994InT/q85P33ggjQ0lRLklRVDQ2MjAwMzY0LklRX0NEU19NSUQuMDkvMDgvMjYBAAAAV4YIAAIAAAAEMjQuMwAzsqRtk/feCJeN6vOT994II0NJUS5JUVQ0NjIwNDMwMC5JUV9DRFNfTUlELjExLzA4LzI1AQAAAPYlfQACAAAABjguMTY2NwAzsqRtk/feCI4b8vOT994II0NJUS5JUVQ2MDM4ODA1Ny5JUV9DRFNfTUlELjExLzA4LzI1AQAAAN/JfQECAAAABzQ2LjQ4NjUAM7KkbZP33gijpfLzk/feCCNDSVEuSVFUNDYxOTk4NDEuSVFfQ0RTX01JRC4xMS8wOC8yNQEAAADrMAYAAwAAAAAAM7KkbZP33giY8/Lzk/feCCNDSVEuSVFUNDYyMDg2MzQuSVFfQ0RTX01JRC4wOC8wOC8yNgEAAAADH8IAAgAAAAcyMi42ODc1ADOypG2T994IfrrY85P33ggjQ0lRLklRVDQ2MjI1MDgzLklRX0NEU19NSUQuMDgvMDgvMjYBAAAAVkQGAAIAAAACMzUAM7KkbZP3</t>
  </si>
  <si>
    <t>3ghKpdnzk/feCCNDSVEuSVFUNDYyMDM3MTQuSVFfQ0RTX01JRC4wMi8wOC8yNgEAAABfBTUAAgAAAAYzMS41NzkAM7KkbZP33gh5G+Pzk/feCCNDSVEuSVFUNzk2Mzk5NTMuSVFfQ0RTX01JRC4wMi8wOC8yNgEAAAA0m1YBAgAAAAcyNC45NjM1ADOypG2T994Iq/Tj85P33ggkQ0lRLklRVDUyODkzNjgxMi5JUV9DRFNfTUlELjAyLzA4LzI2AQAAAGxbBgACAAAABzQ2Ljc3OTcAM7KkbZP33gjFqeTzk/feCCNDSVEuSVFUNDYxOTcxMzguSVFfQ0RTX01JRC4yOC8wNy8yNgEAAADulDgBAgAAAAgxMjYuODM2NgAzsqRtk/feCCK67POT994II0NJUS5JUVQ1MTAyMzQ4MC5JUV9DRFNfTUlELjI4LzA3LzI2AQAAAMJF8QECAAAABjQuODU5NgAzsqRtk/feCD4I7fOT994II0NJUS5JUVQ0NjIwNDk1Ny5JUV9DRFNfTUlELjI4LzA3LzI2AQAAACEVBgACAAAABjU1LjcyNwAzsqRtk/feCJSk7fOT994II0NJUS5JUVQ2MjI3MDEwNi5JUV9DRFNfTUlELjI4LzA3LzI2AQAAAK13gwACAAAABjc1LjIxNwBNCVRtk/feCHsu7vOT994II0NJUS5JUVQ3OTY0MDAyNC5JUV9DRFNfTUlELjA3LzA4LzI2AQAAADWPmwECAAAABjcuODMzMwAzsqRtk/feCBl72vOT994IJENJUS5JUVQzMTMzMDU4NzkuSVFfQ0RTX01JRC4wNy8wOC8yNgEAAACE1twBAgAAAAYyLjMwNTgAM7KkbZP33ghHF9vzk/feCCNDSVEuSVFUNDYyMDA0MTIu</t>
  </si>
  <si>
    <t>SVFfQ0RTX01JRC4wNy8wOC8yNgEAAABjQwYAAgAAAAQ0NC41ADOypG2T994IhXvb85P33ggjQ0lRLklRVDQ2MjAzMzMyLklRX0NEU19NSUQuMjkvMDcvMjYBAAAAXx43AAIAAAAHMTEuMTEwMwAzsqRtk/feCHUX6/OT994II0NJUS5JUVQ0NjIxNTExMS5JUV9DRFNfTUlELjI5LzA3LzI2AQAAAKBLsgECAAAABzM4LjQ3ODgAM7KkbZP33gikjevzk/feCCNDSVEuSVFUNDYyMjYxMzIuSVFfQ0RTX01JRC4yOS8wNy8yNgEAAADdWQAAAgAAAAc0NC44MzI4ADOypG2T994IxgHs85P33ggkQ0lRLklRVDMxMzMxMzUyNC5JUV9DRFNfTUlELjI5LzA3LzI2AQAAAO9VDQACAAAABzYwLjgzMTgATQlUbZP33ggiuuzzk/feCCNDSVEuSVFUNzk2Mzk5MTMuSVFfQ0RTX01JRC4wNi8wOC8yNgEAAAAgYxwCAgAAAAU4LjEyNQAzsqRtk/feCNYV3POT994II0NJUS5JUVQ0NjIwNzg3Mi5JUV9DRFNfTUlELjA2LzA4LzI2AQAAAFgNCgACAAAABjM4Ljc4OAAzsqRtk/feCNBk3POT994II0NJUS5JUVQ0NjIwMDMxNy5JUV9DRFNfTUlELjA2LzA4LzI2AQAAAP5UDQACAAAABzYyLjM1MzIATQlUbZP33ggkFN3zk/feCCRDSVEuSVFUNjQ0NzAxNzk3LklRX0NEU19NSUQuMDUvMDgvMjYBAAAAUz99AQIAAAAGOS44ODA5ADOypG2T994IRf/d85P33ggjQ0lRLklRVDQ2MjE2OTg2LklRX0NEU19NSUQuMDUvMDgvMjYBAAAAzkQ4AQMA</t>
  </si>
  <si>
    <t>AAAAADOypG2T994IQCbe85P33ggkQ0lRLklRVDI1NDk1NTIzMy5JUV9DRFNfTUlELjA1LzA4LzI2AQAAADlWCgACAAAABzM5LjMwNTgAM7KkbZP33gi/r97zk/feCCNDSVEuSVFUNDYxOTYyMjUuSVFfQ0RTX01JRC4wNC8wOC8yNgEAAAC+VaMBAgAAAAYxNy4xMjUAM7KkbZP33gh4wd/zk/feCCNDSVEuSVFUNTEwMjMyNjAuSVFfQ0RTX01JRC4wNC8wOC8yNgEAAACxEX8BAgAAAAYxNC4zNzUAM7KkbZP33gg0luDzk/feCCNDSVEuSVFUNDYyMjQ3NDAuSVFfQ0RTX01JRC4wNC8wOC8yNgEAAADTcggAAgAAAAczNS4zMTg4ADOypG2T994IgVnh85P33ggkQ0lRLklRVDMxMzMxNzM0NC5JUV9DRFNfTUlELjA0LzA4LzI2AQAAAPGsAQACAAAABzYwLjc0NjQATQlUbZP33gjf4+Hzk/feCCNDSVEuSVFUNDYyMDAyNzYuSVFfQ0RTX01JRC4wMS8wOC8yNgEAAACWd3wBAgAAAAcyOC4wOTA3ADOypG2T994IXWnl85P33ggjQ0lRLklRVDQ2MTk1NDkxLklRX0NEU19NSUQuMDEvMDgvMjYBAAAAaUoAAAIAAAAHNTcuNjY5OAAzsqRtk/feCMgr5vOT994II0NJUS5JUVQ3OTYzNDkwMS5JUV9DRFNfTUlELjAxLzA4LzI2AQAAAJwGEAACAAAABzQxLjQzMTkAM7KkbZP33gi0Kufzk/feCCNDSVEuSVFUNDYyMDc1NzEuSVFfQ0RTX01JRC4xMS8wNS8yNgEAAABt7zUAAgAAAAYyOS4wOTYAM7KkbZP33gghfu7zk/feCCNDSVEu</t>
  </si>
  <si>
    <t>SVFUNDYyMTM0NzIuSVFfQ0RTX01JRC4xMS8wNS8yNgEAAAC5WjgAAgAAAAcxNC45Mzc1ADOypG2T994Ij8ru85P33ggkQ0lRLklRVDI2MzIxMzEzMi5JUV9DRFNfTUlELjExLzA1LzI2AQAAAOGaCAACAAAABzU5LjkxODcAM7KkbZP33ghCVe/zk/feCCNDSVEuSVFUNDYxOTQ5OTUuSVFfQ0RTX01JRC4wMy8wOC8yNgEAAABuEDEAAgAAAAcxMS4wMTY0ADOypG2T994I3+Ph85P33ggjQ0lRLklRVDQ2MjIyMjkyLklRX0NEU19NSUQuMDMvMDgvMjYBAAAA0ZGbAQIAAAAHNzY0LjE5MwAzsqRtk/feCPIx4vOT994II0NJUS5JUVQ0NjIyNTAwNi5JUV9DRFNfTUlELjAzLzA4LzI2AQAAAPhVDQACAAAABjQyLjg1NgAzsqRtk/feCFen4vOT994II0NJUS5JUVQ0NjIyMDMyOS5JUV9DRFNfTUlELjAzLzA4LzI2AQAAANtbAAACAAAABzU2LjM0MzgATQlUbZP33ghd9OLzk/feCCNDSVEuSVFUNDYyNjIzNzguSVFfQ0RTX01JRC4zMS8wNy8yNgEAAABA0okBAgAAAAcxOC4xMTg1ADOypG2T994IHlbo85P33ggjQ0lRLklRVDQ2MTk3Njk0LklRX0NEU19NSUQuMzEvMDcvMjYBAAAAB/oFAAIAAAAHNTUuMDY1OAAzsqRtk/feCMvM6POT994II0NJUS5JUVQ2MjI3MDEwNy5JUV9DRFNfTUlELjMxLzA3LzI2AQAAABVZAAACAAAABzQzLjYyOTMAM7KkbZP33ghWLenzk/feCCNDSVEuSVFUNDYyMDczMDguSVFfQ0RTX01JRC4z</t>
  </si>
  <si>
    <t>MC8wNy8yNgEAAAA5iXoBAgAAAAcxNC41NDE1ADOypG2T994Iusfv85P33ggjQ0lRLklRVDQ2MjEwMDMyLklRX0NEU19NSUQuMzAvMDcvMjYBAAAAj1WjAQIAAAAHMzguNTc4NgAzsqRtk/feCMoV8POT994II0NJUS5JUVQ0NjIyNTM3NC5JUV9DRFNfTUlELjMwLzA3LzI2AQAAALXWBQACAAAABzM4LjI3OTkAM7KkbZP33ggFY/Hzk/feCCNDSVEuSVFUNDYxOTk4NDEuSVFfQ0RTX01JRC4wMi8wOC8yNgEAAADrMAYAAwAAAAAAM7KkbZP33gg0zOTzk/feCCNDSVEuSVFUNDY0NzA4NzcuSVFfQ0RTX01JRC4yOC8wNy8yNgEAAABCNwcAAgAAAAc2MC4yNjQ2ADOypG2T994IlKTt85P33ggjQ0lRLklRVDQ2MjA4NjM0LklRX0NEU19NSUQuMDcvMDgvMjYBAAAAAx/CAAIAAAAHMjIuNjg3NQAzsqRtk/feCEcX2/OT994IJENJUS5JUVQzMTMzMDU4NzkuSVFfQ0RTX01JRC4wNS8wOC8yNgEAAACE1twBAgAAAAYyLjM3NzEAM7KkbZP33ghfTd7zk/feCCNDSVEuSVFUNDYyMTY5ODYuSVFfQ0RTX01JRC4xMS8wNS8yNgEAAADORDgBAwAAAAAAM7KkbZP33giz8e7zk/feCCRDSVEuSVFUMjYzMjEzMTMyLklRX0NEU19NSUQuMzAvMDcvMjYBAAAA4ZoIAAIAAAAHNTQuOTQxMgAzsqRtk/feCAVj8fOT994II0NJUS5JUVQ0NjIxOTkyMi5JUV9DRFNfTUlELjA2LzA4LzI2AQAAANZHOQECAAAABjUuOTY2NQAzsqRtk/feCNYV</t>
  </si>
  <si>
    <t>3POT994II0NJUS5JUVQ0NjIxNDk1NC5JUV9DRFNfTUlELjExLzA1LzI2AQAAADo9OQECAAAABTE1LjI1ADOypG2T994IkKPu85P33ggjQ0lRLklRVDYyMjcwMTA2LklRX0NEU19NSUQuMzEvMDcvMjYBAAAArXeDAAIAAAAHNzUuMjAxMQBNCVRtk/feCMpU6fOT994II0NJUS5JUVQ0NjIwMDQxMi5JUV9DRFNfTUlELjMwLzA3LzI2AQAAAGNDBgACAAAABzQ1LjMzMzMAM7KkbZP33ggLivHzk/feCCNDSVEuSVFUNDYyMDY3NzkuSVFfQ0RTX01JRC4wOS8wOC8yNgEAAAD87zYAAgAAAAcxNS44MzMzADOypG2T994Ifsrp85P33ggjQ0lRLklRVDQ2MjE4Njc0LklRX0NEU19NSUQuMDkvMDgvMjYBAAAAV8o2AAIAAAAIMTIxLjYyNTMAM7KkbZP33gidP+rzk/feCCNDSVEuSVFUNDYyMjU3MTUuSVFfQ0RTX01JRC4wOS8wOC8yNgEAAAC35QQAAgAAAAc0My41MDU1ADOypG2T994Il43q85P33g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</si>
</sst>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135.22</v>
        <stp/>
        <stp>9</stp>
        <stp>648250</stp>
        <tr r="K8" s="1"/>
      </tp>
      <tp>
        <v>132.47</v>
        <stp/>
        <stp>8</stp>
        <stp>648250</stp>
        <tr r="I8" s="1"/>
        <tr r="I8" s="1"/>
      </tp>
      <tp t="s">
        <v>The formula must contain at least one field or function.</v>
        <stp/>
        <stp>1</stp>
        <stp>648250</stp>
        <tr r="M2" s="1"/>
      </tp>
      <tp>
        <v>135.22</v>
        <stp/>
        <stp>3</stp>
        <stp>648250</stp>
        <tr r="H8" s="1"/>
      </tp>
      <tp t="s">
        <v>The formula must contain at least one field or function.</v>
        <stp/>
        <stp>2</stp>
        <stp>648250</stp>
        <tr r="M5" s="1"/>
      </tp>
      <tp>
        <v>135.22</v>
        <stp/>
        <stp>5</stp>
        <stp>648250</stp>
        <tr r="J8" s="1"/>
      </tp>
      <tp>
        <v>136.87</v>
        <stp/>
        <stp>4</stp>
        <stp>648250</stp>
        <tr r="H8" s="1"/>
        <tr r="H8" s="1"/>
      </tp>
      <tp>
        <v>135.22</v>
        <stp/>
        <stp>7</stp>
        <stp>648250</stp>
        <tr r="I8" s="1"/>
      </tp>
      <tp>
        <v>125.85</v>
        <stp/>
        <stp>6</stp>
        <stp>648250</stp>
        <tr r="J8" s="1"/>
        <tr r="J8" s="1"/>
      </tp>
      <tp>
        <v>186.68</v>
        <stp/>
        <stp>59</stp>
        <stp>648250</stp>
        <tr r="K14" s="1"/>
      </tp>
      <tp>
        <v>111.88</v>
        <stp/>
        <stp>58</stp>
        <stp>648250</stp>
        <tr r="H16" s="1"/>
        <tr r="H16" s="1"/>
      </tp>
      <tp>
        <v>186.68</v>
        <stp/>
        <stp>55</stp>
        <stp>648250</stp>
        <tr r="J14" s="1"/>
      </tp>
      <tp>
        <v>182.57</v>
        <stp/>
        <stp>54</stp>
        <stp>648250</stp>
        <tr r="I14" s="1"/>
        <tr r="I14" s="1"/>
      </tp>
      <tp>
        <v>112.8</v>
        <stp/>
        <stp>57</stp>
        <stp>648250</stp>
        <tr r="H16" s="1"/>
      </tp>
      <tp>
        <v>150.16999999999999</v>
        <stp/>
        <stp>56</stp>
        <stp>648250</stp>
        <tr r="J14" s="1"/>
        <tr r="J14" s="1"/>
      </tp>
      <tp>
        <v>186.68</v>
        <stp/>
        <stp>51</stp>
        <stp>648250</stp>
        <tr r="H14" s="1"/>
      </tp>
      <tp>
        <v>77.59</v>
        <stp/>
        <stp>50</stp>
        <stp>648250</stp>
        <tr r="K13" s="1"/>
        <tr r="K13" s="1"/>
      </tp>
      <tp>
        <v>186.68</v>
        <stp/>
        <stp>53</stp>
        <stp>648250</stp>
        <tr r="I14" s="1"/>
      </tp>
      <tp>
        <v>185.23</v>
        <stp/>
        <stp>52</stp>
        <stp>648250</stp>
        <tr r="H14" s="1"/>
        <tr r="H14" s="1"/>
      </tp>
      <tp>
        <v>87.52</v>
        <stp/>
        <stp>49</stp>
        <stp>648250</stp>
        <tr r="K13" s="1"/>
      </tp>
      <tp>
        <v>73.58</v>
        <stp/>
        <stp>48</stp>
        <stp>648250</stp>
        <tr r="J13" s="1"/>
        <tr r="J13" s="1"/>
      </tp>
      <tp>
        <v>87.52</v>
        <stp/>
        <stp>45</stp>
        <stp>648250</stp>
        <tr r="I13" s="1"/>
      </tp>
      <tp>
        <v>88.39</v>
        <stp/>
        <stp>44</stp>
        <stp>648250</stp>
        <tr r="H13" s="1"/>
        <tr r="H13" s="1"/>
      </tp>
      <tp>
        <v>87.52</v>
        <stp/>
        <stp>47</stp>
        <stp>648250</stp>
        <tr r="J13" s="1"/>
      </tp>
      <tp>
        <v>86.87</v>
        <stp/>
        <stp>46</stp>
        <stp>648250</stp>
        <tr r="I13" s="1"/>
        <tr r="I13" s="1"/>
      </tp>
      <tp>
        <v>215.33</v>
        <stp/>
        <stp>41</stp>
        <stp>648250</stp>
        <tr r="K12" s="1"/>
      </tp>
      <tp>
        <v>191.1</v>
        <stp/>
        <stp>40</stp>
        <stp>648250</stp>
        <tr r="J12" s="1"/>
        <tr r="J12" s="1"/>
      </tp>
      <tp>
        <v>87.52</v>
        <stp/>
        <stp>43</stp>
        <stp>648250</stp>
        <tr r="H13" s="1"/>
      </tp>
      <tp>
        <v>143.88</v>
        <stp/>
        <stp>42</stp>
        <stp>648250</stp>
        <tr r="K12" s="1"/>
        <tr r="K12" s="1"/>
      </tp>
      <tp>
        <v>84</v>
        <stp/>
        <stp>79</stp>
        <stp>648250</stp>
        <tr r="J18" s="1"/>
      </tp>
      <tp>
        <v>76.98</v>
        <stp/>
        <stp>78</stp>
        <stp>648250</stp>
        <tr r="I18" s="1"/>
        <tr r="I18" s="1"/>
      </tp>
      <tp>
        <v>84</v>
        <stp/>
        <stp>75</stp>
        <stp>648250</stp>
        <tr r="H18" s="1"/>
      </tp>
      <tp>
        <v>17.045000000000002</v>
        <stp/>
        <stp>74</stp>
        <stp>648250</stp>
        <tr r="K17" s="1"/>
        <tr r="K17" s="1"/>
      </tp>
      <tp>
        <v>84</v>
        <stp/>
        <stp>77</stp>
        <stp>648250</stp>
        <tr r="I18" s="1"/>
      </tp>
      <tp>
        <v>83</v>
        <stp/>
        <stp>76</stp>
        <stp>648250</stp>
        <tr r="H18" s="1"/>
        <tr r="H18" s="1"/>
      </tp>
      <tp>
        <v>19.93</v>
        <stp/>
        <stp>71</stp>
        <stp>648250</stp>
        <tr r="J17" s="1"/>
      </tp>
      <tp>
        <v>18.664999999999999</v>
        <stp/>
        <stp>70</stp>
        <stp>648250</stp>
        <tr r="I17" s="1"/>
        <tr r="I17" s="1"/>
      </tp>
      <tp>
        <v>19.93</v>
        <stp/>
        <stp>73</stp>
        <stp>648250</stp>
        <tr r="K17" s="1"/>
      </tp>
      <tp>
        <v>17.149999999999999</v>
        <stp/>
        <stp>72</stp>
        <stp>648250</stp>
        <tr r="J17" s="1"/>
        <tr r="J17" s="1"/>
      </tp>
      <tp>
        <v>19.93</v>
        <stp/>
        <stp>69</stp>
        <stp>648250</stp>
        <tr r="I17" s="1"/>
      </tp>
      <tp>
        <v>19.375</v>
        <stp/>
        <stp>68</stp>
        <stp>648250</stp>
        <tr r="H17" s="1"/>
        <tr r="H17" s="1"/>
      </tp>
      <tp>
        <v>112.8</v>
        <stp/>
        <stp>65</stp>
        <stp>648250</stp>
        <tr r="K16" s="1"/>
      </tp>
      <tp>
        <v>92.96</v>
        <stp/>
        <stp>64</stp>
        <stp>648250</stp>
        <tr r="J16" s="1"/>
        <tr r="J16" s="1"/>
      </tp>
      <tp>
        <v>19.93</v>
        <stp/>
        <stp>67</stp>
        <stp>648250</stp>
        <tr r="H17" s="1"/>
      </tp>
      <tp>
        <v>81.55</v>
        <stp/>
        <stp>66</stp>
        <stp>648250</stp>
        <tr r="K16" s="1"/>
        <tr r="K16" s="1"/>
      </tp>
      <tp>
        <v>112.8</v>
        <stp/>
        <stp>61</stp>
        <stp>648250</stp>
        <tr r="I16" s="1"/>
      </tp>
      <tp>
        <v>109.83</v>
        <stp/>
        <stp>60</stp>
        <stp>648250</stp>
        <tr r="K14" s="1"/>
        <tr r="K14" s="1"/>
      </tp>
      <tp>
        <v>112.8</v>
        <stp/>
        <stp>63</stp>
        <stp>648250</stp>
        <tr r="J16" s="1"/>
      </tp>
      <tp>
        <v>108.2</v>
        <stp/>
        <stp>62</stp>
        <stp>648250</stp>
        <tr r="I16" s="1"/>
        <tr r="I16" s="1"/>
      </tp>
      <tp>
        <v>63.86</v>
        <stp/>
        <stp>19</stp>
        <stp>648250</stp>
        <tr r="K9" s="1"/>
      </tp>
      <tp>
        <v>357.52</v>
        <stp/>
        <stp>18</stp>
        <stp>648250</stp>
        <tr r="H10" s="1"/>
        <tr r="H10" s="1"/>
      </tp>
      <tp>
        <v>63.86</v>
        <stp/>
        <stp>15</stp>
        <stp>648250</stp>
        <tr r="J9" s="1"/>
      </tp>
      <tp>
        <v>62.62</v>
        <stp/>
        <stp>14</stp>
        <stp>648250</stp>
        <tr r="I9" s="1"/>
        <tr r="I9" s="1"/>
      </tp>
      <tp>
        <v>359.79</v>
        <stp/>
        <stp>17</stp>
        <stp>648250</stp>
        <tr r="H10" s="1"/>
      </tp>
      <tp>
        <v>50.55</v>
        <stp/>
        <stp>16</stp>
        <stp>648250</stp>
        <tr r="J9" s="1"/>
        <tr r="J9" s="1"/>
      </tp>
      <tp>
        <v>63.86</v>
        <stp/>
        <stp>11</stp>
        <stp>648250</stp>
        <tr r="H9" s="1"/>
      </tp>
      <tp>
        <v>92.31</v>
        <stp/>
        <stp>10</stp>
        <stp>648250</stp>
        <tr r="K8" s="1"/>
        <tr r="K8" s="1"/>
      </tp>
      <tp>
        <v>63.86</v>
        <stp/>
        <stp>13</stp>
        <stp>648250</stp>
        <tr r="I9" s="1"/>
      </tp>
      <tp>
        <v>62.9</v>
        <stp/>
        <stp>12</stp>
        <stp>648250</stp>
        <tr r="H9" s="1"/>
        <tr r="H9" s="1"/>
      </tp>
      <tp>
        <v>215.33</v>
        <stp/>
        <stp>39</stp>
        <stp>648250</stp>
        <tr r="J12" s="1"/>
      </tp>
      <tp>
        <v>211.58</v>
        <stp/>
        <stp>38</stp>
        <stp>648250</stp>
        <tr r="I12" s="1"/>
        <tr r="I12" s="1"/>
      </tp>
      <tp>
        <v>215.33</v>
        <stp/>
        <stp>35</stp>
        <stp>648250</stp>
        <tr r="H12" s="1"/>
      </tp>
      <tp>
        <v>719.24</v>
        <stp/>
        <stp>34</stp>
        <stp>648250</stp>
        <tr r="K11" s="1"/>
        <tr r="K11" s="1"/>
      </tp>
      <tp>
        <v>215.33</v>
        <stp/>
        <stp>37</stp>
        <stp>648250</stp>
        <tr r="I12" s="1"/>
      </tp>
      <tp>
        <v>217.04</v>
        <stp/>
        <stp>36</stp>
        <stp>648250</stp>
        <tr r="H12" s="1"/>
        <tr r="H12" s="1"/>
      </tp>
      <tp>
        <v>1034.51</v>
        <stp/>
        <stp>31</stp>
        <stp>648250</stp>
        <tr r="J11" s="1"/>
      </tp>
      <tp>
        <v>1033.3399999999999</v>
        <stp/>
        <stp>30</stp>
        <stp>648250</stp>
        <tr r="I11" s="1"/>
        <tr r="I11" s="1"/>
      </tp>
      <tp>
        <v>1034.51</v>
        <stp/>
        <stp>33</stp>
        <stp>648250</stp>
        <tr r="K11" s="1"/>
      </tp>
      <tp>
        <v>944.86</v>
        <stp/>
        <stp>32</stp>
        <stp>648250</stp>
        <tr r="J11" s="1"/>
        <tr r="J11" s="1"/>
      </tp>
      <tp>
        <v>1034.51</v>
        <stp/>
        <stp>29</stp>
        <stp>648250</stp>
        <tr r="I11" s="1"/>
      </tp>
      <tp>
        <v>1052.98</v>
        <stp/>
        <stp>28</stp>
        <stp>648250</stp>
        <tr r="H11" s="1"/>
        <tr r="H11" s="1"/>
      </tp>
      <tp>
        <v>359.79</v>
        <stp/>
        <stp>25</stp>
        <stp>648250</stp>
        <tr r="K10" s="1"/>
      </tp>
      <tp>
        <v>300</v>
        <stp/>
        <stp>24</stp>
        <stp>648250</stp>
        <tr r="J10" s="1"/>
        <tr r="J10" s="1"/>
      </tp>
      <tp>
        <v>1034.51</v>
        <stp/>
        <stp>27</stp>
        <stp>648250</stp>
        <tr r="H11" s="1"/>
      </tp>
      <tp>
        <v>289.56</v>
        <stp/>
        <stp>26</stp>
        <stp>648250</stp>
        <tr r="K10" s="1"/>
        <tr r="K10" s="1"/>
      </tp>
      <tp>
        <v>359.79</v>
        <stp/>
        <stp>21</stp>
        <stp>648250</stp>
        <tr r="I10" s="1"/>
      </tp>
      <tp>
        <v>46.16</v>
        <stp/>
        <stp>20</stp>
        <stp>648250</stp>
        <tr r="K9" s="1"/>
        <tr r="K9" s="1"/>
      </tp>
      <tp>
        <v>359.79</v>
        <stp/>
        <stp>23</stp>
        <stp>648250</stp>
        <tr r="J10" s="1"/>
      </tp>
      <tp>
        <v>357.31</v>
        <stp/>
        <stp>22</stp>
        <stp>648250</stp>
        <tr r="I10" s="1"/>
        <tr r="I10" s="1"/>
      </tp>
      <tp>
        <v>1526.4</v>
        <stp/>
        <stp>99</stp>
        <stp>648250</stp>
        <tr r="H23" s="1"/>
      </tp>
      <tp>
        <v>371</v>
        <stp/>
        <stp>98</stp>
        <stp>648250</stp>
        <tr r="K22" s="1"/>
        <tr r="K22" s="1"/>
      </tp>
      <tp>
        <v>518</v>
        <stp/>
        <stp>95</stp>
        <stp>648250</stp>
        <tr r="J22" s="1"/>
      </tp>
      <tp>
        <v>505</v>
        <stp/>
        <stp>94</stp>
        <stp>648250</stp>
        <tr r="I22" s="1"/>
        <tr r="I22" s="1"/>
      </tp>
      <tp>
        <v>518</v>
        <stp/>
        <stp>97</stp>
        <stp>648250</stp>
        <tr r="K22" s="1"/>
      </tp>
      <tp>
        <v>429.1</v>
        <stp/>
        <stp>96</stp>
        <stp>648250</stp>
        <tr r="J22" s="1"/>
        <tr r="J22" s="1"/>
      </tp>
      <tp>
        <v>43.83</v>
        <stp/>
        <stp>91</stp>
        <stp>648250</stp>
        <tr r="K20" s="1"/>
      </tp>
      <tp>
        <v>35.04</v>
        <stp/>
        <stp>90</stp>
        <stp>648250</stp>
        <tr r="J20" s="1"/>
        <tr r="J20" s="1"/>
      </tp>
      <tp>
        <v>518</v>
        <stp/>
        <stp>93</stp>
        <stp>648250</stp>
        <tr r="I22" s="1"/>
      </tp>
      <tp>
        <v>31.91</v>
        <stp/>
        <stp>92</stp>
        <stp>648250</stp>
        <tr r="K20" s="1"/>
        <tr r="K20" s="1"/>
      </tp>
      <tp>
        <v>43.83</v>
        <stp/>
        <stp>89</stp>
        <stp>648250</stp>
        <tr r="J20" s="1"/>
      </tp>
      <tp>
        <v>522.29999999999995</v>
        <stp/>
        <stp>88</stp>
        <stp>648250</stp>
        <tr r="H22" s="1"/>
        <tr r="H22" s="1"/>
      </tp>
      <tp>
        <v>43.83</v>
        <stp/>
        <stp>85</stp>
        <stp>648250</stp>
        <tr r="I20" s="1"/>
      </tp>
      <tp>
        <v>43.42</v>
        <stp/>
        <stp>84</stp>
        <stp>648250</stp>
        <tr r="H20" s="1"/>
        <tr r="H20" s="1"/>
      </tp>
      <tp>
        <v>518</v>
        <stp/>
        <stp>87</stp>
        <stp>648250</stp>
        <tr r="H22" s="1"/>
      </tp>
      <tp>
        <v>42.44</v>
        <stp/>
        <stp>86</stp>
        <stp>648250</stp>
        <tr r="I20" s="1"/>
        <tr r="I20" s="1"/>
      </tp>
      <tp>
        <v>84</v>
        <stp/>
        <stp>81</stp>
        <stp>648250</stp>
        <tr r="K18" s="1"/>
      </tp>
      <tp>
        <v>69.39</v>
        <stp/>
        <stp>80</stp>
        <stp>648250</stp>
        <tr r="J18" s="1"/>
        <tr r="J18" s="1"/>
      </tp>
      <tp>
        <v>43.83</v>
        <stp/>
        <stp>83</stp>
        <stp>648250</stp>
        <tr r="H20" s="1"/>
      </tp>
      <tp>
        <v>57.58</v>
        <stp/>
        <stp>82</stp>
        <stp>648250</stp>
        <tr r="K18" s="1"/>
        <tr r="K18" s="1"/>
      </tp>
      <tp>
        <v>168.83</v>
        <stp/>
        <stp>217</stp>
        <stp>648250</stp>
        <tr r="K41" s="1"/>
      </tp>
      <tp>
        <v>147.59</v>
        <stp/>
        <stp>216</stp>
        <stp>648250</stp>
        <tr r="J41" s="1"/>
        <tr r="J41" s="1"/>
      </tp>
      <tp>
        <v>168.83</v>
        <stp/>
        <stp>215</stp>
        <stp>648250</stp>
        <tr r="J41" s="1"/>
      </tp>
      <tp>
        <v>169.97</v>
        <stp/>
        <stp>214</stp>
        <stp>648250</stp>
        <tr r="I41" s="1"/>
        <tr r="I41" s="1"/>
      </tp>
      <tp>
        <v>168.83</v>
        <stp/>
        <stp>213</stp>
        <stp>648250</stp>
        <tr r="I41" s="1"/>
      </tp>
      <tp>
        <v>167.9</v>
        <stp/>
        <stp>212</stp>
        <stp>648250</stp>
        <tr r="H41" s="1"/>
        <tr r="H41" s="1"/>
      </tp>
      <tp>
        <v>168.83</v>
        <stp/>
        <stp>211</stp>
        <stp>648250</stp>
        <tr r="H41" s="1"/>
      </tp>
      <tp>
        <v>100.3</v>
        <stp/>
        <stp>210</stp>
        <stp>648250</stp>
        <tr r="K40" s="1"/>
        <tr r="K40" s="1"/>
      </tp>
      <tp>
        <v>61.084000000000003</v>
        <stp/>
        <stp>219</stp>
        <stp>648250</stp>
        <tr r="D42" s="1"/>
      </tp>
      <tp>
        <v>100.78</v>
        <stp/>
        <stp>218</stp>
        <stp>648250</stp>
        <tr r="K41" s="1"/>
        <tr r="K41" s="1"/>
      </tp>
      <tp>
        <v>166.32</v>
        <stp/>
        <stp>207</stp>
        <stp>648250</stp>
        <tr r="J40" s="1"/>
      </tp>
      <tp>
        <v>169.04</v>
        <stp/>
        <stp>206</stp>
        <stp>648250</stp>
        <tr r="I40" s="1"/>
        <tr r="I40" s="1"/>
      </tp>
      <tp>
        <v>166.32</v>
        <stp/>
        <stp>205</stp>
        <stp>648250</stp>
        <tr r="I40" s="1"/>
      </tp>
      <tp>
        <v>166.06</v>
        <stp/>
        <stp>204</stp>
        <stp>648250</stp>
        <tr r="H40" s="1"/>
        <tr r="H40" s="1"/>
      </tp>
      <tp>
        <v>166.32</v>
        <stp/>
        <stp>203</stp>
        <stp>648250</stp>
        <tr r="H40" s="1"/>
      </tp>
      <tp>
        <v>155.43</v>
        <stp/>
        <stp>202</stp>
        <stp>648250</stp>
        <tr r="K39" s="1"/>
        <tr r="K39" s="1"/>
      </tp>
      <tp>
        <v>253.47</v>
        <stp/>
        <stp>201</stp>
        <stp>648250</stp>
        <tr r="K39" s="1"/>
      </tp>
      <tp>
        <v>209.04</v>
        <stp/>
        <stp>200</stp>
        <stp>648250</stp>
        <tr r="J39" s="1"/>
        <tr r="J39" s="1"/>
      </tp>
      <tp>
        <v>166.32</v>
        <stp/>
        <stp>209</stp>
        <stp>648250</stp>
        <tr r="K40" s="1"/>
      </tp>
      <tp>
        <v>152.88999999999999</v>
        <stp/>
        <stp>208</stp>
        <stp>648250</stp>
        <tr r="J40" s="1"/>
        <tr r="J40" s="1"/>
      </tp>
      <tp>
        <v>226.02</v>
        <stp/>
        <stp>237</stp>
        <stp>648250</stp>
        <tr r="K43" s="1"/>
      </tp>
      <tp>
        <v>40.270000000000003</v>
        <stp/>
        <stp>236</stp>
        <stp>648250</stp>
        <tr r="J44" s="1"/>
        <tr r="J44" s="1"/>
      </tp>
      <tp>
        <v>40.24</v>
        <stp/>
        <stp>235</stp>
        <stp>648250</stp>
        <tr r="J44" s="1"/>
      </tp>
      <tp>
        <v>207.45</v>
        <stp/>
        <stp>234</stp>
        <stp>648250</stp>
        <tr r="J43" s="1"/>
        <tr r="J43" s="1"/>
      </tp>
      <tp>
        <v>226.02</v>
        <stp/>
        <stp>233</stp>
        <stp>648250</stp>
        <tr r="J43" s="1"/>
      </tp>
      <tp>
        <v>230.99</v>
        <stp/>
        <stp>232</stp>
        <stp>648250</stp>
        <tr r="I43" s="1"/>
        <tr r="I43" s="1"/>
      </tp>
      <tp>
        <v>226.02</v>
        <stp/>
        <stp>231</stp>
        <stp>648250</stp>
        <tr r="I43" s="1"/>
      </tp>
      <tp>
        <v>226.1</v>
        <stp/>
        <stp>230</stp>
        <stp>648250</stp>
        <tr r="H43" s="1"/>
        <tr r="H43" s="1"/>
      </tp>
      <tp>
        <v>40.24</v>
        <stp/>
        <stp>239</stp>
        <stp>648250</stp>
        <tr r="K44" s="1"/>
      </tp>
      <tp>
        <v>146.94</v>
        <stp/>
        <stp>238</stp>
        <stp>648250</stp>
        <tr r="K43" s="1"/>
        <tr r="K43" s="1"/>
      </tp>
      <tp>
        <v>294.08999999999997</v>
        <stp/>
        <stp>227</stp>
        <stp>648250</stp>
        <tr r="K42" s="1"/>
      </tp>
      <tp>
        <v>299.39999999999998</v>
        <stp/>
        <stp>226</stp>
        <stp>648250</stp>
        <tr r="I42" s="1"/>
        <tr r="I42" s="1"/>
      </tp>
      <tp>
        <v>294.08999999999997</v>
        <stp/>
        <stp>225</stp>
        <stp>648250</stp>
        <tr r="I42" s="1"/>
      </tp>
      <tp>
        <v>249.87</v>
        <stp/>
        <stp>224</stp>
        <stp>648250</stp>
        <tr r="J42" s="1"/>
        <tr r="J42" s="1"/>
      </tp>
      <tp>
        <v>294.08999999999997</v>
        <stp/>
        <stp>223</stp>
        <stp>648250</stp>
        <tr r="J42" s="1"/>
      </tp>
      <tp>
        <v>293.47000000000003</v>
        <stp/>
        <stp>222</stp>
        <stp>648250</stp>
        <tr r="H42" s="1"/>
        <tr r="H42" s="1"/>
      </tp>
      <tp>
        <v>294.08999999999997</v>
        <stp/>
        <stp>221</stp>
        <stp>648250</stp>
        <tr r="H42" s="1"/>
      </tp>
      <tp>
        <v>-0.126</v>
        <stp/>
        <stp>220</stp>
        <stp>648250</stp>
        <tr r="D42" s="1"/>
        <tr r="D42" s="1"/>
      </tp>
      <tp>
        <v>226.02</v>
        <stp/>
        <stp>229</stp>
        <stp>648250</stp>
        <tr r="H43" s="1"/>
      </tp>
      <tp>
        <v>183.87</v>
        <stp/>
        <stp>228</stp>
        <stp>648250</stp>
        <tr r="K42" s="1"/>
        <tr r="K42" s="1"/>
      </tp>
      <tp>
        <v>40.29</v>
        <stp/>
        <stp>247</stp>
        <stp>648250</stp>
        <tr r="H44" s="1"/>
        <tr r="H44" s="1"/>
      </tp>
      <tp>
        <v>40.24</v>
        <stp/>
        <stp>246</stp>
        <stp>648250</stp>
        <tr r="H44" s="1"/>
      </tp>
      <tp t="s">
        <v>The record could not be found (Error code: 0)</v>
        <stp/>
        <stp>245</stp>
        <stp>648250</stp>
        <tr r="C44" s="1"/>
      </tp>
      <tp>
        <v>40.29</v>
        <stp/>
        <stp>244</stp>
        <stp>648250</stp>
        <tr r="I44" s="1"/>
        <tr r="I44" s="1"/>
      </tp>
      <tp>
        <v>40.24</v>
        <stp/>
        <stp>243</stp>
        <stp>648250</stp>
        <tr r="I44" s="1"/>
      </tp>
      <tp t="s">
        <v>The record could not be found (Error code: 0)</v>
        <stp/>
        <stp>242</stp>
        <stp>648250</stp>
        <tr r="D44" s="1"/>
        <tr r="D44" s="1"/>
      </tp>
      <tp t="s">
        <v>The record could not be found (Error code: 0)</v>
        <stp/>
        <stp>241</stp>
        <stp>648250</stp>
        <tr r="D44" s="1"/>
      </tp>
      <tp>
        <v>30.68</v>
        <stp/>
        <stp>240</stp>
        <stp>648250</stp>
        <tr r="K44" s="1"/>
        <tr r="K44" s="1"/>
      </tp>
      <tp>
        <v>2234</v>
        <stp/>
        <stp>117</stp>
        <stp>648250</stp>
        <tr r="I25" s="1"/>
      </tp>
      <tp>
        <v>533</v>
        <stp/>
        <stp>116</stp>
        <stp>648250</stp>
        <tr r="K24" s="1"/>
        <tr r="K24" s="1"/>
      </tp>
      <tp>
        <v>711.8</v>
        <stp/>
        <stp>115</stp>
        <stp>648250</stp>
        <tr r="K24" s="1"/>
      </tp>
      <tp>
        <v>2248</v>
        <stp/>
        <stp>114</stp>
        <stp>648250</stp>
        <tr r="H25" s="1"/>
        <tr r="H25" s="1"/>
      </tp>
      <tp>
        <v>2234</v>
        <stp/>
        <stp>113</stp>
        <stp>648250</stp>
        <tr r="H25" s="1"/>
      </tp>
      <tp>
        <v>581.4</v>
        <stp/>
        <stp>112</stp>
        <stp>648250</stp>
        <tr r="J24" s="1"/>
        <tr r="J24" s="1"/>
      </tp>
      <tp>
        <v>711.8</v>
        <stp/>
        <stp>111</stp>
        <stp>648250</stp>
        <tr r="J24" s="1"/>
      </tp>
      <tp>
        <v>664.8</v>
        <stp/>
        <stp>110</stp>
        <stp>648250</stp>
        <tr r="I24" s="1"/>
        <tr r="I24" s="1"/>
      </tp>
      <tp>
        <v>2234</v>
        <stp/>
        <stp>119</stp>
        <stp>648250</stp>
        <tr r="J25" s="1"/>
      </tp>
      <tp>
        <v>2097</v>
        <stp/>
        <stp>118</stp>
        <stp>648250</stp>
        <tr r="I25" s="1"/>
        <tr r="I25" s="1"/>
      </tp>
      <tp>
        <v>1526.4</v>
        <stp/>
        <stp>107</stp>
        <stp>648250</stp>
        <tr r="K23" s="1"/>
      </tp>
      <tp>
        <v>716</v>
        <stp/>
        <stp>106</stp>
        <stp>648250</stp>
        <tr r="H24" s="1"/>
        <tr r="H24" s="1"/>
      </tp>
      <tp>
        <v>711.8</v>
        <stp/>
        <stp>105</stp>
        <stp>648250</stp>
        <tr r="H24" s="1"/>
      </tp>
      <tp>
        <v>1330.4</v>
        <stp/>
        <stp>104</stp>
        <stp>648250</stp>
        <tr r="J23" s="1"/>
        <tr r="J23" s="1"/>
      </tp>
      <tp>
        <v>1526.4</v>
        <stp/>
        <stp>103</stp>
        <stp>648250</stp>
        <tr r="J23" s="1"/>
      </tp>
      <tp>
        <v>1548.4</v>
        <stp/>
        <stp>102</stp>
        <stp>648250</stp>
        <tr r="I23" s="1"/>
        <tr r="I23" s="1"/>
      </tp>
      <tp>
        <v>1526.4</v>
        <stp/>
        <stp>101</stp>
        <stp>648250</stp>
        <tr r="I23" s="1"/>
      </tp>
      <tp>
        <v>1584.6</v>
        <stp/>
        <stp>100</stp>
        <stp>648250</stp>
        <tr r="H23" s="1"/>
        <tr r="H23" s="1"/>
      </tp>
      <tp>
        <v>711.8</v>
        <stp/>
        <stp>109</stp>
        <stp>648250</stp>
        <tr r="I24" s="1"/>
      </tp>
      <tp>
        <v>949.5</v>
        <stp/>
        <stp>108</stp>
        <stp>648250</stp>
        <tr r="K23" s="1"/>
        <tr r="K23" s="1"/>
      </tp>
      <tp>
        <v>39.1</v>
        <stp/>
        <stp>137</stp>
        <stp>648250</stp>
        <tr r="K28" s="1"/>
      </tp>
      <tp>
        <v>35.97</v>
        <stp/>
        <stp>136</stp>
        <stp>648250</stp>
        <tr r="J28" s="1"/>
        <tr r="J28" s="1"/>
      </tp>
      <tp>
        <v>39.1</v>
        <stp/>
        <stp>135</stp>
        <stp>648250</stp>
        <tr r="J28" s="1"/>
      </tp>
      <tp>
        <v>37.590000000000003</v>
        <stp/>
        <stp>134</stp>
        <stp>648250</stp>
        <tr r="I28" s="1"/>
        <tr r="I28" s="1"/>
      </tp>
      <tp>
        <v>39.1</v>
        <stp/>
        <stp>133</stp>
        <stp>648250</stp>
        <tr r="I28" s="1"/>
      </tp>
      <tp>
        <v>39.65</v>
        <stp/>
        <stp>132</stp>
        <stp>648250</stp>
        <tr r="H28" s="1"/>
        <tr r="H28" s="1"/>
      </tp>
      <tp>
        <v>39.1</v>
        <stp/>
        <stp>131</stp>
        <stp>648250</stp>
        <tr r="H28" s="1"/>
      </tp>
      <tp>
        <v>31.15</v>
        <stp/>
        <stp>130</stp>
        <stp>648250</stp>
        <tr r="K27" s="1"/>
        <tr r="K27" s="1"/>
      </tp>
      <tp>
        <v>373.5</v>
        <stp/>
        <stp>139</stp>
        <stp>648250</stp>
        <tr r="H30" s="1"/>
      </tp>
      <tp>
        <v>35.81</v>
        <stp/>
        <stp>138</stp>
        <stp>648250</stp>
        <tr r="K28" s="1"/>
        <tr r="K28" s="1"/>
      </tp>
      <tp>
        <v>33.229999999999997</v>
        <stp/>
        <stp>127</stp>
        <stp>648250</stp>
        <tr r="J27" s="1"/>
      </tp>
      <tp>
        <v>30.934999999999999</v>
        <stp/>
        <stp>126</stp>
        <stp>648250</stp>
        <tr r="I27" s="1"/>
        <tr r="I27" s="1"/>
      </tp>
      <tp>
        <v>33.229999999999997</v>
        <stp/>
        <stp>125</stp>
        <stp>648250</stp>
        <tr r="I27" s="1"/>
      </tp>
      <tp>
        <v>32.71</v>
        <stp/>
        <stp>124</stp>
        <stp>648250</stp>
        <tr r="H27" s="1"/>
        <tr r="H27" s="1"/>
      </tp>
      <tp>
        <v>33.229999999999997</v>
        <stp/>
        <stp>123</stp>
        <stp>648250</stp>
        <tr r="H27" s="1"/>
      </tp>
      <tp>
        <v>1395</v>
        <stp/>
        <stp>122</stp>
        <stp>648250</stp>
        <tr r="K25" s="1"/>
        <tr r="K25" s="1"/>
      </tp>
      <tp>
        <v>2234</v>
        <stp/>
        <stp>121</stp>
        <stp>648250</stp>
        <tr r="K25" s="1"/>
      </tp>
      <tp>
        <v>1866</v>
        <stp/>
        <stp>120</stp>
        <stp>648250</stp>
        <tr r="J25" s="1"/>
        <tr r="J25" s="1"/>
      </tp>
      <tp>
        <v>33.229999999999997</v>
        <stp/>
        <stp>129</stp>
        <stp>648250</stp>
        <tr r="K27" s="1"/>
      </tp>
      <tp>
        <v>27.1</v>
        <stp/>
        <stp>128</stp>
        <stp>648250</stp>
        <tr r="J27" s="1"/>
        <tr r="J27" s="1"/>
      </tp>
      <tp>
        <v>6629</v>
        <stp/>
        <stp>157</stp>
        <stp>648250</stp>
        <tr r="I33" s="1"/>
      </tp>
      <tp>
        <v>6515</v>
        <stp/>
        <stp>156</stp>
        <stp>648250</stp>
        <tr r="H33" s="1"/>
        <tr r="H33" s="1"/>
      </tp>
      <tp>
        <v>6629</v>
        <stp/>
        <stp>155</stp>
        <stp>648250</stp>
        <tr r="H33" s="1"/>
      </tp>
      <tp>
        <v>2129.5</v>
        <stp/>
        <stp>154</stp>
        <stp>648250</stp>
        <tr r="K32" s="1"/>
        <tr r="K32" s="1"/>
      </tp>
      <tp>
        <v>3510</v>
        <stp/>
        <stp>153</stp>
        <stp>648250</stp>
        <tr r="K32" s="1"/>
      </tp>
      <tp>
        <v>2856.5</v>
        <stp/>
        <stp>152</stp>
        <stp>648250</stp>
        <tr r="J32" s="1"/>
        <tr r="J32" s="1"/>
      </tp>
      <tp>
        <v>3510</v>
        <stp/>
        <stp>151</stp>
        <stp>648250</stp>
        <tr r="J32" s="1"/>
      </tp>
      <tp>
        <v>3661</v>
        <stp/>
        <stp>150</stp>
        <stp>648250</stp>
        <tr r="I32" s="1"/>
        <tr r="I32" s="1"/>
      </tp>
      <tp>
        <v>6629</v>
        <stp/>
        <stp>159</stp>
        <stp>648250</stp>
        <tr r="J33" s="1"/>
      </tp>
      <tp>
        <v>6934</v>
        <stp/>
        <stp>158</stp>
        <stp>648250</stp>
        <tr r="I33" s="1"/>
        <tr r="I33" s="1"/>
      </tp>
      <tp>
        <v>3510</v>
        <stp/>
        <stp>147</stp>
        <stp>648250</stp>
        <tr r="H32" s="1"/>
      </tp>
      <tp>
        <v>266.60000000000002</v>
        <stp/>
        <stp>146</stp>
        <stp>648250</stp>
        <tr r="K30" s="1"/>
        <tr r="K30" s="1"/>
      </tp>
      <tp>
        <v>373.5</v>
        <stp/>
        <stp>145</stp>
        <stp>648250</stp>
        <tr r="K30" s="1"/>
      </tp>
      <tp>
        <v>321.7</v>
        <stp/>
        <stp>144</stp>
        <stp>648250</stp>
        <tr r="J30" s="1"/>
        <tr r="J30" s="1"/>
      </tp>
      <tp>
        <v>373.5</v>
        <stp/>
        <stp>143</stp>
        <stp>648250</stp>
        <tr r="J30" s="1"/>
      </tp>
      <tp>
        <v>362.4</v>
        <stp/>
        <stp>142</stp>
        <stp>648250</stp>
        <tr r="I30" s="1"/>
        <tr r="I30" s="1"/>
      </tp>
      <tp>
        <v>373.5</v>
        <stp/>
        <stp>141</stp>
        <stp>648250</stp>
        <tr r="I30" s="1"/>
      </tp>
      <tp>
        <v>377.9</v>
        <stp/>
        <stp>140</stp>
        <stp>648250</stp>
        <tr r="H30" s="1"/>
        <tr r="H30" s="1"/>
      </tp>
      <tp>
        <v>3510</v>
        <stp/>
        <stp>149</stp>
        <stp>648250</stp>
        <tr r="I32" s="1"/>
      </tp>
      <tp>
        <v>3470</v>
        <stp/>
        <stp>148</stp>
        <stp>648250</stp>
        <tr r="H32" s="1"/>
        <tr r="H32" s="1"/>
      </tp>
      <tp>
        <v>1550</v>
        <stp/>
        <stp>177</stp>
        <stp>648250</stp>
        <tr r="H36" s="1"/>
      </tp>
      <tp>
        <v>1464</v>
        <stp/>
        <stp>176</stp>
        <stp>648250</stp>
        <tr r="J35" s="1"/>
        <tr r="J35" s="1"/>
      </tp>
      <tp>
        <v>1788.5</v>
        <stp/>
        <stp>175</stp>
        <stp>648250</stp>
        <tr r="J35" s="1"/>
      </tp>
      <tp>
        <v>1836</v>
        <stp/>
        <stp>174</stp>
        <stp>648250</stp>
        <tr r="I35" s="1"/>
        <tr r="I35" s="1"/>
      </tp>
      <tp>
        <v>1788.5</v>
        <stp/>
        <stp>173</stp>
        <stp>648250</stp>
        <tr r="I35" s="1"/>
      </tp>
      <tp>
        <v>1765.5</v>
        <stp/>
        <stp>172</stp>
        <stp>648250</stp>
        <tr r="H35" s="1"/>
        <tr r="H35" s="1"/>
      </tp>
      <tp>
        <v>1788.5</v>
        <stp/>
        <stp>171</stp>
        <stp>648250</stp>
        <tr r="H35" s="1"/>
      </tp>
      <tp>
        <v>4549</v>
        <stp/>
        <stp>170</stp>
        <stp>648250</stp>
        <tr r="K34" s="1"/>
        <tr r="K34" s="1"/>
      </tp>
      <tp>
        <v>1788.5</v>
        <stp/>
        <stp>179</stp>
        <stp>648250</stp>
        <tr r="K35" s="1"/>
      </tp>
      <tp>
        <v>1515</v>
        <stp/>
        <stp>178</stp>
        <stp>648250</stp>
        <tr r="H36" s="1"/>
        <tr r="H36" s="1"/>
      </tp>
      <tp>
        <v>8244</v>
        <stp/>
        <stp>167</stp>
        <stp>648250</stp>
        <tr r="J34" s="1"/>
      </tp>
      <tp>
        <v>8210</v>
        <stp/>
        <stp>166</stp>
        <stp>648250</stp>
        <tr r="I34" s="1"/>
        <tr r="I34" s="1"/>
      </tp>
      <tp>
        <v>8244</v>
        <stp/>
        <stp>165</stp>
        <stp>648250</stp>
        <tr r="I34" s="1"/>
      </tp>
      <tp>
        <v>8131</v>
        <stp/>
        <stp>164</stp>
        <stp>648250</stp>
        <tr r="H34" s="1"/>
        <tr r="H34" s="1"/>
      </tp>
      <tp>
        <v>8244</v>
        <stp/>
        <stp>163</stp>
        <stp>648250</stp>
        <tr r="H34" s="1"/>
      </tp>
      <tp>
        <v>3851</v>
        <stp/>
        <stp>162</stp>
        <stp>648250</stp>
        <tr r="K33" s="1"/>
        <tr r="K33" s="1"/>
      </tp>
      <tp>
        <v>6629</v>
        <stp/>
        <stp>161</stp>
        <stp>648250</stp>
        <tr r="K33" s="1"/>
      </tp>
      <tp>
        <v>5661</v>
        <stp/>
        <stp>160</stp>
        <stp>648250</stp>
        <tr r="J33" s="1"/>
        <tr r="J33" s="1"/>
      </tp>
      <tp>
        <v>8244</v>
        <stp/>
        <stp>169</stp>
        <stp>648250</stp>
        <tr r="K34" s="1"/>
      </tp>
      <tp>
        <v>6890</v>
        <stp/>
        <stp>168</stp>
        <stp>648250</stp>
        <tr r="J34" s="1"/>
        <tr r="J34" s="1"/>
      </tp>
      <tp>
        <v>253.47</v>
        <stp/>
        <stp>197</stp>
        <stp>648250</stp>
        <tr r="I39" s="1"/>
      </tp>
      <tp>
        <v>253.05</v>
        <stp/>
        <stp>196</stp>
        <stp>648250</stp>
        <tr r="H39" s="1"/>
        <tr r="H39" s="1"/>
      </tp>
      <tp>
        <v>253.47</v>
        <stp/>
        <stp>195</stp>
        <stp>648250</stp>
        <tr r="H39" s="1"/>
      </tp>
      <tp>
        <v>77.3</v>
        <stp/>
        <stp>194</stp>
        <stp>648250</stp>
        <tr r="K38" s="1"/>
        <tr r="K38" s="1"/>
      </tp>
      <tp>
        <v>123.55</v>
        <stp/>
        <stp>193</stp>
        <stp>648250</stp>
        <tr r="K38" s="1"/>
      </tp>
      <tp>
        <v>105.93</v>
        <stp/>
        <stp>192</stp>
        <stp>648250</stp>
        <tr r="J38" s="1"/>
        <tr r="J38" s="1"/>
      </tp>
      <tp>
        <v>123.55</v>
        <stp/>
        <stp>191</stp>
        <stp>648250</stp>
        <tr r="J38" s="1"/>
      </tp>
      <tp>
        <v>124.7</v>
        <stp/>
        <stp>190</stp>
        <stp>648250</stp>
        <tr r="I38" s="1"/>
        <tr r="I38" s="1"/>
      </tp>
      <tp>
        <v>253.47</v>
        <stp/>
        <stp>199</stp>
        <stp>648250</stp>
        <tr r="J39" s="1"/>
      </tp>
      <tp>
        <v>254.88</v>
        <stp/>
        <stp>198</stp>
        <stp>648250</stp>
        <tr r="I39" s="1"/>
        <tr r="I39" s="1"/>
      </tp>
      <tp>
        <v>123.55</v>
        <stp/>
        <stp>187</stp>
        <stp>648250</stp>
        <tr r="H38" s="1"/>
      </tp>
      <tp>
        <v>1025.5</v>
        <stp/>
        <stp>186</stp>
        <stp>648250</stp>
        <tr r="K36" s="1"/>
        <tr r="K36" s="1"/>
      </tp>
      <tp>
        <v>1550</v>
        <stp/>
        <stp>185</stp>
        <stp>648250</stp>
        <tr r="K36" s="1"/>
      </tp>
      <tp>
        <v>1235</v>
        <stp/>
        <stp>184</stp>
        <stp>648250</stp>
        <tr r="J36" s="1"/>
        <tr r="J36" s="1"/>
      </tp>
      <tp>
        <v>1550</v>
        <stp/>
        <stp>183</stp>
        <stp>648250</stp>
        <tr r="J36" s="1"/>
      </tp>
      <tp>
        <v>1571</v>
        <stp/>
        <stp>182</stp>
        <stp>648250</stp>
        <tr r="I36" s="1"/>
        <tr r="I36" s="1"/>
      </tp>
      <tp>
        <v>1550</v>
        <stp/>
        <stp>181</stp>
        <stp>648250</stp>
        <tr r="I36" s="1"/>
      </tp>
      <tp>
        <v>1099</v>
        <stp/>
        <stp>180</stp>
        <stp>648250</stp>
        <tr r="K35" s="1"/>
        <tr r="K35" s="1"/>
      </tp>
      <tp>
        <v>123.55</v>
        <stp/>
        <stp>189</stp>
        <stp>648250</stp>
        <tr r="I38" s="1"/>
      </tp>
      <tp>
        <v>122.68</v>
        <stp/>
        <stp>188</stp>
        <stp>648250</stp>
        <tr r="H38" s="1"/>
        <tr r="H3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36.68</c:v>
                </c:pt>
                <c:pt idx="1">
                  <c:v>63.339999999999996</c:v>
                </c:pt>
                <c:pt idx="2">
                  <c:v>33.36</c:v>
                </c:pt>
                <c:pt idx="3">
                  <c:v>79.960000000000008</c:v>
                </c:pt>
                <c:pt idx="4">
                  <c:v>80</c:v>
                </c:pt>
                <c:pt idx="5">
                  <c:v>36.64</c:v>
                </c:pt>
                <c:pt idx="6">
                  <c:v>19.98</c:v>
                </c:pt>
                <c:pt idx="8">
                  <c:v>0</c:v>
                </c:pt>
                <c:pt idx="9">
                  <c:v>50</c:v>
                </c:pt>
                <c:pt idx="10">
                  <c:v>60</c:v>
                </c:pt>
                <c:pt idx="12">
                  <c:v>0</c:v>
                </c:pt>
                <c:pt idx="14">
                  <c:v>86.68</c:v>
                </c:pt>
                <c:pt idx="15">
                  <c:v>40</c:v>
                </c:pt>
                <c:pt idx="16">
                  <c:v>39.96</c:v>
                </c:pt>
                <c:pt idx="17">
                  <c:v>33.340000000000003</c:v>
                </c:pt>
                <c:pt idx="19">
                  <c:v>60</c:v>
                </c:pt>
                <c:pt idx="20">
                  <c:v>40</c:v>
                </c:pt>
                <c:pt idx="22">
                  <c:v>0</c:v>
                </c:pt>
                <c:pt idx="24">
                  <c:v>60</c:v>
                </c:pt>
                <c:pt idx="25">
                  <c:v>55</c:v>
                </c:pt>
                <c:pt idx="26">
                  <c:v>0</c:v>
                </c:pt>
                <c:pt idx="27">
                  <c:v>65</c:v>
                </c:pt>
                <c:pt idx="28">
                  <c:v>70</c:v>
                </c:pt>
                <c:pt idx="30">
                  <c:v>52</c:v>
                </c:pt>
                <c:pt idx="31">
                  <c:v>12</c:v>
                </c:pt>
                <c:pt idx="32">
                  <c:v>72</c:v>
                </c:pt>
                <c:pt idx="33">
                  <c:v>7.9999999999999991</c:v>
                </c:pt>
                <c:pt idx="34">
                  <c:v>92</c:v>
                </c:pt>
                <c:pt idx="35">
                  <c:v>64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3729-25EA-4552-B6B8-50D372D5A8F3}">
  <dimension ref="A1:DB1"/>
  <sheetViews>
    <sheetView workbookViewId="0"/>
  </sheetViews>
  <sheetFormatPr defaultRowHeight="14.5"/>
  <sheetData>
    <row r="1" spans="1:106">
      <c r="A1">
        <v>106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tabSelected="1" zoomScale="84" zoomScaleNormal="84" workbookViewId="0">
      <selection activeCell="D12" sqref="D12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52.520099999999999</v>
      </c>
      <c r="D8" s="35">
        <f ca="1">'CDS from CapitalIQ'!T48</f>
        <v>-0.25010000000000332</v>
      </c>
      <c r="E8" s="35">
        <f ca="1">'CDS from CapitalIQ'!V48</f>
        <v>-1.7571000000000012</v>
      </c>
      <c r="F8" s="35">
        <f ca="1">'CDS from CapitalIQ'!W48</f>
        <v>-2.235599999999998</v>
      </c>
      <c r="G8" s="36">
        <f ca="1">'CDS from CapitalIQ'!X48</f>
        <v>-2.1144999999999996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-1.2055234894425408E-2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2.075941722654186E-2</v>
      </c>
      <c r="J8" s="11" cm="1">
        <f t="array" aca="1" ref="J8" ca="1">(_xll.TR(N8,"TR.PriceClose")-_xll.TR(N8,"TR.PriceClose","SDate:"&amp;EDATE(TODAY(),-3)))/_xll.TR(N8,"TR.PriceClose","SDate:"&amp;EDATE(TODAY(),-3))</f>
        <v>7.4453714739769611E-2</v>
      </c>
      <c r="K8" s="11" cm="1">
        <f t="array" aca="1" ref="K8" ca="1">(_xll.TR(N8,"TR.PriceClose")-_xll.TR(N8,"TR.PriceClose","SDate:"&amp;EDATE(TODAY(),-12)))/_xll.TR(N8,"TR.PriceClose","SDate:"&amp;EDATE(TODAY(),-12))</f>
        <v>0.46484671216552914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54.016800000000003</v>
      </c>
      <c r="D9" s="35">
        <f ca="1">'CDS from CapitalIQ'!T49</f>
        <v>-0.13179999999999836</v>
      </c>
      <c r="E9" s="35">
        <f ca="1">'CDS from CapitalIQ'!V49</f>
        <v>-2.4490999999999943</v>
      </c>
      <c r="F9" s="35">
        <f ca="1">'CDS from CapitalIQ'!W49</f>
        <v>-1.4040999999999997</v>
      </c>
      <c r="G9" s="36">
        <f ca="1">'CDS from CapitalIQ'!X49</f>
        <v>8.5000000000000853E-2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1.52623211446741E-2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1.9801980198019833E-2</v>
      </c>
      <c r="J9" s="11" cm="1">
        <f t="array" aca="1" ref="J9" ca="1">(_xll.TR(N9,"TR.PriceClose")-_xll.TR(N9,"TR.PriceClose","SDate:"&amp;EDATE(TODAY(),-3)))/_xll.TR(N9,"TR.PriceClose","SDate:"&amp;EDATE(TODAY(),-3))</f>
        <v>0.26330365974282893</v>
      </c>
      <c r="K9" s="11" cm="1">
        <f t="array" aca="1" ref="K9" ca="1">(_xll.TR(N9,"TR.PriceClose")-_xll.TR(N9,"TR.PriceClose","SDate:"&amp;EDATE(TODAY(),-12)))/_xll.TR(N9,"TR.PriceClose","SDate:"&amp;EDATE(TODAY(),-12))</f>
        <v>0.38344887348353562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39.130200000000002</v>
      </c>
      <c r="D10" s="35">
        <f ca="1">'CDS from CapitalIQ'!T50</f>
        <v>0.34220000000000539</v>
      </c>
      <c r="E10" s="35">
        <f ca="1">'CDS from CapitalIQ'!V50</f>
        <v>-2.0997999999999948</v>
      </c>
      <c r="F10" s="35">
        <f ca="1">'CDS from CapitalIQ'!W50</f>
        <v>-1.8448999999999955</v>
      </c>
      <c r="G10" s="36">
        <f ca="1">'CDS from CapitalIQ'!X50</f>
        <v>-0.7032999999999987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6.3492951443276987E-3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6.9407517281912575E-3</v>
      </c>
      <c r="J10" s="11" cm="1">
        <f t="array" aca="1" ref="J10" ca="1">(_xll.TR(N10,"TR.PriceClose")-_xll.TR(N10,"TR.PriceClose","SDate:"&amp;EDATE(TODAY(),-3)))/_xll.TR(N10,"TR.PriceClose","SDate:"&amp;EDATE(TODAY(),-3))</f>
        <v>0.19930000000000006</v>
      </c>
      <c r="K10" s="11" cm="1">
        <f t="array" aca="1" ref="K10" ca="1">(_xll.TR(N10,"TR.PriceClose")-_xll.TR(N10,"TR.PriceClose","SDate:"&amp;EDATE(TODAY(),-12)))/_xll.TR(N10,"TR.PriceClose","SDate:"&amp;EDATE(TODAY(),-12))</f>
        <v>0.24254040613344391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53.898499999999999</v>
      </c>
      <c r="D11" s="35">
        <f ca="1">'CDS from CapitalIQ'!T51</f>
        <v>0.38899999999999579</v>
      </c>
      <c r="E11" s="35">
        <f ca="1">'CDS from CapitalIQ'!V51</f>
        <v>-1.8284999999999982</v>
      </c>
      <c r="F11" s="35">
        <f ca="1">'CDS from CapitalIQ'!W51</f>
        <v>-1.3879999999999981</v>
      </c>
      <c r="G11" s="36">
        <f ca="1">'CDS from CapitalIQ'!X51</f>
        <v>-3.2890000000000015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-1.7540694030276003E-2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1.1322507596725887E-3</v>
      </c>
      <c r="J11" s="11" cm="1">
        <f t="array" aca="1" ref="J11" ca="1">(_xll.TR(N11,"TR.PriceClose")-_xll.TR(N11,"TR.PriceClose","SDate:"&amp;EDATE(TODAY(),-3)))/_xll.TR(N11,"TR.PriceClose","SDate:"&amp;EDATE(TODAY(),-3))</f>
        <v>9.4881781427936393E-2</v>
      </c>
      <c r="K11" s="11" cm="1">
        <f t="array" aca="1" ref="K11" ca="1">(_xll.TR(N11,"TR.PriceClose")-_xll.TR(N11,"TR.PriceClose","SDate:"&amp;EDATE(TODAY(),-12)))/_xll.TR(N11,"TR.PriceClose","SDate:"&amp;EDATE(TODAY(),-12))</f>
        <v>0.4383376897836605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58.259700000000002</v>
      </c>
      <c r="D12" s="35">
        <f ca="1">'CDS from CapitalIQ'!T52</f>
        <v>-0.25669999999999504</v>
      </c>
      <c r="E12" s="35">
        <f ca="1">'CDS from CapitalIQ'!V52</f>
        <v>-2.0048999999999992</v>
      </c>
      <c r="F12" s="35">
        <f ca="1">'CDS from CapitalIQ'!W52</f>
        <v>1.7969000000000008</v>
      </c>
      <c r="G12" s="36">
        <f ca="1">'CDS from CapitalIQ'!X52</f>
        <v>4.2886000000000024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-7.8787320309619407E-3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1.7723792418943188E-2</v>
      </c>
      <c r="J12" s="11" cm="1">
        <f t="array" aca="1" ref="J12" ca="1">(_xll.TR(N12,"TR.PriceClose")-_xll.TR(N12,"TR.PriceClose","SDate:"&amp;EDATE(TODAY(),-3)))/_xll.TR(N12,"TR.PriceClose","SDate:"&amp;EDATE(TODAY(),-3))</f>
        <v>0.12679225536368405</v>
      </c>
      <c r="K12" s="11" cm="1">
        <f t="array" aca="1" ref="K12" ca="1">(_xll.TR(N12,"TR.PriceClose")-_xll.TR(N12,"TR.PriceClose","SDate:"&amp;EDATE(TODAY(),-12)))/_xll.TR(N12,"TR.PriceClose","SDate:"&amp;EDATE(TODAY(),-12))</f>
        <v>0.49659438420906327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48.145200000000003</v>
      </c>
      <c r="D13" s="35">
        <f ca="1">'CDS from CapitalIQ'!T53</f>
        <v>0.10640000000000072</v>
      </c>
      <c r="E13" s="35">
        <f ca="1">'CDS from CapitalIQ'!V53</f>
        <v>-1.7855999999999952</v>
      </c>
      <c r="F13" s="35">
        <f ca="1">'CDS from CapitalIQ'!W53</f>
        <v>-3.1672999999999973</v>
      </c>
      <c r="G13" s="36">
        <f ca="1">'CDS from CapitalIQ'!X53</f>
        <v>0.21710000000000207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-9.8427423916733169E-3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7.4824450328075448E-3</v>
      </c>
      <c r="J13" s="11" cm="1">
        <f t="array" aca="1" ref="J13" ca="1">(_xll.TR(N13,"TR.PriceClose")-_xll.TR(N13,"TR.PriceClose","SDate:"&amp;EDATE(TODAY(),-3)))/_xll.TR(N13,"TR.PriceClose","SDate:"&amp;EDATE(TODAY(),-3))</f>
        <v>0.18945365588475127</v>
      </c>
      <c r="K13" s="11" cm="1">
        <f t="array" aca="1" ref="K13" ca="1">(_xll.TR(N13,"TR.PriceClose")-_xll.TR(N13,"TR.PriceClose","SDate:"&amp;EDATE(TODAY(),-12)))/_xll.TR(N13,"TR.PriceClose","SDate:"&amp;EDATE(TODAY(),-12))</f>
        <v>0.12798040984662962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51.4529</v>
      </c>
      <c r="D14" s="35">
        <f ca="1">'CDS from CapitalIQ'!T54</f>
        <v>0.61939999999999884</v>
      </c>
      <c r="E14" s="35">
        <f ca="1">'CDS from CapitalIQ'!V54</f>
        <v>-0.73320000000000363</v>
      </c>
      <c r="F14" s="35">
        <f ca="1">'CDS from CapitalIQ'!W54</f>
        <v>-0.52089999999999748</v>
      </c>
      <c r="G14" s="36">
        <f ca="1">'CDS from CapitalIQ'!X54</f>
        <v>1.6760000000000019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7.8281055984452692E-3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2.2511913238757814E-2</v>
      </c>
      <c r="J14" s="11" cm="1">
        <f t="array" aca="1" ref="J14" ca="1">(_xll.TR(N14,"TR.PriceClose")-_xll.TR(N14,"TR.PriceClose","SDate:"&amp;EDATE(TODAY(),-3)))/_xll.TR(N14,"TR.PriceClose","SDate:"&amp;EDATE(TODAY(),-3))</f>
        <v>0.24312445894652743</v>
      </c>
      <c r="K14" s="11" cm="1">
        <f t="array" aca="1" ref="K14" ca="1">(_xll.TR(N14,"TR.PriceClose")-_xll.TR(N14,"TR.PriceClose","SDate:"&amp;EDATE(TODAY(),-12)))/_xll.TR(N14,"TR.PriceClose","SDate:"&amp;EDATE(TODAY(),-12))</f>
        <v>0.69971774560684707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41.299399999999999</v>
      </c>
      <c r="D16" s="35">
        <f ca="1">'CDS from CapitalIQ'!T56</f>
        <v>-0.21079999999999899</v>
      </c>
      <c r="E16" s="35">
        <f ca="1">'CDS from CapitalIQ'!V56</f>
        <v>-2.5022999999999982</v>
      </c>
      <c r="F16" s="35">
        <f ca="1">'CDS from CapitalIQ'!W56</f>
        <v>1.4557999999999964</v>
      </c>
      <c r="G16" s="36">
        <f ca="1">'CDS from CapitalIQ'!X56</f>
        <v>-0.17200000000000415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8.2230961744726647E-3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4.2513863216266122E-2</v>
      </c>
      <c r="J16" s="11" cm="1">
        <f t="array" aca="1" ref="J16" ca="1">(_xll.TR(N16,"TR.PriceClose")-_xll.TR(N16,"TR.PriceClose","SDate:"&amp;EDATE(TODAY(),-3)))/_xll.TR(N16,"TR.PriceClose","SDate:"&amp;EDATE(TODAY(),-3))</f>
        <v>0.21342512908777975</v>
      </c>
      <c r="K16" s="11" cm="1">
        <f t="array" aca="1" ref="K16" ca="1">(_xll.TR(N16,"TR.PriceClose")-_xll.TR(N16,"TR.PriceClose","SDate:"&amp;EDATE(TODAY(),-12)))/_xll.TR(N16,"TR.PriceClose","SDate:"&amp;EDATE(TODAY(),-12))</f>
        <v>0.38320049049662785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35.299999999999997</v>
      </c>
      <c r="D17" s="35">
        <f ca="1">'CDS from CapitalIQ'!T57</f>
        <v>-0.23570000000000135</v>
      </c>
      <c r="E17" s="35">
        <f ca="1">'CDS from CapitalIQ'!V57</f>
        <v>-0.79170000000000584</v>
      </c>
      <c r="F17" s="35">
        <f ca="1">'CDS from CapitalIQ'!W57</f>
        <v>0.60899999999999466</v>
      </c>
      <c r="G17" s="36">
        <f ca="1">'CDS from CapitalIQ'!X57</f>
        <v>-2.6356999999999999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2.8645161290322567E-2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6.7773908384677242E-2</v>
      </c>
      <c r="J17" s="11" cm="1">
        <f t="array" aca="1" ref="J17" ca="1">(_xll.TR(N17,"TR.PriceClose")-_xll.TR(N17,"TR.PriceClose","SDate:"&amp;EDATE(TODAY(),-3)))/_xll.TR(N17,"TR.PriceClose","SDate:"&amp;EDATE(TODAY(),-3))</f>
        <v>0.16209912536443158</v>
      </c>
      <c r="K17" s="11" cm="1">
        <f t="array" aca="1" ref="K17" ca="1">(_xll.TR(N17,"TR.PriceClose")-_xll.TR(N17,"TR.PriceClose","SDate:"&amp;EDATE(TODAY(),-12)))/_xll.TR(N17,"TR.PriceClose","SDate:"&amp;EDATE(TODAY(),-12))</f>
        <v>0.16925784687591655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42.833300000000001</v>
      </c>
      <c r="D18" s="35">
        <f ca="1">'CDS from CapitalIQ'!T58</f>
        <v>-0.38100000000000023</v>
      </c>
      <c r="E18" s="35">
        <f ca="1">'CDS from CapitalIQ'!V58</f>
        <v>-1.7823999999999955</v>
      </c>
      <c r="F18" s="35">
        <f ca="1">'CDS from CapitalIQ'!W58</f>
        <v>-0.49960000000000093</v>
      </c>
      <c r="G18" s="36">
        <f ca="1">'CDS from CapitalIQ'!X58</f>
        <v>-2.7916999999999987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1.2048192771084338E-2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9.1192517537022552E-2</v>
      </c>
      <c r="J18" s="11" cm="1">
        <f t="array" aca="1" ref="J18" ca="1">(_xll.TR(N18,"TR.PriceClose")-_xll.TR(N18,"TR.PriceClose","SDate:"&amp;EDATE(TODAY(),-3)))/_xll.TR(N18,"TR.PriceClose","SDate:"&amp;EDATE(TODAY(),-3))</f>
        <v>0.21054907047124946</v>
      </c>
      <c r="K18" s="11" cm="1">
        <f t="array" aca="1" ref="K18" ca="1">(_xll.TR(N18,"TR.PriceClose")-_xll.TR(N18,"TR.PriceClose","SDate:"&amp;EDATE(TODAY(),-12)))/_xll.TR(N18,"TR.PriceClose","SDate:"&amp;EDATE(TODAY(),-12))</f>
        <v>0.45883987495658218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45.118000000000002</v>
      </c>
      <c r="D20" s="35">
        <f ca="1">'CDS from CapitalIQ'!T60</f>
        <v>-6.0199999999994702E-2</v>
      </c>
      <c r="E20" s="35">
        <f ca="1">'CDS from CapitalIQ'!V60</f>
        <v>-2.1073999999999984</v>
      </c>
      <c r="F20" s="35">
        <f ca="1">'CDS from CapitalIQ'!W60</f>
        <v>-7.9196999999999989</v>
      </c>
      <c r="G20" s="36">
        <f ca="1">'CDS from CapitalIQ'!X60</f>
        <v>-2.1744999999999948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9.4426531552279265E-3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3.2752120640904825E-2</v>
      </c>
      <c r="J20" s="11" cm="1">
        <f t="array" aca="1" ref="J20" ca="1">(_xll.TR(N20,"TR.PriceClose")-_xll.TR(N20,"TR.PriceClose","SDate:"&amp;EDATE(TODAY(),-3)))/_xll.TR(N20,"TR.PriceClose","SDate:"&amp;EDATE(TODAY(),-3))</f>
        <v>0.25085616438356162</v>
      </c>
      <c r="K20" s="11" cm="1">
        <f t="array" aca="1" ref="K20" ca="1">(_xll.TR(N20,"TR.PriceClose")-_xll.TR(N20,"TR.PriceClose","SDate:"&amp;EDATE(TODAY(),-12)))/_xll.TR(N20,"TR.PriceClose","SDate:"&amp;EDATE(TODAY(),-12))</f>
        <v>0.37355061109370097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53.759099999999997</v>
      </c>
      <c r="D22" s="35">
        <f ca="1">'CDS from CapitalIQ'!T63</f>
        <v>-0.83590000000000231</v>
      </c>
      <c r="E22" s="35">
        <f ca="1">'CDS from CapitalIQ'!T63</f>
        <v>-0.83590000000000231</v>
      </c>
      <c r="F22" s="35">
        <f ca="1">'CDS from CapitalIQ'!V63</f>
        <v>-5.6622000000000057</v>
      </c>
      <c r="G22" s="36">
        <f ca="1">'CDS from CapitalIQ'!X63</f>
        <v>-6.5409000000000006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-8.232816389048353E-3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2.5742574257425741E-2</v>
      </c>
      <c r="J22" s="11" cm="1">
        <f t="array" aca="1" ref="J22" ca="1">(_xll.TR(N22,"TR.PriceClose")-_xll.TR(N22,"TR.PriceClose","SDate:"&amp;EDATE(TODAY(),-3)))/_xll.TR(N22,"TR.PriceClose","SDate:"&amp;EDATE(TODAY(),-3))</f>
        <v>0.20717781402936372</v>
      </c>
      <c r="K22" s="11" cm="1">
        <f t="array" aca="1" ref="K22" ca="1">(_xll.TR(N22,"TR.PriceClose")-_xll.TR(N22,"TR.PriceClose","SDate:"&amp;EDATE(TODAY(),-12)))/_xll.TR(N22,"TR.PriceClose","SDate:"&amp;EDATE(TODAY(),-12))</f>
        <v>0.39622641509433965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36.718200000000003</v>
      </c>
      <c r="D23" s="35">
        <f ca="1">'CDS from CapitalIQ'!T64</f>
        <v>-0.24549999999999983</v>
      </c>
      <c r="E23" s="35">
        <f ca="1">'CDS from CapitalIQ'!T64</f>
        <v>-0.24549999999999983</v>
      </c>
      <c r="F23" s="35">
        <f ca="1">'CDS from CapitalIQ'!V64</f>
        <v>-1.5294999999999987</v>
      </c>
      <c r="G23" s="36">
        <f ca="1">'CDS from CapitalIQ'!X64</f>
        <v>-10.168799999999997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-3.6728511927300152E-2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-1.4208214931542236E-2</v>
      </c>
      <c r="J23" s="11" cm="1">
        <f t="array" aca="1" ref="J23" ca="1">(_xll.TR(N23,"TR.PriceClose")-_xll.TR(N23,"TR.PriceClose","SDate:"&amp;EDATE(TODAY(),-3)))/_xll.TR(N23,"TR.PriceClose","SDate:"&amp;EDATE(TODAY(),-3))</f>
        <v>0.14732411304870716</v>
      </c>
      <c r="K23" s="11" cm="1">
        <f t="array" aca="1" ref="K23" ca="1">(_xll.TR(N23,"TR.PriceClose")-_xll.TR(N23,"TR.PriceClose","SDate:"&amp;EDATE(TODAY(),-12)))/_xll.TR(N23,"TR.PriceClose","SDate:"&amp;EDATE(TODAY(),-12))</f>
        <v>0.60758293838862565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51.380400000000002</v>
      </c>
      <c r="D24" s="35">
        <f ca="1">'CDS from CapitalIQ'!T65</f>
        <v>-0.64969999999999573</v>
      </c>
      <c r="E24" s="35">
        <f ca="1">'CDS from CapitalIQ'!T65</f>
        <v>-0.64969999999999573</v>
      </c>
      <c r="F24" s="35">
        <f ca="1">'CDS from CapitalIQ'!V65</f>
        <v>-3.6764999999999972</v>
      </c>
      <c r="G24" s="36">
        <f ca="1">'CDS from CapitalIQ'!X65</f>
        <v>-2.3688999999999965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-5.8659217877095604E-3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7.0697954271961502E-2</v>
      </c>
      <c r="J24" s="11" cm="1">
        <f t="array" aca="1" ref="J24" ca="1">(_xll.TR(N24,"TR.PriceClose")-_xll.TR(N24,"TR.PriceClose","SDate:"&amp;EDATE(TODAY(),-3)))/_xll.TR(N24,"TR.PriceClose","SDate:"&amp;EDATE(TODAY(),-3))</f>
        <v>0.22428620571035429</v>
      </c>
      <c r="K24" s="11" cm="1">
        <f t="array" aca="1" ref="K24" ca="1">(_xll.TR(N24,"TR.PriceClose")-_xll.TR(N24,"TR.PriceClose","SDate:"&amp;EDATE(TODAY(),-12)))/_xll.TR(N24,"TR.PriceClose","SDate:"&amp;EDATE(TODAY(),-12))</f>
        <v>0.33545966228893048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38.9621</v>
      </c>
      <c r="D25" s="35">
        <f ca="1">'CDS from CapitalIQ'!T66</f>
        <v>-0.44360000000000355</v>
      </c>
      <c r="E25" s="35">
        <f ca="1">'CDS from CapitalIQ'!T66</f>
        <v>-0.44360000000000355</v>
      </c>
      <c r="F25" s="35">
        <f ca="1">'CDS from CapitalIQ'!V66</f>
        <v>-3.7103000000000037</v>
      </c>
      <c r="G25" s="36">
        <f ca="1">'CDS from CapitalIQ'!X66</f>
        <v>-13.989699999999999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-6.2277580071174376E-3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6.53314258464473E-2</v>
      </c>
      <c r="J25" s="11" cm="1">
        <f t="array" aca="1" ref="J25" ca="1">(_xll.TR(N25,"TR.PriceClose")-_xll.TR(N25,"TR.PriceClose","SDate:"&amp;EDATE(TODAY(),-3)))/_xll.TR(N25,"TR.PriceClose","SDate:"&amp;EDATE(TODAY(),-3))</f>
        <v>0.19721329046087888</v>
      </c>
      <c r="K25" s="11" cm="1">
        <f t="array" aca="1" ref="K25" ca="1">(_xll.TR(N25,"TR.PriceClose")-_xll.TR(N25,"TR.PriceClose","SDate:"&amp;EDATE(TODAY(),-12)))/_xll.TR(N25,"TR.PriceClose","SDate:"&amp;EDATE(TODAY(),-12))</f>
        <v>0.60143369175627237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44.052199999999999</v>
      </c>
      <c r="D27" s="35">
        <f ca="1">'CDS from CapitalIQ'!T68</f>
        <v>-0.57280000000000086</v>
      </c>
      <c r="E27" s="35">
        <f ca="1">'CDS from CapitalIQ'!V68</f>
        <v>-1.1981000000000037</v>
      </c>
      <c r="F27" s="35">
        <f ca="1">'CDS from CapitalIQ'!W68</f>
        <v>-10.572800000000001</v>
      </c>
      <c r="G27" s="36">
        <f ca="1">'CDS from CapitalIQ'!X68</f>
        <v>-7.6978000000000009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1.5897279119535188E-2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7.4187813156618654E-2</v>
      </c>
      <c r="J27" s="11" cm="1">
        <f t="array" aca="1" ref="J27" ca="1">(_xll.TR(N27,"TR.PriceClose")-_xll.TR(N27,"TR.PriceClose","SDate:"&amp;EDATE(TODAY(),-3)))/_xll.TR(N27,"TR.PriceClose","SDate:"&amp;EDATE(TODAY(),-3))</f>
        <v>0.22619926199261975</v>
      </c>
      <c r="K27" s="11" cm="1">
        <f t="array" aca="1" ref="K27" ca="1">(_xll.TR(N27,"TR.PriceClose")-_xll.TR(N27,"TR.PriceClose","SDate:"&amp;EDATE(TODAY(),-12)))/_xll.TR(N27,"TR.PriceClose","SDate:"&amp;EDATE(TODAY(),-12))</f>
        <v>6.6773675762439755E-2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34.436700000000002</v>
      </c>
      <c r="D28" s="35">
        <f ca="1">'CDS from CapitalIQ'!T69</f>
        <v>-0.86329999999999529</v>
      </c>
      <c r="E28" s="35">
        <f ca="1">'CDS from CapitalIQ'!V69</f>
        <v>-1.9799999999999969</v>
      </c>
      <c r="F28" s="35">
        <f ca="1">'CDS from CapitalIQ'!W69</f>
        <v>-10.049999999999997</v>
      </c>
      <c r="G28" s="36">
        <f ca="1">'CDS from CapitalIQ'!X69</f>
        <v>-7.1346999999999952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-1.387137452711216E-2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4.0170258047352962E-2</v>
      </c>
      <c r="J28" s="11" cm="1">
        <f t="array" aca="1" ref="J28" ca="1">(_xll.TR(N28,"TR.PriceClose")-_xll.TR(N28,"TR.PriceClose","SDate:"&amp;EDATE(TODAY(),-3)))/_xll.TR(N28,"TR.PriceClose","SDate:"&amp;EDATE(TODAY(),-3))</f>
        <v>8.7016958576591683E-2</v>
      </c>
      <c r="K28" s="11" cm="1">
        <f t="array" aca="1" ref="K28" ca="1">(_xll.TR(N28,"TR.PriceClose")-_xll.TR(N28,"TR.PriceClose","SDate:"&amp;EDATE(TODAY(),-12)))/_xll.TR(N28,"TR.PriceClose","SDate:"&amp;EDATE(TODAY(),-12))</f>
        <v>9.1873778274225049E-2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23.936699999999998</v>
      </c>
      <c r="D30" s="35">
        <f ca="1">'CDS from CapitalIQ'!T71</f>
        <v>-0.31330000000000169</v>
      </c>
      <c r="E30" s="35">
        <f ca="1">'CDS from CapitalIQ'!V71</f>
        <v>-1.2233000000000018</v>
      </c>
      <c r="F30" s="35">
        <f ca="1">'CDS from CapitalIQ'!W71</f>
        <v>-3.6883000000000017</v>
      </c>
      <c r="G30" s="36">
        <f ca="1">'CDS from CapitalIQ'!X71</f>
        <v>-11.423300000000001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-1.1643291876157653E-2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3.0629139072847748E-2</v>
      </c>
      <c r="J30" s="11" cm="1">
        <f t="array" aca="1" ref="J30" ca="1">(_xll.TR(N30,"TR.PriceClose")-_xll.TR(N30,"TR.PriceClose","SDate:"&amp;EDATE(TODAY(),-3)))/_xll.TR(N30,"TR.PriceClose","SDate:"&amp;EDATE(TODAY(),-3))</f>
        <v>0.16101958346285364</v>
      </c>
      <c r="K30" s="11" cm="1">
        <f t="array" aca="1" ref="K30" ca="1">(_xll.TR(N30,"TR.PriceClose")-_xll.TR(N30,"TR.PriceClose","SDate:"&amp;EDATE(TODAY(),-12)))/_xll.TR(N30,"TR.PriceClose","SDate:"&amp;EDATE(TODAY(),-12))</f>
        <v>0.40097524381095262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43.611199999999997</v>
      </c>
      <c r="D32" s="35">
        <f ca="1">'CDS from CapitalIQ'!T73</f>
        <v>0.12069999999999936</v>
      </c>
      <c r="E32" s="35">
        <f ca="1">'CDS from CapitalIQ'!V73</f>
        <v>3.8799999999994839E-2</v>
      </c>
      <c r="F32" s="35">
        <f ca="1">'CDS from CapitalIQ'!W73</f>
        <v>1.855799999999995</v>
      </c>
      <c r="G32" s="36">
        <f ca="1">'CDS from CapitalIQ'!X73</f>
        <v>8.5748999999999995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1.1527377521613832E-2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-4.1245561322043156E-2</v>
      </c>
      <c r="J32" s="11" cm="1">
        <f t="array" aca="1" ref="J32" ca="1">(_xll.TR(N32,"TR.PriceClose")-_xll.TR(N32,"TR.PriceClose","SDate:"&amp;EDATE(TODAY(),-3)))/_xll.TR(N32,"TR.PriceClose","SDate:"&amp;EDATE(TODAY(),-3))</f>
        <v>0.22877647470680904</v>
      </c>
      <c r="K32" s="11" cm="1">
        <f t="array" aca="1" ref="K32" ca="1">(_xll.TR(N32,"TR.PriceClose")-_xll.TR(N32,"TR.PriceClose","SDate:"&amp;EDATE(TODAY(),-12)))/_xll.TR(N32,"TR.PriceClose","SDate:"&amp;EDATE(TODAY(),-12))</f>
        <v>0.64827424277999535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43.139499999999998</v>
      </c>
      <c r="D33" s="35">
        <f ca="1">'CDS from CapitalIQ'!T74</f>
        <v>-0.50180000000000291</v>
      </c>
      <c r="E33" s="35">
        <f ca="1">'CDS from CapitalIQ'!V74</f>
        <v>8.5000000000000853E-2</v>
      </c>
      <c r="F33" s="35">
        <f ca="1">'CDS from CapitalIQ'!W74</f>
        <v>3.3582999999999998</v>
      </c>
      <c r="G33" s="36">
        <f ca="1">'CDS from CapitalIQ'!X74</f>
        <v>14.473599999999998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1.7498081350729087E-2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-4.3986155177386792E-2</v>
      </c>
      <c r="J33" s="11" cm="1">
        <f t="array" aca="1" ref="J33" ca="1">(_xll.TR(N33,"TR.PriceClose")-_xll.TR(N33,"TR.PriceClose","SDate:"&amp;EDATE(TODAY(),-3)))/_xll.TR(N33,"TR.PriceClose","SDate:"&amp;EDATE(TODAY(),-3))</f>
        <v>0.17099452393570042</v>
      </c>
      <c r="K33" s="11" cm="1">
        <f t="array" aca="1" ref="K33" ca="1">(_xll.TR(N33,"TR.PriceClose")-_xll.TR(N33,"TR.PriceClose","SDate:"&amp;EDATE(TODAY(),-12)))/_xll.TR(N33,"TR.PriceClose","SDate:"&amp;EDATE(TODAY(),-12))</f>
        <v>0.72137107244871457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40.556699999999999</v>
      </c>
      <c r="D34" s="35">
        <f ca="1">'CDS from CapitalIQ'!T75</f>
        <v>-0.12060000000000315</v>
      </c>
      <c r="E34" s="35">
        <f ca="1">'CDS from CapitalIQ'!V75</f>
        <v>-0.90720000000000312</v>
      </c>
      <c r="F34" s="35">
        <f ca="1">'CDS from CapitalIQ'!W75</f>
        <v>-4.339500000000001</v>
      </c>
      <c r="G34" s="36">
        <f ca="1">'CDS from CapitalIQ'!X75</f>
        <v>-15.709899999999998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1.3897429590456279E-2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4.1412911084043845E-3</v>
      </c>
      <c r="J34" s="11" cm="1">
        <f t="array" aca="1" ref="J34" ca="1">(_xll.TR(N34,"TR.PriceClose")-_xll.TR(N34,"TR.PriceClose","SDate:"&amp;EDATE(TODAY(),-3)))/_xll.TR(N34,"TR.PriceClose","SDate:"&amp;EDATE(TODAY(),-3))</f>
        <v>0.19651669085631349</v>
      </c>
      <c r="K34" s="11" cm="1">
        <f t="array" aca="1" ref="K34" ca="1">(_xll.TR(N34,"TR.PriceClose")-_xll.TR(N34,"TR.PriceClose","SDate:"&amp;EDATE(TODAY(),-12)))/_xll.TR(N34,"TR.PriceClose","SDate:"&amp;EDATE(TODAY(),-12))</f>
        <v>0.81226643218289729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62.832999999999998</v>
      </c>
      <c r="D35" s="35">
        <f ca="1">'CDS from CapitalIQ'!T76</f>
        <v>0.47979999999999734</v>
      </c>
      <c r="E35" s="35">
        <f ca="1">'CDS from CapitalIQ'!V76</f>
        <v>0.24190000000000111</v>
      </c>
      <c r="F35" s="35">
        <f ca="1">'CDS from CapitalIQ'!W76</f>
        <v>-5.0317000000000007</v>
      </c>
      <c r="G35" s="36">
        <f ca="1">'CDS from CapitalIQ'!X76</f>
        <v>-5.245599999999996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1.3027470971396206E-2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-2.5871459694989107E-2</v>
      </c>
      <c r="J35" s="11" cm="1">
        <f t="array" aca="1" ref="J35" ca="1">(_xll.TR(N35,"TR.PriceClose")-_xll.TR(N35,"TR.PriceClose","SDate:"&amp;EDATE(TODAY(),-3)))/_xll.TR(N35,"TR.PriceClose","SDate:"&amp;EDATE(TODAY(),-3))</f>
        <v>0.22165300546448088</v>
      </c>
      <c r="K35" s="11" cm="1">
        <f t="array" aca="1" ref="K35" ca="1">(_xll.TR(N35,"TR.PriceClose")-_xll.TR(N35,"TR.PriceClose","SDate:"&amp;EDATE(TODAY(),-12)))/_xll.TR(N35,"TR.PriceClose","SDate:"&amp;EDATE(TODAY(),-12))</f>
        <v>0.62738853503184711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75.548299999999998</v>
      </c>
      <c r="D36" s="35">
        <f ca="1">'CDS from CapitalIQ'!T77</f>
        <v>8.7999999999937017E-3</v>
      </c>
      <c r="E36" s="35">
        <f ca="1">'CDS from CapitalIQ'!V77</f>
        <v>0.33129999999999882</v>
      </c>
      <c r="F36" s="35">
        <f ca="1">'CDS from CapitalIQ'!W77</f>
        <v>1.9198999999999984</v>
      </c>
      <c r="G36" s="36">
        <f ca="1">'CDS from CapitalIQ'!X77</f>
        <v>-1.9793999999999983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2.3102310231023101E-2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-1.336728198599618E-2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0.25506072874493929</v>
      </c>
      <c r="K36" s="11" cm="1">
        <f t="array" aca="1" ref="K36" ca="1">(_xll.TR(N36,"TR.PriceClose")-_xll.TR(N36,"TR.PriceClose","SDate:"&amp;EDATE(TODAY(),-12)))/_xll.TR(N36,"TR.PriceClose","SDate:"&amp;EDATE(TODAY(),-12))</f>
        <v>0.51145782545099949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60.666699999999999</v>
      </c>
      <c r="D38" s="35">
        <f ca="1">'CDS from CapitalIQ'!T79</f>
        <v>-0.16660000000000252</v>
      </c>
      <c r="E38" s="35">
        <f ca="1">'CDS from CapitalIQ'!V79</f>
        <v>-0.83330000000000126</v>
      </c>
      <c r="F38" s="35">
        <f ca="1">'CDS from CapitalIQ'!W79</f>
        <v>-2.3333000000000013</v>
      </c>
      <c r="G38" s="36">
        <f ca="1">'CDS from CapitalIQ'!X79</f>
        <v>19.171099999999996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7.0916204760351348E-3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-9.2221331194868132E-3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0.16633625979420361</v>
      </c>
      <c r="K38" s="11" cm="1">
        <f t="array" aca="1" ref="K38" ca="1">(_xll.TR(N38,"TR.PriceClose")-_xll.TR(N38,"TR.PriceClose","SDate:"&amp;EDATE(TODAY(),-12)))/_xll.TR(N38,"TR.PriceClose","SDate:"&amp;EDATE(TODAY(),-12))</f>
        <v>0.59831824062095729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57.824100000000001</v>
      </c>
      <c r="D39" s="35">
        <f ca="1">'CDS from CapitalIQ'!T80</f>
        <v>-2.0999999999986585E-3</v>
      </c>
      <c r="E39" s="35">
        <f ca="1">'CDS from CapitalIQ'!V80</f>
        <v>-6.0000000000002274E-3</v>
      </c>
      <c r="F39" s="35">
        <f ca="1">'CDS from CapitalIQ'!W80</f>
        <v>2.3241000000000014</v>
      </c>
      <c r="G39" s="36">
        <f ca="1">'CDS from CapitalIQ'!X80</f>
        <v>12.831000000000003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1.6597510373443489E-3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-5.5320150659133576E-3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0.21254305396096446</v>
      </c>
      <c r="K39" s="11" cm="1">
        <f t="array" aca="1" ref="K39" ca="1">(_xll.TR(N39,"TR.PriceClose")-_xll.TR(N39,"TR.PriceClose","SDate:"&amp;EDATE(TODAY(),-12)))/_xll.TR(N39,"TR.PriceClose","SDate:"&amp;EDATE(TODAY(),-12))</f>
        <v>0.63076626133950964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60.838000000000001</v>
      </c>
      <c r="D40" s="35">
        <f ca="1">'CDS from CapitalIQ'!T81</f>
        <v>4.6999999999997044E-3</v>
      </c>
      <c r="E40" s="35">
        <f ca="1">'CDS from CapitalIQ'!V81</f>
        <v>-1.4953000000000003</v>
      </c>
      <c r="F40" s="35">
        <f ca="1">'CDS from CapitalIQ'!W81</f>
        <v>-1.4819999999999993</v>
      </c>
      <c r="G40" s="36">
        <f ca="1">'CDS from CapitalIQ'!X81</f>
        <v>17.743400000000001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1.5656991448873352E-3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-1.6090866067203023E-2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8.7840931388580082E-2</v>
      </c>
      <c r="K40" s="11" cm="1">
        <f t="array" aca="1" ref="K40" ca="1">(_xll.TR(N40,"TR.PriceClose")-_xll.TR(N40,"TR.PriceClose","SDate:"&amp;EDATE(TODAY(),-12)))/_xll.TR(N40,"TR.PriceClose","SDate:"&amp;EDATE(TODAY(),-12))</f>
        <v>0.65822532402791623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56.314900000000002</v>
      </c>
      <c r="D41" s="35">
        <f ca="1">'CDS from CapitalIQ'!T82</f>
        <v>3.5999999999987153E-3</v>
      </c>
      <c r="E41" s="35">
        <f ca="1">'CDS from CapitalIQ'!V82</f>
        <v>-2.9899999999997817E-2</v>
      </c>
      <c r="F41" s="35">
        <f ca="1">'CDS from CapitalIQ'!W82</f>
        <v>0.81490000000000151</v>
      </c>
      <c r="G41" s="36">
        <f ca="1">'CDS from CapitalIQ'!X82</f>
        <v>10.907600000000002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5.5390113162597189E-3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-6.7070659528151227E-3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0.14391218917270823</v>
      </c>
      <c r="K41" s="11" cm="1">
        <f t="array" aca="1" ref="K41" ca="1">(_xll.TR(N41,"TR.PriceClose")-_xll.TR(N41,"TR.PriceClose","SDate:"&amp;EDATE(TODAY(),-12)))/_xll.TR(N41,"TR.PriceClose","SDate:"&amp;EDATE(TODAY(),-12))</f>
        <v>0.67523318118674347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61.0259</v>
      </c>
      <c r="D42" s="35" cm="1">
        <f t="array" ref="D42">_xll.TR(O42,"MID_SPREAD")*_xll.TR(O42,"PCTCHG_1W")/(100+_xll.TR(O42,"PCTCHG_1W"))</f>
        <v>-7.7062939303522454E-2</v>
      </c>
      <c r="E42" s="35">
        <f ca="1">'CDS from CapitalIQ'!V83</f>
        <v>-0.22379999999999711</v>
      </c>
      <c r="F42" s="35">
        <f ca="1">'CDS from CapitalIQ'!W83</f>
        <v>3.8776999999999973</v>
      </c>
      <c r="G42" s="36">
        <f ca="1">'CDS from CapitalIQ'!X83</f>
        <v>9.5615999999999985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2.1126520598355801E-3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-1.7735470941883776E-2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0.17697202545323557</v>
      </c>
      <c r="K42" s="11" cm="1">
        <f t="array" aca="1" ref="K42" ca="1">(_xll.TR(N42,"TR.PriceClose")-_xll.TR(N42,"TR.PriceClose","SDate:"&amp;EDATE(TODAY(),-12)))/_xll.TR(N42,"TR.PriceClose","SDate:"&amp;EDATE(TODAY(),-12))</f>
        <v>0.59944526023821165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59.961399999999998</v>
      </c>
      <c r="D43" s="35">
        <f ca="1">'CDS from CapitalIQ'!T84</f>
        <v>5.1999999999949864E-3</v>
      </c>
      <c r="E43" s="35">
        <f ca="1">'CDS from CapitalIQ'!V84</f>
        <v>-0.11129999999999995</v>
      </c>
      <c r="F43" s="35">
        <f ca="1">'CDS from CapitalIQ'!W84</f>
        <v>5.772199999999998</v>
      </c>
      <c r="G43" s="36">
        <f ca="1">'CDS from CapitalIQ'!X84</f>
        <v>8.4623999999999953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-3.5382574082257445E-4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-2.151608294731373E-2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8.9515545914678349E-2</v>
      </c>
      <c r="K43" s="11" cm="1">
        <f t="array" aca="1" ref="K43" ca="1">(_xll.TR(N43,"TR.PriceClose")-_xll.TR(N43,"TR.PriceClose","SDate:"&amp;EDATE(TODAY(),-12)))/_xll.TR(N43,"TR.PriceClose","SDate:"&amp;EDATE(TODAY(),-12))</f>
        <v>0.53817884850959585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-1.241002730205936E-3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-1.241002730205936E-3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-7.4497144276138895E-4</v>
      </c>
      <c r="K44" s="11" cm="1">
        <f t="array" aca="1" ref="K44" ca="1">(_xll.TR(N44,"TR.PriceClose")-_xll.TR(N44,"TR.PriceClose","SDate:"&amp;EDATE(TODAY(),-12)))/_xll.TR(N44,"TR.PriceClose","SDate:"&amp;EDATE(TODAY(),-12))</f>
        <v>0.31160365058670153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-8.554801589573344E-3</v>
      </c>
      <c r="I46" s="52">
        <f ca="1">_xlfn.PERCENTILE.INC(I$8:I$44,0.2)</f>
        <v>-1.4584745158674393E-2</v>
      </c>
      <c r="J46" s="53">
        <f ca="1">_xlfn.PERCENTILE.INC(J$8:J$44,0.2)</f>
        <v>0.12041016057653454</v>
      </c>
      <c r="K46" s="53">
        <f ca="1">_xlfn.PERCENTILE.INC(K$8:K$44,0.2)</f>
        <v>0.33068845994848473</v>
      </c>
      <c r="M46" s="16"/>
      <c r="Q46" s="23"/>
    </row>
    <row r="47" spans="1:17">
      <c r="H47" s="51">
        <f ca="1">_xlfn.PERCENTILE.INC(H$8:H$44,0.8)</f>
        <v>1.3201462695208223E-2</v>
      </c>
      <c r="I47" s="51">
        <f ca="1">_xlfn.PERCENTILE.INC(I$8:I$44,0.8)</f>
        <v>4.0638979081135604E-2</v>
      </c>
      <c r="J47" s="54">
        <f ca="1">_xlfn.PERCENTILE.INC(J$8:J$44,0.8)</f>
        <v>0.22466881696680738</v>
      </c>
      <c r="K47" s="54">
        <f ca="1">_xlfn.PERCENTILE.INC(K$8:K$44,0.8)</f>
        <v>0.63426785762760685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52.520099999999999</v>
      </c>
      <c r="D8" s="58">
        <f ca="1">Report!$I$8</f>
        <v>2.075941722654186E-2</v>
      </c>
      <c r="E8" s="62">
        <f ca="1">_xlfn.PERCENTRANK.INC($C$8:$C$14,C8)*100</f>
        <v>50</v>
      </c>
      <c r="F8" s="62">
        <f ca="1">(1-_xlfn.PERCENTRANK.INC($D$8:$D$14,D8))*100</f>
        <v>16.700000000000003</v>
      </c>
      <c r="G8" s="62">
        <f t="shared" ref="G8:G14" ca="1" si="0">IF(OR(E8="",F8=""),"",$K$2*E8+$K$3*F8)</f>
        <v>36.68</v>
      </c>
      <c r="H8" s="61" t="str">
        <f t="shared" ref="H8:H14" ca="1" si="1">IF(G8="","",IF(G8&lt;=25,"Low",IF(G8&lt;=50,"Moderate",IF(G8&lt;=75,"Elevated","High"))))</f>
        <v>Moderate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54.016800000000003</v>
      </c>
      <c r="D9" s="58">
        <f ca="1">Report!$I$9</f>
        <v>1.9801980198019833E-2</v>
      </c>
      <c r="E9" s="62">
        <f t="shared" ref="E9:E14" ca="1" si="2">_xlfn.PERCENTRANK.INC($C$8:$C$14,C9)*100</f>
        <v>83.3</v>
      </c>
      <c r="F9" s="62">
        <f t="shared" ref="F9:F14" ca="1" si="3">(1-_xlfn.PERCENTRANK.INC($D$8:$D$14,D9))*100</f>
        <v>33.4</v>
      </c>
      <c r="G9" s="62">
        <f t="shared" ca="1" si="0"/>
        <v>63.339999999999996</v>
      </c>
      <c r="H9" s="61" t="str">
        <f t="shared" ca="1" si="1"/>
        <v>Elevated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39.130200000000002</v>
      </c>
      <c r="D10" s="58">
        <f ca="1">Report!$I$10</f>
        <v>6.9407517281912575E-3</v>
      </c>
      <c r="E10" s="62">
        <f t="shared" ca="1" si="2"/>
        <v>0</v>
      </c>
      <c r="F10" s="62">
        <f t="shared" ca="1" si="3"/>
        <v>83.399999999999991</v>
      </c>
      <c r="G10" s="62">
        <f t="shared" ca="1" si="0"/>
        <v>33.36</v>
      </c>
      <c r="H10" s="61" t="str">
        <f t="shared" ca="1" si="1"/>
        <v>Moderate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53.898499999999999</v>
      </c>
      <c r="D11" s="58">
        <f ca="1">Report!$I$11</f>
        <v>1.1322507596725887E-3</v>
      </c>
      <c r="E11" s="62">
        <f t="shared" ca="1" si="2"/>
        <v>66.600000000000009</v>
      </c>
      <c r="F11" s="62">
        <f t="shared" ca="1" si="3"/>
        <v>100</v>
      </c>
      <c r="G11" s="62">
        <f t="shared" ca="1" si="0"/>
        <v>79.960000000000008</v>
      </c>
      <c r="H11" s="61" t="str">
        <f t="shared" ca="1" si="1"/>
        <v>High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58.259700000000002</v>
      </c>
      <c r="D12" s="58">
        <f ca="1">Report!$I$12</f>
        <v>1.7723792418943188E-2</v>
      </c>
      <c r="E12" s="62">
        <f t="shared" ca="1" si="2"/>
        <v>100</v>
      </c>
      <c r="F12" s="62">
        <f t="shared" ca="1" si="3"/>
        <v>50</v>
      </c>
      <c r="G12" s="62">
        <f t="shared" ca="1" si="0"/>
        <v>80</v>
      </c>
      <c r="H12" s="61" t="str">
        <f t="shared" ca="1" si="1"/>
        <v>High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48.145200000000003</v>
      </c>
      <c r="D13" s="58">
        <f ca="1">Report!$I$13</f>
        <v>7.4824450328075448E-3</v>
      </c>
      <c r="E13" s="62">
        <f t="shared" ca="1" si="2"/>
        <v>16.600000000000001</v>
      </c>
      <c r="F13" s="62">
        <f t="shared" ca="1" si="3"/>
        <v>66.7</v>
      </c>
      <c r="G13" s="62">
        <f t="shared" ca="1" si="0"/>
        <v>36.64</v>
      </c>
      <c r="H13" s="61" t="str">
        <f t="shared" ca="1" si="1"/>
        <v>Moderate</v>
      </c>
    </row>
    <row r="14" spans="1:11">
      <c r="A14" s="60" t="s">
        <v>16</v>
      </c>
      <c r="B14" s="60" t="s">
        <v>238</v>
      </c>
      <c r="C14" s="59">
        <f ca="1">Report!$C$14</f>
        <v>51.4529</v>
      </c>
      <c r="D14" s="58">
        <f ca="1">Report!$I$14</f>
        <v>2.2511913238757814E-2</v>
      </c>
      <c r="E14" s="62">
        <f t="shared" ca="1" si="2"/>
        <v>33.300000000000004</v>
      </c>
      <c r="F14" s="62">
        <f t="shared" ca="1" si="3"/>
        <v>0</v>
      </c>
      <c r="G14" s="62">
        <f t="shared" ca="1" si="0"/>
        <v>19.98</v>
      </c>
      <c r="H14" s="61" t="str">
        <f t="shared" ca="1" si="1"/>
        <v>Low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41.299399999999999</v>
      </c>
      <c r="D16" s="58">
        <f ca="1">Report!$I$16</f>
        <v>4.2513863216266122E-2</v>
      </c>
      <c r="E16" s="62">
        <f ca="1">_xlfn.PERCENTRANK.INC($C$16:$C$18,C16)*100</f>
        <v>50</v>
      </c>
      <c r="F16" s="62">
        <f ca="1">(1-_xlfn.PERCENTRANK.INC($D$16:$D$18,D16))*100</f>
        <v>100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35.299999999999997</v>
      </c>
      <c r="D17" s="58">
        <f ca="1">Report!$I$17</f>
        <v>6.7773908384677242E-2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50</v>
      </c>
      <c r="G17" s="62">
        <f ca="1">IF(OR(E16="",F17=""),"",$K$2*E16+$K$3*F17)</f>
        <v>50</v>
      </c>
      <c r="H17" s="61" t="str">
        <f ca="1">IF(G17="","",IF(G17&lt;=25,"Low",IF(G17&lt;=50,"Moderate",IF(G17&lt;=75,"Elevated","High"))))</f>
        <v>Moderate</v>
      </c>
    </row>
    <row r="18" spans="1:8">
      <c r="A18" s="60" t="s">
        <v>20</v>
      </c>
      <c r="B18" s="60" t="s">
        <v>17</v>
      </c>
      <c r="C18" s="59">
        <f ca="1">Report!$C$18</f>
        <v>42.833300000000001</v>
      </c>
      <c r="D18" s="58">
        <f ca="1">Report!$I$18</f>
        <v>9.1192517537022552E-2</v>
      </c>
      <c r="E18" s="62">
        <f t="shared" ca="1" si="4"/>
        <v>100</v>
      </c>
      <c r="F18" s="62">
        <f t="shared" ca="1" si="5"/>
        <v>0</v>
      </c>
      <c r="G18" s="62">
        <f ca="1">IF(OR(E18="",F18=""),"",$K$2*E18+$K$3*F18)</f>
        <v>60</v>
      </c>
      <c r="H18" s="61" t="str">
        <f ca="1">IF(G18="","",IF(G18&lt;=25,"Low",IF(G18&lt;=50,"Moderate",IF(G18&lt;=75,"Elevated","High"))))</f>
        <v>Elevated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45.118000000000002</v>
      </c>
      <c r="D20" s="58">
        <f ca="1">Report!$I$20</f>
        <v>3.2752120640904825E-2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53.759099999999997</v>
      </c>
      <c r="D22" s="58">
        <f ca="1">Report!$I$22</f>
        <v>2.5742574257425741E-2</v>
      </c>
      <c r="E22" s="62">
        <f ca="1">_xlfn.PERCENTRANK.INC($C$22:$C$25,C22)*100</f>
        <v>100</v>
      </c>
      <c r="F22" s="62">
        <f ca="1">(1-_xlfn.PERCENTRANK.INC($D$22:$D$25,D22))*100</f>
        <v>66.7</v>
      </c>
      <c r="G22" s="62">
        <f ca="1">IF(OR(E22="",F22=""),"",$K$2*E22+$K$3*F22)</f>
        <v>86.68</v>
      </c>
      <c r="H22" s="61" t="str">
        <f ca="1">IF(G22="","",IF(G22&lt;=25,"Low",IF(G22&lt;=50,"Moderate",IF(G22&lt;=75,"Elevated","High"))))</f>
        <v>High</v>
      </c>
    </row>
    <row r="23" spans="1:8">
      <c r="A23" s="60" t="s">
        <v>25</v>
      </c>
      <c r="B23" s="60" t="s">
        <v>23</v>
      </c>
      <c r="C23" s="59">
        <f ca="1">Report!$C$23</f>
        <v>36.718200000000003</v>
      </c>
      <c r="D23" s="58">
        <f ca="1">Report!$I$23</f>
        <v>-1.4208214931542236E-2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100</v>
      </c>
      <c r="G23" s="62">
        <f ca="1">IF(OR(E23="",F23=""),"",$K$2*E23+$K$3*F23)</f>
        <v>40</v>
      </c>
      <c r="H23" s="61" t="str">
        <f ca="1">IF(G23="","",IF(G23&lt;=25,"Low",IF(G23&lt;=50,"Moderate",IF(G23&lt;=75,"Elevated","High"))))</f>
        <v>Moderate</v>
      </c>
    </row>
    <row r="24" spans="1:8">
      <c r="A24" s="60" t="s">
        <v>26</v>
      </c>
      <c r="B24" s="60" t="s">
        <v>23</v>
      </c>
      <c r="C24" s="59">
        <f ca="1">Report!$C$24</f>
        <v>51.380400000000002</v>
      </c>
      <c r="D24" s="58">
        <f ca="1">Report!$I$24</f>
        <v>7.0697954271961502E-2</v>
      </c>
      <c r="E24" s="62">
        <f t="shared" ca="1" si="6"/>
        <v>66.600000000000009</v>
      </c>
      <c r="F24" s="62">
        <f t="shared" ca="1" si="7"/>
        <v>0</v>
      </c>
      <c r="G24" s="62">
        <f ca="1">IF(OR(E24="",F24=""),"",$K$2*E24+$K$3*F24)</f>
        <v>39.96</v>
      </c>
      <c r="H24" s="61" t="str">
        <f ca="1">IF(G24="","",IF(G24&lt;=25,"Low",IF(G24&lt;=50,"Moderate",IF(G24&lt;=75,"Elevated","High"))))</f>
        <v>Moderate</v>
      </c>
    </row>
    <row r="25" spans="1:8">
      <c r="A25" s="60" t="s">
        <v>27</v>
      </c>
      <c r="B25" s="60" t="s">
        <v>23</v>
      </c>
      <c r="C25" s="59">
        <f ca="1">Report!$C$25</f>
        <v>38.9621</v>
      </c>
      <c r="D25" s="58">
        <f ca="1">Report!$I$25</f>
        <v>6.53314258464473E-2</v>
      </c>
      <c r="E25" s="62">
        <f t="shared" ca="1" si="6"/>
        <v>33.300000000000004</v>
      </c>
      <c r="F25" s="62">
        <f t="shared" ca="1" si="7"/>
        <v>33.4</v>
      </c>
      <c r="G25" s="62">
        <f ca="1">IF(OR(E25="",F25=""),"",$K$2*E25+$K$3*F25)</f>
        <v>33.340000000000003</v>
      </c>
      <c r="H25" s="61" t="str">
        <f ca="1">IF(G25="","",IF(G25&lt;=25,"Low",IF(G25&lt;=50,"Moderate",IF(G25&lt;=75,"Elevated","High"))))</f>
        <v>Moderate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44.052199999999999</v>
      </c>
      <c r="D27" s="58">
        <f ca="1">Report!$I$27</f>
        <v>7.4187813156618654E-2</v>
      </c>
      <c r="E27" s="62">
        <f ca="1">_xlfn.PERCENTRANK.INC($C$27:$C$28,C27)*100</f>
        <v>100</v>
      </c>
      <c r="F27" s="62">
        <f ca="1">(1-_xlfn.PERCENTRANK.INC($D$27:$D$28,D27))*100</f>
        <v>0</v>
      </c>
      <c r="G27" s="62">
        <f ca="1">IF(OR(E27="",F27=""),"",$K$2*E27+$K$3*F27)</f>
        <v>60</v>
      </c>
      <c r="H27" s="61" t="str">
        <f ca="1">IF(G27="","",IF(G27&lt;=25,"Low",IF(G27&lt;=50,"Moderate",IF(G27&lt;=75,"Elevated","High"))))</f>
        <v>Elevated</v>
      </c>
    </row>
    <row r="28" spans="1:8">
      <c r="A28" s="60" t="s">
        <v>30</v>
      </c>
      <c r="B28" s="60" t="s">
        <v>28</v>
      </c>
      <c r="C28" s="59">
        <f ca="1">Report!$C$28</f>
        <v>34.436700000000002</v>
      </c>
      <c r="D28" s="58">
        <f ca="1">Report!$I$28</f>
        <v>4.0170258047352962E-2</v>
      </c>
      <c r="E28" s="62">
        <f ca="1">_xlfn.PERCENTRANK.INC($C$27:$C$28,C28)*100</f>
        <v>0</v>
      </c>
      <c r="F28" s="62">
        <f ca="1">(1-_xlfn.PERCENTRANK.INC($D$27:$D$28,D28))*100</f>
        <v>100</v>
      </c>
      <c r="G28" s="62">
        <f ca="1">IF(OR(E28="",F28=""),"",$K$2*E28+$K$3*F28)</f>
        <v>40</v>
      </c>
      <c r="H28" s="61" t="str">
        <f ca="1">IF(G28="","",IF(G28&lt;=25,"Low",IF(G28&lt;=50,"Moderate",IF(G28&lt;=75,"Elevated","High"))))</f>
        <v>Moderate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23.936699999999998</v>
      </c>
      <c r="D30" s="58">
        <f ca="1">Report!$I$30</f>
        <v>3.0629139072847748E-2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43.611199999999997</v>
      </c>
      <c r="D32" s="58">
        <f ca="1">Report!$I$32</f>
        <v>-4.1245561322043156E-2</v>
      </c>
      <c r="E32" s="62">
        <f ca="1">_xlfn.PERCENTRANK.INC($C$32:$C$36,C32)*100</f>
        <v>50</v>
      </c>
      <c r="F32" s="62">
        <f ca="1">(1-_xlfn.PERCENTRANK.INC($D$32:$D$36,D32))*100</f>
        <v>75</v>
      </c>
      <c r="G32" s="62">
        <f ca="1">IF(OR(E32="",F32=""),"",$K$2*E32+$K$3*F32)</f>
        <v>60</v>
      </c>
      <c r="H32" s="61" t="str">
        <f ca="1">IF(G32="","",IF(G32&lt;=25,"Low",IF(G32&lt;=50,"Moderate",IF(G32&lt;=75,"Elevated","High"))))</f>
        <v>Elevated</v>
      </c>
    </row>
    <row r="33" spans="1:8">
      <c r="A33" s="60" t="s">
        <v>36</v>
      </c>
      <c r="B33" s="60" t="s">
        <v>33</v>
      </c>
      <c r="C33" s="59">
        <f ca="1">Report!$C$33</f>
        <v>43.139499999999998</v>
      </c>
      <c r="D33" s="58">
        <f ca="1">Report!$I$33</f>
        <v>-4.3986155177386792E-2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100</v>
      </c>
      <c r="G33" s="62">
        <f ca="1">IF(OR(E33="",F33=""),"",$K$2*E33+$K$3*F33)</f>
        <v>55</v>
      </c>
      <c r="H33" s="61" t="str">
        <f ca="1">IF(G33="","",IF(G33&lt;=25,"Low",IF(G33&lt;=50,"Moderate",IF(G33&lt;=75,"Elevated","High"))))</f>
        <v>Elevated</v>
      </c>
    </row>
    <row r="34" spans="1:8">
      <c r="A34" s="60" t="s">
        <v>37</v>
      </c>
      <c r="B34" s="60" t="s">
        <v>33</v>
      </c>
      <c r="C34" s="59">
        <f ca="1">Report!$C$34</f>
        <v>40.556699999999999</v>
      </c>
      <c r="D34" s="58">
        <f ca="1">Report!$I$34</f>
        <v>4.1412911084043845E-3</v>
      </c>
      <c r="E34" s="62">
        <f t="shared" ca="1" si="8"/>
        <v>0</v>
      </c>
      <c r="F34" s="62">
        <f t="shared" ca="1" si="9"/>
        <v>0</v>
      </c>
      <c r="G34" s="62">
        <f ca="1">IF(OR(E34="",F34=""),"",$K$2*E34+$K$3*F34)</f>
        <v>0</v>
      </c>
      <c r="H34" s="61" t="str">
        <f ca="1">IF(G34="","",IF(G34&lt;=25,"Low",IF(G34&lt;=50,"Moderate",IF(G34&lt;=75,"Elevated","High"))))</f>
        <v>Low</v>
      </c>
    </row>
    <row r="35" spans="1:8">
      <c r="A35" s="60" t="s">
        <v>38</v>
      </c>
      <c r="B35" s="60" t="s">
        <v>33</v>
      </c>
      <c r="C35" s="59">
        <f ca="1">Report!$C$35</f>
        <v>62.832999999999998</v>
      </c>
      <c r="D35" s="58">
        <f ca="1">Report!$I$35</f>
        <v>-2.5871459694989107E-2</v>
      </c>
      <c r="E35" s="62">
        <f t="shared" ca="1" si="8"/>
        <v>75</v>
      </c>
      <c r="F35" s="62">
        <f t="shared" ca="1" si="9"/>
        <v>50</v>
      </c>
      <c r="G35" s="62">
        <f ca="1">IF(OR(E35="",F35=""),"",$K$2*E35+$K$3*F35)</f>
        <v>65</v>
      </c>
      <c r="H35" s="61" t="str">
        <f ca="1">IF(G35="","",IF(G35&lt;=25,"Low",IF(G35&lt;=50,"Moderate",IF(G35&lt;=75,"Elevated","High"))))</f>
        <v>Elevated</v>
      </c>
    </row>
    <row r="36" spans="1:8">
      <c r="A36" s="60" t="s">
        <v>39</v>
      </c>
      <c r="B36" s="60" t="s">
        <v>33</v>
      </c>
      <c r="C36" s="59">
        <f ca="1">Report!$C$36</f>
        <v>75.548299999999998</v>
      </c>
      <c r="D36" s="58">
        <f ca="1">Report!$I$36</f>
        <v>-1.336728198599618E-2</v>
      </c>
      <c r="E36" s="62">
        <f t="shared" ca="1" si="8"/>
        <v>100</v>
      </c>
      <c r="F36" s="62">
        <f t="shared" ca="1" si="9"/>
        <v>25</v>
      </c>
      <c r="G36" s="62">
        <f ca="1">IF(OR(E36="",F36=""),"",$K$2*E36+$K$3*F36)</f>
        <v>70</v>
      </c>
      <c r="H36" s="61" t="str">
        <f ca="1">IF(G36="","",IF(G36&lt;=25,"Low",IF(G36&lt;=50,"Moderate",IF(G36&lt;=75,"Elevated","High"))))</f>
        <v>Elevated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60.666699999999999</v>
      </c>
      <c r="D38" s="58">
        <f ca="1">Report!$I$38</f>
        <v>-9.2221331194868132E-3</v>
      </c>
      <c r="E38" s="62">
        <f ca="1">_xlfn.PERCENTRANK.INC($C$38:$C$43,C38)*100</f>
        <v>60</v>
      </c>
      <c r="F38" s="62">
        <f ca="1">(1-_xlfn.PERCENTRANK.INC($D$38:$D$43,D38))*100</f>
        <v>40</v>
      </c>
      <c r="G38" s="62">
        <f t="shared" ref="G38:G44" ca="1" si="10">IF(OR(E38="",F38=""),"",$K$2*E38+$K$3*F38)</f>
        <v>52</v>
      </c>
      <c r="H38" s="61" t="str">
        <f t="shared" ref="H38:H44" ca="1" si="11">IF(G38="","",IF(G38&lt;=25,"Low",IF(G38&lt;=50,"Moderate",IF(G38&lt;=75,"Elevated","High"))))</f>
        <v>Elevated</v>
      </c>
    </row>
    <row r="39" spans="1:8">
      <c r="A39" s="60" t="s">
        <v>43</v>
      </c>
      <c r="B39" s="60" t="s">
        <v>40</v>
      </c>
      <c r="C39" s="59">
        <f ca="1">Report!$C$39</f>
        <v>57.824100000000001</v>
      </c>
      <c r="D39" s="58">
        <f ca="1">Report!$I$39</f>
        <v>-5.5320150659133576E-3</v>
      </c>
      <c r="E39" s="62">
        <f t="shared" ref="E39:E43" ca="1" si="12">_xlfn.PERCENTRANK.INC($C$38:$C$43,C39)*100</f>
        <v>20</v>
      </c>
      <c r="F39" s="62">
        <f t="shared" ref="F39:F42" ca="1" si="13">(1-_xlfn.PERCENTRANK.INC($D$38:$D$43,D39))*100</f>
        <v>0</v>
      </c>
      <c r="G39" s="62">
        <f t="shared" ca="1" si="10"/>
        <v>12</v>
      </c>
      <c r="H39" s="61" t="str">
        <f t="shared" ca="1" si="11"/>
        <v>Low</v>
      </c>
    </row>
    <row r="40" spans="1:8">
      <c r="A40" s="60" t="s">
        <v>44</v>
      </c>
      <c r="B40" s="60" t="s">
        <v>40</v>
      </c>
      <c r="C40" s="59">
        <f ca="1">Report!$C$40</f>
        <v>60.838000000000001</v>
      </c>
      <c r="D40" s="58">
        <f ca="1">Report!$I$40</f>
        <v>-1.6090866067203023E-2</v>
      </c>
      <c r="E40" s="62">
        <f t="shared" ca="1" si="12"/>
        <v>80</v>
      </c>
      <c r="F40" s="62">
        <f t="shared" ca="1" si="13"/>
        <v>60</v>
      </c>
      <c r="G40" s="57">
        <f t="shared" ca="1" si="10"/>
        <v>72</v>
      </c>
      <c r="H40" s="56" t="str">
        <f t="shared" ca="1" si="11"/>
        <v>Elevated</v>
      </c>
    </row>
    <row r="41" spans="1:8">
      <c r="A41" s="60" t="s">
        <v>45</v>
      </c>
      <c r="B41" s="60" t="s">
        <v>40</v>
      </c>
      <c r="C41" s="59">
        <f ca="1">Report!$C$41</f>
        <v>56.314900000000002</v>
      </c>
      <c r="D41" s="58">
        <f ca="1">Report!$I$41</f>
        <v>-6.7070659528151227E-3</v>
      </c>
      <c r="E41" s="62">
        <f t="shared" ca="1" si="12"/>
        <v>0</v>
      </c>
      <c r="F41" s="62">
        <f t="shared" ca="1" si="13"/>
        <v>19.999999999999996</v>
      </c>
      <c r="G41" s="57">
        <f t="shared" ca="1" si="10"/>
        <v>7.9999999999999991</v>
      </c>
      <c r="H41" s="56" t="str">
        <f t="shared" ca="1" si="11"/>
        <v>Low</v>
      </c>
    </row>
    <row r="42" spans="1:8">
      <c r="A42" s="60" t="s">
        <v>46</v>
      </c>
      <c r="B42" s="60" t="s">
        <v>40</v>
      </c>
      <c r="C42" s="59">
        <f ca="1">Report!$C$42</f>
        <v>61.0259</v>
      </c>
      <c r="D42" s="58">
        <f ca="1">Report!$I$42</f>
        <v>-1.7735470941883776E-2</v>
      </c>
      <c r="E42" s="62">
        <f t="shared" ca="1" si="12"/>
        <v>100</v>
      </c>
      <c r="F42" s="62">
        <f t="shared" ca="1" si="13"/>
        <v>80</v>
      </c>
      <c r="G42" s="57">
        <f t="shared" ca="1" si="10"/>
        <v>92</v>
      </c>
      <c r="H42" s="56" t="str">
        <f t="shared" ca="1" si="11"/>
        <v>High</v>
      </c>
    </row>
    <row r="43" spans="1:8">
      <c r="A43" s="60" t="s">
        <v>47</v>
      </c>
      <c r="B43" s="60" t="s">
        <v>40</v>
      </c>
      <c r="C43" s="59">
        <f ca="1">Report!$C$43</f>
        <v>59.961399999999998</v>
      </c>
      <c r="D43" s="58">
        <f ca="1">Report!$I$43</f>
        <v>-2.151608294731373E-2</v>
      </c>
      <c r="E43" s="62">
        <f t="shared" ca="1" si="12"/>
        <v>40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100</v>
      </c>
      <c r="G43" s="57">
        <f t="shared" ca="1" si="10"/>
        <v>64</v>
      </c>
      <c r="H43" s="56" t="str">
        <f t="shared" ca="1" si="11"/>
        <v>Elevated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workbookViewId="0">
      <selection activeCell="B80" sqref="B80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46245</v>
      </c>
      <c r="D2" s="30">
        <f ca="1">TODAY() - 1</f>
        <v>46244</v>
      </c>
      <c r="E2" s="30">
        <f ca="1">TODAY() - 2</f>
        <v>46243</v>
      </c>
      <c r="F2" s="30">
        <f ca="1">TODAY() - 3</f>
        <v>46242</v>
      </c>
      <c r="G2" s="30">
        <f ca="1">TODAY() - 4</f>
        <v>46241</v>
      </c>
      <c r="H2" s="30">
        <f ca="1">TODAY() - 5</f>
        <v>46240</v>
      </c>
      <c r="I2" s="30">
        <f ca="1">TODAY() - 6</f>
        <v>46239</v>
      </c>
      <c r="J2" s="30">
        <f ca="1">TODAY() - 7</f>
        <v>46238</v>
      </c>
      <c r="K2" s="30">
        <f ca="1">TODAY() - 8</f>
        <v>46237</v>
      </c>
      <c r="L2" s="30">
        <f ca="1">TODAY() - 9</f>
        <v>46236</v>
      </c>
      <c r="M2" s="30">
        <f ca="1">TODAY() - 10</f>
        <v>46235</v>
      </c>
      <c r="N2" s="30">
        <f ca="1">TODAY() - 11</f>
        <v>46234</v>
      </c>
      <c r="O2" s="30">
        <f ca="1">TODAY() - 12</f>
        <v>46233</v>
      </c>
      <c r="P2" s="30">
        <f ca="1">TODAY() - 13</f>
        <v>46232</v>
      </c>
      <c r="Q2" s="30">
        <f ca="1">TODAY() - 14</f>
        <v>46231</v>
      </c>
      <c r="R2" s="30">
        <f ca="1">EDATE(TODAY(), -3)</f>
        <v>46153</v>
      </c>
      <c r="S2" s="30">
        <f ca="1">EDATE(TODAY(), -12)</f>
        <v>45880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122.69880000000001</v>
      </c>
      <c r="D3">
        <f ca="1">_xll.ciqfunctions.udf.CIQ($B3,"IQ_CDS_mid",D$2)</f>
        <v>122.69880000000001</v>
      </c>
      <c r="E3">
        <f ca="1">_xll.ciqfunctions.udf.CIQ($B3,"IQ_CDS_mid",E$2)</f>
        <v>121.95489999999999</v>
      </c>
      <c r="F3">
        <f ca="1">_xll.ciqfunctions.udf.CIQ($B3,"IQ_CDS_mid",F$2)</f>
        <v>121.95489999999999</v>
      </c>
      <c r="G3">
        <f ca="1">_xll.ciqfunctions.udf.CIQ($B3,"IQ_CDS_mid",G$2)</f>
        <v>121.95489999999999</v>
      </c>
      <c r="H3">
        <f ca="1">_xll.ciqfunctions.udf.CIQ($B3,"IQ_CDS_mid",H$2)</f>
        <v>122.4024</v>
      </c>
      <c r="I3">
        <f ca="1">_xll.ciqfunctions.udf.CIQ($B3,"IQ_CDS_mid",I$2)</f>
        <v>121.2238</v>
      </c>
      <c r="J3">
        <f ca="1">_xll.ciqfunctions.udf.CIQ($B3,"IQ_CDS_mid",J$2)</f>
        <v>120.7731</v>
      </c>
      <c r="K3">
        <f ca="1">_xll.ciqfunctions.udf.CIQ($B3,"IQ_CDS_mid",K$2)</f>
        <v>122.0035</v>
      </c>
      <c r="L3">
        <f ca="1">_xll.ciqfunctions.udf.CIQ($B3,"IQ_CDS_mid",L$2)</f>
        <v>124.9265</v>
      </c>
      <c r="M3">
        <f ca="1">_xll.ciqfunctions.udf.CIQ($B3,"IQ_CDS_mid",M$2)</f>
        <v>124.9265</v>
      </c>
      <c r="N3">
        <f ca="1">_xll.ciqfunctions.udf.CIQ($B3,"IQ_CDS_mid",N$2)</f>
        <v>124.9265</v>
      </c>
      <c r="O3">
        <f ca="1">_xll.ciqfunctions.udf.CIQ($B3,"IQ_CDS_mid",O$2)</f>
        <v>125.08580000000001</v>
      </c>
      <c r="P3">
        <f ca="1">_xll.ciqfunctions.udf.CIQ($B3,"IQ_CDS_mid",P$2)</f>
        <v>129.0386</v>
      </c>
      <c r="Q3">
        <f ca="1">_xll.ciqfunctions.udf.CIQ($B3,"IQ_CDS_mid",Q$2)</f>
        <v>126.8366</v>
      </c>
      <c r="R3">
        <f ca="1">_xll.ciqfunctions.udf.CIQ($B3,"IQ_CDS_mid",R$2)</f>
        <v>118.95569999999999</v>
      </c>
      <c r="S3">
        <f ca="1">_xll.ciqfunctions.udf.CIQ($B3,"IQ_CDS_mid",S$2)</f>
        <v>139.30000000000001</v>
      </c>
      <c r="T3">
        <f ca="1">C3-H3</f>
        <v>0.29640000000000555</v>
      </c>
      <c r="U3">
        <f ca="1">C3-M3</f>
        <v>-2.2276999999999987</v>
      </c>
      <c r="V3">
        <f ca="1">C3-Q3</f>
        <v>-4.1377999999999986</v>
      </c>
      <c r="W3">
        <f ca="1">C3-R3</f>
        <v>3.7431000000000125</v>
      </c>
      <c r="X3">
        <f t="shared" ref="X3:X40" ca="1" si="0">C3-S3</f>
        <v>-16.601200000000006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10.8599</v>
      </c>
      <c r="D4">
        <f ca="1">_xll.ciqfunctions.udf.CIQ($B4,"IQ_CDS_mid",D$2)</f>
        <v>10.8599</v>
      </c>
      <c r="E4">
        <f ca="1">_xll.ciqfunctions.udf.CIQ($B4,"IQ_CDS_mid",E$2)</f>
        <v>11.0192</v>
      </c>
      <c r="F4">
        <f ca="1">_xll.ciqfunctions.udf.CIQ($B4,"IQ_CDS_mid",F$2)</f>
        <v>11.0192</v>
      </c>
      <c r="G4">
        <f ca="1">_xll.ciqfunctions.udf.CIQ($B4,"IQ_CDS_mid",G$2)</f>
        <v>11.0192</v>
      </c>
      <c r="H4">
        <f ca="1">_xll.ciqfunctions.udf.CIQ($B4,"IQ_CDS_mid",H$2)</f>
        <v>11.0014</v>
      </c>
      <c r="I4">
        <f ca="1">_xll.ciqfunctions.udf.CIQ($B4,"IQ_CDS_mid",I$2)</f>
        <v>10.9918</v>
      </c>
      <c r="J4">
        <f ca="1">_xll.ciqfunctions.udf.CIQ($B4,"IQ_CDS_mid",J$2)</f>
        <v>10.924200000000001</v>
      </c>
      <c r="K4">
        <f ca="1">_xll.ciqfunctions.udf.CIQ($B4,"IQ_CDS_mid",K$2)</f>
        <v>10.968999999999999</v>
      </c>
      <c r="L4">
        <f ca="1">_xll.ciqfunctions.udf.CIQ($B4,"IQ_CDS_mid",L$2)</f>
        <v>10.9703</v>
      </c>
      <c r="M4">
        <f ca="1">_xll.ciqfunctions.udf.CIQ($B4,"IQ_CDS_mid",M$2)</f>
        <v>10.9703</v>
      </c>
      <c r="N4">
        <f ca="1">_xll.ciqfunctions.udf.CIQ($B4,"IQ_CDS_mid",N$2)</f>
        <v>10.9703</v>
      </c>
      <c r="O4">
        <f ca="1">_xll.ciqfunctions.udf.CIQ($B4,"IQ_CDS_mid",O$2)</f>
        <v>11.007099999999999</v>
      </c>
      <c r="P4">
        <f ca="1">_xll.ciqfunctions.udf.CIQ($B4,"IQ_CDS_mid",P$2)</f>
        <v>11.039300000000001</v>
      </c>
      <c r="Q4">
        <f ca="1">_xll.ciqfunctions.udf.CIQ($B4,"IQ_CDS_mid",Q$2)</f>
        <v>11.0663</v>
      </c>
      <c r="R4">
        <f ca="1">_xll.ciqfunctions.udf.CIQ($B4,"IQ_CDS_mid",R$2)</f>
        <v>12.188000000000001</v>
      </c>
      <c r="S4">
        <f ca="1">_xll.ciqfunctions.udf.CIQ($B4,"IQ_CDS_mid",S$2)</f>
        <v>15.916</v>
      </c>
      <c r="T4">
        <f ca="1">C4-H4</f>
        <v>-0.14150000000000063</v>
      </c>
      <c r="U4">
        <f ca="1">C4-M4</f>
        <v>-0.11040000000000028</v>
      </c>
      <c r="V4">
        <f ca="1">C4-Q4</f>
        <v>-0.20640000000000036</v>
      </c>
      <c r="W4">
        <f ca="1">C4-R4</f>
        <v>-1.3281000000000009</v>
      </c>
      <c r="X4">
        <f t="shared" ca="1" si="0"/>
        <v>-5.0561000000000007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82.340299999999999</v>
      </c>
      <c r="D5">
        <f ca="1">_xll.ciqfunctions.udf.CIQ($B5,"IQ_CDS_mid",D$2)</f>
        <v>82.340299999999999</v>
      </c>
      <c r="E5">
        <f ca="1">_xll.ciqfunctions.udf.CIQ($B5,"IQ_CDS_mid",E$2)</f>
        <v>82.100399999999993</v>
      </c>
      <c r="F5">
        <f ca="1">_xll.ciqfunctions.udf.CIQ($B5,"IQ_CDS_mid",F$2)</f>
        <v>82.100399999999993</v>
      </c>
      <c r="G5">
        <f ca="1">_xll.ciqfunctions.udf.CIQ($B5,"IQ_CDS_mid",G$2)</f>
        <v>82.100399999999993</v>
      </c>
      <c r="H5">
        <f ca="1">_xll.ciqfunctions.udf.CIQ($B5,"IQ_CDS_mid",H$2)</f>
        <v>82.872</v>
      </c>
      <c r="I5">
        <f ca="1">_xll.ciqfunctions.udf.CIQ($B5,"IQ_CDS_mid",I$2)</f>
        <v>82.531700000000001</v>
      </c>
      <c r="J5">
        <f ca="1">_xll.ciqfunctions.udf.CIQ($B5,"IQ_CDS_mid",J$2)</f>
        <v>82.649500000000003</v>
      </c>
      <c r="K5">
        <f ca="1">_xll.ciqfunctions.udf.CIQ($B5,"IQ_CDS_mid",K$2)</f>
        <v>83.953500000000005</v>
      </c>
      <c r="L5">
        <f ca="1">_xll.ciqfunctions.udf.CIQ($B5,"IQ_CDS_mid",L$2)</f>
        <v>86.215000000000003</v>
      </c>
      <c r="M5">
        <f ca="1">_xll.ciqfunctions.udf.CIQ($B5,"IQ_CDS_mid",M$2)</f>
        <v>86.215000000000003</v>
      </c>
      <c r="N5">
        <f ca="1">_xll.ciqfunctions.udf.CIQ($B5,"IQ_CDS_mid",N$2)</f>
        <v>86.215000000000003</v>
      </c>
      <c r="O5">
        <f ca="1">_xll.ciqfunctions.udf.CIQ($B5,"IQ_CDS_mid",O$2)</f>
        <v>86.229299999999995</v>
      </c>
      <c r="P5">
        <f ca="1">_xll.ciqfunctions.udf.CIQ($B5,"IQ_CDS_mid",P$2)</f>
        <v>88.506</v>
      </c>
      <c r="Q5">
        <f ca="1">_xll.ciqfunctions.udf.CIQ($B5,"IQ_CDS_mid",Q$2)</f>
        <v>86.214699999999993</v>
      </c>
      <c r="R5">
        <f ca="1">_xll.ciqfunctions.udf.CIQ($B5,"IQ_CDS_mid",R$2)</f>
        <v>85.946299999999994</v>
      </c>
      <c r="S5">
        <f ca="1">_xll.ciqfunctions.udf.CIQ($B5,"IQ_CDS_mid",S$2)</f>
        <v>101.26739999999999</v>
      </c>
      <c r="T5">
        <f ca="1">C5-H5</f>
        <v>-0.53170000000000073</v>
      </c>
      <c r="U5">
        <f ca="1">C5-M5</f>
        <v>-3.8747000000000043</v>
      </c>
      <c r="V5">
        <f ca="1">C5-Q5</f>
        <v>-3.8743999999999943</v>
      </c>
      <c r="W5">
        <f ca="1">C5-R5</f>
        <v>-3.6059999999999945</v>
      </c>
      <c r="X5">
        <f t="shared" ca="1" si="0"/>
        <v>-18.927099999999996</v>
      </c>
    </row>
    <row r="6" spans="1:26">
      <c r="A6" t="s">
        <v>216</v>
      </c>
      <c r="B6" s="25" t="s">
        <v>215</v>
      </c>
      <c r="C6">
        <f ca="1">_xll.ciqfunctions.udf.CIQ($B6,"IQ_CDS_mid",C$2)</f>
        <v>37.204799999999999</v>
      </c>
      <c r="D6">
        <f ca="1">_xll.ciqfunctions.udf.CIQ($B6,"IQ_CDS_mid",D$2)</f>
        <v>37.204799999999999</v>
      </c>
      <c r="E6">
        <f ca="1">_xll.ciqfunctions.udf.CIQ($B6,"IQ_CDS_mid",E$2)</f>
        <v>38.032800000000002</v>
      </c>
      <c r="F6">
        <f ca="1">_xll.ciqfunctions.udf.CIQ($B6,"IQ_CDS_mid",F$2)</f>
        <v>38.032800000000002</v>
      </c>
      <c r="G6">
        <f ca="1">_xll.ciqfunctions.udf.CIQ($B6,"IQ_CDS_mid",G$2)</f>
        <v>38.032800000000002</v>
      </c>
      <c r="H6">
        <f ca="1">_xll.ciqfunctions.udf.CIQ($B6,"IQ_CDS_mid",H$2)</f>
        <v>39</v>
      </c>
      <c r="I6">
        <f ca="1">_xll.ciqfunctions.udf.CIQ($B6,"IQ_CDS_mid",I$2)</f>
        <v>39.705300000000001</v>
      </c>
      <c r="J6">
        <f ca="1">_xll.ciqfunctions.udf.CIQ($B6,"IQ_CDS_mid",J$2)</f>
        <v>39.610300000000002</v>
      </c>
      <c r="K6">
        <f ca="1">_xll.ciqfunctions.udf.CIQ($B6,"IQ_CDS_mid",K$2)</f>
        <v>39.805999999999997</v>
      </c>
      <c r="L6">
        <f ca="1">_xll.ciqfunctions.udf.CIQ($B6,"IQ_CDS_mid",L$2)</f>
        <v>40.007599999999996</v>
      </c>
      <c r="M6">
        <f ca="1">_xll.ciqfunctions.udf.CIQ($B6,"IQ_CDS_mid",M$2)</f>
        <v>40.007599999999996</v>
      </c>
      <c r="N6">
        <f ca="1">_xll.ciqfunctions.udf.CIQ($B6,"IQ_CDS_mid",N$2)</f>
        <v>40.007599999999996</v>
      </c>
      <c r="O6">
        <f ca="1">_xll.ciqfunctions.udf.CIQ($B6,"IQ_CDS_mid",O$2)</f>
        <v>40.003300000000003</v>
      </c>
      <c r="P6">
        <f ca="1">_xll.ciqfunctions.udf.CIQ($B6,"IQ_CDS_mid",P$2)</f>
        <v>40.006</v>
      </c>
      <c r="Q6">
        <f ca="1">_xll.ciqfunctions.udf.CIQ($B6,"IQ_CDS_mid",Q$2)</f>
        <v>40.070099999999996</v>
      </c>
      <c r="R6">
        <f ca="1">_xll.ciqfunctions.udf.CIQ($B6,"IQ_CDS_mid",R$2)</f>
        <v>40.473599999999998</v>
      </c>
      <c r="S6">
        <f ca="1">_xll.ciqfunctions.udf.CIQ($B6,"IQ_CDS_mid",S$2)</f>
        <v>40.247700000000002</v>
      </c>
      <c r="T6">
        <f ca="1">C6-H6</f>
        <v>-1.7952000000000012</v>
      </c>
      <c r="U6">
        <f ca="1">C6-M6</f>
        <v>-2.8027999999999977</v>
      </c>
      <c r="V6">
        <f ca="1">C6-Q6</f>
        <v>-2.8652999999999977</v>
      </c>
      <c r="W6">
        <f ca="1">C6-R6</f>
        <v>-3.2687999999999988</v>
      </c>
      <c r="X6">
        <f t="shared" ca="1" si="0"/>
        <v>-3.042900000000003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11</v>
      </c>
      <c r="D8">
        <f ca="1">_xll.ciqfunctions.udf.CIQ($B8,"IQ_CDS_mid",D$2)</f>
        <v>11</v>
      </c>
      <c r="E8">
        <f ca="1">_xll.ciqfunctions.udf.CIQ($B8,"IQ_CDS_mid",E$2)</f>
        <v>11.0001</v>
      </c>
      <c r="F8">
        <f ca="1">_xll.ciqfunctions.udf.CIQ($B8,"IQ_CDS_mid",F$2)</f>
        <v>11.0001</v>
      </c>
      <c r="G8">
        <f ca="1">_xll.ciqfunctions.udf.CIQ($B8,"IQ_CDS_mid",G$2)</f>
        <v>11.0001</v>
      </c>
      <c r="H8">
        <f ca="1">_xll.ciqfunctions.udf.CIQ($B8,"IQ_CDS_mid",H$2)</f>
        <v>11.0002</v>
      </c>
      <c r="I8">
        <f ca="1">_xll.ciqfunctions.udf.CIQ($B8,"IQ_CDS_mid",I$2)</f>
        <v>11.000999999999999</v>
      </c>
      <c r="J8">
        <f ca="1">_xll.ciqfunctions.udf.CIQ($B8,"IQ_CDS_mid",J$2)</f>
        <v>11.004099999999999</v>
      </c>
      <c r="K8">
        <f ca="1">_xll.ciqfunctions.udf.CIQ($B8,"IQ_CDS_mid",K$2)</f>
        <v>11.016400000000001</v>
      </c>
      <c r="L8">
        <f ca="1">_xll.ciqfunctions.udf.CIQ($B8,"IQ_CDS_mid",L$2)</f>
        <v>11.0657</v>
      </c>
      <c r="M8">
        <f ca="1">_xll.ciqfunctions.udf.CIQ($B8,"IQ_CDS_mid",M$2)</f>
        <v>11.0657</v>
      </c>
      <c r="N8">
        <f ca="1">_xll.ciqfunctions.udf.CIQ($B8,"IQ_CDS_mid",N$2)</f>
        <v>11.0657</v>
      </c>
      <c r="O8">
        <f ca="1">_xll.ciqfunctions.udf.CIQ($B8,"IQ_CDS_mid",O$2)</f>
        <v>11.0787</v>
      </c>
      <c r="P8">
        <f ca="1">_xll.ciqfunctions.udf.CIQ($B8,"IQ_CDS_mid",P$2)</f>
        <v>11.0648</v>
      </c>
      <c r="Q8">
        <f ca="1">_xll.ciqfunctions.udf.CIQ($B8,"IQ_CDS_mid",Q$2)</f>
        <v>11.0739</v>
      </c>
      <c r="R8">
        <f ca="1">_xll.ciqfunctions.udf.CIQ($B8,"IQ_CDS_mid",R$2)</f>
        <v>11.7567</v>
      </c>
      <c r="S8">
        <f ca="1">_xll.ciqfunctions.udf.CIQ($B8,"IQ_CDS_mid",S$2)</f>
        <v>15.000299999999999</v>
      </c>
      <c r="T8">
        <f t="shared" ref="T8:T20" ca="1" si="1">C8-H8</f>
        <v>-1.9999999999953388E-4</v>
      </c>
      <c r="U8">
        <f t="shared" ref="U8:U20" ca="1" si="2">C8-M8</f>
        <v>-6.5699999999999648E-2</v>
      </c>
      <c r="V8">
        <f t="shared" ref="V8:V20" ca="1" si="3">C8-Q8</f>
        <v>-7.3900000000000077E-2</v>
      </c>
      <c r="W8">
        <f t="shared" ref="W8:W20" ca="1" si="4">C8-R8</f>
        <v>-0.75670000000000037</v>
      </c>
      <c r="X8">
        <f t="shared" ca="1" si="0"/>
        <v>-4.0002999999999993</v>
      </c>
    </row>
    <row r="9" spans="1:26">
      <c r="A9" t="s">
        <v>211</v>
      </c>
      <c r="B9" s="25" t="s">
        <v>210</v>
      </c>
      <c r="C9">
        <f ca="1">_xll.ciqfunctions.udf.CIQ($B9,"IQ_CDS_mid",C$2)</f>
        <v>17.25</v>
      </c>
      <c r="D9">
        <f ca="1">_xll.ciqfunctions.udf.CIQ($B9,"IQ_CDS_mid",D$2)</f>
        <v>17.25</v>
      </c>
      <c r="E9">
        <f ca="1">_xll.ciqfunctions.udf.CIQ($B9,"IQ_CDS_mid",E$2)</f>
        <v>17.375</v>
      </c>
      <c r="F9">
        <f ca="1">_xll.ciqfunctions.udf.CIQ($B9,"IQ_CDS_mid",F$2)</f>
        <v>17.375</v>
      </c>
      <c r="G9">
        <f ca="1">_xll.ciqfunctions.udf.CIQ($B9,"IQ_CDS_mid",G$2)</f>
        <v>17.375</v>
      </c>
      <c r="H9">
        <f ca="1">_xll.ciqfunctions.udf.CIQ($B9,"IQ_CDS_mid",H$2)</f>
        <v>17.25</v>
      </c>
      <c r="I9">
        <f ca="1">_xll.ciqfunctions.udf.CIQ($B9,"IQ_CDS_mid",I$2)</f>
        <v>17.125</v>
      </c>
      <c r="J9">
        <f ca="1">_xll.ciqfunctions.udf.CIQ($B9,"IQ_CDS_mid",J$2)</f>
        <v>17.125</v>
      </c>
      <c r="K9">
        <f ca="1">_xll.ciqfunctions.udf.CIQ($B9,"IQ_CDS_mid",K$2)</f>
        <v>17.375</v>
      </c>
      <c r="L9">
        <f ca="1">_xll.ciqfunctions.udf.CIQ($B9,"IQ_CDS_mid",L$2)</f>
        <v>17.399999999999999</v>
      </c>
      <c r="M9">
        <f ca="1">_xll.ciqfunctions.udf.CIQ($B9,"IQ_CDS_mid",M$2)</f>
        <v>17.399999999999999</v>
      </c>
      <c r="N9">
        <f ca="1">_xll.ciqfunctions.udf.CIQ($B9,"IQ_CDS_mid",N$2)</f>
        <v>17.399999999999999</v>
      </c>
      <c r="O9">
        <f ca="1">_xll.ciqfunctions.udf.CIQ($B9,"IQ_CDS_mid",O$2)</f>
        <v>17.375</v>
      </c>
      <c r="P9">
        <f ca="1">_xll.ciqfunctions.udf.CIQ($B9,"IQ_CDS_mid",P$2)</f>
        <v>17.666699999999999</v>
      </c>
      <c r="Q9">
        <f ca="1">_xll.ciqfunctions.udf.CIQ($B9,"IQ_CDS_mid",Q$2)</f>
        <v>17.324999999999999</v>
      </c>
      <c r="R9">
        <f ca="1">_xll.ciqfunctions.udf.CIQ($B9,"IQ_CDS_mid",R$2)</f>
        <v>17.9375</v>
      </c>
      <c r="S9">
        <f ca="1">_xll.ciqfunctions.udf.CIQ($B9,"IQ_CDS_mid",S$2)</f>
        <v>22.875</v>
      </c>
      <c r="T9">
        <f t="shared" ca="1" si="1"/>
        <v>0</v>
      </c>
      <c r="U9">
        <f t="shared" ca="1" si="2"/>
        <v>-0.14999999999999858</v>
      </c>
      <c r="V9">
        <f t="shared" ca="1" si="3"/>
        <v>-7.4999999999999289E-2</v>
      </c>
      <c r="W9">
        <f t="shared" ca="1" si="4"/>
        <v>-0.6875</v>
      </c>
      <c r="X9">
        <f t="shared" ca="1" si="0"/>
        <v>-5.625</v>
      </c>
    </row>
    <row r="10" spans="1:26">
      <c r="A10" t="s">
        <v>209</v>
      </c>
      <c r="B10" s="25" t="s">
        <v>208</v>
      </c>
      <c r="C10">
        <f ca="1">_xll.ciqfunctions.udf.CIQ($B10,"IQ_CDS_mid",C$2)</f>
        <v>10.666700000000001</v>
      </c>
      <c r="D10">
        <f ca="1">_xll.ciqfunctions.udf.CIQ($B10,"IQ_CDS_mid",D$2)</f>
        <v>10.666700000000001</v>
      </c>
      <c r="E10">
        <f ca="1">_xll.ciqfunctions.udf.CIQ($B10,"IQ_CDS_mid",E$2)</f>
        <v>10.666700000000001</v>
      </c>
      <c r="F10">
        <f ca="1">_xll.ciqfunctions.udf.CIQ($B10,"IQ_CDS_mid",F$2)</f>
        <v>10.666700000000001</v>
      </c>
      <c r="G10">
        <f ca="1">_xll.ciqfunctions.udf.CIQ($B10,"IQ_CDS_mid",G$2)</f>
        <v>10.666700000000001</v>
      </c>
      <c r="H10">
        <f ca="1">_xll.ciqfunctions.udf.CIQ($B10,"IQ_CDS_mid",H$2)</f>
        <v>10.666700000000001</v>
      </c>
      <c r="I10">
        <f ca="1">_xll.ciqfunctions.udf.CIQ($B10,"IQ_CDS_mid",I$2)</f>
        <v>11.106999999999999</v>
      </c>
      <c r="J10">
        <f ca="1">_xll.ciqfunctions.udf.CIQ($B10,"IQ_CDS_mid",J$2)</f>
        <v>11.1061</v>
      </c>
      <c r="K10">
        <f ca="1">_xll.ciqfunctions.udf.CIQ($B10,"IQ_CDS_mid",K$2)</f>
        <v>11.1073</v>
      </c>
      <c r="L10">
        <f ca="1">_xll.ciqfunctions.udf.CIQ($B10,"IQ_CDS_mid",L$2)</f>
        <v>11.111599999999999</v>
      </c>
      <c r="M10">
        <f ca="1">_xll.ciqfunctions.udf.CIQ($B10,"IQ_CDS_mid",M$2)</f>
        <v>11.111599999999999</v>
      </c>
      <c r="N10">
        <f ca="1">_xll.ciqfunctions.udf.CIQ($B10,"IQ_CDS_mid",N$2)</f>
        <v>11.111599999999999</v>
      </c>
      <c r="O10">
        <f ca="1">_xll.ciqfunctions.udf.CIQ($B10,"IQ_CDS_mid",O$2)</f>
        <v>11.1021</v>
      </c>
      <c r="P10">
        <f ca="1">_xll.ciqfunctions.udf.CIQ($B10,"IQ_CDS_mid",P$2)</f>
        <v>11.110300000000001</v>
      </c>
      <c r="Q10">
        <f ca="1">_xll.ciqfunctions.udf.CIQ($B10,"IQ_CDS_mid",Q$2)</f>
        <v>11.0959</v>
      </c>
      <c r="R10">
        <f ca="1">_xll.ciqfunctions.udf.CIQ($B10,"IQ_CDS_mid",R$2)</f>
        <v>12.333299999999999</v>
      </c>
      <c r="S10">
        <f ca="1">_xll.ciqfunctions.udf.CIQ($B10,"IQ_CDS_mid",S$2)</f>
        <v>15</v>
      </c>
      <c r="T10">
        <f t="shared" ca="1" si="1"/>
        <v>0</v>
      </c>
      <c r="U10">
        <f t="shared" ca="1" si="2"/>
        <v>-0.44489999999999874</v>
      </c>
      <c r="V10">
        <f t="shared" ca="1" si="3"/>
        <v>-0.4291999999999998</v>
      </c>
      <c r="W10">
        <f t="shared" ca="1" si="4"/>
        <v>-1.666599999999999</v>
      </c>
      <c r="X10">
        <f t="shared" ca="1" si="0"/>
        <v>-4.3332999999999995</v>
      </c>
    </row>
    <row r="11" spans="1:26">
      <c r="A11" t="s">
        <v>17</v>
      </c>
      <c r="B11" s="25" t="s">
        <v>207</v>
      </c>
      <c r="C11">
        <f ca="1">_xll.ciqfunctions.udf.CIQ($B11,"IQ_CDS_mid",C$2)</f>
        <v>30.931899999999999</v>
      </c>
      <c r="D11">
        <f ca="1">_xll.ciqfunctions.udf.CIQ($B11,"IQ_CDS_mid",D$2)</f>
        <v>30.931899999999999</v>
      </c>
      <c r="E11">
        <f ca="1">_xll.ciqfunctions.udf.CIQ($B11,"IQ_CDS_mid",E$2)</f>
        <v>31.1022</v>
      </c>
      <c r="F11">
        <f ca="1">_xll.ciqfunctions.udf.CIQ($B11,"IQ_CDS_mid",F$2)</f>
        <v>31.1022</v>
      </c>
      <c r="G11">
        <f ca="1">_xll.ciqfunctions.udf.CIQ($B11,"IQ_CDS_mid",G$2)</f>
        <v>31.1022</v>
      </c>
      <c r="H11">
        <f ca="1">_xll.ciqfunctions.udf.CIQ($B11,"IQ_CDS_mid",H$2)</f>
        <v>31.166699999999999</v>
      </c>
      <c r="I11">
        <f ca="1">_xll.ciqfunctions.udf.CIQ($B11,"IQ_CDS_mid",I$2)</f>
        <v>30.945</v>
      </c>
      <c r="J11">
        <f ca="1">_xll.ciqfunctions.udf.CIQ($B11,"IQ_CDS_mid",J$2)</f>
        <v>31.033100000000001</v>
      </c>
      <c r="K11">
        <f ca="1">_xll.ciqfunctions.udf.CIQ($B11,"IQ_CDS_mid",K$2)</f>
        <v>31.185600000000001</v>
      </c>
      <c r="L11">
        <f ca="1">_xll.ciqfunctions.udf.CIQ($B11,"IQ_CDS_mid",L$2)</f>
        <v>31.579000000000001</v>
      </c>
      <c r="M11">
        <f ca="1">_xll.ciqfunctions.udf.CIQ($B11,"IQ_CDS_mid",M$2)</f>
        <v>31.579000000000001</v>
      </c>
      <c r="N11">
        <f ca="1">_xll.ciqfunctions.udf.CIQ($B11,"IQ_CDS_mid",N$2)</f>
        <v>31.579000000000001</v>
      </c>
      <c r="O11">
        <f ca="1">_xll.ciqfunctions.udf.CIQ($B11,"IQ_CDS_mid",O$2)</f>
        <v>31.8811</v>
      </c>
      <c r="P11">
        <f ca="1">_xll.ciqfunctions.udf.CIQ($B11,"IQ_CDS_mid",P$2)</f>
        <v>31.833300000000001</v>
      </c>
      <c r="Q11">
        <f ca="1">_xll.ciqfunctions.udf.CIQ($B11,"IQ_CDS_mid",Q$2)</f>
        <v>31.251999999999999</v>
      </c>
      <c r="R11">
        <f ca="1">_xll.ciqfunctions.udf.CIQ($B11,"IQ_CDS_mid",R$2)</f>
        <v>27.7499</v>
      </c>
      <c r="S11">
        <f ca="1">_xll.ciqfunctions.udf.CIQ($B11,"IQ_CDS_mid",S$2)</f>
        <v>32.470100000000002</v>
      </c>
      <c r="T11">
        <f t="shared" ca="1" si="1"/>
        <v>-0.2347999999999999</v>
      </c>
      <c r="U11">
        <f t="shared" ca="1" si="2"/>
        <v>-0.64710000000000178</v>
      </c>
      <c r="V11">
        <f t="shared" ca="1" si="3"/>
        <v>-0.32010000000000005</v>
      </c>
      <c r="W11">
        <f t="shared" ca="1" si="4"/>
        <v>3.1819999999999986</v>
      </c>
      <c r="X11">
        <f t="shared" ca="1" si="0"/>
        <v>-1.5382000000000033</v>
      </c>
    </row>
    <row r="12" spans="1:26">
      <c r="A12" t="s">
        <v>28</v>
      </c>
      <c r="B12" s="25" t="s">
        <v>206</v>
      </c>
      <c r="C12">
        <f ca="1">_xll.ciqfunctions.udf.CIQ($B12,"IQ_CDS_mid",C$2)</f>
        <v>7.0209000000000001</v>
      </c>
      <c r="D12">
        <f ca="1">_xll.ciqfunctions.udf.CIQ($B12,"IQ_CDS_mid",D$2)</f>
        <v>7.0209000000000001</v>
      </c>
      <c r="E12">
        <f ca="1">_xll.ciqfunctions.udf.CIQ($B12,"IQ_CDS_mid",E$2)</f>
        <v>7.1182999999999996</v>
      </c>
      <c r="F12">
        <f ca="1">_xll.ciqfunctions.udf.CIQ($B12,"IQ_CDS_mid",F$2)</f>
        <v>7.1182999999999996</v>
      </c>
      <c r="G12">
        <f ca="1">_xll.ciqfunctions.udf.CIQ($B12,"IQ_CDS_mid",G$2)</f>
        <v>7.1182999999999996</v>
      </c>
      <c r="H12">
        <f ca="1">_xll.ciqfunctions.udf.CIQ($B12,"IQ_CDS_mid",H$2)</f>
        <v>7.0917000000000003</v>
      </c>
      <c r="I12">
        <f ca="1">_xll.ciqfunctions.udf.CIQ($B12,"IQ_CDS_mid",I$2)</f>
        <v>6.9583000000000004</v>
      </c>
      <c r="J12">
        <f ca="1">_xll.ciqfunctions.udf.CIQ($B12,"IQ_CDS_mid",J$2)</f>
        <v>7.0833000000000004</v>
      </c>
      <c r="K12">
        <f ca="1">_xll.ciqfunctions.udf.CIQ($B12,"IQ_CDS_mid",K$2)</f>
        <v>7.1665000000000001</v>
      </c>
      <c r="L12">
        <f ca="1">_xll.ciqfunctions.udf.CIQ($B12,"IQ_CDS_mid",L$2)</f>
        <v>7.1661000000000001</v>
      </c>
      <c r="M12">
        <f ca="1">_xll.ciqfunctions.udf.CIQ($B12,"IQ_CDS_mid",M$2)</f>
        <v>7.1661000000000001</v>
      </c>
      <c r="N12">
        <f ca="1">_xll.ciqfunctions.udf.CIQ($B12,"IQ_CDS_mid",N$2)</f>
        <v>7.1661000000000001</v>
      </c>
      <c r="O12">
        <f ca="1">_xll.ciqfunctions.udf.CIQ($B12,"IQ_CDS_mid",O$2)</f>
        <v>7.1642000000000001</v>
      </c>
      <c r="P12">
        <f ca="1">_xll.ciqfunctions.udf.CIQ($B12,"IQ_CDS_mid",P$2)</f>
        <v>7.1566999999999998</v>
      </c>
      <c r="Q12">
        <f ca="1">_xll.ciqfunctions.udf.CIQ($B12,"IQ_CDS_mid",Q$2)</f>
        <v>7.1265999999999998</v>
      </c>
      <c r="R12">
        <f ca="1">_xll.ciqfunctions.udf.CIQ($B12,"IQ_CDS_mid",R$2)</f>
        <v>8.5</v>
      </c>
      <c r="S12">
        <f ca="1">_xll.ciqfunctions.udf.CIQ($B12,"IQ_CDS_mid",S$2)</f>
        <v>8.1667000000000005</v>
      </c>
      <c r="T12">
        <f t="shared" ca="1" si="1"/>
        <v>-7.0800000000000196E-2</v>
      </c>
      <c r="U12">
        <f t="shared" ca="1" si="2"/>
        <v>-0.1452</v>
      </c>
      <c r="V12">
        <f t="shared" ca="1" si="3"/>
        <v>-0.10569999999999968</v>
      </c>
      <c r="W12">
        <f t="shared" ca="1" si="4"/>
        <v>-1.4790999999999999</v>
      </c>
      <c r="X12">
        <f t="shared" ca="1" si="0"/>
        <v>-1.1458000000000004</v>
      </c>
    </row>
    <row r="13" spans="1:26">
      <c r="A13" t="s">
        <v>205</v>
      </c>
      <c r="B13" s="25" t="s">
        <v>204</v>
      </c>
      <c r="C13">
        <f ca="1">_xll.ciqfunctions.udf.CIQ($B13,"IQ_CDS_mid",C$2)</f>
        <v>29.25</v>
      </c>
      <c r="D13">
        <f ca="1">_xll.ciqfunctions.udf.CIQ($B13,"IQ_CDS_mid",D$2)</f>
        <v>29.25</v>
      </c>
      <c r="E13">
        <f ca="1">_xll.ciqfunctions.udf.CIQ($B13,"IQ_CDS_mid",E$2)</f>
        <v>29.418299999999999</v>
      </c>
      <c r="F13">
        <f ca="1">_xll.ciqfunctions.udf.CIQ($B13,"IQ_CDS_mid",F$2)</f>
        <v>29.418299999999999</v>
      </c>
      <c r="G13">
        <f ca="1">_xll.ciqfunctions.udf.CIQ($B13,"IQ_CDS_mid",G$2)</f>
        <v>29.418299999999999</v>
      </c>
      <c r="H13">
        <f ca="1">_xll.ciqfunctions.udf.CIQ($B13,"IQ_CDS_mid",H$2)</f>
        <v>29.375</v>
      </c>
      <c r="I13">
        <f ca="1">_xll.ciqfunctions.udf.CIQ($B13,"IQ_CDS_mid",I$2)</f>
        <v>29</v>
      </c>
      <c r="J13">
        <f ca="1">_xll.ciqfunctions.udf.CIQ($B13,"IQ_CDS_mid",J$2)</f>
        <v>29.166699999999999</v>
      </c>
      <c r="K13">
        <f ca="1">_xll.ciqfunctions.udf.CIQ($B13,"IQ_CDS_mid",K$2)</f>
        <v>29.102399999999999</v>
      </c>
      <c r="L13">
        <f ca="1">_xll.ciqfunctions.udf.CIQ($B13,"IQ_CDS_mid",L$2)</f>
        <v>29</v>
      </c>
      <c r="M13">
        <f ca="1">_xll.ciqfunctions.udf.CIQ($B13,"IQ_CDS_mid",M$2)</f>
        <v>29</v>
      </c>
      <c r="N13">
        <f ca="1">_xll.ciqfunctions.udf.CIQ($B13,"IQ_CDS_mid",N$2)</f>
        <v>29</v>
      </c>
      <c r="O13">
        <f ca="1">_xll.ciqfunctions.udf.CIQ($B13,"IQ_CDS_mid",O$2)</f>
        <v>29.5</v>
      </c>
      <c r="P13">
        <f ca="1">_xll.ciqfunctions.udf.CIQ($B13,"IQ_CDS_mid",P$2)</f>
        <v>29.414999999999999</v>
      </c>
      <c r="Q13">
        <f ca="1">_xll.ciqfunctions.udf.CIQ($B13,"IQ_CDS_mid",Q$2)</f>
        <v>29.327500000000001</v>
      </c>
      <c r="R13">
        <f ca="1">_xll.ciqfunctions.udf.CIQ($B13,"IQ_CDS_mid",R$2)</f>
        <v>29.201699999999999</v>
      </c>
      <c r="S13">
        <f ca="1">_xll.ciqfunctions.udf.CIQ($B13,"IQ_CDS_mid",S$2)</f>
        <v>42.5</v>
      </c>
      <c r="T13">
        <f t="shared" ca="1" si="1"/>
        <v>-0.125</v>
      </c>
      <c r="U13">
        <f t="shared" ca="1" si="2"/>
        <v>0.25</v>
      </c>
      <c r="V13">
        <f t="shared" ca="1" si="3"/>
        <v>-7.7500000000000568E-2</v>
      </c>
      <c r="W13">
        <f t="shared" ca="1" si="4"/>
        <v>4.830000000000112E-2</v>
      </c>
      <c r="X13">
        <f t="shared" ca="1" si="0"/>
        <v>-13.25</v>
      </c>
    </row>
    <row r="14" spans="1:26">
      <c r="A14" t="s">
        <v>203</v>
      </c>
      <c r="B14" s="25" t="s">
        <v>202</v>
      </c>
      <c r="C14">
        <f ca="1">_xll.ciqfunctions.udf.CIQ($B14,"IQ_CDS_mid",C$2)</f>
        <v>14.3551</v>
      </c>
      <c r="D14">
        <f ca="1">_xll.ciqfunctions.udf.CIQ($B14,"IQ_CDS_mid",D$2)</f>
        <v>14.3551</v>
      </c>
      <c r="E14">
        <f ca="1">_xll.ciqfunctions.udf.CIQ($B14,"IQ_CDS_mid",E$2)</f>
        <v>14.354900000000001</v>
      </c>
      <c r="F14">
        <f ca="1">_xll.ciqfunctions.udf.CIQ($B14,"IQ_CDS_mid",F$2)</f>
        <v>14.354900000000001</v>
      </c>
      <c r="G14">
        <f ca="1">_xll.ciqfunctions.udf.CIQ($B14,"IQ_CDS_mid",G$2)</f>
        <v>14.354900000000001</v>
      </c>
      <c r="H14">
        <f ca="1">_xll.ciqfunctions.udf.CIQ($B14,"IQ_CDS_mid",H$2)</f>
        <v>14.358000000000001</v>
      </c>
      <c r="I14">
        <f ca="1">_xll.ciqfunctions.udf.CIQ($B14,"IQ_CDS_mid",I$2)</f>
        <v>14.443300000000001</v>
      </c>
      <c r="J14">
        <f ca="1">_xll.ciqfunctions.udf.CIQ($B14,"IQ_CDS_mid",J$2)</f>
        <v>14.463800000000001</v>
      </c>
      <c r="K14">
        <f ca="1">_xll.ciqfunctions.udf.CIQ($B14,"IQ_CDS_mid",K$2)</f>
        <v>14.4648</v>
      </c>
      <c r="L14">
        <f ca="1">_xll.ciqfunctions.udf.CIQ($B14,"IQ_CDS_mid",L$2)</f>
        <v>14.5167</v>
      </c>
      <c r="M14">
        <f ca="1">_xll.ciqfunctions.udf.CIQ($B14,"IQ_CDS_mid",M$2)</f>
        <v>14.5167</v>
      </c>
      <c r="N14">
        <f ca="1">_xll.ciqfunctions.udf.CIQ($B14,"IQ_CDS_mid",N$2)</f>
        <v>14.5167</v>
      </c>
      <c r="O14">
        <f ca="1">_xll.ciqfunctions.udf.CIQ($B14,"IQ_CDS_mid",O$2)</f>
        <v>14.541499999999999</v>
      </c>
      <c r="P14">
        <f ca="1">_xll.ciqfunctions.udf.CIQ($B14,"IQ_CDS_mid",P$2)</f>
        <v>14.5</v>
      </c>
      <c r="Q14">
        <f ca="1">_xll.ciqfunctions.udf.CIQ($B14,"IQ_CDS_mid",Q$2)</f>
        <v>14.583299999999999</v>
      </c>
      <c r="R14">
        <f ca="1">_xll.ciqfunctions.udf.CIQ($B14,"IQ_CDS_mid",R$2)</f>
        <v>15.333299999999999</v>
      </c>
      <c r="S14">
        <f ca="1">_xll.ciqfunctions.udf.CIQ($B14,"IQ_CDS_mid",S$2)</f>
        <v>17.833300000000001</v>
      </c>
      <c r="T14">
        <f t="shared" ca="1" si="1"/>
        <v>-2.9000000000003467E-3</v>
      </c>
      <c r="U14">
        <f t="shared" ca="1" si="2"/>
        <v>-0.16159999999999997</v>
      </c>
      <c r="V14">
        <f t="shared" ca="1" si="3"/>
        <v>-0.22819999999999929</v>
      </c>
      <c r="W14">
        <f t="shared" ca="1" si="4"/>
        <v>-0.97819999999999929</v>
      </c>
      <c r="X14">
        <f t="shared" ca="1" si="0"/>
        <v>-3.4782000000000011</v>
      </c>
    </row>
    <row r="15" spans="1:26">
      <c r="A15" t="s">
        <v>201</v>
      </c>
      <c r="B15" s="25" t="s">
        <v>200</v>
      </c>
      <c r="C15">
        <f ca="1">_xll.ciqfunctions.udf.CIQ($B15,"IQ_CDS_mid",C$2)</f>
        <v>29.5</v>
      </c>
      <c r="D15">
        <f ca="1">_xll.ciqfunctions.udf.CIQ($B15,"IQ_CDS_mid",D$2)</f>
        <v>29.5</v>
      </c>
      <c r="E15">
        <f ca="1">_xll.ciqfunctions.udf.CIQ($B15,"IQ_CDS_mid",E$2)</f>
        <v>29.5</v>
      </c>
      <c r="F15">
        <f ca="1">_xll.ciqfunctions.udf.CIQ($B15,"IQ_CDS_mid",F$2)</f>
        <v>29.5</v>
      </c>
      <c r="G15">
        <f ca="1">_xll.ciqfunctions.udf.CIQ($B15,"IQ_CDS_mid",G$2)</f>
        <v>29.5</v>
      </c>
      <c r="H15">
        <f ca="1">_xll.ciqfunctions.udf.CIQ($B15,"IQ_CDS_mid",H$2)</f>
        <v>29.833300000000001</v>
      </c>
      <c r="I15">
        <f ca="1">_xll.ciqfunctions.udf.CIQ($B15,"IQ_CDS_mid",I$2)</f>
        <v>29.8125</v>
      </c>
      <c r="J15">
        <f ca="1">_xll.ciqfunctions.udf.CIQ($B15,"IQ_CDS_mid",J$2)</f>
        <v>29.939699999999998</v>
      </c>
      <c r="K15">
        <f ca="1">_xll.ciqfunctions.udf.CIQ($B15,"IQ_CDS_mid",K$2)</f>
        <v>30.125</v>
      </c>
      <c r="L15">
        <f ca="1">_xll.ciqfunctions.udf.CIQ($B15,"IQ_CDS_mid",L$2)</f>
        <v>30.375299999999999</v>
      </c>
      <c r="M15">
        <f ca="1">_xll.ciqfunctions.udf.CIQ($B15,"IQ_CDS_mid",M$2)</f>
        <v>30.375299999999999</v>
      </c>
      <c r="N15">
        <f ca="1">_xll.ciqfunctions.udf.CIQ($B15,"IQ_CDS_mid",N$2)</f>
        <v>30.375299999999999</v>
      </c>
      <c r="O15">
        <f ca="1">_xll.ciqfunctions.udf.CIQ($B15,"IQ_CDS_mid",O$2)</f>
        <v>30.3246</v>
      </c>
      <c r="P15">
        <f ca="1">_xll.ciqfunctions.udf.CIQ($B15,"IQ_CDS_mid",P$2)</f>
        <v>30.146000000000001</v>
      </c>
      <c r="Q15">
        <f ca="1">_xll.ciqfunctions.udf.CIQ($B15,"IQ_CDS_mid",Q$2)</f>
        <v>29.860499999999998</v>
      </c>
      <c r="R15">
        <f ca="1">_xll.ciqfunctions.udf.CIQ($B15,"IQ_CDS_mid",R$2)</f>
        <v>29.096</v>
      </c>
      <c r="S15">
        <f ca="1">_xll.ciqfunctions.udf.CIQ($B15,"IQ_CDS_mid",S$2)</f>
        <v>38.75</v>
      </c>
      <c r="T15">
        <f t="shared" ca="1" si="1"/>
        <v>-0.33330000000000126</v>
      </c>
      <c r="U15">
        <f t="shared" ca="1" si="2"/>
        <v>-0.8752999999999993</v>
      </c>
      <c r="V15">
        <f t="shared" ca="1" si="3"/>
        <v>-0.36049999999999827</v>
      </c>
      <c r="W15">
        <f t="shared" ca="1" si="4"/>
        <v>0.40399999999999991</v>
      </c>
      <c r="X15">
        <f t="shared" ca="1" si="0"/>
        <v>-9.25</v>
      </c>
    </row>
    <row r="16" spans="1:26">
      <c r="A16" t="s">
        <v>199</v>
      </c>
      <c r="B16" s="25" t="s">
        <v>198</v>
      </c>
      <c r="C16">
        <f ca="1">_xll.ciqfunctions.udf.CIQ($B16,"IQ_CDS_mid",C$2)</f>
        <v>9.8856000000000002</v>
      </c>
      <c r="D16">
        <f ca="1">_xll.ciqfunctions.udf.CIQ($B16,"IQ_CDS_mid",D$2)</f>
        <v>9.8856000000000002</v>
      </c>
      <c r="E16">
        <f ca="1">_xll.ciqfunctions.udf.CIQ($B16,"IQ_CDS_mid",E$2)</f>
        <v>9.8353000000000002</v>
      </c>
      <c r="F16">
        <f ca="1">_xll.ciqfunctions.udf.CIQ($B16,"IQ_CDS_mid",F$2)</f>
        <v>9.8353000000000002</v>
      </c>
      <c r="G16">
        <f ca="1">_xll.ciqfunctions.udf.CIQ($B16,"IQ_CDS_mid",G$2)</f>
        <v>9.8353000000000002</v>
      </c>
      <c r="H16">
        <f ca="1">_xll.ciqfunctions.udf.CIQ($B16,"IQ_CDS_mid",H$2)</f>
        <v>9.5723000000000003</v>
      </c>
      <c r="I16">
        <f ca="1">_xll.ciqfunctions.udf.CIQ($B16,"IQ_CDS_mid",I$2)</f>
        <v>9.8809000000000005</v>
      </c>
      <c r="J16">
        <f ca="1">_xll.ciqfunctions.udf.CIQ($B16,"IQ_CDS_mid",J$2)</f>
        <v>10.2464</v>
      </c>
      <c r="K16">
        <f ca="1">_xll.ciqfunctions.udf.CIQ($B16,"IQ_CDS_mid",K$2)</f>
        <v>9.9285999999999994</v>
      </c>
      <c r="L16">
        <f ca="1">_xll.ciqfunctions.udf.CIQ($B16,"IQ_CDS_mid",L$2)</f>
        <v>9.6761999999999997</v>
      </c>
      <c r="M16">
        <f ca="1">_xll.ciqfunctions.udf.CIQ($B16,"IQ_CDS_mid",M$2)</f>
        <v>9.6761999999999997</v>
      </c>
      <c r="N16">
        <f ca="1">_xll.ciqfunctions.udf.CIQ($B16,"IQ_CDS_mid",N$2)</f>
        <v>9.6761999999999997</v>
      </c>
      <c r="O16">
        <f ca="1">_xll.ciqfunctions.udf.CIQ($B16,"IQ_CDS_mid",O$2)</f>
        <v>9.7797000000000001</v>
      </c>
      <c r="P16">
        <f ca="1">_xll.ciqfunctions.udf.CIQ($B16,"IQ_CDS_mid",P$2)</f>
        <v>9.8623999999999992</v>
      </c>
      <c r="Q16">
        <f ca="1">_xll.ciqfunctions.udf.CIQ($B16,"IQ_CDS_mid",Q$2)</f>
        <v>10.405200000000001</v>
      </c>
      <c r="R16">
        <f ca="1">_xll.ciqfunctions.udf.CIQ($B16,"IQ_CDS_mid",R$2)</f>
        <v>9.6125000000000007</v>
      </c>
      <c r="S16">
        <f ca="1">_xll.ciqfunctions.udf.CIQ($B16,"IQ_CDS_mid",S$2)</f>
        <v>14.3668</v>
      </c>
      <c r="T16">
        <f t="shared" ca="1" si="1"/>
        <v>0.31329999999999991</v>
      </c>
      <c r="U16">
        <f t="shared" ca="1" si="2"/>
        <v>0.20940000000000047</v>
      </c>
      <c r="V16">
        <f t="shared" ca="1" si="3"/>
        <v>-0.51960000000000051</v>
      </c>
      <c r="W16">
        <f t="shared" ca="1" si="4"/>
        <v>0.27309999999999945</v>
      </c>
      <c r="X16">
        <f t="shared" ca="1" si="0"/>
        <v>-4.4811999999999994</v>
      </c>
    </row>
    <row r="17" spans="1:24">
      <c r="A17" t="s">
        <v>197</v>
      </c>
      <c r="B17" s="25" t="s">
        <v>196</v>
      </c>
      <c r="C17">
        <f ca="1">_xll.ciqfunctions.udf.CIQ($B17,"IQ_CDS_mid",C$2)</f>
        <v>7.8333000000000004</v>
      </c>
      <c r="D17">
        <f ca="1">_xll.ciqfunctions.udf.CIQ($B17,"IQ_CDS_mid",D$2)</f>
        <v>7.8333000000000004</v>
      </c>
      <c r="E17">
        <f ca="1">_xll.ciqfunctions.udf.CIQ($B17,"IQ_CDS_mid",E$2)</f>
        <v>7.8333000000000004</v>
      </c>
      <c r="F17">
        <f ca="1">_xll.ciqfunctions.udf.CIQ($B17,"IQ_CDS_mid",F$2)</f>
        <v>7.8333000000000004</v>
      </c>
      <c r="G17">
        <f ca="1">_xll.ciqfunctions.udf.CIQ($B17,"IQ_CDS_mid",G$2)</f>
        <v>7.8333000000000004</v>
      </c>
      <c r="H17">
        <f ca="1">_xll.ciqfunctions.udf.CIQ($B17,"IQ_CDS_mid",H$2)</f>
        <v>7.8333000000000004</v>
      </c>
      <c r="I17">
        <f ca="1">_xll.ciqfunctions.udf.CIQ($B17,"IQ_CDS_mid",I$2)</f>
        <v>7.8630000000000004</v>
      </c>
      <c r="J17">
        <f ca="1">_xll.ciqfunctions.udf.CIQ($B17,"IQ_CDS_mid",J$2)</f>
        <v>8</v>
      </c>
      <c r="K17">
        <f ca="1">_xll.ciqfunctions.udf.CIQ($B17,"IQ_CDS_mid",K$2)</f>
        <v>7.8631000000000002</v>
      </c>
      <c r="L17">
        <f ca="1">_xll.ciqfunctions.udf.CIQ($B17,"IQ_CDS_mid",L$2)</f>
        <v>7.8630000000000004</v>
      </c>
      <c r="M17">
        <f ca="1">_xll.ciqfunctions.udf.CIQ($B17,"IQ_CDS_mid",M$2)</f>
        <v>7.8630000000000004</v>
      </c>
      <c r="N17">
        <f ca="1">_xll.ciqfunctions.udf.CIQ($B17,"IQ_CDS_mid",N$2)</f>
        <v>7.8630000000000004</v>
      </c>
      <c r="O17">
        <f ca="1">_xll.ciqfunctions.udf.CIQ($B17,"IQ_CDS_mid",O$2)</f>
        <v>7.8756000000000004</v>
      </c>
      <c r="P17">
        <f ca="1">_xll.ciqfunctions.udf.CIQ($B17,"IQ_CDS_mid",P$2)</f>
        <v>7.9333</v>
      </c>
      <c r="Q17">
        <f ca="1">_xll.ciqfunctions.udf.CIQ($B17,"IQ_CDS_mid",Q$2)</f>
        <v>7.8871000000000002</v>
      </c>
      <c r="R17">
        <f ca="1">_xll.ciqfunctions.udf.CIQ($B17,"IQ_CDS_mid",R$2)</f>
        <v>7.875</v>
      </c>
      <c r="S17">
        <f ca="1">_xll.ciqfunctions.udf.CIQ($B17,"IQ_CDS_mid",S$2)</f>
        <v>10.474</v>
      </c>
      <c r="T17">
        <f t="shared" ca="1" si="1"/>
        <v>0</v>
      </c>
      <c r="U17">
        <f t="shared" ca="1" si="2"/>
        <v>-2.970000000000006E-2</v>
      </c>
      <c r="V17">
        <f t="shared" ca="1" si="3"/>
        <v>-5.3799999999999848E-2</v>
      </c>
      <c r="W17">
        <f t="shared" ca="1" si="4"/>
        <v>-4.1699999999999626E-2</v>
      </c>
      <c r="X17">
        <f t="shared" ca="1" si="0"/>
        <v>-2.6406999999999998</v>
      </c>
    </row>
    <row r="18" spans="1:24">
      <c r="A18" t="s">
        <v>195</v>
      </c>
      <c r="B18" s="25" t="s">
        <v>194</v>
      </c>
      <c r="C18">
        <f ca="1">_xll.ciqfunctions.udf.CIQ($B18,"IQ_CDS_mid",C$2)</f>
        <v>14.32</v>
      </c>
      <c r="D18">
        <f ca="1">_xll.ciqfunctions.udf.CIQ($B18,"IQ_CDS_mid",D$2)</f>
        <v>14.32</v>
      </c>
      <c r="E18">
        <f ca="1">_xll.ciqfunctions.udf.CIQ($B18,"IQ_CDS_mid",E$2)</f>
        <v>14.35</v>
      </c>
      <c r="F18">
        <f ca="1">_xll.ciqfunctions.udf.CIQ($B18,"IQ_CDS_mid",F$2)</f>
        <v>14.35</v>
      </c>
      <c r="G18">
        <f ca="1">_xll.ciqfunctions.udf.CIQ($B18,"IQ_CDS_mid",G$2)</f>
        <v>14.35</v>
      </c>
      <c r="H18">
        <f ca="1">_xll.ciqfunctions.udf.CIQ($B18,"IQ_CDS_mid",H$2)</f>
        <v>14.25</v>
      </c>
      <c r="I18">
        <f ca="1">_xll.ciqfunctions.udf.CIQ($B18,"IQ_CDS_mid",I$2)</f>
        <v>14.25</v>
      </c>
      <c r="J18">
        <f ca="1">_xll.ciqfunctions.udf.CIQ($B18,"IQ_CDS_mid",J$2)</f>
        <v>14.25</v>
      </c>
      <c r="K18">
        <f ca="1">_xll.ciqfunctions.udf.CIQ($B18,"IQ_CDS_mid",K$2)</f>
        <v>14.333299999999999</v>
      </c>
      <c r="L18">
        <f ca="1">_xll.ciqfunctions.udf.CIQ($B18,"IQ_CDS_mid",L$2)</f>
        <v>14.333299999999999</v>
      </c>
      <c r="M18">
        <f ca="1">_xll.ciqfunctions.udf.CIQ($B18,"IQ_CDS_mid",M$2)</f>
        <v>14.333299999999999</v>
      </c>
      <c r="N18">
        <f ca="1">_xll.ciqfunctions.udf.CIQ($B18,"IQ_CDS_mid",N$2)</f>
        <v>14.333299999999999</v>
      </c>
      <c r="O18">
        <f ca="1">_xll.ciqfunctions.udf.CIQ($B18,"IQ_CDS_mid",O$2)</f>
        <v>14.333299999999999</v>
      </c>
      <c r="P18">
        <f ca="1">_xll.ciqfunctions.udf.CIQ($B18,"IQ_CDS_mid",P$2)</f>
        <v>14.166700000000001</v>
      </c>
      <c r="Q18">
        <f ca="1">_xll.ciqfunctions.udf.CIQ($B18,"IQ_CDS_mid",Q$2)</f>
        <v>14.375</v>
      </c>
      <c r="R18">
        <f ca="1">_xll.ciqfunctions.udf.CIQ($B18,"IQ_CDS_mid",R$2)</f>
        <v>15.25</v>
      </c>
      <c r="S18">
        <f ca="1">_xll.ciqfunctions.udf.CIQ($B18,"IQ_CDS_mid",S$2)</f>
        <v>22.875</v>
      </c>
      <c r="T18">
        <f t="shared" ca="1" si="1"/>
        <v>7.0000000000000284E-2</v>
      </c>
      <c r="U18">
        <f t="shared" ca="1" si="2"/>
        <v>-1.3299999999999201E-2</v>
      </c>
      <c r="V18">
        <f t="shared" ca="1" si="3"/>
        <v>-5.4999999999999716E-2</v>
      </c>
      <c r="W18">
        <f t="shared" ca="1" si="4"/>
        <v>-0.92999999999999972</v>
      </c>
      <c r="X18">
        <f t="shared" ca="1" si="0"/>
        <v>-8.5549999999999997</v>
      </c>
    </row>
    <row r="19" spans="1:24">
      <c r="A19" t="s">
        <v>193</v>
      </c>
      <c r="B19" s="25" t="s">
        <v>192</v>
      </c>
      <c r="C19">
        <f ca="1">_xll.ciqfunctions.udf.CIQ($B19,"IQ_CDS_mid",C$2)</f>
        <v>36.849600000000002</v>
      </c>
      <c r="D19">
        <f ca="1">_xll.ciqfunctions.udf.CIQ($B19,"IQ_CDS_mid",D$2)</f>
        <v>36.849600000000002</v>
      </c>
      <c r="E19">
        <f ca="1">_xll.ciqfunctions.udf.CIQ($B19,"IQ_CDS_mid",E$2)</f>
        <v>36.8367</v>
      </c>
      <c r="F19">
        <f ca="1">_xll.ciqfunctions.udf.CIQ($B19,"IQ_CDS_mid",F$2)</f>
        <v>36.8367</v>
      </c>
      <c r="G19">
        <f ca="1">_xll.ciqfunctions.udf.CIQ($B19,"IQ_CDS_mid",G$2)</f>
        <v>36.8367</v>
      </c>
      <c r="H19">
        <f ca="1">_xll.ciqfunctions.udf.CIQ($B19,"IQ_CDS_mid",H$2)</f>
        <v>36.806100000000001</v>
      </c>
      <c r="I19">
        <f ca="1">_xll.ciqfunctions.udf.CIQ($B19,"IQ_CDS_mid",I$2)</f>
        <v>36.772199999999998</v>
      </c>
      <c r="J19">
        <f ca="1">_xll.ciqfunctions.udf.CIQ($B19,"IQ_CDS_mid",J$2)</f>
        <v>36.7241</v>
      </c>
      <c r="K19">
        <f ca="1">_xll.ciqfunctions.udf.CIQ($B19,"IQ_CDS_mid",K$2)</f>
        <v>36.652799999999999</v>
      </c>
      <c r="L19">
        <f ca="1">_xll.ciqfunctions.udf.CIQ($B19,"IQ_CDS_mid",L$2)</f>
        <v>36.5533</v>
      </c>
      <c r="M19">
        <f ca="1">_xll.ciqfunctions.udf.CIQ($B19,"IQ_CDS_mid",M$2)</f>
        <v>36.5533</v>
      </c>
      <c r="N19">
        <f ca="1">_xll.ciqfunctions.udf.CIQ($B19,"IQ_CDS_mid",N$2)</f>
        <v>36.5533</v>
      </c>
      <c r="O19">
        <f ca="1">_xll.ciqfunctions.udf.CIQ($B19,"IQ_CDS_mid",O$2)</f>
        <v>36.395899999999997</v>
      </c>
      <c r="P19">
        <f ca="1">_xll.ciqfunctions.udf.CIQ($B19,"IQ_CDS_mid",P$2)</f>
        <v>36.2286</v>
      </c>
      <c r="Q19">
        <f ca="1">_xll.ciqfunctions.udf.CIQ($B19,"IQ_CDS_mid",Q$2)</f>
        <v>35.996699999999997</v>
      </c>
      <c r="R19">
        <f ca="1">_xll.ciqfunctions.udf.CIQ($B19,"IQ_CDS_mid",R$2)</f>
        <v>37.183700000000002</v>
      </c>
      <c r="S19">
        <f ca="1">_xll.ciqfunctions.udf.CIQ($B19,"IQ_CDS_mid",S$2)</f>
        <v>31.437100000000001</v>
      </c>
      <c r="T19">
        <f t="shared" ca="1" si="1"/>
        <v>4.3500000000001648E-2</v>
      </c>
      <c r="U19">
        <f t="shared" ca="1" si="2"/>
        <v>0.29630000000000223</v>
      </c>
      <c r="V19">
        <f t="shared" ca="1" si="3"/>
        <v>0.85290000000000532</v>
      </c>
      <c r="W19">
        <f t="shared" ca="1" si="4"/>
        <v>-0.3340999999999994</v>
      </c>
      <c r="X19">
        <f t="shared" ca="1" si="0"/>
        <v>5.4125000000000014</v>
      </c>
    </row>
    <row r="20" spans="1:24">
      <c r="A20" t="s">
        <v>191</v>
      </c>
      <c r="B20" s="25" t="s">
        <v>190</v>
      </c>
      <c r="C20">
        <f ca="1">_xll.ciqfunctions.udf.CIQ($B20,"IQ_CDS_mid",C$2)</f>
        <v>15.833299999999999</v>
      </c>
      <c r="D20">
        <f ca="1">_xll.ciqfunctions.udf.CIQ($B20,"IQ_CDS_mid",D$2)</f>
        <v>15.833299999999999</v>
      </c>
      <c r="E20">
        <f ca="1">_xll.ciqfunctions.udf.CIQ($B20,"IQ_CDS_mid",E$2)</f>
        <v>15.833299999999999</v>
      </c>
      <c r="F20">
        <f ca="1">_xll.ciqfunctions.udf.CIQ($B20,"IQ_CDS_mid",F$2)</f>
        <v>15.833299999999999</v>
      </c>
      <c r="G20">
        <f ca="1">_xll.ciqfunctions.udf.CIQ($B20,"IQ_CDS_mid",G$2)</f>
        <v>15.833299999999999</v>
      </c>
      <c r="H20">
        <f ca="1">_xll.ciqfunctions.udf.CIQ($B20,"IQ_CDS_mid",H$2)</f>
        <v>15.833299999999999</v>
      </c>
      <c r="I20">
        <f ca="1">_xll.ciqfunctions.udf.CIQ($B20,"IQ_CDS_mid",I$2)</f>
        <v>16</v>
      </c>
      <c r="J20">
        <f ca="1">_xll.ciqfunctions.udf.CIQ($B20,"IQ_CDS_mid",J$2)</f>
        <v>16</v>
      </c>
      <c r="K20">
        <f ca="1">_xll.ciqfunctions.udf.CIQ($B20,"IQ_CDS_mid",K$2)</f>
        <v>16</v>
      </c>
      <c r="L20">
        <f ca="1">_xll.ciqfunctions.udf.CIQ($B20,"IQ_CDS_mid",L$2)</f>
        <v>16</v>
      </c>
      <c r="M20">
        <f ca="1">_xll.ciqfunctions.udf.CIQ($B20,"IQ_CDS_mid",M$2)</f>
        <v>16</v>
      </c>
      <c r="N20">
        <f ca="1">_xll.ciqfunctions.udf.CIQ($B20,"IQ_CDS_mid",N$2)</f>
        <v>16</v>
      </c>
      <c r="O20">
        <f ca="1">_xll.ciqfunctions.udf.CIQ($B20,"IQ_CDS_mid",O$2)</f>
        <v>16</v>
      </c>
      <c r="P20">
        <f ca="1">_xll.ciqfunctions.udf.CIQ($B20,"IQ_CDS_mid",P$2)</f>
        <v>16.083300000000001</v>
      </c>
      <c r="Q20">
        <f ca="1">_xll.ciqfunctions.udf.CIQ($B20,"IQ_CDS_mid",Q$2)</f>
        <v>16.025099999999998</v>
      </c>
      <c r="R20">
        <f ca="1">_xll.ciqfunctions.udf.CIQ($B20,"IQ_CDS_mid",R$2)</f>
        <v>16.25</v>
      </c>
      <c r="S20">
        <f ca="1">_xll.ciqfunctions.udf.CIQ($B20,"IQ_CDS_mid",S$2)</f>
        <v>26.5</v>
      </c>
      <c r="T20">
        <f t="shared" ca="1" si="1"/>
        <v>0</v>
      </c>
      <c r="U20">
        <f t="shared" ca="1" si="2"/>
        <v>-0.16670000000000051</v>
      </c>
      <c r="V20">
        <f t="shared" ca="1" si="3"/>
        <v>-0.19179999999999886</v>
      </c>
      <c r="W20">
        <f t="shared" ca="1" si="4"/>
        <v>-0.41670000000000051</v>
      </c>
      <c r="X20">
        <f t="shared" ca="1" si="0"/>
        <v>-10.666700000000001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17.95</v>
      </c>
      <c r="D22">
        <f ca="1">_xll.ciqfunctions.udf.CIQ($B22,"IQ_CDS_mid",D$2)</f>
        <v>17.95</v>
      </c>
      <c r="E22">
        <f ca="1">_xll.ciqfunctions.udf.CIQ($B22,"IQ_CDS_mid",E$2)</f>
        <v>17.95</v>
      </c>
      <c r="F22">
        <f ca="1">_xll.ciqfunctions.udf.CIQ($B22,"IQ_CDS_mid",F$2)</f>
        <v>17.95</v>
      </c>
      <c r="G22">
        <f ca="1">_xll.ciqfunctions.udf.CIQ($B22,"IQ_CDS_mid",G$2)</f>
        <v>17.95</v>
      </c>
      <c r="H22">
        <f ca="1">_xll.ciqfunctions.udf.CIQ($B22,"IQ_CDS_mid",H$2)</f>
        <v>17.95</v>
      </c>
      <c r="I22">
        <f ca="1">_xll.ciqfunctions.udf.CIQ($B22,"IQ_CDS_mid",I$2)</f>
        <v>18.0625</v>
      </c>
      <c r="J22">
        <f ca="1">_xll.ciqfunctions.udf.CIQ($B22,"IQ_CDS_mid",J$2)</f>
        <v>18.0625</v>
      </c>
      <c r="K22">
        <f ca="1">_xll.ciqfunctions.udf.CIQ($B22,"IQ_CDS_mid",K$2)</f>
        <v>18.125</v>
      </c>
      <c r="L22">
        <f ca="1">_xll.ciqfunctions.udf.CIQ($B22,"IQ_CDS_mid",L$2)</f>
        <v>18.118500000000001</v>
      </c>
      <c r="M22">
        <f ca="1">_xll.ciqfunctions.udf.CIQ($B22,"IQ_CDS_mid",M$2)</f>
        <v>18.118500000000001</v>
      </c>
      <c r="N22">
        <f ca="1">_xll.ciqfunctions.udf.CIQ($B22,"IQ_CDS_mid",N$2)</f>
        <v>18.118500000000001</v>
      </c>
      <c r="O22">
        <f ca="1">_xll.ciqfunctions.udf.CIQ($B22,"IQ_CDS_mid",O$2)</f>
        <v>18.25</v>
      </c>
      <c r="P22">
        <f ca="1">_xll.ciqfunctions.udf.CIQ($B22,"IQ_CDS_mid",P$2)</f>
        <v>18.3066</v>
      </c>
      <c r="Q22">
        <f ca="1">_xll.ciqfunctions.udf.CIQ($B22,"IQ_CDS_mid",Q$2)</f>
        <v>18.125</v>
      </c>
      <c r="R22">
        <f ca="1">_xll.ciqfunctions.udf.CIQ($B22,"IQ_CDS_mid",R$2)</f>
        <v>18.365600000000001</v>
      </c>
      <c r="S22">
        <f ca="1">_xll.ciqfunctions.udf.CIQ($B22,"IQ_CDS_mid",S$2)</f>
        <v>16.275400000000001</v>
      </c>
      <c r="T22">
        <f t="shared" ref="T22:T29" ca="1" si="5">C22-H22</f>
        <v>0</v>
      </c>
      <c r="U22">
        <f t="shared" ref="U22:U29" ca="1" si="6">C22-M22</f>
        <v>-0.16850000000000165</v>
      </c>
      <c r="V22">
        <f t="shared" ref="V22:V29" ca="1" si="7">C22-Q22</f>
        <v>-0.17500000000000071</v>
      </c>
      <c r="W22">
        <f t="shared" ref="W22:W29" ca="1" si="8">C22-R22</f>
        <v>-0.4156000000000013</v>
      </c>
      <c r="X22">
        <f t="shared" ca="1" si="0"/>
        <v>1.6745999999999981</v>
      </c>
    </row>
    <row r="23" spans="1:24">
      <c r="A23" t="s">
        <v>186</v>
      </c>
      <c r="B23" s="25" t="s">
        <v>185</v>
      </c>
      <c r="C23">
        <f ca="1">_xll.ciqfunctions.udf.CIQ($B23,"IQ_CDS_mid",C$2)</f>
        <v>27.982600000000001</v>
      </c>
      <c r="D23">
        <f ca="1">_xll.ciqfunctions.udf.CIQ($B23,"IQ_CDS_mid",D$2)</f>
        <v>27.982600000000001</v>
      </c>
      <c r="E23">
        <f ca="1">_xll.ciqfunctions.udf.CIQ($B23,"IQ_CDS_mid",E$2)</f>
        <v>28.020600000000002</v>
      </c>
      <c r="F23">
        <f ca="1">_xll.ciqfunctions.udf.CIQ($B23,"IQ_CDS_mid",F$2)</f>
        <v>28.020600000000002</v>
      </c>
      <c r="G23">
        <f ca="1">_xll.ciqfunctions.udf.CIQ($B23,"IQ_CDS_mid",G$2)</f>
        <v>28.020600000000002</v>
      </c>
      <c r="H23">
        <f ca="1">_xll.ciqfunctions.udf.CIQ($B23,"IQ_CDS_mid",H$2)</f>
        <v>27.999400000000001</v>
      </c>
      <c r="I23">
        <f ca="1">_xll.ciqfunctions.udf.CIQ($B23,"IQ_CDS_mid",I$2)</f>
        <v>28.053100000000001</v>
      </c>
      <c r="J23">
        <f ca="1">_xll.ciqfunctions.udf.CIQ($B23,"IQ_CDS_mid",J$2)</f>
        <v>28.096599999999999</v>
      </c>
      <c r="K23">
        <f ca="1">_xll.ciqfunctions.udf.CIQ($B23,"IQ_CDS_mid",K$2)</f>
        <v>28.119900000000001</v>
      </c>
      <c r="L23">
        <f ca="1">_xll.ciqfunctions.udf.CIQ($B23,"IQ_CDS_mid",L$2)</f>
        <v>28.090699999999998</v>
      </c>
      <c r="M23">
        <f ca="1">_xll.ciqfunctions.udf.CIQ($B23,"IQ_CDS_mid",M$2)</f>
        <v>28.090699999999998</v>
      </c>
      <c r="N23">
        <f ca="1">_xll.ciqfunctions.udf.CIQ($B23,"IQ_CDS_mid",N$2)</f>
        <v>28.090699999999998</v>
      </c>
      <c r="O23">
        <f ca="1">_xll.ciqfunctions.udf.CIQ($B23,"IQ_CDS_mid",O$2)</f>
        <v>28.3462</v>
      </c>
      <c r="P23">
        <f ca="1">_xll.ciqfunctions.udf.CIQ($B23,"IQ_CDS_mid",P$2)</f>
        <v>29.359500000000001</v>
      </c>
      <c r="Q23">
        <f ca="1">_xll.ciqfunctions.udf.CIQ($B23,"IQ_CDS_mid",Q$2)</f>
        <v>29.3675</v>
      </c>
      <c r="R23">
        <f ca="1">_xll.ciqfunctions.udf.CIQ($B23,"IQ_CDS_mid",R$2)</f>
        <v>29.372</v>
      </c>
      <c r="S23">
        <f ca="1">_xll.ciqfunctions.udf.CIQ($B23,"IQ_CDS_mid",S$2)</f>
        <v>23.5351</v>
      </c>
      <c r="T23">
        <f t="shared" ca="1" si="5"/>
        <v>-1.6799999999999926E-2</v>
      </c>
      <c r="U23">
        <f t="shared" ca="1" si="6"/>
        <v>-0.10809999999999675</v>
      </c>
      <c r="V23">
        <f t="shared" ca="1" si="7"/>
        <v>-1.3848999999999982</v>
      </c>
      <c r="W23">
        <f t="shared" ca="1" si="8"/>
        <v>-1.3893999999999984</v>
      </c>
      <c r="X23">
        <f t="shared" ca="1" si="0"/>
        <v>4.4475000000000016</v>
      </c>
    </row>
    <row r="24" spans="1:24">
      <c r="A24" t="s">
        <v>31</v>
      </c>
      <c r="B24" s="25" t="s">
        <v>184</v>
      </c>
      <c r="C24">
        <f ca="1">_xll.ciqfunctions.udf.CIQ($B24,"IQ_CDS_mid",C$2)</f>
        <v>7.6666999999999996</v>
      </c>
      <c r="D24">
        <f ca="1">_xll.ciqfunctions.udf.CIQ($B24,"IQ_CDS_mid",D$2)</f>
        <v>7.6666999999999996</v>
      </c>
      <c r="E24">
        <f ca="1">_xll.ciqfunctions.udf.CIQ($B24,"IQ_CDS_mid",E$2)</f>
        <v>7.8333000000000004</v>
      </c>
      <c r="F24">
        <f ca="1">_xll.ciqfunctions.udf.CIQ($B24,"IQ_CDS_mid",F$2)</f>
        <v>7.8333000000000004</v>
      </c>
      <c r="G24">
        <f ca="1">_xll.ciqfunctions.udf.CIQ($B24,"IQ_CDS_mid",G$2)</f>
        <v>7.8333000000000004</v>
      </c>
      <c r="H24">
        <f ca="1">_xll.ciqfunctions.udf.CIQ($B24,"IQ_CDS_mid",H$2)</f>
        <v>8.125</v>
      </c>
      <c r="I24">
        <f ca="1">_xll.ciqfunctions.udf.CIQ($B24,"IQ_CDS_mid",I$2)</f>
        <v>8</v>
      </c>
      <c r="J24">
        <f ca="1">_xll.ciqfunctions.udf.CIQ($B24,"IQ_CDS_mid",J$2)</f>
        <v>8</v>
      </c>
      <c r="K24">
        <f ca="1">_xll.ciqfunctions.udf.CIQ($B24,"IQ_CDS_mid",K$2)</f>
        <v>7.8333000000000004</v>
      </c>
      <c r="L24">
        <f ca="1">_xll.ciqfunctions.udf.CIQ($B24,"IQ_CDS_mid",L$2)</f>
        <v>7.6666999999999996</v>
      </c>
      <c r="M24">
        <f ca="1">_xll.ciqfunctions.udf.CIQ($B24,"IQ_CDS_mid",M$2)</f>
        <v>7.6666999999999996</v>
      </c>
      <c r="N24">
        <f ca="1">_xll.ciqfunctions.udf.CIQ($B24,"IQ_CDS_mid",N$2)</f>
        <v>7.6666999999999996</v>
      </c>
      <c r="O24">
        <f ca="1">_xll.ciqfunctions.udf.CIQ($B24,"IQ_CDS_mid",O$2)</f>
        <v>8.125</v>
      </c>
      <c r="P24">
        <f ca="1">_xll.ciqfunctions.udf.CIQ($B24,"IQ_CDS_mid",P$2)</f>
        <v>7.6666999999999996</v>
      </c>
      <c r="Q24">
        <f ca="1">_xll.ciqfunctions.udf.CIQ($B24,"IQ_CDS_mid",Q$2)</f>
        <v>8.125</v>
      </c>
      <c r="R24">
        <f ca="1">_xll.ciqfunctions.udf.CIQ($B24,"IQ_CDS_mid",R$2)</f>
        <v>8.6133000000000006</v>
      </c>
      <c r="S24">
        <f ca="1">_xll.ciqfunctions.udf.CIQ($B24,"IQ_CDS_mid",S$2)</f>
        <v>8.9764999999999997</v>
      </c>
      <c r="T24">
        <f t="shared" ca="1" si="5"/>
        <v>-0.45830000000000037</v>
      </c>
      <c r="U24">
        <f t="shared" ca="1" si="6"/>
        <v>0</v>
      </c>
      <c r="V24">
        <f t="shared" ca="1" si="7"/>
        <v>-0.45830000000000037</v>
      </c>
      <c r="W24">
        <f t="shared" ca="1" si="8"/>
        <v>-0.946600000000001</v>
      </c>
      <c r="X24">
        <f t="shared" ca="1" si="0"/>
        <v>-1.3098000000000001</v>
      </c>
    </row>
    <row r="25" spans="1:24">
      <c r="A25" t="s">
        <v>183</v>
      </c>
      <c r="B25" s="25" t="s">
        <v>182</v>
      </c>
      <c r="C25">
        <f ca="1">_xll.ciqfunctions.udf.CIQ($B25,"IQ_CDS_mid",C$2)</f>
        <v>4.6153000000000004</v>
      </c>
      <c r="D25">
        <f ca="1">_xll.ciqfunctions.udf.CIQ($B25,"IQ_CDS_mid",D$2)</f>
        <v>4.6153000000000004</v>
      </c>
      <c r="E25">
        <f ca="1">_xll.ciqfunctions.udf.CIQ($B25,"IQ_CDS_mid",E$2)</f>
        <v>4.6425999999999998</v>
      </c>
      <c r="F25">
        <f ca="1">_xll.ciqfunctions.udf.CIQ($B25,"IQ_CDS_mid",F$2)</f>
        <v>4.6425999999999998</v>
      </c>
      <c r="G25">
        <f ca="1">_xll.ciqfunctions.udf.CIQ($B25,"IQ_CDS_mid",G$2)</f>
        <v>4.6425999999999998</v>
      </c>
      <c r="H25">
        <f ca="1">_xll.ciqfunctions.udf.CIQ($B25,"IQ_CDS_mid",H$2)</f>
        <v>4.6696999999999997</v>
      </c>
      <c r="I25">
        <f ca="1">_xll.ciqfunctions.udf.CIQ($B25,"IQ_CDS_mid",I$2)</f>
        <v>4.8372000000000002</v>
      </c>
      <c r="J25">
        <f ca="1">_xll.ciqfunctions.udf.CIQ($B25,"IQ_CDS_mid",J$2)</f>
        <v>4.8338999999999999</v>
      </c>
      <c r="K25">
        <f ca="1">_xll.ciqfunctions.udf.CIQ($B25,"IQ_CDS_mid",K$2)</f>
        <v>4.8216999999999999</v>
      </c>
      <c r="L25">
        <f ca="1">_xll.ciqfunctions.udf.CIQ($B25,"IQ_CDS_mid",L$2)</f>
        <v>4.8384</v>
      </c>
      <c r="M25">
        <f ca="1">_xll.ciqfunctions.udf.CIQ($B25,"IQ_CDS_mid",M$2)</f>
        <v>4.8384</v>
      </c>
      <c r="N25">
        <f ca="1">_xll.ciqfunctions.udf.CIQ($B25,"IQ_CDS_mid",N$2)</f>
        <v>4.8384</v>
      </c>
      <c r="O25">
        <f ca="1">_xll.ciqfunctions.udf.CIQ($B25,"IQ_CDS_mid",O$2)</f>
        <v>4.8756000000000004</v>
      </c>
      <c r="P25">
        <f ca="1">_xll.ciqfunctions.udf.CIQ($B25,"IQ_CDS_mid",P$2)</f>
        <v>4.8385999999999996</v>
      </c>
      <c r="Q25">
        <f ca="1">_xll.ciqfunctions.udf.CIQ($B25,"IQ_CDS_mid",Q$2)</f>
        <v>4.8596000000000004</v>
      </c>
      <c r="R25">
        <f ca="1">_xll.ciqfunctions.udf.CIQ($B25,"IQ_CDS_mid",R$2)</f>
        <v>5.5431999999999997</v>
      </c>
      <c r="S25">
        <f ca="1">_xll.ciqfunctions.udf.CIQ($B25,"IQ_CDS_mid",S$2)</f>
        <v>7.4661999999999997</v>
      </c>
      <c r="T25">
        <f t="shared" ca="1" si="5"/>
        <v>-5.4399999999999338E-2</v>
      </c>
      <c r="U25">
        <f t="shared" ca="1" si="6"/>
        <v>-0.22309999999999963</v>
      </c>
      <c r="V25">
        <f t="shared" ca="1" si="7"/>
        <v>-0.24429999999999996</v>
      </c>
      <c r="W25">
        <f t="shared" ca="1" si="8"/>
        <v>-0.92789999999999928</v>
      </c>
      <c r="X25">
        <f t="shared" ca="1" si="0"/>
        <v>-2.8508999999999993</v>
      </c>
    </row>
    <row r="26" spans="1:24">
      <c r="A26" t="s">
        <v>181</v>
      </c>
      <c r="B26" s="25" t="s">
        <v>180</v>
      </c>
      <c r="C26">
        <f ca="1">_xll.ciqfunctions.udf.CIQ($B26,"IQ_CDS_mid",C$2)</f>
        <v>50.666699999999999</v>
      </c>
      <c r="D26">
        <f ca="1">_xll.ciqfunctions.udf.CIQ($B26,"IQ_CDS_mid",D$2)</f>
        <v>50.666699999999999</v>
      </c>
      <c r="E26">
        <f ca="1">_xll.ciqfunctions.udf.CIQ($B26,"IQ_CDS_mid",E$2)</f>
        <v>50.795200000000001</v>
      </c>
      <c r="F26">
        <f ca="1">_xll.ciqfunctions.udf.CIQ($B26,"IQ_CDS_mid",F$2)</f>
        <v>50.795200000000001</v>
      </c>
      <c r="G26">
        <f ca="1">_xll.ciqfunctions.udf.CIQ($B26,"IQ_CDS_mid",G$2)</f>
        <v>50.795200000000001</v>
      </c>
      <c r="H26">
        <f ca="1">_xll.ciqfunctions.udf.CIQ($B26,"IQ_CDS_mid",H$2)</f>
        <v>50.7943</v>
      </c>
      <c r="I26">
        <f ca="1">_xll.ciqfunctions.udf.CIQ($B26,"IQ_CDS_mid",I$2)</f>
        <v>50.485199999999999</v>
      </c>
      <c r="J26">
        <f ca="1">_xll.ciqfunctions.udf.CIQ($B26,"IQ_CDS_mid",J$2)</f>
        <v>50.562399999999997</v>
      </c>
      <c r="K26">
        <f ca="1">_xll.ciqfunctions.udf.CIQ($B26,"IQ_CDS_mid",K$2)</f>
        <v>50.855899999999998</v>
      </c>
      <c r="L26">
        <f ca="1">_xll.ciqfunctions.udf.CIQ($B26,"IQ_CDS_mid",L$2)</f>
        <v>51.493899999999996</v>
      </c>
      <c r="M26">
        <f ca="1">_xll.ciqfunctions.udf.CIQ($B26,"IQ_CDS_mid",M$2)</f>
        <v>51.493899999999996</v>
      </c>
      <c r="N26">
        <f ca="1">_xll.ciqfunctions.udf.CIQ($B26,"IQ_CDS_mid",N$2)</f>
        <v>51.493899999999996</v>
      </c>
      <c r="O26">
        <f ca="1">_xll.ciqfunctions.udf.CIQ($B26,"IQ_CDS_mid",O$2)</f>
        <v>51.083300000000001</v>
      </c>
      <c r="P26">
        <f ca="1">_xll.ciqfunctions.udf.CIQ($B26,"IQ_CDS_mid",P$2)</f>
        <v>51.078499999999998</v>
      </c>
      <c r="Q26">
        <f ca="1">_xll.ciqfunctions.udf.CIQ($B26,"IQ_CDS_mid",Q$2)</f>
        <v>50.8249</v>
      </c>
      <c r="R26">
        <f ca="1">_xll.ciqfunctions.udf.CIQ($B26,"IQ_CDS_mid",R$2)</f>
        <v>49.875</v>
      </c>
      <c r="S26">
        <f ca="1">_xll.ciqfunctions.udf.CIQ($B26,"IQ_CDS_mid",S$2)</f>
        <v>62.572200000000002</v>
      </c>
      <c r="T26">
        <f t="shared" ca="1" si="5"/>
        <v>-0.12760000000000105</v>
      </c>
      <c r="U26">
        <f t="shared" ca="1" si="6"/>
        <v>-0.82719999999999771</v>
      </c>
      <c r="V26">
        <f t="shared" ca="1" si="7"/>
        <v>-0.15820000000000078</v>
      </c>
      <c r="W26">
        <f t="shared" ca="1" si="8"/>
        <v>0.79169999999999874</v>
      </c>
      <c r="X26">
        <f t="shared" ca="1" si="0"/>
        <v>-11.905500000000004</v>
      </c>
    </row>
    <row r="27" spans="1:24">
      <c r="A27" t="s">
        <v>179</v>
      </c>
      <c r="B27" s="25" t="s">
        <v>178</v>
      </c>
      <c r="C27">
        <f ca="1">_xll.ciqfunctions.udf.CIQ($B27,"IQ_CDS_mid",C$2)</f>
        <v>5.8555999999999999</v>
      </c>
      <c r="D27">
        <f ca="1">_xll.ciqfunctions.udf.CIQ($B27,"IQ_CDS_mid",D$2)</f>
        <v>5.8555999999999999</v>
      </c>
      <c r="E27">
        <f ca="1">_xll.ciqfunctions.udf.CIQ($B27,"IQ_CDS_mid",E$2)</f>
        <v>5.91</v>
      </c>
      <c r="F27">
        <f ca="1">_xll.ciqfunctions.udf.CIQ($B27,"IQ_CDS_mid",F$2)</f>
        <v>5.91</v>
      </c>
      <c r="G27">
        <f ca="1">_xll.ciqfunctions.udf.CIQ($B27,"IQ_CDS_mid",G$2)</f>
        <v>5.91</v>
      </c>
      <c r="H27">
        <f ca="1">_xll.ciqfunctions.udf.CIQ($B27,"IQ_CDS_mid",H$2)</f>
        <v>5.9664999999999999</v>
      </c>
      <c r="I27">
        <f ca="1">_xll.ciqfunctions.udf.CIQ($B27,"IQ_CDS_mid",I$2)</f>
        <v>6.1368</v>
      </c>
      <c r="J27">
        <f ca="1">_xll.ciqfunctions.udf.CIQ($B27,"IQ_CDS_mid",J$2)</f>
        <v>6.3418000000000001</v>
      </c>
      <c r="K27">
        <f ca="1">_xll.ciqfunctions.udf.CIQ($B27,"IQ_CDS_mid",K$2)</f>
        <v>6.3461999999999996</v>
      </c>
      <c r="L27">
        <f ca="1">_xll.ciqfunctions.udf.CIQ($B27,"IQ_CDS_mid",L$2)</f>
        <v>6.3643999999999998</v>
      </c>
      <c r="M27">
        <f ca="1">_xll.ciqfunctions.udf.CIQ($B27,"IQ_CDS_mid",M$2)</f>
        <v>6.3643999999999998</v>
      </c>
      <c r="N27">
        <f ca="1">_xll.ciqfunctions.udf.CIQ($B27,"IQ_CDS_mid",N$2)</f>
        <v>6.3643999999999998</v>
      </c>
      <c r="O27">
        <f ca="1">_xll.ciqfunctions.udf.CIQ($B27,"IQ_CDS_mid",O$2)</f>
        <v>6.4034000000000004</v>
      </c>
      <c r="P27">
        <f ca="1">_xll.ciqfunctions.udf.CIQ($B27,"IQ_CDS_mid",P$2)</f>
        <v>6.5388000000000002</v>
      </c>
      <c r="Q27">
        <f ca="1">_xll.ciqfunctions.udf.CIQ($B27,"IQ_CDS_mid",Q$2)</f>
        <v>7.0087999999999999</v>
      </c>
      <c r="R27">
        <f ca="1">_xll.ciqfunctions.udf.CIQ($B27,"IQ_CDS_mid",R$2)</f>
        <v>7.9375</v>
      </c>
      <c r="S27">
        <f ca="1">_xll.ciqfunctions.udf.CIQ($B27,"IQ_CDS_mid",S$2)</f>
        <v>9.5581999999999994</v>
      </c>
      <c r="T27">
        <f t="shared" ca="1" si="5"/>
        <v>-0.1109</v>
      </c>
      <c r="U27">
        <f t="shared" ca="1" si="6"/>
        <v>-0.50879999999999992</v>
      </c>
      <c r="V27">
        <f t="shared" ca="1" si="7"/>
        <v>-1.1532</v>
      </c>
      <c r="W27">
        <f t="shared" ca="1" si="8"/>
        <v>-2.0819000000000001</v>
      </c>
      <c r="X27">
        <f t="shared" ca="1" si="0"/>
        <v>-3.7025999999999994</v>
      </c>
    </row>
    <row r="28" spans="1:24">
      <c r="A28" t="s">
        <v>21</v>
      </c>
      <c r="B28" s="25" t="s">
        <v>177</v>
      </c>
      <c r="C28">
        <f ca="1">_xll.ciqfunctions.udf.CIQ($B28,"IQ_CDS_mid",C$2)</f>
        <v>7.1661999999999999</v>
      </c>
      <c r="D28">
        <f ca="1">_xll.ciqfunctions.udf.CIQ($B28,"IQ_CDS_mid",D$2)</f>
        <v>7.1661999999999999</v>
      </c>
      <c r="E28">
        <f ca="1">_xll.ciqfunctions.udf.CIQ($B28,"IQ_CDS_mid",E$2)</f>
        <v>7.1784999999999997</v>
      </c>
      <c r="F28">
        <f ca="1">_xll.ciqfunctions.udf.CIQ($B28,"IQ_CDS_mid",F$2)</f>
        <v>7.1784999999999997</v>
      </c>
      <c r="G28">
        <f ca="1">_xll.ciqfunctions.udf.CIQ($B28,"IQ_CDS_mid",G$2)</f>
        <v>7.1784999999999997</v>
      </c>
      <c r="H28">
        <f ca="1">_xll.ciqfunctions.udf.CIQ($B28,"IQ_CDS_mid",H$2)</f>
        <v>7.1921999999999997</v>
      </c>
      <c r="I28">
        <f ca="1">_xll.ciqfunctions.udf.CIQ($B28,"IQ_CDS_mid",I$2)</f>
        <v>7.2480000000000002</v>
      </c>
      <c r="J28">
        <f ca="1">_xll.ciqfunctions.udf.CIQ($B28,"IQ_CDS_mid",J$2)</f>
        <v>7.2503000000000002</v>
      </c>
      <c r="K28">
        <f ca="1">_xll.ciqfunctions.udf.CIQ($B28,"IQ_CDS_mid",K$2)</f>
        <v>7.2473999999999998</v>
      </c>
      <c r="L28">
        <f ca="1">_xll.ciqfunctions.udf.CIQ($B28,"IQ_CDS_mid",L$2)</f>
        <v>7.2443</v>
      </c>
      <c r="M28">
        <f ca="1">_xll.ciqfunctions.udf.CIQ($B28,"IQ_CDS_mid",M$2)</f>
        <v>7.2443</v>
      </c>
      <c r="N28">
        <f ca="1">_xll.ciqfunctions.udf.CIQ($B28,"IQ_CDS_mid",N$2)</f>
        <v>7.2443</v>
      </c>
      <c r="O28">
        <f ca="1">_xll.ciqfunctions.udf.CIQ($B28,"IQ_CDS_mid",O$2)</f>
        <v>7.2474999999999996</v>
      </c>
      <c r="P28">
        <f ca="1">_xll.ciqfunctions.udf.CIQ($B28,"IQ_CDS_mid",P$2)</f>
        <v>7.2474999999999996</v>
      </c>
      <c r="Q28">
        <f ca="1">_xll.ciqfunctions.udf.CIQ($B28,"IQ_CDS_mid",Q$2)</f>
        <v>7.2504</v>
      </c>
      <c r="R28">
        <f ca="1">_xll.ciqfunctions.udf.CIQ($B28,"IQ_CDS_mid",R$2)</f>
        <v>7.4691999999999998</v>
      </c>
      <c r="S28">
        <f ca="1">_xll.ciqfunctions.udf.CIQ($B28,"IQ_CDS_mid",S$2)</f>
        <v>7.9969999999999999</v>
      </c>
      <c r="T28">
        <f t="shared" ca="1" si="5"/>
        <v>-2.5999999999999801E-2</v>
      </c>
      <c r="U28">
        <f t="shared" ca="1" si="6"/>
        <v>-7.8100000000000058E-2</v>
      </c>
      <c r="V28">
        <f t="shared" ca="1" si="7"/>
        <v>-8.4200000000000053E-2</v>
      </c>
      <c r="W28">
        <f t="shared" ca="1" si="8"/>
        <v>-0.30299999999999994</v>
      </c>
      <c r="X28">
        <f t="shared" ca="1" si="0"/>
        <v>-0.83079999999999998</v>
      </c>
    </row>
    <row r="29" spans="1:24">
      <c r="A29" t="s">
        <v>176</v>
      </c>
      <c r="B29" s="25" t="s">
        <v>175</v>
      </c>
      <c r="C29">
        <f ca="1">_xll.ciqfunctions.udf.CIQ($B29,"IQ_CDS_mid",C$2)</f>
        <v>764.10159999999996</v>
      </c>
      <c r="D29">
        <f ca="1">_xll.ciqfunctions.udf.CIQ($B29,"IQ_CDS_mid",D$2)</f>
        <v>764.10159999999996</v>
      </c>
      <c r="E29">
        <f ca="1">_xll.ciqfunctions.udf.CIQ($B29,"IQ_CDS_mid",E$2)</f>
        <v>764.40959999999995</v>
      </c>
      <c r="F29">
        <f ca="1">_xll.ciqfunctions.udf.CIQ($B29,"IQ_CDS_mid",F$2)</f>
        <v>764.40959999999995</v>
      </c>
      <c r="G29">
        <f ca="1">_xll.ciqfunctions.udf.CIQ($B29,"IQ_CDS_mid",G$2)</f>
        <v>764.40959999999995</v>
      </c>
      <c r="H29">
        <f ca="1">_xll.ciqfunctions.udf.CIQ($B29,"IQ_CDS_mid",H$2)</f>
        <v>763.3587</v>
      </c>
      <c r="I29">
        <f ca="1">_xll.ciqfunctions.udf.CIQ($B29,"IQ_CDS_mid",I$2)</f>
        <v>763.6454</v>
      </c>
      <c r="J29">
        <f ca="1">_xll.ciqfunctions.udf.CIQ($B29,"IQ_CDS_mid",J$2)</f>
        <v>764.33100000000002</v>
      </c>
      <c r="K29">
        <f ca="1">_xll.ciqfunctions.udf.CIQ($B29,"IQ_CDS_mid",K$2)</f>
        <v>764.19299999999998</v>
      </c>
      <c r="L29">
        <f ca="1">_xll.ciqfunctions.udf.CIQ($B29,"IQ_CDS_mid",L$2)</f>
        <v>742.93539999999996</v>
      </c>
      <c r="M29">
        <f ca="1">_xll.ciqfunctions.udf.CIQ($B29,"IQ_CDS_mid",M$2)</f>
        <v>742.93539999999996</v>
      </c>
      <c r="N29">
        <f ca="1">_xll.ciqfunctions.udf.CIQ($B29,"IQ_CDS_mid",N$2)</f>
        <v>742.93539999999996</v>
      </c>
      <c r="O29">
        <f ca="1">_xll.ciqfunctions.udf.CIQ($B29,"IQ_CDS_mid",O$2)</f>
        <v>755.8895</v>
      </c>
      <c r="P29">
        <f ca="1">_xll.ciqfunctions.udf.CIQ($B29,"IQ_CDS_mid",P$2)</f>
        <v>757.01909999999998</v>
      </c>
      <c r="Q29">
        <f ca="1">_xll.ciqfunctions.udf.CIQ($B29,"IQ_CDS_mid",Q$2)</f>
        <v>750.11810000000003</v>
      </c>
      <c r="R29">
        <f ca="1">_xll.ciqfunctions.udf.CIQ($B29,"IQ_CDS_mid",R$2)</f>
        <v>775.56489999999997</v>
      </c>
      <c r="S29">
        <f ca="1">_xll.ciqfunctions.udf.CIQ($B29,"IQ_CDS_mid",S$2)</f>
        <v>14787.329299999999</v>
      </c>
      <c r="T29">
        <f t="shared" ca="1" si="5"/>
        <v>0.74289999999996326</v>
      </c>
      <c r="U29">
        <f t="shared" ca="1" si="6"/>
        <v>21.166200000000003</v>
      </c>
      <c r="V29">
        <f t="shared" ca="1" si="7"/>
        <v>13.983499999999935</v>
      </c>
      <c r="W29">
        <f t="shared" ca="1" si="8"/>
        <v>-11.463300000000004</v>
      </c>
      <c r="X29">
        <f t="shared" ca="1" si="0"/>
        <v>-14023.227699999999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14.81</v>
      </c>
      <c r="D31">
        <f ca="1">_xll.ciqfunctions.udf.CIQ($B31,"IQ_CDS_mid",D$2)</f>
        <v>14.81</v>
      </c>
      <c r="E31">
        <f ca="1">_xll.ciqfunctions.udf.CIQ($B31,"IQ_CDS_mid",E$2)</f>
        <v>14.875</v>
      </c>
      <c r="F31">
        <f ca="1">_xll.ciqfunctions.udf.CIQ($B31,"IQ_CDS_mid",F$2)</f>
        <v>14.875</v>
      </c>
      <c r="G31">
        <f ca="1">_xll.ciqfunctions.udf.CIQ($B31,"IQ_CDS_mid",G$2)</f>
        <v>14.875</v>
      </c>
      <c r="H31">
        <f ca="1">_xll.ciqfunctions.udf.CIQ($B31,"IQ_CDS_mid",H$2)</f>
        <v>14.83</v>
      </c>
      <c r="I31">
        <f ca="1">_xll.ciqfunctions.udf.CIQ($B31,"IQ_CDS_mid",I$2)</f>
        <v>14.7471</v>
      </c>
      <c r="J31">
        <f ca="1">_xll.ciqfunctions.udf.CIQ($B31,"IQ_CDS_mid",J$2)</f>
        <v>14.375</v>
      </c>
      <c r="K31">
        <f ca="1">_xll.ciqfunctions.udf.CIQ($B31,"IQ_CDS_mid",K$2)</f>
        <v>14.375</v>
      </c>
      <c r="L31">
        <f ca="1">_xll.ciqfunctions.udf.CIQ($B31,"IQ_CDS_mid",L$2)</f>
        <v>14.786</v>
      </c>
      <c r="M31">
        <f ca="1">_xll.ciqfunctions.udf.CIQ($B31,"IQ_CDS_mid",M$2)</f>
        <v>14.786</v>
      </c>
      <c r="N31">
        <f ca="1">_xll.ciqfunctions.udf.CIQ($B31,"IQ_CDS_mid",N$2)</f>
        <v>14.786</v>
      </c>
      <c r="O31">
        <f ca="1">_xll.ciqfunctions.udf.CIQ($B31,"IQ_CDS_mid",O$2)</f>
        <v>14.958299999999999</v>
      </c>
      <c r="P31">
        <f ca="1">_xll.ciqfunctions.udf.CIQ($B31,"IQ_CDS_mid",P$2)</f>
        <v>14.4572</v>
      </c>
      <c r="Q31">
        <f ca="1">_xll.ciqfunctions.udf.CIQ($B31,"IQ_CDS_mid",Q$2)</f>
        <v>14.231299999999999</v>
      </c>
      <c r="R31">
        <f ca="1">_xll.ciqfunctions.udf.CIQ($B31,"IQ_CDS_mid",R$2)</f>
        <v>12.813800000000001</v>
      </c>
      <c r="S31">
        <f ca="1">_xll.ciqfunctions.udf.CIQ($B31,"IQ_CDS_mid",S$2)</f>
        <v>11.5184</v>
      </c>
      <c r="T31">
        <f t="shared" ref="T31:T40" ca="1" si="9">C31-H31</f>
        <v>-1.9999999999999574E-2</v>
      </c>
      <c r="U31">
        <f t="shared" ref="U31:U40" ca="1" si="10">C31-M31</f>
        <v>2.4000000000000909E-2</v>
      </c>
      <c r="V31">
        <f t="shared" ref="V31:V40" ca="1" si="11">C31-Q31</f>
        <v>0.57870000000000132</v>
      </c>
      <c r="W31">
        <f t="shared" ref="W31:W40" ca="1" si="12">C31-R31</f>
        <v>1.9962</v>
      </c>
      <c r="X31">
        <f t="shared" ca="1" si="0"/>
        <v>3.2916000000000007</v>
      </c>
    </row>
    <row r="32" spans="1:24">
      <c r="A32" t="s">
        <v>171</v>
      </c>
      <c r="B32" s="25" t="s">
        <v>170</v>
      </c>
      <c r="C32">
        <f ca="1">_xll.ciqfunctions.udf.CIQ($B32,"IQ_CDS_mid",C$2)</f>
        <v>37.2468</v>
      </c>
      <c r="D32">
        <f ca="1">_xll.ciqfunctions.udf.CIQ($B32,"IQ_CDS_mid",D$2)</f>
        <v>37.2468</v>
      </c>
      <c r="E32">
        <f ca="1">_xll.ciqfunctions.udf.CIQ($B32,"IQ_CDS_mid",E$2)</f>
        <v>37.2502</v>
      </c>
      <c r="F32">
        <f ca="1">_xll.ciqfunctions.udf.CIQ($B32,"IQ_CDS_mid",F$2)</f>
        <v>37.2502</v>
      </c>
      <c r="G32">
        <f ca="1">_xll.ciqfunctions.udf.CIQ($B32,"IQ_CDS_mid",G$2)</f>
        <v>37.2502</v>
      </c>
      <c r="H32">
        <f ca="1">_xll.ciqfunctions.udf.CIQ($B32,"IQ_CDS_mid",H$2)</f>
        <v>37.268000000000001</v>
      </c>
      <c r="I32">
        <f ca="1">_xll.ciqfunctions.udf.CIQ($B32,"IQ_CDS_mid",I$2)</f>
        <v>36.990200000000002</v>
      </c>
      <c r="J32">
        <f ca="1">_xll.ciqfunctions.udf.CIQ($B32,"IQ_CDS_mid",J$2)</f>
        <v>37.524900000000002</v>
      </c>
      <c r="K32">
        <f ca="1">_xll.ciqfunctions.udf.CIQ($B32,"IQ_CDS_mid",K$2)</f>
        <v>37.913400000000003</v>
      </c>
      <c r="L32">
        <f ca="1">_xll.ciqfunctions.udf.CIQ($B32,"IQ_CDS_mid",L$2)</f>
        <v>37.985199999999999</v>
      </c>
      <c r="M32">
        <f ca="1">_xll.ciqfunctions.udf.CIQ($B32,"IQ_CDS_mid",M$2)</f>
        <v>37.985199999999999</v>
      </c>
      <c r="N32">
        <f ca="1">_xll.ciqfunctions.udf.CIQ($B32,"IQ_CDS_mid",N$2)</f>
        <v>37.985199999999999</v>
      </c>
      <c r="O32">
        <f ca="1">_xll.ciqfunctions.udf.CIQ($B32,"IQ_CDS_mid",O$2)</f>
        <v>38.817700000000002</v>
      </c>
      <c r="P32">
        <f ca="1">_xll.ciqfunctions.udf.CIQ($B32,"IQ_CDS_mid",P$2)</f>
        <v>38.4788</v>
      </c>
      <c r="Q32">
        <f ca="1">_xll.ciqfunctions.udf.CIQ($B32,"IQ_CDS_mid",Q$2)</f>
        <v>38.339599999999997</v>
      </c>
      <c r="R32">
        <f ca="1">_xll.ciqfunctions.udf.CIQ($B32,"IQ_CDS_mid",R$2)</f>
        <v>41.612499999999997</v>
      </c>
      <c r="S32">
        <f ca="1">_xll.ciqfunctions.udf.CIQ($B32,"IQ_CDS_mid",S$2)</f>
        <v>44.259799999999998</v>
      </c>
      <c r="T32">
        <f t="shared" ca="1" si="9"/>
        <v>-2.120000000000033E-2</v>
      </c>
      <c r="U32">
        <f t="shared" ca="1" si="10"/>
        <v>-0.73839999999999861</v>
      </c>
      <c r="V32">
        <f t="shared" ca="1" si="11"/>
        <v>-1.0927999999999969</v>
      </c>
      <c r="W32">
        <f t="shared" ca="1" si="12"/>
        <v>-4.3656999999999968</v>
      </c>
      <c r="X32">
        <f t="shared" ca="1" si="0"/>
        <v>-7.0129999999999981</v>
      </c>
    </row>
    <row r="33" spans="1:24">
      <c r="A33" t="s">
        <v>169</v>
      </c>
      <c r="B33" s="25" t="s">
        <v>168</v>
      </c>
      <c r="C33">
        <f ca="1">_xll.ciqfunctions.udf.CIQ($B33,"IQ_CDS_mid",C$2)</f>
        <v>24.900200000000002</v>
      </c>
      <c r="D33">
        <f ca="1">_xll.ciqfunctions.udf.CIQ($B33,"IQ_CDS_mid",D$2)</f>
        <v>24.900200000000002</v>
      </c>
      <c r="E33">
        <f ca="1">_xll.ciqfunctions.udf.CIQ($B33,"IQ_CDS_mid",E$2)</f>
        <v>24.9039</v>
      </c>
      <c r="F33">
        <f ca="1">_xll.ciqfunctions.udf.CIQ($B33,"IQ_CDS_mid",F$2)</f>
        <v>24.9039</v>
      </c>
      <c r="G33">
        <f ca="1">_xll.ciqfunctions.udf.CIQ($B33,"IQ_CDS_mid",G$2)</f>
        <v>24.9039</v>
      </c>
      <c r="H33">
        <f ca="1">_xll.ciqfunctions.udf.CIQ($B33,"IQ_CDS_mid",H$2)</f>
        <v>24.950600000000001</v>
      </c>
      <c r="I33">
        <f ca="1">_xll.ciqfunctions.udf.CIQ($B33,"IQ_CDS_mid",I$2)</f>
        <v>24.984100000000002</v>
      </c>
      <c r="J33">
        <f ca="1">_xll.ciqfunctions.udf.CIQ($B33,"IQ_CDS_mid",J$2)</f>
        <v>24.9587</v>
      </c>
      <c r="K33">
        <f ca="1">_xll.ciqfunctions.udf.CIQ($B33,"IQ_CDS_mid",K$2)</f>
        <v>24.898199999999999</v>
      </c>
      <c r="L33">
        <f ca="1">_xll.ciqfunctions.udf.CIQ($B33,"IQ_CDS_mid",L$2)</f>
        <v>24.9635</v>
      </c>
      <c r="M33">
        <f ca="1">_xll.ciqfunctions.udf.CIQ($B33,"IQ_CDS_mid",M$2)</f>
        <v>24.9635</v>
      </c>
      <c r="N33">
        <f ca="1">_xll.ciqfunctions.udf.CIQ($B33,"IQ_CDS_mid",N$2)</f>
        <v>24.9635</v>
      </c>
      <c r="O33">
        <f ca="1">_xll.ciqfunctions.udf.CIQ($B33,"IQ_CDS_mid",O$2)</f>
        <v>24.933</v>
      </c>
      <c r="P33">
        <f ca="1">_xll.ciqfunctions.udf.CIQ($B33,"IQ_CDS_mid",P$2)</f>
        <v>24.953399999999998</v>
      </c>
      <c r="Q33">
        <f ca="1">_xll.ciqfunctions.udf.CIQ($B33,"IQ_CDS_mid",Q$2)</f>
        <v>24.906500000000001</v>
      </c>
      <c r="R33">
        <f ca="1">_xll.ciqfunctions.udf.CIQ($B33,"IQ_CDS_mid",R$2)</f>
        <v>25.109000000000002</v>
      </c>
      <c r="S33">
        <f ca="1">_xll.ciqfunctions.udf.CIQ($B33,"IQ_CDS_mid",S$2)</f>
        <v>33.262599999999999</v>
      </c>
      <c r="T33">
        <f t="shared" ca="1" si="9"/>
        <v>-5.0399999999999778E-2</v>
      </c>
      <c r="U33">
        <f t="shared" ca="1" si="10"/>
        <v>-6.3299999999998136E-2</v>
      </c>
      <c r="V33">
        <f t="shared" ca="1" si="11"/>
        <v>-6.2999999999995282E-3</v>
      </c>
      <c r="W33">
        <f t="shared" ca="1" si="12"/>
        <v>-0.2088000000000001</v>
      </c>
      <c r="X33">
        <f t="shared" ca="1" si="0"/>
        <v>-8.3623999999999974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33</v>
      </c>
      <c r="B35" s="25" t="s">
        <v>165</v>
      </c>
      <c r="C35">
        <f ca="1">_xll.ciqfunctions.udf.CIQ($B35,"IQ_CDS_mid",C$2)</f>
        <v>26.6404</v>
      </c>
      <c r="D35">
        <f ca="1">_xll.ciqfunctions.udf.CIQ($B35,"IQ_CDS_mid",D$2)</f>
        <v>26.6404</v>
      </c>
      <c r="E35">
        <f ca="1">_xll.ciqfunctions.udf.CIQ($B35,"IQ_CDS_mid",E$2)</f>
        <v>26.666599999999999</v>
      </c>
      <c r="F35">
        <f ca="1">_xll.ciqfunctions.udf.CIQ($B35,"IQ_CDS_mid",F$2)</f>
        <v>26.666599999999999</v>
      </c>
      <c r="G35">
        <f ca="1">_xll.ciqfunctions.udf.CIQ($B35,"IQ_CDS_mid",G$2)</f>
        <v>26.666599999999999</v>
      </c>
      <c r="H35">
        <f ca="1">_xll.ciqfunctions.udf.CIQ($B35,"IQ_CDS_mid",H$2)</f>
        <v>26.612500000000001</v>
      </c>
      <c r="I35">
        <f ca="1">_xll.ciqfunctions.udf.CIQ($B35,"IQ_CDS_mid",I$2)</f>
        <v>26.6465</v>
      </c>
      <c r="J35">
        <f ca="1">_xll.ciqfunctions.udf.CIQ($B35,"IQ_CDS_mid",J$2)</f>
        <v>26.544599999999999</v>
      </c>
      <c r="K35">
        <f ca="1">_xll.ciqfunctions.udf.CIQ($B35,"IQ_CDS_mid",K$2)</f>
        <v>27.130400000000002</v>
      </c>
      <c r="L35">
        <f ca="1">_xll.ciqfunctions.udf.CIQ($B35,"IQ_CDS_mid",L$2)</f>
        <v>26.930800000000001</v>
      </c>
      <c r="M35">
        <f ca="1">_xll.ciqfunctions.udf.CIQ($B35,"IQ_CDS_mid",M$2)</f>
        <v>26.930800000000001</v>
      </c>
      <c r="N35">
        <f ca="1">_xll.ciqfunctions.udf.CIQ($B35,"IQ_CDS_mid",N$2)</f>
        <v>26.930800000000001</v>
      </c>
      <c r="O35">
        <f ca="1">_xll.ciqfunctions.udf.CIQ($B35,"IQ_CDS_mid",O$2)</f>
        <v>27.0947</v>
      </c>
      <c r="P35">
        <f ca="1">_xll.ciqfunctions.udf.CIQ($B35,"IQ_CDS_mid",P$2)</f>
        <v>27.019600000000001</v>
      </c>
      <c r="Q35">
        <f ca="1">_xll.ciqfunctions.udf.CIQ($B35,"IQ_CDS_mid",Q$2)</f>
        <v>27.124400000000001</v>
      </c>
      <c r="R35">
        <f ca="1">_xll.ciqfunctions.udf.CIQ($B35,"IQ_CDS_mid",R$2)</f>
        <v>26.5</v>
      </c>
      <c r="S35">
        <f ca="1">_xll.ciqfunctions.udf.CIQ($B35,"IQ_CDS_mid",S$2)</f>
        <v>20.831600000000002</v>
      </c>
      <c r="T35">
        <f t="shared" ca="1" si="9"/>
        <v>2.7899999999998926E-2</v>
      </c>
      <c r="U35">
        <f t="shared" ca="1" si="10"/>
        <v>-0.29040000000000177</v>
      </c>
      <c r="V35">
        <f t="shared" ca="1" si="11"/>
        <v>-0.48400000000000176</v>
      </c>
      <c r="W35">
        <f t="shared" ca="1" si="12"/>
        <v>0.14039999999999964</v>
      </c>
      <c r="X35">
        <f t="shared" ca="1" si="0"/>
        <v>5.808799999999998</v>
      </c>
    </row>
    <row r="36" spans="1:24">
      <c r="A36" t="s">
        <v>164</v>
      </c>
      <c r="B36" s="25" t="s">
        <v>163</v>
      </c>
      <c r="C36">
        <f ca="1">_xll.ciqfunctions.udf.CIQ($B36,"IQ_CDS_mid",C$2)</f>
        <v>34.799999999999997</v>
      </c>
      <c r="D36">
        <f ca="1">_xll.ciqfunctions.udf.CIQ($B36,"IQ_CDS_mid",D$2)</f>
        <v>34.799999999999997</v>
      </c>
      <c r="E36">
        <f ca="1">_xll.ciqfunctions.udf.CIQ($B36,"IQ_CDS_mid",E$2)</f>
        <v>35.054900000000004</v>
      </c>
      <c r="F36">
        <f ca="1">_xll.ciqfunctions.udf.CIQ($B36,"IQ_CDS_mid",F$2)</f>
        <v>35.054900000000004</v>
      </c>
      <c r="G36">
        <f ca="1">_xll.ciqfunctions.udf.CIQ($B36,"IQ_CDS_mid",G$2)</f>
        <v>35.054900000000004</v>
      </c>
      <c r="H36">
        <f ca="1">_xll.ciqfunctions.udf.CIQ($B36,"IQ_CDS_mid",H$2)</f>
        <v>35.0152</v>
      </c>
      <c r="I36">
        <f ca="1">_xll.ciqfunctions.udf.CIQ($B36,"IQ_CDS_mid",I$2)</f>
        <v>35.119</v>
      </c>
      <c r="J36">
        <f ca="1">_xll.ciqfunctions.udf.CIQ($B36,"IQ_CDS_mid",J$2)</f>
        <v>35.862099999999998</v>
      </c>
      <c r="K36">
        <f ca="1">_xll.ciqfunctions.udf.CIQ($B36,"IQ_CDS_mid",K$2)</f>
        <v>36.620399999999997</v>
      </c>
      <c r="L36">
        <f ca="1">_xll.ciqfunctions.udf.CIQ($B36,"IQ_CDS_mid",L$2)</f>
        <v>36.968499999999999</v>
      </c>
      <c r="M36">
        <f ca="1">_xll.ciqfunctions.udf.CIQ($B36,"IQ_CDS_mid",M$2)</f>
        <v>36.968499999999999</v>
      </c>
      <c r="N36">
        <f ca="1">_xll.ciqfunctions.udf.CIQ($B36,"IQ_CDS_mid",N$2)</f>
        <v>36.968499999999999</v>
      </c>
      <c r="O36">
        <f ca="1">_xll.ciqfunctions.udf.CIQ($B36,"IQ_CDS_mid",O$2)</f>
        <v>38.578600000000002</v>
      </c>
      <c r="P36">
        <f ca="1">_xll.ciqfunctions.udf.CIQ($B36,"IQ_CDS_mid",P$2)</f>
        <v>38.029400000000003</v>
      </c>
      <c r="Q36">
        <f ca="1">_xll.ciqfunctions.udf.CIQ($B36,"IQ_CDS_mid",Q$2)</f>
        <v>38.012700000000002</v>
      </c>
      <c r="R36">
        <f ca="1">_xll.ciqfunctions.udf.CIQ($B36,"IQ_CDS_mid",R$2)</f>
        <v>34.453400000000002</v>
      </c>
      <c r="S36">
        <f ca="1">_xll.ciqfunctions.udf.CIQ($B36,"IQ_CDS_mid",S$2)</f>
        <v>43.222200000000001</v>
      </c>
      <c r="T36">
        <f t="shared" ca="1" si="9"/>
        <v>-0.21520000000000294</v>
      </c>
      <c r="U36">
        <f t="shared" ca="1" si="10"/>
        <v>-2.1685000000000016</v>
      </c>
      <c r="V36">
        <f t="shared" ca="1" si="11"/>
        <v>-3.2127000000000052</v>
      </c>
      <c r="W36">
        <f t="shared" ca="1" si="12"/>
        <v>0.34659999999999513</v>
      </c>
      <c r="X36">
        <f t="shared" ca="1" si="0"/>
        <v>-8.4222000000000037</v>
      </c>
    </row>
    <row r="37" spans="1:24">
      <c r="A37" t="s">
        <v>162</v>
      </c>
      <c r="B37" s="25" t="s">
        <v>161</v>
      </c>
      <c r="C37">
        <f ca="1">_xll.ciqfunctions.udf.CIQ($B37,"IQ_CDS_mid",C$2)</f>
        <v>15.4375</v>
      </c>
      <c r="D37">
        <f ca="1">_xll.ciqfunctions.udf.CIQ($B37,"IQ_CDS_mid",D$2)</f>
        <v>15.4375</v>
      </c>
      <c r="E37">
        <f ca="1">_xll.ciqfunctions.udf.CIQ($B37,"IQ_CDS_mid",E$2)</f>
        <v>15.414999999999999</v>
      </c>
      <c r="F37">
        <f ca="1">_xll.ciqfunctions.udf.CIQ($B37,"IQ_CDS_mid",F$2)</f>
        <v>15.414999999999999</v>
      </c>
      <c r="G37">
        <f ca="1">_xll.ciqfunctions.udf.CIQ($B37,"IQ_CDS_mid",G$2)</f>
        <v>15.414999999999999</v>
      </c>
      <c r="H37">
        <f ca="1">_xll.ciqfunctions.udf.CIQ($B37,"IQ_CDS_mid",H$2)</f>
        <v>15.3735</v>
      </c>
      <c r="I37">
        <f ca="1">_xll.ciqfunctions.udf.CIQ($B37,"IQ_CDS_mid",I$2)</f>
        <v>15.1875</v>
      </c>
      <c r="J37">
        <f ca="1">_xll.ciqfunctions.udf.CIQ($B37,"IQ_CDS_mid",J$2)</f>
        <v>15.1875</v>
      </c>
      <c r="K37">
        <f ca="1">_xll.ciqfunctions.udf.CIQ($B37,"IQ_CDS_mid",K$2)</f>
        <v>15.643000000000001</v>
      </c>
      <c r="L37">
        <f ca="1">_xll.ciqfunctions.udf.CIQ($B37,"IQ_CDS_mid",L$2)</f>
        <v>15.728999999999999</v>
      </c>
      <c r="M37">
        <f ca="1">_xll.ciqfunctions.udf.CIQ($B37,"IQ_CDS_mid",M$2)</f>
        <v>15.728999999999999</v>
      </c>
      <c r="N37">
        <f ca="1">_xll.ciqfunctions.udf.CIQ($B37,"IQ_CDS_mid",N$2)</f>
        <v>15.728999999999999</v>
      </c>
      <c r="O37">
        <f ca="1">_xll.ciqfunctions.udf.CIQ($B37,"IQ_CDS_mid",O$2)</f>
        <v>15.4785</v>
      </c>
      <c r="P37">
        <f ca="1">_xll.ciqfunctions.udf.CIQ($B37,"IQ_CDS_mid",P$2)</f>
        <v>15.365500000000001</v>
      </c>
      <c r="Q37">
        <f ca="1">_xll.ciqfunctions.udf.CIQ($B37,"IQ_CDS_mid",Q$2)</f>
        <v>15.2935</v>
      </c>
      <c r="R37">
        <f ca="1">_xll.ciqfunctions.udf.CIQ($B37,"IQ_CDS_mid",R$2)</f>
        <v>14.9375</v>
      </c>
      <c r="S37">
        <f ca="1">_xll.ciqfunctions.udf.CIQ($B37,"IQ_CDS_mid",S$2)</f>
        <v>14.304500000000001</v>
      </c>
      <c r="T37">
        <f t="shared" ca="1" si="9"/>
        <v>6.4000000000000057E-2</v>
      </c>
      <c r="U37">
        <f t="shared" ca="1" si="10"/>
        <v>-0.2914999999999992</v>
      </c>
      <c r="V37">
        <f t="shared" ca="1" si="11"/>
        <v>0.14400000000000013</v>
      </c>
      <c r="W37">
        <f t="shared" ca="1" si="12"/>
        <v>0.5</v>
      </c>
      <c r="X37">
        <f t="shared" ca="1" si="0"/>
        <v>1.1329999999999991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2.2938999999999998</v>
      </c>
      <c r="D39">
        <f ca="1">_xll.ciqfunctions.udf.CIQ($B39,"IQ_CDS_mid",D$2)</f>
        <v>2.2938999999999998</v>
      </c>
      <c r="E39">
        <f ca="1">_xll.ciqfunctions.udf.CIQ($B39,"IQ_CDS_mid",E$2)</f>
        <v>2.3058000000000001</v>
      </c>
      <c r="F39">
        <f ca="1">_xll.ciqfunctions.udf.CIQ($B39,"IQ_CDS_mid",F$2)</f>
        <v>2.3058000000000001</v>
      </c>
      <c r="G39">
        <f ca="1">_xll.ciqfunctions.udf.CIQ($B39,"IQ_CDS_mid",G$2)</f>
        <v>2.3058000000000001</v>
      </c>
      <c r="H39">
        <f ca="1">_xll.ciqfunctions.udf.CIQ($B39,"IQ_CDS_mid",H$2)</f>
        <v>2.3771</v>
      </c>
      <c r="I39">
        <f ca="1">_xll.ciqfunctions.udf.CIQ($B39,"IQ_CDS_mid",I$2)</f>
        <v>2.3771</v>
      </c>
      <c r="J39">
        <f ca="1">_xll.ciqfunctions.udf.CIQ($B39,"IQ_CDS_mid",J$2)</f>
        <v>2.3771</v>
      </c>
      <c r="K39">
        <f ca="1">_xll.ciqfunctions.udf.CIQ($B39,"IQ_CDS_mid",K$2)</f>
        <v>2.3771</v>
      </c>
      <c r="L39">
        <f ca="1">_xll.ciqfunctions.udf.CIQ($B39,"IQ_CDS_mid",L$2)</f>
        <v>2.3771</v>
      </c>
      <c r="M39">
        <f ca="1">_xll.ciqfunctions.udf.CIQ($B39,"IQ_CDS_mid",M$2)</f>
        <v>2.3771</v>
      </c>
      <c r="N39">
        <f ca="1">_xll.ciqfunctions.udf.CIQ($B39,"IQ_CDS_mid",N$2)</f>
        <v>2.3771</v>
      </c>
      <c r="O39">
        <f ca="1">_xll.ciqfunctions.udf.CIQ($B39,"IQ_CDS_mid",O$2)</f>
        <v>2.3771</v>
      </c>
      <c r="P39">
        <f ca="1">_xll.ciqfunctions.udf.CIQ($B39,"IQ_CDS_mid",P$2)</f>
        <v>2.9565000000000001</v>
      </c>
      <c r="Q39">
        <f ca="1">_xll.ciqfunctions.udf.CIQ($B39,"IQ_CDS_mid",Q$2)</f>
        <v>2.3546</v>
      </c>
      <c r="R39">
        <f ca="1">_xll.ciqfunctions.udf.CIQ($B39,"IQ_CDS_mid",R$2)</f>
        <v>2.3334000000000001</v>
      </c>
      <c r="S39">
        <f ca="1">_xll.ciqfunctions.udf.CIQ($B39,"IQ_CDS_mid",S$2)</f>
        <v>3.2726000000000002</v>
      </c>
      <c r="T39">
        <f t="shared" ca="1" si="9"/>
        <v>-8.3200000000000163E-2</v>
      </c>
      <c r="U39">
        <f t="shared" ca="1" si="10"/>
        <v>-8.3200000000000163E-2</v>
      </c>
      <c r="V39">
        <f t="shared" ca="1" si="11"/>
        <v>-6.0700000000000198E-2</v>
      </c>
      <c r="W39">
        <f t="shared" ca="1" si="12"/>
        <v>-3.9500000000000313E-2</v>
      </c>
      <c r="X39">
        <f t="shared" ca="1" si="0"/>
        <v>-0.97870000000000035</v>
      </c>
    </row>
    <row r="40" spans="1:24">
      <c r="A40" t="s">
        <v>156</v>
      </c>
      <c r="B40" s="25" t="s">
        <v>155</v>
      </c>
      <c r="C40">
        <f ca="1">_xll.ciqfunctions.udf.CIQ($B40,"IQ_CDS_mid",C$2)</f>
        <v>22.625</v>
      </c>
      <c r="D40">
        <f ca="1">_xll.ciqfunctions.udf.CIQ($B40,"IQ_CDS_mid",D$2)</f>
        <v>22.625</v>
      </c>
      <c r="E40">
        <f ca="1">_xll.ciqfunctions.udf.CIQ($B40,"IQ_CDS_mid",E$2)</f>
        <v>22.6875</v>
      </c>
      <c r="F40">
        <f ca="1">_xll.ciqfunctions.udf.CIQ($B40,"IQ_CDS_mid",F$2)</f>
        <v>22.6875</v>
      </c>
      <c r="G40">
        <f ca="1">_xll.ciqfunctions.udf.CIQ($B40,"IQ_CDS_mid",G$2)</f>
        <v>22.6875</v>
      </c>
      <c r="H40">
        <f ca="1">_xll.ciqfunctions.udf.CIQ($B40,"IQ_CDS_mid",H$2)</f>
        <v>22.5</v>
      </c>
      <c r="I40">
        <f ca="1">_xll.ciqfunctions.udf.CIQ($B40,"IQ_CDS_mid",I$2)</f>
        <v>22.291699999999999</v>
      </c>
      <c r="J40">
        <f ca="1">_xll.ciqfunctions.udf.CIQ($B40,"IQ_CDS_mid",J$2)</f>
        <v>22.748799999999999</v>
      </c>
      <c r="K40">
        <f ca="1">_xll.ciqfunctions.udf.CIQ($B40,"IQ_CDS_mid",K$2)</f>
        <v>22.88</v>
      </c>
      <c r="L40">
        <f ca="1">_xll.ciqfunctions.udf.CIQ($B40,"IQ_CDS_mid",L$2)</f>
        <v>22.833300000000001</v>
      </c>
      <c r="M40">
        <f ca="1">_xll.ciqfunctions.udf.CIQ($B40,"IQ_CDS_mid",M$2)</f>
        <v>22.833300000000001</v>
      </c>
      <c r="N40">
        <f ca="1">_xll.ciqfunctions.udf.CIQ($B40,"IQ_CDS_mid",N$2)</f>
        <v>22.833300000000001</v>
      </c>
      <c r="O40">
        <f ca="1">_xll.ciqfunctions.udf.CIQ($B40,"IQ_CDS_mid",O$2)</f>
        <v>23.531300000000002</v>
      </c>
      <c r="P40">
        <f ca="1">_xll.ciqfunctions.udf.CIQ($B40,"IQ_CDS_mid",P$2)</f>
        <v>23.291699999999999</v>
      </c>
      <c r="Q40">
        <f ca="1">_xll.ciqfunctions.udf.CIQ($B40,"IQ_CDS_mid",Q$2)</f>
        <v>23.074999999999999</v>
      </c>
      <c r="R40">
        <f ca="1">_xll.ciqfunctions.udf.CIQ($B40,"IQ_CDS_mid",R$2)</f>
        <v>24.51</v>
      </c>
      <c r="S40">
        <f ca="1">_xll.ciqfunctions.udf.CIQ($B40,"IQ_CDS_mid",S$2)</f>
        <v>21.954899999999999</v>
      </c>
      <c r="T40">
        <f t="shared" ca="1" si="9"/>
        <v>0.125</v>
      </c>
      <c r="U40">
        <f t="shared" ca="1" si="10"/>
        <v>-0.20830000000000126</v>
      </c>
      <c r="V40">
        <f t="shared" ca="1" si="11"/>
        <v>-0.44999999999999929</v>
      </c>
      <c r="W40">
        <f t="shared" ca="1" si="12"/>
        <v>-1.8850000000000016</v>
      </c>
      <c r="X40">
        <f t="shared" ca="1" si="0"/>
        <v>0.67010000000000147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41.250100000000003</v>
      </c>
      <c r="D42">
        <f ca="1">_xll.ciqfunctions.udf.CIQ($B42,"IQ_CDS_mid",D$2)</f>
        <v>41.250100000000003</v>
      </c>
      <c r="E42">
        <f ca="1">_xll.ciqfunctions.udf.CIQ($B42,"IQ_CDS_mid",E$2)</f>
        <v>41.493200000000002</v>
      </c>
      <c r="F42">
        <f ca="1">_xll.ciqfunctions.udf.CIQ($B42,"IQ_CDS_mid",F$2)</f>
        <v>41.493200000000002</v>
      </c>
      <c r="G42">
        <f ca="1">_xll.ciqfunctions.udf.CIQ($B42,"IQ_CDS_mid",G$2)</f>
        <v>41.493200000000002</v>
      </c>
      <c r="H42">
        <f ca="1">_xll.ciqfunctions.udf.CIQ($B42,"IQ_CDS_mid",H$2)</f>
        <v>41.488799999999998</v>
      </c>
      <c r="I42">
        <f ca="1">_xll.ciqfunctions.udf.CIQ($B42,"IQ_CDS_mid",I$2)</f>
        <v>41.190300000000001</v>
      </c>
      <c r="J42">
        <f ca="1">_xll.ciqfunctions.udf.CIQ($B42,"IQ_CDS_mid",J$2)</f>
        <v>41.8489</v>
      </c>
      <c r="K42">
        <f ca="1">_xll.ciqfunctions.udf.CIQ($B42,"IQ_CDS_mid",K$2)</f>
        <v>42.894799999999996</v>
      </c>
      <c r="L42">
        <f ca="1">_xll.ciqfunctions.udf.CIQ($B42,"IQ_CDS_mid",L$2)</f>
        <v>42.753</v>
      </c>
      <c r="M42">
        <f ca="1">_xll.ciqfunctions.udf.CIQ($B42,"IQ_CDS_mid",M$2)</f>
        <v>42.753</v>
      </c>
      <c r="N42">
        <f ca="1">_xll.ciqfunctions.udf.CIQ($B42,"IQ_CDS_mid",N$2)</f>
        <v>42.753</v>
      </c>
      <c r="O42">
        <f ca="1">_xll.ciqfunctions.udf.CIQ($B42,"IQ_CDS_mid",O$2)</f>
        <v>44.534500000000001</v>
      </c>
      <c r="P42">
        <f ca="1">_xll.ciqfunctions.udf.CIQ($B42,"IQ_CDS_mid",P$2)</f>
        <v>43.725000000000001</v>
      </c>
      <c r="Q42">
        <f ca="1">_xll.ciqfunctions.udf.CIQ($B42,"IQ_CDS_mid",Q$2)</f>
        <v>43.216799999999999</v>
      </c>
      <c r="R42">
        <f ca="1">_xll.ciqfunctions.udf.CIQ($B42,"IQ_CDS_mid",R$2)</f>
        <v>49.096699999999998</v>
      </c>
      <c r="S42">
        <f ca="1">_xll.ciqfunctions.udf.CIQ($B42,"IQ_CDS_mid",S$2)</f>
        <v>42.58</v>
      </c>
      <c r="T42">
        <f ca="1">C42-H42</f>
        <v>-0.23869999999999436</v>
      </c>
      <c r="U42">
        <f ca="1">C42-M42</f>
        <v>-1.5028999999999968</v>
      </c>
      <c r="V42">
        <f ca="1">C42-Q42</f>
        <v>-1.9666999999999959</v>
      </c>
      <c r="W42">
        <f ca="1">C42-R42</f>
        <v>-7.8465999999999951</v>
      </c>
      <c r="X42">
        <f t="shared" ref="X42:X84" ca="1" si="13">C42-S42</f>
        <v>-1.329899999999995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121.2813</v>
      </c>
      <c r="D44">
        <f ca="1">_xll.ciqfunctions.udf.CIQ($B44,"IQ_CDS_mid",D$2)</f>
        <v>121.2813</v>
      </c>
      <c r="E44">
        <f ca="1">_xll.ciqfunctions.udf.CIQ($B44,"IQ_CDS_mid",E$2)</f>
        <v>121.6253</v>
      </c>
      <c r="F44">
        <f ca="1">_xll.ciqfunctions.udf.CIQ($B44,"IQ_CDS_mid",F$2)</f>
        <v>121.6253</v>
      </c>
      <c r="G44">
        <f ca="1">_xll.ciqfunctions.udf.CIQ($B44,"IQ_CDS_mid",G$2)</f>
        <v>121.6253</v>
      </c>
      <c r="H44">
        <f ca="1">_xll.ciqfunctions.udf.CIQ($B44,"IQ_CDS_mid",H$2)</f>
        <v>122.30670000000001</v>
      </c>
      <c r="I44">
        <f ca="1">_xll.ciqfunctions.udf.CIQ($B44,"IQ_CDS_mid",I$2)</f>
        <v>122.62609999999999</v>
      </c>
      <c r="J44">
        <f ca="1">_xll.ciqfunctions.udf.CIQ($B44,"IQ_CDS_mid",J$2)</f>
        <v>122.27070000000001</v>
      </c>
      <c r="K44">
        <f ca="1">_xll.ciqfunctions.udf.CIQ($B44,"IQ_CDS_mid",K$2)</f>
        <v>124.1848</v>
      </c>
      <c r="L44">
        <f ca="1">_xll.ciqfunctions.udf.CIQ($B44,"IQ_CDS_mid",L$2)</f>
        <v>128.82730000000001</v>
      </c>
      <c r="M44">
        <f ca="1">_xll.ciqfunctions.udf.CIQ($B44,"IQ_CDS_mid",M$2)</f>
        <v>128.82730000000001</v>
      </c>
      <c r="N44">
        <f ca="1">_xll.ciqfunctions.udf.CIQ($B44,"IQ_CDS_mid",N$2)</f>
        <v>128.82730000000001</v>
      </c>
      <c r="O44">
        <f ca="1">_xll.ciqfunctions.udf.CIQ($B44,"IQ_CDS_mid",O$2)</f>
        <v>129.52789999999999</v>
      </c>
      <c r="P44">
        <f ca="1">_xll.ciqfunctions.udf.CIQ($B44,"IQ_CDS_mid",P$2)</f>
        <v>130.62430000000001</v>
      </c>
      <c r="Q44">
        <f ca="1">_xll.ciqfunctions.udf.CIQ($B44,"IQ_CDS_mid",Q$2)</f>
        <v>130.0326</v>
      </c>
      <c r="R44">
        <f ca="1">_xll.ciqfunctions.udf.CIQ($B44,"IQ_CDS_mid",R$2)</f>
        <v>146.16579999999999</v>
      </c>
      <c r="S44">
        <f ca="1">_xll.ciqfunctions.udf.CIQ($B44,"IQ_CDS_mid",S$2)</f>
        <v>181.1909</v>
      </c>
      <c r="T44">
        <f ca="1">C44-H44</f>
        <v>-1.0254000000000048</v>
      </c>
      <c r="U44">
        <f ca="1">C44-M44</f>
        <v>-7.5460000000000065</v>
      </c>
      <c r="V44">
        <f ca="1">C44-Q44</f>
        <v>-8.7513000000000005</v>
      </c>
      <c r="W44">
        <f ca="1">C44-R44</f>
        <v>-24.884499999999989</v>
      </c>
      <c r="X44">
        <f t="shared" ca="1" si="13"/>
        <v>-59.909599999999998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52.520099999999999</v>
      </c>
      <c r="D48">
        <f ca="1">_xll.ciqfunctions.udf.CIQ($B48,"IQ_CDS_mid",D$2)</f>
        <v>52.520099999999999</v>
      </c>
      <c r="E48">
        <f ca="1">_xll.ciqfunctions.udf.CIQ($B48,"IQ_CDS_mid",E$2)</f>
        <v>52.270499999999998</v>
      </c>
      <c r="F48">
        <f ca="1">_xll.ciqfunctions.udf.CIQ($B48,"IQ_CDS_mid",F$2)</f>
        <v>52.270499999999998</v>
      </c>
      <c r="G48">
        <f ca="1">_xll.ciqfunctions.udf.CIQ($B48,"IQ_CDS_mid",G$2)</f>
        <v>52.270499999999998</v>
      </c>
      <c r="H48">
        <f ca="1">_xll.ciqfunctions.udf.CIQ($B48,"IQ_CDS_mid",H$2)</f>
        <v>52.770200000000003</v>
      </c>
      <c r="I48">
        <f ca="1">_xll.ciqfunctions.udf.CIQ($B48,"IQ_CDS_mid",I$2)</f>
        <v>52.899500000000003</v>
      </c>
      <c r="J48">
        <f ca="1">_xll.ciqfunctions.udf.CIQ($B48,"IQ_CDS_mid",J$2)</f>
        <v>52.958199999999998</v>
      </c>
      <c r="K48">
        <f ca="1">_xll.ciqfunctions.udf.CIQ($B48,"IQ_CDS_mid",K$2)</f>
        <v>54.186500000000002</v>
      </c>
      <c r="L48">
        <f ca="1">_xll.ciqfunctions.udf.CIQ($B48,"IQ_CDS_mid",L$2)</f>
        <v>55.065800000000003</v>
      </c>
      <c r="M48">
        <f ca="1">_xll.ciqfunctions.udf.CIQ($B48,"IQ_CDS_mid",M$2)</f>
        <v>55.065800000000003</v>
      </c>
      <c r="N48">
        <f ca="1">_xll.ciqfunctions.udf.CIQ($B48,"IQ_CDS_mid",N$2)</f>
        <v>55.065800000000003</v>
      </c>
      <c r="O48">
        <f ca="1">_xll.ciqfunctions.udf.CIQ($B48,"IQ_CDS_mid",O$2)</f>
        <v>55.707599999999999</v>
      </c>
      <c r="P48">
        <f ca="1">_xll.ciqfunctions.udf.CIQ($B48,"IQ_CDS_mid",P$2)</f>
        <v>55.3324</v>
      </c>
      <c r="Q48">
        <f ca="1">_xll.ciqfunctions.udf.CIQ($B48,"IQ_CDS_mid",Q$2)</f>
        <v>54.277200000000001</v>
      </c>
      <c r="R48">
        <f ca="1">_xll.ciqfunctions.udf.CIQ($B48,"IQ_CDS_mid",R$2)</f>
        <v>54.755699999999997</v>
      </c>
      <c r="S48">
        <f ca="1">_xll.ciqfunctions.udf.CIQ($B48,"IQ_CDS_mid",S$2)</f>
        <v>54.634599999999999</v>
      </c>
      <c r="T48">
        <f t="shared" ref="T48:T54" ca="1" si="14">C48-H48</f>
        <v>-0.25010000000000332</v>
      </c>
      <c r="U48">
        <f t="shared" ref="U48:U54" ca="1" si="15">C48-M48</f>
        <v>-2.5457000000000036</v>
      </c>
      <c r="V48">
        <f t="shared" ref="V48:V54" ca="1" si="16">C48-Q48</f>
        <v>-1.7571000000000012</v>
      </c>
      <c r="W48">
        <f t="shared" ref="W48:W54" ca="1" si="17">C48-R48</f>
        <v>-2.235599999999998</v>
      </c>
      <c r="X48">
        <f t="shared" ca="1" si="13"/>
        <v>-2.1144999999999996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54.016800000000003</v>
      </c>
      <c r="D49">
        <f ca="1">_xll.ciqfunctions.udf.CIQ($B49,"IQ_CDS_mid",D$2)</f>
        <v>54.016800000000003</v>
      </c>
      <c r="E49">
        <f ca="1">_xll.ciqfunctions.udf.CIQ($B49,"IQ_CDS_mid",E$2)</f>
        <v>53.430900000000001</v>
      </c>
      <c r="F49">
        <f ca="1">_xll.ciqfunctions.udf.CIQ($B49,"IQ_CDS_mid",F$2)</f>
        <v>53.430900000000001</v>
      </c>
      <c r="G49">
        <f ca="1">_xll.ciqfunctions.udf.CIQ($B49,"IQ_CDS_mid",G$2)</f>
        <v>53.430900000000001</v>
      </c>
      <c r="H49">
        <f ca="1">_xll.ciqfunctions.udf.CIQ($B49,"IQ_CDS_mid",H$2)</f>
        <v>54.148600000000002</v>
      </c>
      <c r="I49">
        <f ca="1">_xll.ciqfunctions.udf.CIQ($B49,"IQ_CDS_mid",I$2)</f>
        <v>54.12</v>
      </c>
      <c r="J49">
        <f ca="1">_xll.ciqfunctions.udf.CIQ($B49,"IQ_CDS_mid",J$2)</f>
        <v>54.003900000000002</v>
      </c>
      <c r="K49">
        <f ca="1">_xll.ciqfunctions.udf.CIQ($B49,"IQ_CDS_mid",K$2)</f>
        <v>55.895099999999999</v>
      </c>
      <c r="L49">
        <f ca="1">_xll.ciqfunctions.udf.CIQ($B49,"IQ_CDS_mid",L$2)</f>
        <v>57.669800000000002</v>
      </c>
      <c r="M49">
        <f ca="1">_xll.ciqfunctions.udf.CIQ($B49,"IQ_CDS_mid",M$2)</f>
        <v>57.669800000000002</v>
      </c>
      <c r="N49">
        <f ca="1">_xll.ciqfunctions.udf.CIQ($B49,"IQ_CDS_mid",N$2)</f>
        <v>57.669800000000002</v>
      </c>
      <c r="O49">
        <f ca="1">_xll.ciqfunctions.udf.CIQ($B49,"IQ_CDS_mid",O$2)</f>
        <v>58.049700000000001</v>
      </c>
      <c r="P49">
        <f ca="1">_xll.ciqfunctions.udf.CIQ($B49,"IQ_CDS_mid",P$2)</f>
        <v>57.885399999999997</v>
      </c>
      <c r="Q49">
        <f ca="1">_xll.ciqfunctions.udf.CIQ($B49,"IQ_CDS_mid",Q$2)</f>
        <v>56.465899999999998</v>
      </c>
      <c r="R49">
        <f ca="1">_xll.ciqfunctions.udf.CIQ($B49,"IQ_CDS_mid",R$2)</f>
        <v>55.420900000000003</v>
      </c>
      <c r="S49">
        <f ca="1">_xll.ciqfunctions.udf.CIQ($B49,"IQ_CDS_mid",S$2)</f>
        <v>53.931800000000003</v>
      </c>
      <c r="T49">
        <f t="shared" ca="1" si="14"/>
        <v>-0.13179999999999836</v>
      </c>
      <c r="U49">
        <f t="shared" ca="1" si="15"/>
        <v>-3.6529999999999987</v>
      </c>
      <c r="V49">
        <f t="shared" ca="1" si="16"/>
        <v>-2.4490999999999943</v>
      </c>
      <c r="W49">
        <f t="shared" ca="1" si="17"/>
        <v>-1.4040999999999997</v>
      </c>
      <c r="X49">
        <f t="shared" ca="1" si="13"/>
        <v>8.5000000000000853E-2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39.130200000000002</v>
      </c>
      <c r="D50">
        <f ca="1">_xll.ciqfunctions.udf.CIQ($B50,"IQ_CDS_mid",D$2)</f>
        <v>39.130200000000002</v>
      </c>
      <c r="E50">
        <f ca="1">_xll.ciqfunctions.udf.CIQ($B50,"IQ_CDS_mid",E$2)</f>
        <v>38.704999999999998</v>
      </c>
      <c r="F50">
        <f ca="1">_xll.ciqfunctions.udf.CIQ($B50,"IQ_CDS_mid",F$2)</f>
        <v>38.704999999999998</v>
      </c>
      <c r="G50">
        <f ca="1">_xll.ciqfunctions.udf.CIQ($B50,"IQ_CDS_mid",G$2)</f>
        <v>38.704999999999998</v>
      </c>
      <c r="H50">
        <f ca="1">_xll.ciqfunctions.udf.CIQ($B50,"IQ_CDS_mid",H$2)</f>
        <v>38.787999999999997</v>
      </c>
      <c r="I50">
        <f ca="1">_xll.ciqfunctions.udf.CIQ($B50,"IQ_CDS_mid",I$2)</f>
        <v>38.919400000000003</v>
      </c>
      <c r="J50">
        <f ca="1">_xll.ciqfunctions.udf.CIQ($B50,"IQ_CDS_mid",J$2)</f>
        <v>38.947200000000002</v>
      </c>
      <c r="K50">
        <f ca="1">_xll.ciqfunctions.udf.CIQ($B50,"IQ_CDS_mid",K$2)</f>
        <v>40.0777</v>
      </c>
      <c r="L50">
        <f ca="1">_xll.ciqfunctions.udf.CIQ($B50,"IQ_CDS_mid",L$2)</f>
        <v>40.735999999999997</v>
      </c>
      <c r="M50">
        <f ca="1">_xll.ciqfunctions.udf.CIQ($B50,"IQ_CDS_mid",M$2)</f>
        <v>40.735999999999997</v>
      </c>
      <c r="N50">
        <f ca="1">_xll.ciqfunctions.udf.CIQ($B50,"IQ_CDS_mid",N$2)</f>
        <v>40.735999999999997</v>
      </c>
      <c r="O50">
        <f ca="1">_xll.ciqfunctions.udf.CIQ($B50,"IQ_CDS_mid",O$2)</f>
        <v>41.108499999999999</v>
      </c>
      <c r="P50">
        <f ca="1">_xll.ciqfunctions.udf.CIQ($B50,"IQ_CDS_mid",P$2)</f>
        <v>41.924999999999997</v>
      </c>
      <c r="Q50">
        <f ca="1">_xll.ciqfunctions.udf.CIQ($B50,"IQ_CDS_mid",Q$2)</f>
        <v>41.23</v>
      </c>
      <c r="R50">
        <f ca="1">_xll.ciqfunctions.udf.CIQ($B50,"IQ_CDS_mid",R$2)</f>
        <v>40.975099999999998</v>
      </c>
      <c r="S50">
        <f ca="1">_xll.ciqfunctions.udf.CIQ($B50,"IQ_CDS_mid",S$2)</f>
        <v>39.833500000000001</v>
      </c>
      <c r="T50">
        <f t="shared" ca="1" si="14"/>
        <v>0.34220000000000539</v>
      </c>
      <c r="U50">
        <f t="shared" ca="1" si="15"/>
        <v>-1.605799999999995</v>
      </c>
      <c r="V50">
        <f t="shared" ca="1" si="16"/>
        <v>-2.0997999999999948</v>
      </c>
      <c r="W50">
        <f t="shared" ca="1" si="17"/>
        <v>-1.8448999999999955</v>
      </c>
      <c r="X50">
        <f t="shared" ca="1" si="13"/>
        <v>-0.7032999999999987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53.898499999999999</v>
      </c>
      <c r="D51">
        <f ca="1">_xll.ciqfunctions.udf.CIQ($B51,"IQ_CDS_mid",D$2)</f>
        <v>53.898499999999999</v>
      </c>
      <c r="E51">
        <f ca="1">_xll.ciqfunctions.udf.CIQ($B51,"IQ_CDS_mid",E$2)</f>
        <v>53.073099999999997</v>
      </c>
      <c r="F51">
        <f ca="1">_xll.ciqfunctions.udf.CIQ($B51,"IQ_CDS_mid",F$2)</f>
        <v>53.073099999999997</v>
      </c>
      <c r="G51">
        <f ca="1">_xll.ciqfunctions.udf.CIQ($B51,"IQ_CDS_mid",G$2)</f>
        <v>53.073099999999997</v>
      </c>
      <c r="H51">
        <f ca="1">_xll.ciqfunctions.udf.CIQ($B51,"IQ_CDS_mid",H$2)</f>
        <v>53.509500000000003</v>
      </c>
      <c r="I51">
        <f ca="1">_xll.ciqfunctions.udf.CIQ($B51,"IQ_CDS_mid",I$2)</f>
        <v>54.083599999999997</v>
      </c>
      <c r="J51">
        <f ca="1">_xll.ciqfunctions.udf.CIQ($B51,"IQ_CDS_mid",J$2)</f>
        <v>53.925400000000003</v>
      </c>
      <c r="K51">
        <f ca="1">_xll.ciqfunctions.udf.CIQ($B51,"IQ_CDS_mid",K$2)</f>
        <v>55.533499999999997</v>
      </c>
      <c r="L51">
        <f ca="1">_xll.ciqfunctions.udf.CIQ($B51,"IQ_CDS_mid",L$2)</f>
        <v>56.941000000000003</v>
      </c>
      <c r="M51">
        <f ca="1">_xll.ciqfunctions.udf.CIQ($B51,"IQ_CDS_mid",M$2)</f>
        <v>56.941000000000003</v>
      </c>
      <c r="N51">
        <f ca="1">_xll.ciqfunctions.udf.CIQ($B51,"IQ_CDS_mid",N$2)</f>
        <v>56.941000000000003</v>
      </c>
      <c r="O51">
        <f ca="1">_xll.ciqfunctions.udf.CIQ($B51,"IQ_CDS_mid",O$2)</f>
        <v>56.988500000000002</v>
      </c>
      <c r="P51">
        <f ca="1">_xll.ciqfunctions.udf.CIQ($B51,"IQ_CDS_mid",P$2)</f>
        <v>56.948799999999999</v>
      </c>
      <c r="Q51">
        <f ca="1">_xll.ciqfunctions.udf.CIQ($B51,"IQ_CDS_mid",Q$2)</f>
        <v>55.726999999999997</v>
      </c>
      <c r="R51">
        <f ca="1">_xll.ciqfunctions.udf.CIQ($B51,"IQ_CDS_mid",R$2)</f>
        <v>55.286499999999997</v>
      </c>
      <c r="S51">
        <f ca="1">_xll.ciqfunctions.udf.CIQ($B51,"IQ_CDS_mid",S$2)</f>
        <v>57.1875</v>
      </c>
      <c r="T51">
        <f t="shared" ca="1" si="14"/>
        <v>0.38899999999999579</v>
      </c>
      <c r="U51">
        <f t="shared" ca="1" si="15"/>
        <v>-3.042500000000004</v>
      </c>
      <c r="V51">
        <f t="shared" ca="1" si="16"/>
        <v>-1.8284999999999982</v>
      </c>
      <c r="W51">
        <f t="shared" ca="1" si="17"/>
        <v>-1.3879999999999981</v>
      </c>
      <c r="X51">
        <f t="shared" ca="1" si="13"/>
        <v>-3.2890000000000015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58.259700000000002</v>
      </c>
      <c r="D52">
        <f ca="1">_xll.ciqfunctions.udf.CIQ($B52,"IQ_CDS_mid",D$2)</f>
        <v>58.259700000000002</v>
      </c>
      <c r="E52">
        <f ca="1">_xll.ciqfunctions.udf.CIQ($B52,"IQ_CDS_mid",E$2)</f>
        <v>57.7468</v>
      </c>
      <c r="F52">
        <f ca="1">_xll.ciqfunctions.udf.CIQ($B52,"IQ_CDS_mid",F$2)</f>
        <v>57.7468</v>
      </c>
      <c r="G52">
        <f ca="1">_xll.ciqfunctions.udf.CIQ($B52,"IQ_CDS_mid",G$2)</f>
        <v>57.7468</v>
      </c>
      <c r="H52">
        <f ca="1">_xll.ciqfunctions.udf.CIQ($B52,"IQ_CDS_mid",H$2)</f>
        <v>58.516399999999997</v>
      </c>
      <c r="I52">
        <f ca="1">_xll.ciqfunctions.udf.CIQ($B52,"IQ_CDS_mid",I$2)</f>
        <v>58.192</v>
      </c>
      <c r="J52">
        <f ca="1">_xll.ciqfunctions.udf.CIQ($B52,"IQ_CDS_mid",J$2)</f>
        <v>58.147599999999997</v>
      </c>
      <c r="K52">
        <f ca="1">_xll.ciqfunctions.udf.CIQ($B52,"IQ_CDS_mid",K$2)</f>
        <v>59.7117</v>
      </c>
      <c r="L52">
        <f ca="1">_xll.ciqfunctions.udf.CIQ($B52,"IQ_CDS_mid",L$2)</f>
        <v>62.0276</v>
      </c>
      <c r="M52">
        <f ca="1">_xll.ciqfunctions.udf.CIQ($B52,"IQ_CDS_mid",M$2)</f>
        <v>62.0276</v>
      </c>
      <c r="N52">
        <f ca="1">_xll.ciqfunctions.udf.CIQ($B52,"IQ_CDS_mid",N$2)</f>
        <v>62.0276</v>
      </c>
      <c r="O52">
        <f ca="1">_xll.ciqfunctions.udf.CIQ($B52,"IQ_CDS_mid",O$2)</f>
        <v>62.650700000000001</v>
      </c>
      <c r="P52">
        <f ca="1">_xll.ciqfunctions.udf.CIQ($B52,"IQ_CDS_mid",P$2)</f>
        <v>62.372500000000002</v>
      </c>
      <c r="Q52">
        <f ca="1">_xll.ciqfunctions.udf.CIQ($B52,"IQ_CDS_mid",Q$2)</f>
        <v>60.264600000000002</v>
      </c>
      <c r="R52">
        <f ca="1">_xll.ciqfunctions.udf.CIQ($B52,"IQ_CDS_mid",R$2)</f>
        <v>56.462800000000001</v>
      </c>
      <c r="S52">
        <f ca="1">_xll.ciqfunctions.udf.CIQ($B52,"IQ_CDS_mid",S$2)</f>
        <v>53.9711</v>
      </c>
      <c r="T52">
        <f t="shared" ca="1" si="14"/>
        <v>-0.25669999999999504</v>
      </c>
      <c r="U52">
        <f t="shared" ca="1" si="15"/>
        <v>-3.7678999999999974</v>
      </c>
      <c r="V52">
        <f t="shared" ca="1" si="16"/>
        <v>-2.0048999999999992</v>
      </c>
      <c r="W52">
        <f t="shared" ca="1" si="17"/>
        <v>1.7969000000000008</v>
      </c>
      <c r="X52">
        <f t="shared" ca="1" si="13"/>
        <v>4.2886000000000024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48.145200000000003</v>
      </c>
      <c r="D53">
        <f ca="1">_xll.ciqfunctions.udf.CIQ($B53,"IQ_CDS_mid",D$2)</f>
        <v>48.145200000000003</v>
      </c>
      <c r="E53">
        <f ca="1">_xll.ciqfunctions.udf.CIQ($B53,"IQ_CDS_mid",E$2)</f>
        <v>47.752699999999997</v>
      </c>
      <c r="F53">
        <f ca="1">_xll.ciqfunctions.udf.CIQ($B53,"IQ_CDS_mid",F$2)</f>
        <v>47.752699999999997</v>
      </c>
      <c r="G53">
        <f ca="1">_xll.ciqfunctions.udf.CIQ($B53,"IQ_CDS_mid",G$2)</f>
        <v>47.752699999999997</v>
      </c>
      <c r="H53">
        <f ca="1">_xll.ciqfunctions.udf.CIQ($B53,"IQ_CDS_mid",H$2)</f>
        <v>48.038800000000002</v>
      </c>
      <c r="I53">
        <f ca="1">_xll.ciqfunctions.udf.CIQ($B53,"IQ_CDS_mid",I$2)</f>
        <v>48.1995</v>
      </c>
      <c r="J53">
        <f ca="1">_xll.ciqfunctions.udf.CIQ($B53,"IQ_CDS_mid",J$2)</f>
        <v>48.594799999999999</v>
      </c>
      <c r="K53">
        <f ca="1">_xll.ciqfunctions.udf.CIQ($B53,"IQ_CDS_mid",K$2)</f>
        <v>49.347099999999998</v>
      </c>
      <c r="L53">
        <f ca="1">_xll.ciqfunctions.udf.CIQ($B53,"IQ_CDS_mid",L$2)</f>
        <v>50.208399999999997</v>
      </c>
      <c r="M53">
        <f ca="1">_xll.ciqfunctions.udf.CIQ($B53,"IQ_CDS_mid",M$2)</f>
        <v>50.208399999999997</v>
      </c>
      <c r="N53">
        <f ca="1">_xll.ciqfunctions.udf.CIQ($B53,"IQ_CDS_mid",N$2)</f>
        <v>50.208399999999997</v>
      </c>
      <c r="O53">
        <f ca="1">_xll.ciqfunctions.udf.CIQ($B53,"IQ_CDS_mid",O$2)</f>
        <v>50.661099999999998</v>
      </c>
      <c r="P53">
        <f ca="1">_xll.ciqfunctions.udf.CIQ($B53,"IQ_CDS_mid",P$2)</f>
        <v>51.243499999999997</v>
      </c>
      <c r="Q53">
        <f ca="1">_xll.ciqfunctions.udf.CIQ($B53,"IQ_CDS_mid",Q$2)</f>
        <v>49.930799999999998</v>
      </c>
      <c r="R53">
        <f ca="1">_xll.ciqfunctions.udf.CIQ($B53,"IQ_CDS_mid",R$2)</f>
        <v>51.3125</v>
      </c>
      <c r="S53">
        <f ca="1">_xll.ciqfunctions.udf.CIQ($B53,"IQ_CDS_mid",S$2)</f>
        <v>47.928100000000001</v>
      </c>
      <c r="T53">
        <f t="shared" ca="1" si="14"/>
        <v>0.10640000000000072</v>
      </c>
      <c r="U53">
        <f t="shared" ca="1" si="15"/>
        <v>-2.0631999999999948</v>
      </c>
      <c r="V53">
        <f t="shared" ca="1" si="16"/>
        <v>-1.7855999999999952</v>
      </c>
      <c r="W53">
        <f t="shared" ca="1" si="17"/>
        <v>-3.1672999999999973</v>
      </c>
      <c r="X53">
        <f t="shared" ca="1" si="13"/>
        <v>0.21710000000000207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51.4529</v>
      </c>
      <c r="D54">
        <f ca="1">_xll.ciqfunctions.udf.CIQ($B54,"IQ_CDS_mid",D$2)</f>
        <v>51.4529</v>
      </c>
      <c r="E54">
        <f ca="1">_xll.ciqfunctions.udf.CIQ($B54,"IQ_CDS_mid",E$2)</f>
        <v>50.718000000000004</v>
      </c>
      <c r="F54">
        <f ca="1">_xll.ciqfunctions.udf.CIQ($B54,"IQ_CDS_mid",F$2)</f>
        <v>50.718000000000004</v>
      </c>
      <c r="G54">
        <f ca="1">_xll.ciqfunctions.udf.CIQ($B54,"IQ_CDS_mid",G$2)</f>
        <v>50.718000000000004</v>
      </c>
      <c r="H54">
        <f ca="1">_xll.ciqfunctions.udf.CIQ($B54,"IQ_CDS_mid",H$2)</f>
        <v>50.833500000000001</v>
      </c>
      <c r="I54">
        <f ca="1">_xll.ciqfunctions.udf.CIQ($B54,"IQ_CDS_mid",I$2)</f>
        <v>50.166899999999998</v>
      </c>
      <c r="J54">
        <f ca="1">_xll.ciqfunctions.udf.CIQ($B54,"IQ_CDS_mid",J$2)</f>
        <v>49.896099999999997</v>
      </c>
      <c r="K54">
        <f ca="1">_xll.ciqfunctions.udf.CIQ($B54,"IQ_CDS_mid",K$2)</f>
        <v>50.701300000000003</v>
      </c>
      <c r="L54">
        <f ca="1">_xll.ciqfunctions.udf.CIQ($B54,"IQ_CDS_mid",L$2)</f>
        <v>51.574199999999998</v>
      </c>
      <c r="M54">
        <f ca="1">_xll.ciqfunctions.udf.CIQ($B54,"IQ_CDS_mid",M$2)</f>
        <v>51.574199999999998</v>
      </c>
      <c r="N54">
        <f ca="1">_xll.ciqfunctions.udf.CIQ($B54,"IQ_CDS_mid",N$2)</f>
        <v>51.574199999999998</v>
      </c>
      <c r="O54">
        <f ca="1">_xll.ciqfunctions.udf.CIQ($B54,"IQ_CDS_mid",O$2)</f>
        <v>51.897199999999998</v>
      </c>
      <c r="P54">
        <f ca="1">_xll.ciqfunctions.udf.CIQ($B54,"IQ_CDS_mid",P$2)</f>
        <v>52.493200000000002</v>
      </c>
      <c r="Q54">
        <f ca="1">_xll.ciqfunctions.udf.CIQ($B54,"IQ_CDS_mid",Q$2)</f>
        <v>52.186100000000003</v>
      </c>
      <c r="R54">
        <f ca="1">_xll.ciqfunctions.udf.CIQ($B54,"IQ_CDS_mid",R$2)</f>
        <v>51.973799999999997</v>
      </c>
      <c r="S54">
        <f ca="1">_xll.ciqfunctions.udf.CIQ($B54,"IQ_CDS_mid",S$2)</f>
        <v>49.776899999999998</v>
      </c>
      <c r="T54">
        <f t="shared" ca="1" si="14"/>
        <v>0.61939999999999884</v>
      </c>
      <c r="U54">
        <f t="shared" ca="1" si="15"/>
        <v>-0.12129999999999797</v>
      </c>
      <c r="V54">
        <f t="shared" ca="1" si="16"/>
        <v>-0.73320000000000363</v>
      </c>
      <c r="W54">
        <f t="shared" ca="1" si="17"/>
        <v>-0.52089999999999748</v>
      </c>
      <c r="X54">
        <f t="shared" ca="1" si="13"/>
        <v>1.6760000000000019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41.299399999999999</v>
      </c>
      <c r="D56">
        <f ca="1">_xll.ciqfunctions.udf.CIQ($B56,"IQ_CDS_mid",D$2)</f>
        <v>41.299399999999999</v>
      </c>
      <c r="E56">
        <f ca="1">_xll.ciqfunctions.udf.CIQ($B56,"IQ_CDS_mid",E$2)</f>
        <v>41.305999999999997</v>
      </c>
      <c r="F56">
        <f ca="1">_xll.ciqfunctions.udf.CIQ($B56,"IQ_CDS_mid",F$2)</f>
        <v>41.305999999999997</v>
      </c>
      <c r="G56">
        <f ca="1">_xll.ciqfunctions.udf.CIQ($B56,"IQ_CDS_mid",G$2)</f>
        <v>41.305999999999997</v>
      </c>
      <c r="H56">
        <f ca="1">_xll.ciqfunctions.udf.CIQ($B56,"IQ_CDS_mid",H$2)</f>
        <v>41.510199999999998</v>
      </c>
      <c r="I56">
        <f ca="1">_xll.ciqfunctions.udf.CIQ($B56,"IQ_CDS_mid",I$2)</f>
        <v>41.319600000000001</v>
      </c>
      <c r="J56">
        <f ca="1">_xll.ciqfunctions.udf.CIQ($B56,"IQ_CDS_mid",J$2)</f>
        <v>42.274500000000003</v>
      </c>
      <c r="K56">
        <f ca="1">_xll.ciqfunctions.udf.CIQ($B56,"IQ_CDS_mid",K$2)</f>
        <v>42.856000000000002</v>
      </c>
      <c r="L56">
        <f ca="1">_xll.ciqfunctions.udf.CIQ($B56,"IQ_CDS_mid",L$2)</f>
        <v>43.285499999999999</v>
      </c>
      <c r="M56">
        <f ca="1">_xll.ciqfunctions.udf.CIQ($B56,"IQ_CDS_mid",M$2)</f>
        <v>43.285499999999999</v>
      </c>
      <c r="N56">
        <f ca="1">_xll.ciqfunctions.udf.CIQ($B56,"IQ_CDS_mid",N$2)</f>
        <v>43.285499999999999</v>
      </c>
      <c r="O56">
        <f ca="1">_xll.ciqfunctions.udf.CIQ($B56,"IQ_CDS_mid",O$2)</f>
        <v>43.383899999999997</v>
      </c>
      <c r="P56">
        <f ca="1">_xll.ciqfunctions.udf.CIQ($B56,"IQ_CDS_mid",P$2)</f>
        <v>44.113900000000001</v>
      </c>
      <c r="Q56">
        <f ca="1">_xll.ciqfunctions.udf.CIQ($B56,"IQ_CDS_mid",Q$2)</f>
        <v>43.801699999999997</v>
      </c>
      <c r="R56">
        <f ca="1">_xll.ciqfunctions.udf.CIQ($B56,"IQ_CDS_mid",R$2)</f>
        <v>39.843600000000002</v>
      </c>
      <c r="S56">
        <f ca="1">_xll.ciqfunctions.udf.CIQ($B56,"IQ_CDS_mid",S$2)</f>
        <v>41.471400000000003</v>
      </c>
      <c r="T56">
        <f ca="1">C56-H56</f>
        <v>-0.21079999999999899</v>
      </c>
      <c r="U56">
        <f ca="1">C56-M56</f>
        <v>-1.9861000000000004</v>
      </c>
      <c r="V56">
        <f ca="1">C56-Q56</f>
        <v>-2.5022999999999982</v>
      </c>
      <c r="W56">
        <f ca="1">C56-R56</f>
        <v>1.4557999999999964</v>
      </c>
      <c r="X56">
        <f t="shared" ca="1" si="13"/>
        <v>-0.17200000000000415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35.299999999999997</v>
      </c>
      <c r="D57">
        <f ca="1">_xll.ciqfunctions.udf.CIQ($B57,"IQ_CDS_mid",D$2)</f>
        <v>35.299999999999997</v>
      </c>
      <c r="E57">
        <f ca="1">_xll.ciqfunctions.udf.CIQ($B57,"IQ_CDS_mid",E$2)</f>
        <v>35.5</v>
      </c>
      <c r="F57">
        <f ca="1">_xll.ciqfunctions.udf.CIQ($B57,"IQ_CDS_mid",F$2)</f>
        <v>35.5</v>
      </c>
      <c r="G57">
        <f ca="1">_xll.ciqfunctions.udf.CIQ($B57,"IQ_CDS_mid",G$2)</f>
        <v>35.5</v>
      </c>
      <c r="H57">
        <f ca="1">_xll.ciqfunctions.udf.CIQ($B57,"IQ_CDS_mid",H$2)</f>
        <v>35.535699999999999</v>
      </c>
      <c r="I57">
        <f ca="1">_xll.ciqfunctions.udf.CIQ($B57,"IQ_CDS_mid",I$2)</f>
        <v>35.5</v>
      </c>
      <c r="J57">
        <f ca="1">_xll.ciqfunctions.udf.CIQ($B57,"IQ_CDS_mid",J$2)</f>
        <v>35.318800000000003</v>
      </c>
      <c r="K57">
        <f ca="1">_xll.ciqfunctions.udf.CIQ($B57,"IQ_CDS_mid",K$2)</f>
        <v>35.5</v>
      </c>
      <c r="L57">
        <f ca="1">_xll.ciqfunctions.udf.CIQ($B57,"IQ_CDS_mid",L$2)</f>
        <v>36.151800000000001</v>
      </c>
      <c r="M57">
        <f ca="1">_xll.ciqfunctions.udf.CIQ($B57,"IQ_CDS_mid",M$2)</f>
        <v>36.151800000000001</v>
      </c>
      <c r="N57">
        <f ca="1">_xll.ciqfunctions.udf.CIQ($B57,"IQ_CDS_mid",N$2)</f>
        <v>36.151800000000001</v>
      </c>
      <c r="O57">
        <f ca="1">_xll.ciqfunctions.udf.CIQ($B57,"IQ_CDS_mid",O$2)</f>
        <v>36.436300000000003</v>
      </c>
      <c r="P57">
        <f ca="1">_xll.ciqfunctions.udf.CIQ($B57,"IQ_CDS_mid",P$2)</f>
        <v>36.331400000000002</v>
      </c>
      <c r="Q57">
        <f ca="1">_xll.ciqfunctions.udf.CIQ($B57,"IQ_CDS_mid",Q$2)</f>
        <v>36.091700000000003</v>
      </c>
      <c r="R57">
        <f ca="1">_xll.ciqfunctions.udf.CIQ($B57,"IQ_CDS_mid",R$2)</f>
        <v>34.691000000000003</v>
      </c>
      <c r="S57">
        <f ca="1">_xll.ciqfunctions.udf.CIQ($B57,"IQ_CDS_mid",S$2)</f>
        <v>37.935699999999997</v>
      </c>
      <c r="T57">
        <f ca="1">C57-H57</f>
        <v>-0.23570000000000135</v>
      </c>
      <c r="U57">
        <f ca="1">C57-M57</f>
        <v>-0.85180000000000433</v>
      </c>
      <c r="V57">
        <f ca="1">C57-Q57</f>
        <v>-0.79170000000000584</v>
      </c>
      <c r="W57">
        <f ca="1">C57-R57</f>
        <v>0.60899999999999466</v>
      </c>
      <c r="X57">
        <f t="shared" ca="1" si="13"/>
        <v>-2.6356999999999999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42.833300000000001</v>
      </c>
      <c r="D58">
        <f ca="1">_xll.ciqfunctions.udf.CIQ($B58,"IQ_CDS_mid",D$2)</f>
        <v>42.833300000000001</v>
      </c>
      <c r="E58">
        <f ca="1">_xll.ciqfunctions.udf.CIQ($B58,"IQ_CDS_mid",E$2)</f>
        <v>43.083300000000001</v>
      </c>
      <c r="F58">
        <f ca="1">_xll.ciqfunctions.udf.CIQ($B58,"IQ_CDS_mid",F$2)</f>
        <v>43.083300000000001</v>
      </c>
      <c r="G58">
        <f ca="1">_xll.ciqfunctions.udf.CIQ($B58,"IQ_CDS_mid",G$2)</f>
        <v>43.083300000000001</v>
      </c>
      <c r="H58">
        <f ca="1">_xll.ciqfunctions.udf.CIQ($B58,"IQ_CDS_mid",H$2)</f>
        <v>43.214300000000001</v>
      </c>
      <c r="I58">
        <f ca="1">_xll.ciqfunctions.udf.CIQ($B58,"IQ_CDS_mid",I$2)</f>
        <v>43.037500000000001</v>
      </c>
      <c r="J58">
        <f ca="1">_xll.ciqfunctions.udf.CIQ($B58,"IQ_CDS_mid",J$2)</f>
        <v>42.992199999999997</v>
      </c>
      <c r="K58">
        <f ca="1">_xll.ciqfunctions.udf.CIQ($B58,"IQ_CDS_mid",K$2)</f>
        <v>43.2986</v>
      </c>
      <c r="L58">
        <f ca="1">_xll.ciqfunctions.udf.CIQ($B58,"IQ_CDS_mid",L$2)</f>
        <v>43.956400000000002</v>
      </c>
      <c r="M58">
        <f ca="1">_xll.ciqfunctions.udf.CIQ($B58,"IQ_CDS_mid",M$2)</f>
        <v>43.956400000000002</v>
      </c>
      <c r="N58">
        <f ca="1">_xll.ciqfunctions.udf.CIQ($B58,"IQ_CDS_mid",N$2)</f>
        <v>43.956400000000002</v>
      </c>
      <c r="O58">
        <f ca="1">_xll.ciqfunctions.udf.CIQ($B58,"IQ_CDS_mid",O$2)</f>
        <v>44.666699999999999</v>
      </c>
      <c r="P58">
        <f ca="1">_xll.ciqfunctions.udf.CIQ($B58,"IQ_CDS_mid",P$2)</f>
        <v>44.832799999999999</v>
      </c>
      <c r="Q58">
        <f ca="1">_xll.ciqfunctions.udf.CIQ($B58,"IQ_CDS_mid",Q$2)</f>
        <v>44.615699999999997</v>
      </c>
      <c r="R58">
        <f ca="1">_xll.ciqfunctions.udf.CIQ($B58,"IQ_CDS_mid",R$2)</f>
        <v>43.332900000000002</v>
      </c>
      <c r="S58">
        <f ca="1">_xll.ciqfunctions.udf.CIQ($B58,"IQ_CDS_mid",S$2)</f>
        <v>45.625</v>
      </c>
      <c r="T58">
        <f ca="1">C58-H58</f>
        <v>-0.38100000000000023</v>
      </c>
      <c r="U58">
        <f ca="1">C58-M58</f>
        <v>-1.1231000000000009</v>
      </c>
      <c r="V58">
        <f ca="1">C58-Q58</f>
        <v>-1.7823999999999955</v>
      </c>
      <c r="W58">
        <f ca="1">C58-R58</f>
        <v>-0.49960000000000093</v>
      </c>
      <c r="X58">
        <f t="shared" ca="1" si="13"/>
        <v>-2.7916999999999987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45.118000000000002</v>
      </c>
      <c r="D60">
        <f ca="1">_xll.ciqfunctions.udf.CIQ($B60,"IQ_CDS_mid",D$2)</f>
        <v>45.118000000000002</v>
      </c>
      <c r="E60">
        <f ca="1">_xll.ciqfunctions.udf.CIQ($B60,"IQ_CDS_mid",E$2)</f>
        <v>45.131700000000002</v>
      </c>
      <c r="F60">
        <f ca="1">_xll.ciqfunctions.udf.CIQ($B60,"IQ_CDS_mid",F$2)</f>
        <v>45.131700000000002</v>
      </c>
      <c r="G60">
        <f ca="1">_xll.ciqfunctions.udf.CIQ($B60,"IQ_CDS_mid",G$2)</f>
        <v>45.131700000000002</v>
      </c>
      <c r="H60">
        <f ca="1">_xll.ciqfunctions.udf.CIQ($B60,"IQ_CDS_mid",H$2)</f>
        <v>45.178199999999997</v>
      </c>
      <c r="I60">
        <f ca="1">_xll.ciqfunctions.udf.CIQ($B60,"IQ_CDS_mid",I$2)</f>
        <v>45.105699999999999</v>
      </c>
      <c r="J60">
        <f ca="1">_xll.ciqfunctions.udf.CIQ($B60,"IQ_CDS_mid",J$2)</f>
        <v>45.312899999999999</v>
      </c>
      <c r="K60">
        <f ca="1">_xll.ciqfunctions.udf.CIQ($B60,"IQ_CDS_mid",K$2)</f>
        <v>46.307200000000002</v>
      </c>
      <c r="L60">
        <f ca="1">_xll.ciqfunctions.udf.CIQ($B60,"IQ_CDS_mid",L$2)</f>
        <v>46.779699999999998</v>
      </c>
      <c r="M60">
        <f ca="1">_xll.ciqfunctions.udf.CIQ($B60,"IQ_CDS_mid",M$2)</f>
        <v>46.779699999999998</v>
      </c>
      <c r="N60">
        <f ca="1">_xll.ciqfunctions.udf.CIQ($B60,"IQ_CDS_mid",N$2)</f>
        <v>46.779699999999998</v>
      </c>
      <c r="O60">
        <f ca="1">_xll.ciqfunctions.udf.CIQ($B60,"IQ_CDS_mid",O$2)</f>
        <v>47.75</v>
      </c>
      <c r="P60">
        <f ca="1">_xll.ciqfunctions.udf.CIQ($B60,"IQ_CDS_mid",P$2)</f>
        <v>47.673200000000001</v>
      </c>
      <c r="Q60">
        <f ca="1">_xll.ciqfunctions.udf.CIQ($B60,"IQ_CDS_mid",Q$2)</f>
        <v>47.2254</v>
      </c>
      <c r="R60">
        <f ca="1">_xll.ciqfunctions.udf.CIQ($B60,"IQ_CDS_mid",R$2)</f>
        <v>53.037700000000001</v>
      </c>
      <c r="S60">
        <f ca="1">_xll.ciqfunctions.udf.CIQ($B60,"IQ_CDS_mid",S$2)</f>
        <v>47.292499999999997</v>
      </c>
      <c r="T60">
        <f ca="1">C60-H60</f>
        <v>-6.0199999999994702E-2</v>
      </c>
      <c r="U60">
        <f ca="1">C60-M60</f>
        <v>-1.6616999999999962</v>
      </c>
      <c r="V60">
        <f ca="1">C60-Q60</f>
        <v>-2.1073999999999984</v>
      </c>
      <c r="W60">
        <f ca="1">C60-R60</f>
        <v>-7.9196999999999989</v>
      </c>
      <c r="X60">
        <f t="shared" ca="1" si="13"/>
        <v>-2.1744999999999948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53.759099999999997</v>
      </c>
      <c r="D63">
        <f ca="1">_xll.ciqfunctions.udf.CIQ($B63,"IQ_CDS_mid",D$2)</f>
        <v>53.759099999999997</v>
      </c>
      <c r="E63">
        <f ca="1">_xll.ciqfunctions.udf.CIQ($B63,"IQ_CDS_mid",E$2)</f>
        <v>53.888500000000001</v>
      </c>
      <c r="F63">
        <f ca="1">_xll.ciqfunctions.udf.CIQ($B63,"IQ_CDS_mid",F$2)</f>
        <v>53.888500000000001</v>
      </c>
      <c r="G63">
        <f ca="1">_xll.ciqfunctions.udf.CIQ($B63,"IQ_CDS_mid",G$2)</f>
        <v>53.888500000000001</v>
      </c>
      <c r="H63">
        <f ca="1">_xll.ciqfunctions.udf.CIQ($B63,"IQ_CDS_mid",H$2)</f>
        <v>54.594999999999999</v>
      </c>
      <c r="I63">
        <f ca="1">_xll.ciqfunctions.udf.CIQ($B63,"IQ_CDS_mid",I$2)</f>
        <v>56.133499999999998</v>
      </c>
      <c r="J63">
        <f ca="1">_xll.ciqfunctions.udf.CIQ($B63,"IQ_CDS_mid",J$2)</f>
        <v>56.754300000000001</v>
      </c>
      <c r="K63">
        <f ca="1">_xll.ciqfunctions.udf.CIQ($B63,"IQ_CDS_mid",K$2)</f>
        <v>58.0276</v>
      </c>
      <c r="L63">
        <f ca="1">_xll.ciqfunctions.udf.CIQ($B63,"IQ_CDS_mid",L$2)</f>
        <v>58.846200000000003</v>
      </c>
      <c r="M63">
        <f ca="1">_xll.ciqfunctions.udf.CIQ($B63,"IQ_CDS_mid",M$2)</f>
        <v>58.846200000000003</v>
      </c>
      <c r="N63">
        <f ca="1">_xll.ciqfunctions.udf.CIQ($B63,"IQ_CDS_mid",N$2)</f>
        <v>58.846200000000003</v>
      </c>
      <c r="O63">
        <f ca="1">_xll.ciqfunctions.udf.CIQ($B63,"IQ_CDS_mid",O$2)</f>
        <v>59.130299999999998</v>
      </c>
      <c r="P63">
        <f ca="1">_xll.ciqfunctions.udf.CIQ($B63,"IQ_CDS_mid",P$2)</f>
        <v>60.156399999999998</v>
      </c>
      <c r="Q63">
        <f ca="1">_xll.ciqfunctions.udf.CIQ($B63,"IQ_CDS_mid",Q$2)</f>
        <v>59.421300000000002</v>
      </c>
      <c r="R63">
        <f ca="1">_xll.ciqfunctions.udf.CIQ($B63,"IQ_CDS_mid",R$2)</f>
        <v>66.191100000000006</v>
      </c>
      <c r="S63">
        <f ca="1">_xll.ciqfunctions.udf.CIQ($B63,"IQ_CDS_mid",S$2)</f>
        <v>60.3</v>
      </c>
      <c r="T63">
        <f ca="1">C63-H63</f>
        <v>-0.83590000000000231</v>
      </c>
      <c r="U63">
        <f ca="1">C63-M63</f>
        <v>-5.0871000000000066</v>
      </c>
      <c r="V63">
        <f ca="1">C63-Q63</f>
        <v>-5.6622000000000057</v>
      </c>
      <c r="W63">
        <f ca="1">C63-R63</f>
        <v>-12.432000000000009</v>
      </c>
      <c r="X63">
        <f t="shared" ca="1" si="13"/>
        <v>-6.5409000000000006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36.718200000000003</v>
      </c>
      <c r="D64">
        <f ca="1">_xll.ciqfunctions.udf.CIQ($B64,"IQ_CDS_mid",D$2)</f>
        <v>36.718200000000003</v>
      </c>
      <c r="E64">
        <f ca="1">_xll.ciqfunctions.udf.CIQ($B64,"IQ_CDS_mid",E$2)</f>
        <v>36.861899999999999</v>
      </c>
      <c r="F64">
        <f ca="1">_xll.ciqfunctions.udf.CIQ($B64,"IQ_CDS_mid",F$2)</f>
        <v>36.861899999999999</v>
      </c>
      <c r="G64">
        <f ca="1">_xll.ciqfunctions.udf.CIQ($B64,"IQ_CDS_mid",G$2)</f>
        <v>36.861899999999999</v>
      </c>
      <c r="H64">
        <f ca="1">_xll.ciqfunctions.udf.CIQ($B64,"IQ_CDS_mid",H$2)</f>
        <v>36.963700000000003</v>
      </c>
      <c r="I64">
        <f ca="1">_xll.ciqfunctions.udf.CIQ($B64,"IQ_CDS_mid",I$2)</f>
        <v>36.209200000000003</v>
      </c>
      <c r="J64">
        <f ca="1">_xll.ciqfunctions.udf.CIQ($B64,"IQ_CDS_mid",J$2)</f>
        <v>36.108199999999997</v>
      </c>
      <c r="K64">
        <f ca="1">_xll.ciqfunctions.udf.CIQ($B64,"IQ_CDS_mid",K$2)</f>
        <v>37.068600000000004</v>
      </c>
      <c r="L64">
        <f ca="1">_xll.ciqfunctions.udf.CIQ($B64,"IQ_CDS_mid",L$2)</f>
        <v>37.4833</v>
      </c>
      <c r="M64">
        <f ca="1">_xll.ciqfunctions.udf.CIQ($B64,"IQ_CDS_mid",M$2)</f>
        <v>37.4833</v>
      </c>
      <c r="N64">
        <f ca="1">_xll.ciqfunctions.udf.CIQ($B64,"IQ_CDS_mid",N$2)</f>
        <v>37.4833</v>
      </c>
      <c r="O64">
        <f ca="1">_xll.ciqfunctions.udf.CIQ($B64,"IQ_CDS_mid",O$2)</f>
        <v>38.279899999999998</v>
      </c>
      <c r="P64">
        <f ca="1">_xll.ciqfunctions.udf.CIQ($B64,"IQ_CDS_mid",P$2)</f>
        <v>39.0657</v>
      </c>
      <c r="Q64">
        <f ca="1">_xll.ciqfunctions.udf.CIQ($B64,"IQ_CDS_mid",Q$2)</f>
        <v>38.247700000000002</v>
      </c>
      <c r="R64">
        <f ca="1">_xll.ciqfunctions.udf.CIQ($B64,"IQ_CDS_mid",R$2)</f>
        <v>43.903700000000001</v>
      </c>
      <c r="S64">
        <f ca="1">_xll.ciqfunctions.udf.CIQ($B64,"IQ_CDS_mid",S$2)</f>
        <v>46.887</v>
      </c>
      <c r="T64">
        <f ca="1">C64-H64</f>
        <v>-0.24549999999999983</v>
      </c>
      <c r="U64">
        <f ca="1">C64-M64</f>
        <v>-0.76509999999999678</v>
      </c>
      <c r="V64">
        <f ca="1">C64-Q64</f>
        <v>-1.5294999999999987</v>
      </c>
      <c r="W64">
        <f ca="1">C64-R64</f>
        <v>-7.1854999999999976</v>
      </c>
      <c r="X64">
        <f t="shared" ca="1" si="13"/>
        <v>-10.168799999999997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51.380400000000002</v>
      </c>
      <c r="D65">
        <f ca="1">_xll.ciqfunctions.udf.CIQ($B65,"IQ_CDS_mid",D$2)</f>
        <v>51.380400000000002</v>
      </c>
      <c r="E65">
        <f ca="1">_xll.ciqfunctions.udf.CIQ($B65,"IQ_CDS_mid",E$2)</f>
        <v>51.795299999999997</v>
      </c>
      <c r="F65">
        <f ca="1">_xll.ciqfunctions.udf.CIQ($B65,"IQ_CDS_mid",F$2)</f>
        <v>51.795299999999997</v>
      </c>
      <c r="G65">
        <f ca="1">_xll.ciqfunctions.udf.CIQ($B65,"IQ_CDS_mid",G$2)</f>
        <v>51.795299999999997</v>
      </c>
      <c r="H65">
        <f ca="1">_xll.ciqfunctions.udf.CIQ($B65,"IQ_CDS_mid",H$2)</f>
        <v>52.030099999999997</v>
      </c>
      <c r="I65">
        <f ca="1">_xll.ciqfunctions.udf.CIQ($B65,"IQ_CDS_mid",I$2)</f>
        <v>52.268500000000003</v>
      </c>
      <c r="J65">
        <f ca="1">_xll.ciqfunctions.udf.CIQ($B65,"IQ_CDS_mid",J$2)</f>
        <v>52.543300000000002</v>
      </c>
      <c r="K65">
        <f ca="1">_xll.ciqfunctions.udf.CIQ($B65,"IQ_CDS_mid",K$2)</f>
        <v>52.473500000000001</v>
      </c>
      <c r="L65">
        <f ca="1">_xll.ciqfunctions.udf.CIQ($B65,"IQ_CDS_mid",L$2)</f>
        <v>54.551699999999997</v>
      </c>
      <c r="M65">
        <f ca="1">_xll.ciqfunctions.udf.CIQ($B65,"IQ_CDS_mid",M$2)</f>
        <v>54.551699999999997</v>
      </c>
      <c r="N65">
        <f ca="1">_xll.ciqfunctions.udf.CIQ($B65,"IQ_CDS_mid",N$2)</f>
        <v>54.551699999999997</v>
      </c>
      <c r="O65">
        <f ca="1">_xll.ciqfunctions.udf.CIQ($B65,"IQ_CDS_mid",O$2)</f>
        <v>54.941200000000002</v>
      </c>
      <c r="P65">
        <f ca="1">_xll.ciqfunctions.udf.CIQ($B65,"IQ_CDS_mid",P$2)</f>
        <v>56.095300000000002</v>
      </c>
      <c r="Q65">
        <f ca="1">_xll.ciqfunctions.udf.CIQ($B65,"IQ_CDS_mid",Q$2)</f>
        <v>55.056899999999999</v>
      </c>
      <c r="R65">
        <f ca="1">_xll.ciqfunctions.udf.CIQ($B65,"IQ_CDS_mid",R$2)</f>
        <v>59.918700000000001</v>
      </c>
      <c r="S65">
        <f ca="1">_xll.ciqfunctions.udf.CIQ($B65,"IQ_CDS_mid",S$2)</f>
        <v>53.749299999999998</v>
      </c>
      <c r="T65">
        <f ca="1">C65-H65</f>
        <v>-0.64969999999999573</v>
      </c>
      <c r="U65">
        <f ca="1">C65-M65</f>
        <v>-3.1712999999999951</v>
      </c>
      <c r="V65">
        <f ca="1">C65-Q65</f>
        <v>-3.6764999999999972</v>
      </c>
      <c r="W65">
        <f ca="1">C65-R65</f>
        <v>-8.5382999999999996</v>
      </c>
      <c r="X65">
        <f t="shared" ca="1" si="13"/>
        <v>-2.3688999999999965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38.9621</v>
      </c>
      <c r="D66">
        <f ca="1">_xll.ciqfunctions.udf.CIQ($B66,"IQ_CDS_mid",D$2)</f>
        <v>38.9621</v>
      </c>
      <c r="E66">
        <f ca="1">_xll.ciqfunctions.udf.CIQ($B66,"IQ_CDS_mid",E$2)</f>
        <v>39.052999999999997</v>
      </c>
      <c r="F66">
        <f ca="1">_xll.ciqfunctions.udf.CIQ($B66,"IQ_CDS_mid",F$2)</f>
        <v>39.052999999999997</v>
      </c>
      <c r="G66">
        <f ca="1">_xll.ciqfunctions.udf.CIQ($B66,"IQ_CDS_mid",G$2)</f>
        <v>39.052999999999997</v>
      </c>
      <c r="H66">
        <f ca="1">_xll.ciqfunctions.udf.CIQ($B66,"IQ_CDS_mid",H$2)</f>
        <v>39.405700000000003</v>
      </c>
      <c r="I66">
        <f ca="1">_xll.ciqfunctions.udf.CIQ($B66,"IQ_CDS_mid",I$2)</f>
        <v>39.305799999999998</v>
      </c>
      <c r="J66">
        <f ca="1">_xll.ciqfunctions.udf.CIQ($B66,"IQ_CDS_mid",J$2)</f>
        <v>39.624899999999997</v>
      </c>
      <c r="K66">
        <f ca="1">_xll.ciqfunctions.udf.CIQ($B66,"IQ_CDS_mid",K$2)</f>
        <v>40.558799999999998</v>
      </c>
      <c r="L66">
        <f ca="1">_xll.ciqfunctions.udf.CIQ($B66,"IQ_CDS_mid",L$2)</f>
        <v>41.380600000000001</v>
      </c>
      <c r="M66">
        <f ca="1">_xll.ciqfunctions.udf.CIQ($B66,"IQ_CDS_mid",M$2)</f>
        <v>41.380600000000001</v>
      </c>
      <c r="N66">
        <f ca="1">_xll.ciqfunctions.udf.CIQ($B66,"IQ_CDS_mid",N$2)</f>
        <v>41.380600000000001</v>
      </c>
      <c r="O66">
        <f ca="1">_xll.ciqfunctions.udf.CIQ($B66,"IQ_CDS_mid",O$2)</f>
        <v>42.128399999999999</v>
      </c>
      <c r="P66">
        <f ca="1">_xll.ciqfunctions.udf.CIQ($B66,"IQ_CDS_mid",P$2)</f>
        <v>42.735399999999998</v>
      </c>
      <c r="Q66">
        <f ca="1">_xll.ciqfunctions.udf.CIQ($B66,"IQ_CDS_mid",Q$2)</f>
        <v>42.672400000000003</v>
      </c>
      <c r="R66">
        <f ca="1">_xll.ciqfunctions.udf.CIQ($B66,"IQ_CDS_mid",R$2)</f>
        <v>49.9788</v>
      </c>
      <c r="S66">
        <f ca="1">_xll.ciqfunctions.udf.CIQ($B66,"IQ_CDS_mid",S$2)</f>
        <v>52.951799999999999</v>
      </c>
      <c r="T66">
        <f ca="1">C66-H66</f>
        <v>-0.44360000000000355</v>
      </c>
      <c r="U66">
        <f ca="1">C66-M66</f>
        <v>-2.4185000000000016</v>
      </c>
      <c r="V66">
        <f ca="1">C66-Q66</f>
        <v>-3.7103000000000037</v>
      </c>
      <c r="W66">
        <f ca="1">C66-R66</f>
        <v>-11.0167</v>
      </c>
      <c r="X66">
        <f t="shared" ca="1" si="13"/>
        <v>-13.989699999999999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44.052199999999999</v>
      </c>
      <c r="D68">
        <f ca="1">_xll.ciqfunctions.udf.CIQ($B68,"IQ_CDS_mid",D$2)</f>
        <v>44.052199999999999</v>
      </c>
      <c r="E68">
        <f ca="1">_xll.ciqfunctions.udf.CIQ($B68,"IQ_CDS_mid",E$2)</f>
        <v>44.5</v>
      </c>
      <c r="F68">
        <f ca="1">_xll.ciqfunctions.udf.CIQ($B68,"IQ_CDS_mid",F$2)</f>
        <v>44.5</v>
      </c>
      <c r="G68">
        <f ca="1">_xll.ciqfunctions.udf.CIQ($B68,"IQ_CDS_mid",G$2)</f>
        <v>44.5</v>
      </c>
      <c r="H68">
        <f ca="1">_xll.ciqfunctions.udf.CIQ($B68,"IQ_CDS_mid",H$2)</f>
        <v>44.625</v>
      </c>
      <c r="I68">
        <f ca="1">_xll.ciqfunctions.udf.CIQ($B68,"IQ_CDS_mid",I$2)</f>
        <v>44.375399999999999</v>
      </c>
      <c r="J68">
        <f ca="1">_xll.ciqfunctions.udf.CIQ($B68,"IQ_CDS_mid",J$2)</f>
        <v>44.07</v>
      </c>
      <c r="K68">
        <f ca="1">_xll.ciqfunctions.udf.CIQ($B68,"IQ_CDS_mid",K$2)</f>
        <v>44.356400000000001</v>
      </c>
      <c r="L68">
        <f ca="1">_xll.ciqfunctions.udf.CIQ($B68,"IQ_CDS_mid",L$2)</f>
        <v>45.0944</v>
      </c>
      <c r="M68">
        <f ca="1">_xll.ciqfunctions.udf.CIQ($B68,"IQ_CDS_mid",M$2)</f>
        <v>45.0944</v>
      </c>
      <c r="N68">
        <f ca="1">_xll.ciqfunctions.udf.CIQ($B68,"IQ_CDS_mid",N$2)</f>
        <v>45.0944</v>
      </c>
      <c r="O68">
        <f ca="1">_xll.ciqfunctions.udf.CIQ($B68,"IQ_CDS_mid",O$2)</f>
        <v>45.333300000000001</v>
      </c>
      <c r="P68">
        <f ca="1">_xll.ciqfunctions.udf.CIQ($B68,"IQ_CDS_mid",P$2)</f>
        <v>45.6</v>
      </c>
      <c r="Q68">
        <f ca="1">_xll.ciqfunctions.udf.CIQ($B68,"IQ_CDS_mid",Q$2)</f>
        <v>45.250300000000003</v>
      </c>
      <c r="R68">
        <f ca="1">_xll.ciqfunctions.udf.CIQ($B68,"IQ_CDS_mid",R$2)</f>
        <v>54.625</v>
      </c>
      <c r="S68">
        <f ca="1">_xll.ciqfunctions.udf.CIQ($B68,"IQ_CDS_mid",S$2)</f>
        <v>51.75</v>
      </c>
      <c r="T68">
        <f ca="1">C68-H68</f>
        <v>-0.57280000000000086</v>
      </c>
      <c r="U68">
        <f ca="1">C68-M68</f>
        <v>-1.0422000000000011</v>
      </c>
      <c r="V68">
        <f ca="1">C68-Q68</f>
        <v>-1.1981000000000037</v>
      </c>
      <c r="W68">
        <f ca="1">C68-R68</f>
        <v>-10.572800000000001</v>
      </c>
      <c r="X68">
        <f t="shared" ca="1" si="13"/>
        <v>-7.6978000000000009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34.436700000000002</v>
      </c>
      <c r="D69">
        <f ca="1">_xll.ciqfunctions.udf.CIQ($B69,"IQ_CDS_mid",D$2)</f>
        <v>34.436700000000002</v>
      </c>
      <c r="E69">
        <f ca="1">_xll.ciqfunctions.udf.CIQ($B69,"IQ_CDS_mid",E$2)</f>
        <v>35</v>
      </c>
      <c r="F69">
        <f ca="1">_xll.ciqfunctions.udf.CIQ($B69,"IQ_CDS_mid",F$2)</f>
        <v>35</v>
      </c>
      <c r="G69">
        <f ca="1">_xll.ciqfunctions.udf.CIQ($B69,"IQ_CDS_mid",G$2)</f>
        <v>35</v>
      </c>
      <c r="H69">
        <f ca="1">_xll.ciqfunctions.udf.CIQ($B69,"IQ_CDS_mid",H$2)</f>
        <v>35.299999999999997</v>
      </c>
      <c r="I69">
        <f ca="1">_xll.ciqfunctions.udf.CIQ($B69,"IQ_CDS_mid",I$2)</f>
        <v>35.375</v>
      </c>
      <c r="J69">
        <f ca="1">_xll.ciqfunctions.udf.CIQ($B69,"IQ_CDS_mid",J$2)</f>
        <v>36</v>
      </c>
      <c r="K69">
        <f ca="1">_xll.ciqfunctions.udf.CIQ($B69,"IQ_CDS_mid",K$2)</f>
        <v>36.25</v>
      </c>
      <c r="L69">
        <f ca="1">_xll.ciqfunctions.udf.CIQ($B69,"IQ_CDS_mid",L$2)</f>
        <v>36.700000000000003</v>
      </c>
      <c r="M69">
        <f ca="1">_xll.ciqfunctions.udf.CIQ($B69,"IQ_CDS_mid",M$2)</f>
        <v>36.700000000000003</v>
      </c>
      <c r="N69">
        <f ca="1">_xll.ciqfunctions.udf.CIQ($B69,"IQ_CDS_mid",N$2)</f>
        <v>36.700000000000003</v>
      </c>
      <c r="O69">
        <f ca="1">_xll.ciqfunctions.udf.CIQ($B69,"IQ_CDS_mid",O$2)</f>
        <v>36.875</v>
      </c>
      <c r="P69">
        <f ca="1">_xll.ciqfunctions.udf.CIQ($B69,"IQ_CDS_mid",P$2)</f>
        <v>36.799999999999997</v>
      </c>
      <c r="Q69">
        <f ca="1">_xll.ciqfunctions.udf.CIQ($B69,"IQ_CDS_mid",Q$2)</f>
        <v>36.416699999999999</v>
      </c>
      <c r="R69">
        <f ca="1">_xll.ciqfunctions.udf.CIQ($B69,"IQ_CDS_mid",R$2)</f>
        <v>44.486699999999999</v>
      </c>
      <c r="S69">
        <f ca="1">_xll.ciqfunctions.udf.CIQ($B69,"IQ_CDS_mid",S$2)</f>
        <v>41.571399999999997</v>
      </c>
      <c r="T69">
        <f ca="1">C69-H69</f>
        <v>-0.86329999999999529</v>
      </c>
      <c r="U69">
        <f ca="1">C69-M69</f>
        <v>-2.263300000000001</v>
      </c>
      <c r="V69">
        <f ca="1">C69-Q69</f>
        <v>-1.9799999999999969</v>
      </c>
      <c r="W69">
        <f ca="1">C69-R69</f>
        <v>-10.049999999999997</v>
      </c>
      <c r="X69">
        <f t="shared" ca="1" si="13"/>
        <v>-7.1346999999999952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23.936699999999998</v>
      </c>
      <c r="D71">
        <f ca="1">_xll.ciqfunctions.udf.CIQ($B71,"IQ_CDS_mid",D$2)</f>
        <v>23.936699999999998</v>
      </c>
      <c r="E71">
        <f ca="1">_xll.ciqfunctions.udf.CIQ($B71,"IQ_CDS_mid",E$2)</f>
        <v>24.3</v>
      </c>
      <c r="F71">
        <f ca="1">_xll.ciqfunctions.udf.CIQ($B71,"IQ_CDS_mid",F$2)</f>
        <v>24.3</v>
      </c>
      <c r="G71">
        <f ca="1">_xll.ciqfunctions.udf.CIQ($B71,"IQ_CDS_mid",G$2)</f>
        <v>24.3</v>
      </c>
      <c r="H71">
        <f ca="1">_xll.ciqfunctions.udf.CIQ($B71,"IQ_CDS_mid",H$2)</f>
        <v>24.25</v>
      </c>
      <c r="I71">
        <f ca="1">_xll.ciqfunctions.udf.CIQ($B71,"IQ_CDS_mid",I$2)</f>
        <v>24.5</v>
      </c>
      <c r="J71">
        <f ca="1">_xll.ciqfunctions.udf.CIQ($B71,"IQ_CDS_mid",J$2)</f>
        <v>24.55</v>
      </c>
      <c r="K71">
        <f ca="1">_xll.ciqfunctions.udf.CIQ($B71,"IQ_CDS_mid",K$2)</f>
        <v>24.75</v>
      </c>
      <c r="L71">
        <f ca="1">_xll.ciqfunctions.udf.CIQ($B71,"IQ_CDS_mid",L$2)</f>
        <v>25.06</v>
      </c>
      <c r="M71">
        <f ca="1">_xll.ciqfunctions.udf.CIQ($B71,"IQ_CDS_mid",M$2)</f>
        <v>25.06</v>
      </c>
      <c r="N71">
        <f ca="1">_xll.ciqfunctions.udf.CIQ($B71,"IQ_CDS_mid",N$2)</f>
        <v>25.06</v>
      </c>
      <c r="O71">
        <f ca="1">_xll.ciqfunctions.udf.CIQ($B71,"IQ_CDS_mid",O$2)</f>
        <v>25.133299999999998</v>
      </c>
      <c r="P71">
        <f ca="1">_xll.ciqfunctions.udf.CIQ($B71,"IQ_CDS_mid",P$2)</f>
        <v>25.2179</v>
      </c>
      <c r="Q71">
        <f ca="1">_xll.ciqfunctions.udf.CIQ($B71,"IQ_CDS_mid",Q$2)</f>
        <v>25.16</v>
      </c>
      <c r="R71">
        <f ca="1">_xll.ciqfunctions.udf.CIQ($B71,"IQ_CDS_mid",R$2)</f>
        <v>27.625</v>
      </c>
      <c r="S71">
        <f ca="1">_xll.ciqfunctions.udf.CIQ($B71,"IQ_CDS_mid",S$2)</f>
        <v>35.36</v>
      </c>
      <c r="T71">
        <f ca="1">C71-H71</f>
        <v>-0.31330000000000169</v>
      </c>
      <c r="U71">
        <f ca="1">C71-M71</f>
        <v>-1.1233000000000004</v>
      </c>
      <c r="V71">
        <f ca="1">C71-Q71</f>
        <v>-1.2233000000000018</v>
      </c>
      <c r="W71">
        <f ca="1">C71-R71</f>
        <v>-3.6883000000000017</v>
      </c>
      <c r="X71">
        <f t="shared" ca="1" si="13"/>
        <v>-11.423300000000001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43.611199999999997</v>
      </c>
      <c r="D73">
        <f ca="1">_xll.ciqfunctions.udf.CIQ($B73,"IQ_CDS_mid",D$2)</f>
        <v>43.611199999999997</v>
      </c>
      <c r="E73">
        <f ca="1">_xll.ciqfunctions.udf.CIQ($B73,"IQ_CDS_mid",E$2)</f>
        <v>43.505499999999998</v>
      </c>
      <c r="F73">
        <f ca="1">_xll.ciqfunctions.udf.CIQ($B73,"IQ_CDS_mid",F$2)</f>
        <v>43.505499999999998</v>
      </c>
      <c r="G73">
        <f ca="1">_xll.ciqfunctions.udf.CIQ($B73,"IQ_CDS_mid",G$2)</f>
        <v>43.505499999999998</v>
      </c>
      <c r="H73">
        <f ca="1">_xll.ciqfunctions.udf.CIQ($B73,"IQ_CDS_mid",H$2)</f>
        <v>43.490499999999997</v>
      </c>
      <c r="I73">
        <f ca="1">_xll.ciqfunctions.udf.CIQ($B73,"IQ_CDS_mid",I$2)</f>
        <v>43.5182</v>
      </c>
      <c r="J73">
        <f ca="1">_xll.ciqfunctions.udf.CIQ($B73,"IQ_CDS_mid",J$2)</f>
        <v>43.537100000000002</v>
      </c>
      <c r="K73">
        <f ca="1">_xll.ciqfunctions.udf.CIQ($B73,"IQ_CDS_mid",K$2)</f>
        <v>43.548099999999998</v>
      </c>
      <c r="L73">
        <f ca="1">_xll.ciqfunctions.udf.CIQ($B73,"IQ_CDS_mid",L$2)</f>
        <v>43.5505</v>
      </c>
      <c r="M73">
        <f ca="1">_xll.ciqfunctions.udf.CIQ($B73,"IQ_CDS_mid",M$2)</f>
        <v>43.5505</v>
      </c>
      <c r="N73">
        <f ca="1">_xll.ciqfunctions.udf.CIQ($B73,"IQ_CDS_mid",N$2)</f>
        <v>43.5505</v>
      </c>
      <c r="O73">
        <f ca="1">_xll.ciqfunctions.udf.CIQ($B73,"IQ_CDS_mid",O$2)</f>
        <v>43.610199999999999</v>
      </c>
      <c r="P73">
        <f ca="1">_xll.ciqfunctions.udf.CIQ($B73,"IQ_CDS_mid",P$2)</f>
        <v>43.677500000000002</v>
      </c>
      <c r="Q73">
        <f ca="1">_xll.ciqfunctions.udf.CIQ($B73,"IQ_CDS_mid",Q$2)</f>
        <v>43.572400000000002</v>
      </c>
      <c r="R73">
        <f ca="1">_xll.ciqfunctions.udf.CIQ($B73,"IQ_CDS_mid",R$2)</f>
        <v>41.755400000000002</v>
      </c>
      <c r="S73">
        <f ca="1">_xll.ciqfunctions.udf.CIQ($B73,"IQ_CDS_mid",S$2)</f>
        <v>35.036299999999997</v>
      </c>
      <c r="T73">
        <f ca="1">C73-H73</f>
        <v>0.12069999999999936</v>
      </c>
      <c r="U73">
        <f ca="1">C73-M73</f>
        <v>6.069999999999709E-2</v>
      </c>
      <c r="V73">
        <f ca="1">C73-Q73</f>
        <v>3.8799999999994839E-2</v>
      </c>
      <c r="W73">
        <f ca="1">C73-R73</f>
        <v>1.855799999999995</v>
      </c>
      <c r="X73">
        <f t="shared" ca="1" si="13"/>
        <v>8.5748999999999995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43.139499999999998</v>
      </c>
      <c r="D74">
        <f ca="1">_xll.ciqfunctions.udf.CIQ($B74,"IQ_CDS_mid",D$2)</f>
        <v>43.139499999999998</v>
      </c>
      <c r="E74">
        <f ca="1">_xll.ciqfunctions.udf.CIQ($B74,"IQ_CDS_mid",E$2)</f>
        <v>43.337400000000002</v>
      </c>
      <c r="F74">
        <f ca="1">_xll.ciqfunctions.udf.CIQ($B74,"IQ_CDS_mid",F$2)</f>
        <v>43.337400000000002</v>
      </c>
      <c r="G74">
        <f ca="1">_xll.ciqfunctions.udf.CIQ($B74,"IQ_CDS_mid",G$2)</f>
        <v>43.337400000000002</v>
      </c>
      <c r="H74">
        <f ca="1">_xll.ciqfunctions.udf.CIQ($B74,"IQ_CDS_mid",H$2)</f>
        <v>43.641300000000001</v>
      </c>
      <c r="I74">
        <f ca="1">_xll.ciqfunctions.udf.CIQ($B74,"IQ_CDS_mid",I$2)</f>
        <v>43.646999999999998</v>
      </c>
      <c r="J74">
        <f ca="1">_xll.ciqfunctions.udf.CIQ($B74,"IQ_CDS_mid",J$2)</f>
        <v>44.060600000000001</v>
      </c>
      <c r="K74">
        <f ca="1">_xll.ciqfunctions.udf.CIQ($B74,"IQ_CDS_mid",K$2)</f>
        <v>44.031700000000001</v>
      </c>
      <c r="L74">
        <f ca="1">_xll.ciqfunctions.udf.CIQ($B74,"IQ_CDS_mid",L$2)</f>
        <v>43.629300000000001</v>
      </c>
      <c r="M74">
        <f ca="1">_xll.ciqfunctions.udf.CIQ($B74,"IQ_CDS_mid",M$2)</f>
        <v>43.629300000000001</v>
      </c>
      <c r="N74">
        <f ca="1">_xll.ciqfunctions.udf.CIQ($B74,"IQ_CDS_mid",N$2)</f>
        <v>43.629300000000001</v>
      </c>
      <c r="O74">
        <f ca="1">_xll.ciqfunctions.udf.CIQ($B74,"IQ_CDS_mid",O$2)</f>
        <v>44.229300000000002</v>
      </c>
      <c r="P74">
        <f ca="1">_xll.ciqfunctions.udf.CIQ($B74,"IQ_CDS_mid",P$2)</f>
        <v>43.743000000000002</v>
      </c>
      <c r="Q74">
        <f ca="1">_xll.ciqfunctions.udf.CIQ($B74,"IQ_CDS_mid",Q$2)</f>
        <v>43.054499999999997</v>
      </c>
      <c r="R74">
        <f ca="1">_xll.ciqfunctions.udf.CIQ($B74,"IQ_CDS_mid",R$2)</f>
        <v>39.781199999999998</v>
      </c>
      <c r="S74">
        <f ca="1">_xll.ciqfunctions.udf.CIQ($B74,"IQ_CDS_mid",S$2)</f>
        <v>28.665900000000001</v>
      </c>
      <c r="T74">
        <f ca="1">C74-H74</f>
        <v>-0.50180000000000291</v>
      </c>
      <c r="U74">
        <f ca="1">C74-M74</f>
        <v>-0.48980000000000246</v>
      </c>
      <c r="V74">
        <f ca="1">C74-Q74</f>
        <v>8.5000000000000853E-2</v>
      </c>
      <c r="W74">
        <f ca="1">C74-R74</f>
        <v>3.3582999999999998</v>
      </c>
      <c r="X74">
        <f t="shared" ca="1" si="13"/>
        <v>14.473599999999998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40.556699999999999</v>
      </c>
      <c r="D75">
        <f ca="1">_xll.ciqfunctions.udf.CIQ($B75,"IQ_CDS_mid",D$2)</f>
        <v>40.556699999999999</v>
      </c>
      <c r="E75">
        <f ca="1">_xll.ciqfunctions.udf.CIQ($B75,"IQ_CDS_mid",E$2)</f>
        <v>40.598100000000002</v>
      </c>
      <c r="F75">
        <f ca="1">_xll.ciqfunctions.udf.CIQ($B75,"IQ_CDS_mid",F$2)</f>
        <v>40.598100000000002</v>
      </c>
      <c r="G75">
        <f ca="1">_xll.ciqfunctions.udf.CIQ($B75,"IQ_CDS_mid",G$2)</f>
        <v>40.598100000000002</v>
      </c>
      <c r="H75">
        <f ca="1">_xll.ciqfunctions.udf.CIQ($B75,"IQ_CDS_mid",H$2)</f>
        <v>40.677300000000002</v>
      </c>
      <c r="I75">
        <f ca="1">_xll.ciqfunctions.udf.CIQ($B75,"IQ_CDS_mid",I$2)</f>
        <v>40.871899999999997</v>
      </c>
      <c r="J75">
        <f ca="1">_xll.ciqfunctions.udf.CIQ($B75,"IQ_CDS_mid",J$2)</f>
        <v>41.241500000000002</v>
      </c>
      <c r="K75">
        <f ca="1">_xll.ciqfunctions.udf.CIQ($B75,"IQ_CDS_mid",K$2)</f>
        <v>41.442599999999999</v>
      </c>
      <c r="L75">
        <f ca="1">_xll.ciqfunctions.udf.CIQ($B75,"IQ_CDS_mid",L$2)</f>
        <v>41.431899999999999</v>
      </c>
      <c r="M75">
        <f ca="1">_xll.ciqfunctions.udf.CIQ($B75,"IQ_CDS_mid",M$2)</f>
        <v>41.431899999999999</v>
      </c>
      <c r="N75">
        <f ca="1">_xll.ciqfunctions.udf.CIQ($B75,"IQ_CDS_mid",N$2)</f>
        <v>41.431899999999999</v>
      </c>
      <c r="O75">
        <f ca="1">_xll.ciqfunctions.udf.CIQ($B75,"IQ_CDS_mid",O$2)</f>
        <v>41.434800000000003</v>
      </c>
      <c r="P75">
        <f ca="1">_xll.ciqfunctions.udf.CIQ($B75,"IQ_CDS_mid",P$2)</f>
        <v>41.479399999999998</v>
      </c>
      <c r="Q75">
        <f ca="1">_xll.ciqfunctions.udf.CIQ($B75,"IQ_CDS_mid",Q$2)</f>
        <v>41.463900000000002</v>
      </c>
      <c r="R75">
        <f ca="1">_xll.ciqfunctions.udf.CIQ($B75,"IQ_CDS_mid",R$2)</f>
        <v>44.8962</v>
      </c>
      <c r="S75">
        <f ca="1">_xll.ciqfunctions.udf.CIQ($B75,"IQ_CDS_mid",S$2)</f>
        <v>56.266599999999997</v>
      </c>
      <c r="T75">
        <f ca="1">C75-H75</f>
        <v>-0.12060000000000315</v>
      </c>
      <c r="U75">
        <f ca="1">C75-M75</f>
        <v>-0.87519999999999953</v>
      </c>
      <c r="V75">
        <f ca="1">C75-Q75</f>
        <v>-0.90720000000000312</v>
      </c>
      <c r="W75">
        <f ca="1">C75-R75</f>
        <v>-4.339500000000001</v>
      </c>
      <c r="X75">
        <f t="shared" ca="1" si="13"/>
        <v>-15.709899999999998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62.832999999999998</v>
      </c>
      <c r="D76">
        <f ca="1">_xll.ciqfunctions.udf.CIQ($B76,"IQ_CDS_mid",D$2)</f>
        <v>62.832999999999998</v>
      </c>
      <c r="E76">
        <f ca="1">_xll.ciqfunctions.udf.CIQ($B76,"IQ_CDS_mid",E$2)</f>
        <v>63.004199999999997</v>
      </c>
      <c r="F76">
        <f ca="1">_xll.ciqfunctions.udf.CIQ($B76,"IQ_CDS_mid",F$2)</f>
        <v>63.004199999999997</v>
      </c>
      <c r="G76">
        <f ca="1">_xll.ciqfunctions.udf.CIQ($B76,"IQ_CDS_mid",G$2)</f>
        <v>63.004199999999997</v>
      </c>
      <c r="H76">
        <f ca="1">_xll.ciqfunctions.udf.CIQ($B76,"IQ_CDS_mid",H$2)</f>
        <v>62.353200000000001</v>
      </c>
      <c r="I76">
        <f ca="1">_xll.ciqfunctions.udf.CIQ($B76,"IQ_CDS_mid",I$2)</f>
        <v>63.162799999999997</v>
      </c>
      <c r="J76">
        <f ca="1">_xll.ciqfunctions.udf.CIQ($B76,"IQ_CDS_mid",J$2)</f>
        <v>63.329099999999997</v>
      </c>
      <c r="K76">
        <f ca="1">_xll.ciqfunctions.udf.CIQ($B76,"IQ_CDS_mid",K$2)</f>
        <v>62.811999999999998</v>
      </c>
      <c r="L76">
        <f ca="1">_xll.ciqfunctions.udf.CIQ($B76,"IQ_CDS_mid",L$2)</f>
        <v>62.420099999999998</v>
      </c>
      <c r="M76">
        <f ca="1">_xll.ciqfunctions.udf.CIQ($B76,"IQ_CDS_mid",M$2)</f>
        <v>62.420099999999998</v>
      </c>
      <c r="N76">
        <f ca="1">_xll.ciqfunctions.udf.CIQ($B76,"IQ_CDS_mid",N$2)</f>
        <v>62.420099999999998</v>
      </c>
      <c r="O76">
        <f ca="1">_xll.ciqfunctions.udf.CIQ($B76,"IQ_CDS_mid",O$2)</f>
        <v>62.705500000000001</v>
      </c>
      <c r="P76">
        <f ca="1">_xll.ciqfunctions.udf.CIQ($B76,"IQ_CDS_mid",P$2)</f>
        <v>62.814999999999998</v>
      </c>
      <c r="Q76">
        <f ca="1">_xll.ciqfunctions.udf.CIQ($B76,"IQ_CDS_mid",Q$2)</f>
        <v>62.591099999999997</v>
      </c>
      <c r="R76">
        <f ca="1">_xll.ciqfunctions.udf.CIQ($B76,"IQ_CDS_mid",R$2)</f>
        <v>67.864699999999999</v>
      </c>
      <c r="S76">
        <f ca="1">_xll.ciqfunctions.udf.CIQ($B76,"IQ_CDS_mid",S$2)</f>
        <v>68.078599999999994</v>
      </c>
      <c r="T76">
        <f ca="1">C76-H76</f>
        <v>0.47979999999999734</v>
      </c>
      <c r="U76">
        <f ca="1">C76-M76</f>
        <v>0.41290000000000049</v>
      </c>
      <c r="V76">
        <f ca="1">C76-Q76</f>
        <v>0.24190000000000111</v>
      </c>
      <c r="W76">
        <f ca="1">C76-R76</f>
        <v>-5.0317000000000007</v>
      </c>
      <c r="X76">
        <f t="shared" ca="1" si="13"/>
        <v>-5.245599999999996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75.548299999999998</v>
      </c>
      <c r="D77">
        <f ca="1">_xll.ciqfunctions.udf.CIQ($B77,"IQ_CDS_mid",D$2)</f>
        <v>75.548299999999998</v>
      </c>
      <c r="E77">
        <f ca="1">_xll.ciqfunctions.udf.CIQ($B77,"IQ_CDS_mid",E$2)</f>
        <v>75.537099999999995</v>
      </c>
      <c r="F77">
        <f ca="1">_xll.ciqfunctions.udf.CIQ($B77,"IQ_CDS_mid",F$2)</f>
        <v>75.537099999999995</v>
      </c>
      <c r="G77">
        <f ca="1">_xll.ciqfunctions.udf.CIQ($B77,"IQ_CDS_mid",G$2)</f>
        <v>75.537099999999995</v>
      </c>
      <c r="H77">
        <f ca="1">_xll.ciqfunctions.udf.CIQ($B77,"IQ_CDS_mid",H$2)</f>
        <v>75.539500000000004</v>
      </c>
      <c r="I77">
        <f ca="1">_xll.ciqfunctions.udf.CIQ($B77,"IQ_CDS_mid",I$2)</f>
        <v>75.213200000000001</v>
      </c>
      <c r="J77">
        <f ca="1">_xll.ciqfunctions.udf.CIQ($B77,"IQ_CDS_mid",J$2)</f>
        <v>75.2209</v>
      </c>
      <c r="K77">
        <f ca="1">_xll.ciqfunctions.udf.CIQ($B77,"IQ_CDS_mid",K$2)</f>
        <v>75.196100000000001</v>
      </c>
      <c r="L77">
        <f ca="1">_xll.ciqfunctions.udf.CIQ($B77,"IQ_CDS_mid",L$2)</f>
        <v>75.201099999999997</v>
      </c>
      <c r="M77">
        <f ca="1">_xll.ciqfunctions.udf.CIQ($B77,"IQ_CDS_mid",M$2)</f>
        <v>75.201099999999997</v>
      </c>
      <c r="N77">
        <f ca="1">_xll.ciqfunctions.udf.CIQ($B77,"IQ_CDS_mid",N$2)</f>
        <v>75.201099999999997</v>
      </c>
      <c r="O77">
        <f ca="1">_xll.ciqfunctions.udf.CIQ($B77,"IQ_CDS_mid",O$2)</f>
        <v>75.194299999999998</v>
      </c>
      <c r="P77">
        <f ca="1">_xll.ciqfunctions.udf.CIQ($B77,"IQ_CDS_mid",P$2)</f>
        <v>75.206999999999994</v>
      </c>
      <c r="Q77">
        <f ca="1">_xll.ciqfunctions.udf.CIQ($B77,"IQ_CDS_mid",Q$2)</f>
        <v>75.216999999999999</v>
      </c>
      <c r="R77">
        <f ca="1">_xll.ciqfunctions.udf.CIQ($B77,"IQ_CDS_mid",R$2)</f>
        <v>73.628399999999999</v>
      </c>
      <c r="S77">
        <f ca="1">_xll.ciqfunctions.udf.CIQ($B77,"IQ_CDS_mid",S$2)</f>
        <v>77.527699999999996</v>
      </c>
      <c r="T77">
        <f ca="1">C77-H77</f>
        <v>8.7999999999937017E-3</v>
      </c>
      <c r="U77">
        <f ca="1">C77-M77</f>
        <v>0.34720000000000084</v>
      </c>
      <c r="V77">
        <f ca="1">C77-Q77</f>
        <v>0.33129999999999882</v>
      </c>
      <c r="W77">
        <f ca="1">C77-R77</f>
        <v>1.9198999999999984</v>
      </c>
      <c r="X77">
        <f t="shared" ca="1" si="13"/>
        <v>-1.9793999999999983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60.666699999999999</v>
      </c>
      <c r="D79">
        <f ca="1">_xll.ciqfunctions.udf.CIQ($B79,"IQ_CDS_mid",D$2)</f>
        <v>60.666699999999999</v>
      </c>
      <c r="E79">
        <f ca="1">_xll.ciqfunctions.udf.CIQ($B79,"IQ_CDS_mid",E$2)</f>
        <v>60.666699999999999</v>
      </c>
      <c r="F79">
        <f ca="1">_xll.ciqfunctions.udf.CIQ($B79,"IQ_CDS_mid",F$2)</f>
        <v>60.666699999999999</v>
      </c>
      <c r="G79">
        <f ca="1">_xll.ciqfunctions.udf.CIQ($B79,"IQ_CDS_mid",G$2)</f>
        <v>60.666699999999999</v>
      </c>
      <c r="H79">
        <f ca="1">_xll.ciqfunctions.udf.CIQ($B79,"IQ_CDS_mid",H$2)</f>
        <v>60.833300000000001</v>
      </c>
      <c r="I79">
        <f ca="1">_xll.ciqfunctions.udf.CIQ($B79,"IQ_CDS_mid",I$2)</f>
        <v>60.833300000000001</v>
      </c>
      <c r="J79">
        <f ca="1">_xll.ciqfunctions.udf.CIQ($B79,"IQ_CDS_mid",J$2)</f>
        <v>60.5</v>
      </c>
      <c r="K79">
        <f ca="1">_xll.ciqfunctions.udf.CIQ($B79,"IQ_CDS_mid",K$2)</f>
        <v>61</v>
      </c>
      <c r="L79">
        <f ca="1">_xll.ciqfunctions.udf.CIQ($B79,"IQ_CDS_mid",L$2)</f>
        <v>61.333300000000001</v>
      </c>
      <c r="M79">
        <f ca="1">_xll.ciqfunctions.udf.CIQ($B79,"IQ_CDS_mid",M$2)</f>
        <v>61.333300000000001</v>
      </c>
      <c r="N79">
        <f ca="1">_xll.ciqfunctions.udf.CIQ($B79,"IQ_CDS_mid",N$2)</f>
        <v>61.333300000000001</v>
      </c>
      <c r="O79">
        <f ca="1">_xll.ciqfunctions.udf.CIQ($B79,"IQ_CDS_mid",O$2)</f>
        <v>61.5</v>
      </c>
      <c r="P79">
        <f ca="1">_xll.ciqfunctions.udf.CIQ($B79,"IQ_CDS_mid",P$2)</f>
        <v>62.666699999999999</v>
      </c>
      <c r="Q79">
        <f ca="1">_xll.ciqfunctions.udf.CIQ($B79,"IQ_CDS_mid",Q$2)</f>
        <v>61.5</v>
      </c>
      <c r="R79">
        <f ca="1">_xll.ciqfunctions.udf.CIQ($B79,"IQ_CDS_mid",R$2)</f>
        <v>63</v>
      </c>
      <c r="S79">
        <f ca="1">_xll.ciqfunctions.udf.CIQ($B79,"IQ_CDS_mid",S$2)</f>
        <v>41.495600000000003</v>
      </c>
      <c r="T79">
        <f t="shared" ref="T79:T84" ca="1" si="18">C79-H79</f>
        <v>-0.16660000000000252</v>
      </c>
      <c r="U79">
        <f t="shared" ref="U79:U84" ca="1" si="19">C79-M79</f>
        <v>-0.66660000000000252</v>
      </c>
      <c r="V79">
        <f t="shared" ref="V79:V84" ca="1" si="20">C79-Q79</f>
        <v>-0.83330000000000126</v>
      </c>
      <c r="W79">
        <f t="shared" ref="W79:W84" ca="1" si="21">C79-R79</f>
        <v>-2.3333000000000013</v>
      </c>
      <c r="X79">
        <f t="shared" ca="1" si="13"/>
        <v>19.171099999999996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57.824100000000001</v>
      </c>
      <c r="D80">
        <f ca="1">_xll.ciqfunctions.udf.CIQ($B80,"IQ_CDS_mid",D$2)</f>
        <v>57.824100000000001</v>
      </c>
      <c r="E80">
        <f ca="1">_xll.ciqfunctions.udf.CIQ($B80,"IQ_CDS_mid",E$2)</f>
        <v>57.825299999999999</v>
      </c>
      <c r="F80">
        <f ca="1">_xll.ciqfunctions.udf.CIQ($B80,"IQ_CDS_mid",F$2)</f>
        <v>57.825299999999999</v>
      </c>
      <c r="G80">
        <f ca="1">_xll.ciqfunctions.udf.CIQ($B80,"IQ_CDS_mid",G$2)</f>
        <v>57.825299999999999</v>
      </c>
      <c r="H80">
        <f ca="1">_xll.ciqfunctions.udf.CIQ($B80,"IQ_CDS_mid",H$2)</f>
        <v>57.8262</v>
      </c>
      <c r="I80">
        <f ca="1">_xll.ciqfunctions.udf.CIQ($B80,"IQ_CDS_mid",I$2)</f>
        <v>57.826599999999999</v>
      </c>
      <c r="J80">
        <f ca="1">_xll.ciqfunctions.udf.CIQ($B80,"IQ_CDS_mid",J$2)</f>
        <v>57.493400000000001</v>
      </c>
      <c r="K80">
        <f ca="1">_xll.ciqfunctions.udf.CIQ($B80,"IQ_CDS_mid",K$2)</f>
        <v>57.827100000000002</v>
      </c>
      <c r="L80">
        <f ca="1">_xll.ciqfunctions.udf.CIQ($B80,"IQ_CDS_mid",L$2)</f>
        <v>57.828800000000001</v>
      </c>
      <c r="M80">
        <f ca="1">_xll.ciqfunctions.udf.CIQ($B80,"IQ_CDS_mid",M$2)</f>
        <v>57.828800000000001</v>
      </c>
      <c r="N80">
        <f ca="1">_xll.ciqfunctions.udf.CIQ($B80,"IQ_CDS_mid",N$2)</f>
        <v>57.828800000000001</v>
      </c>
      <c r="O80">
        <f ca="1">_xll.ciqfunctions.udf.CIQ($B80,"IQ_CDS_mid",O$2)</f>
        <v>57.8292</v>
      </c>
      <c r="P80">
        <f ca="1">_xll.ciqfunctions.udf.CIQ($B80,"IQ_CDS_mid",P$2)</f>
        <v>58.496499999999997</v>
      </c>
      <c r="Q80">
        <f ca="1">_xll.ciqfunctions.udf.CIQ($B80,"IQ_CDS_mid",Q$2)</f>
        <v>57.830100000000002</v>
      </c>
      <c r="R80">
        <f ca="1">_xll.ciqfunctions.udf.CIQ($B80,"IQ_CDS_mid",R$2)</f>
        <v>55.5</v>
      </c>
      <c r="S80">
        <f ca="1">_xll.ciqfunctions.udf.CIQ($B80,"IQ_CDS_mid",S$2)</f>
        <v>44.993099999999998</v>
      </c>
      <c r="T80">
        <f t="shared" ca="1" si="18"/>
        <v>-2.0999999999986585E-3</v>
      </c>
      <c r="U80">
        <f t="shared" ca="1" si="19"/>
        <v>-4.6999999999997044E-3</v>
      </c>
      <c r="V80">
        <f t="shared" ca="1" si="20"/>
        <v>-6.0000000000002274E-3</v>
      </c>
      <c r="W80">
        <f t="shared" ca="1" si="21"/>
        <v>2.3241000000000014</v>
      </c>
      <c r="X80">
        <f t="shared" ca="1" si="13"/>
        <v>12.831000000000003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60.838000000000001</v>
      </c>
      <c r="D81">
        <f ca="1">_xll.ciqfunctions.udf.CIQ($B81,"IQ_CDS_mid",D$2)</f>
        <v>60.838000000000001</v>
      </c>
      <c r="E81">
        <f ca="1">_xll.ciqfunctions.udf.CIQ($B81,"IQ_CDS_mid",E$2)</f>
        <v>60.838500000000003</v>
      </c>
      <c r="F81">
        <f ca="1">_xll.ciqfunctions.udf.CIQ($B81,"IQ_CDS_mid",F$2)</f>
        <v>60.838500000000003</v>
      </c>
      <c r="G81">
        <f ca="1">_xll.ciqfunctions.udf.CIQ($B81,"IQ_CDS_mid",G$2)</f>
        <v>60.838500000000003</v>
      </c>
      <c r="H81">
        <f ca="1">_xll.ciqfunctions.udf.CIQ($B81,"IQ_CDS_mid",H$2)</f>
        <v>60.833300000000001</v>
      </c>
      <c r="I81">
        <f ca="1">_xll.ciqfunctions.udf.CIQ($B81,"IQ_CDS_mid",I$2)</f>
        <v>60.833300000000001</v>
      </c>
      <c r="J81">
        <f ca="1">_xll.ciqfunctions.udf.CIQ($B81,"IQ_CDS_mid",J$2)</f>
        <v>60.5</v>
      </c>
      <c r="K81">
        <f ca="1">_xll.ciqfunctions.udf.CIQ($B81,"IQ_CDS_mid",K$2)</f>
        <v>61.1768</v>
      </c>
      <c r="L81">
        <f ca="1">_xll.ciqfunctions.udf.CIQ($B81,"IQ_CDS_mid",L$2)</f>
        <v>61.169600000000003</v>
      </c>
      <c r="M81">
        <f ca="1">_xll.ciqfunctions.udf.CIQ($B81,"IQ_CDS_mid",M$2)</f>
        <v>61.169600000000003</v>
      </c>
      <c r="N81">
        <f ca="1">_xll.ciqfunctions.udf.CIQ($B81,"IQ_CDS_mid",N$2)</f>
        <v>61.169600000000003</v>
      </c>
      <c r="O81">
        <f ca="1">_xll.ciqfunctions.udf.CIQ($B81,"IQ_CDS_mid",O$2)</f>
        <v>61.497</v>
      </c>
      <c r="P81">
        <f ca="1">_xll.ciqfunctions.udf.CIQ($B81,"IQ_CDS_mid",P$2)</f>
        <v>62.837800000000001</v>
      </c>
      <c r="Q81">
        <f ca="1">_xll.ciqfunctions.udf.CIQ($B81,"IQ_CDS_mid",Q$2)</f>
        <v>62.333300000000001</v>
      </c>
      <c r="R81">
        <f ca="1">_xll.ciqfunctions.udf.CIQ($B81,"IQ_CDS_mid",R$2)</f>
        <v>62.32</v>
      </c>
      <c r="S81">
        <f ca="1">_xll.ciqfunctions.udf.CIQ($B81,"IQ_CDS_mid",S$2)</f>
        <v>43.0946</v>
      </c>
      <c r="T81">
        <f t="shared" ca="1" si="18"/>
        <v>4.6999999999997044E-3</v>
      </c>
      <c r="U81">
        <f t="shared" ca="1" si="19"/>
        <v>-0.33160000000000167</v>
      </c>
      <c r="V81">
        <f t="shared" ca="1" si="20"/>
        <v>-1.4953000000000003</v>
      </c>
      <c r="W81">
        <f t="shared" ca="1" si="21"/>
        <v>-1.4819999999999993</v>
      </c>
      <c r="X81">
        <f t="shared" ca="1" si="13"/>
        <v>17.743400000000001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56.314900000000002</v>
      </c>
      <c r="D82">
        <f ca="1">_xll.ciqfunctions.udf.CIQ($B82,"IQ_CDS_mid",D$2)</f>
        <v>56.314900000000002</v>
      </c>
      <c r="E82">
        <f ca="1">_xll.ciqfunctions.udf.CIQ($B82,"IQ_CDS_mid",E$2)</f>
        <v>56.345199999999998</v>
      </c>
      <c r="F82">
        <f ca="1">_xll.ciqfunctions.udf.CIQ($B82,"IQ_CDS_mid",F$2)</f>
        <v>56.345199999999998</v>
      </c>
      <c r="G82">
        <f ca="1">_xll.ciqfunctions.udf.CIQ($B82,"IQ_CDS_mid",G$2)</f>
        <v>56.345199999999998</v>
      </c>
      <c r="H82">
        <f ca="1">_xll.ciqfunctions.udf.CIQ($B82,"IQ_CDS_mid",H$2)</f>
        <v>56.311300000000003</v>
      </c>
      <c r="I82">
        <f ca="1">_xll.ciqfunctions.udf.CIQ($B82,"IQ_CDS_mid",I$2)</f>
        <v>56.336799999999997</v>
      </c>
      <c r="J82">
        <f ca="1">_xll.ciqfunctions.udf.CIQ($B82,"IQ_CDS_mid",J$2)</f>
        <v>56.022300000000001</v>
      </c>
      <c r="K82">
        <f ca="1">_xll.ciqfunctions.udf.CIQ($B82,"IQ_CDS_mid",K$2)</f>
        <v>56.343800000000002</v>
      </c>
      <c r="L82">
        <f ca="1">_xll.ciqfunctions.udf.CIQ($B82,"IQ_CDS_mid",L$2)</f>
        <v>56.316200000000002</v>
      </c>
      <c r="M82">
        <f ca="1">_xll.ciqfunctions.udf.CIQ($B82,"IQ_CDS_mid",M$2)</f>
        <v>56.316200000000002</v>
      </c>
      <c r="N82">
        <f ca="1">_xll.ciqfunctions.udf.CIQ($B82,"IQ_CDS_mid",N$2)</f>
        <v>56.316200000000002</v>
      </c>
      <c r="O82">
        <f ca="1">_xll.ciqfunctions.udf.CIQ($B82,"IQ_CDS_mid",O$2)</f>
        <v>56.3322</v>
      </c>
      <c r="P82">
        <f ca="1">_xll.ciqfunctions.udf.CIQ($B82,"IQ_CDS_mid",P$2)</f>
        <v>56.992100000000001</v>
      </c>
      <c r="Q82">
        <f ca="1">_xll.ciqfunctions.udf.CIQ($B82,"IQ_CDS_mid",Q$2)</f>
        <v>56.344799999999999</v>
      </c>
      <c r="R82">
        <f ca="1">_xll.ciqfunctions.udf.CIQ($B82,"IQ_CDS_mid",R$2)</f>
        <v>55.5</v>
      </c>
      <c r="S82">
        <f ca="1">_xll.ciqfunctions.udf.CIQ($B82,"IQ_CDS_mid",S$2)</f>
        <v>45.407299999999999</v>
      </c>
      <c r="T82">
        <f t="shared" ca="1" si="18"/>
        <v>3.5999999999987153E-3</v>
      </c>
      <c r="U82">
        <f t="shared" ca="1" si="19"/>
        <v>-1.300000000000523E-3</v>
      </c>
      <c r="V82">
        <f t="shared" ca="1" si="20"/>
        <v>-2.9899999999997817E-2</v>
      </c>
      <c r="W82">
        <f t="shared" ca="1" si="21"/>
        <v>0.81490000000000151</v>
      </c>
      <c r="X82">
        <f t="shared" ca="1" si="13"/>
        <v>10.907600000000002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61.0259</v>
      </c>
      <c r="D83">
        <f ca="1">_xll.ciqfunctions.udf.CIQ($B83,"IQ_CDS_mid",D$2)</f>
        <v>61.0259</v>
      </c>
      <c r="E83">
        <f ca="1">_xll.ciqfunctions.udf.CIQ($B83,"IQ_CDS_mid",E$2)</f>
        <v>61.020299999999999</v>
      </c>
      <c r="F83">
        <f ca="1">_xll.ciqfunctions.udf.CIQ($B83,"IQ_CDS_mid",F$2)</f>
        <v>61.020299999999999</v>
      </c>
      <c r="G83">
        <f ca="1">_xll.ciqfunctions.udf.CIQ($B83,"IQ_CDS_mid",G$2)</f>
        <v>61.020299999999999</v>
      </c>
      <c r="H83">
        <f ca="1">_xll.ciqfunctions.udf.CIQ($B83,"IQ_CDS_mid",H$2)</f>
        <v>61.0015</v>
      </c>
      <c r="I83">
        <f ca="1">_xll.ciqfunctions.udf.CIQ($B83,"IQ_CDS_mid",I$2)</f>
        <v>60.936500000000002</v>
      </c>
      <c r="J83">
        <f ca="1">_xll.ciqfunctions.udf.CIQ($B83,"IQ_CDS_mid",J$2)</f>
        <v>60.746400000000001</v>
      </c>
      <c r="K83">
        <f ca="1">_xll.ciqfunctions.udf.CIQ($B83,"IQ_CDS_mid",K$2)</f>
        <v>61.0852</v>
      </c>
      <c r="L83">
        <f ca="1">_xll.ciqfunctions.udf.CIQ($B83,"IQ_CDS_mid",L$2)</f>
        <v>61.150300000000001</v>
      </c>
      <c r="M83">
        <f ca="1">_xll.ciqfunctions.udf.CIQ($B83,"IQ_CDS_mid",M$2)</f>
        <v>61.150300000000001</v>
      </c>
      <c r="N83">
        <f ca="1">_xll.ciqfunctions.udf.CIQ($B83,"IQ_CDS_mid",N$2)</f>
        <v>61.150300000000001</v>
      </c>
      <c r="O83">
        <f ca="1">_xll.ciqfunctions.udf.CIQ($B83,"IQ_CDS_mid",O$2)</f>
        <v>61.271099999999997</v>
      </c>
      <c r="P83">
        <f ca="1">_xll.ciqfunctions.udf.CIQ($B83,"IQ_CDS_mid",P$2)</f>
        <v>61.695099999999996</v>
      </c>
      <c r="Q83">
        <f ca="1">_xll.ciqfunctions.udf.CIQ($B83,"IQ_CDS_mid",Q$2)</f>
        <v>61.249699999999997</v>
      </c>
      <c r="R83">
        <f ca="1">_xll.ciqfunctions.udf.CIQ($B83,"IQ_CDS_mid",R$2)</f>
        <v>57.148200000000003</v>
      </c>
      <c r="S83">
        <f ca="1">_xll.ciqfunctions.udf.CIQ($B83,"IQ_CDS_mid",S$2)</f>
        <v>51.464300000000001</v>
      </c>
      <c r="T83">
        <f t="shared" ca="1" si="18"/>
        <v>2.4399999999999977E-2</v>
      </c>
      <c r="U83">
        <f t="shared" ca="1" si="19"/>
        <v>-0.1244000000000014</v>
      </c>
      <c r="V83">
        <f t="shared" ca="1" si="20"/>
        <v>-0.22379999999999711</v>
      </c>
      <c r="W83">
        <f t="shared" ca="1" si="21"/>
        <v>3.8776999999999973</v>
      </c>
      <c r="X83">
        <f t="shared" ca="1" si="13"/>
        <v>9.5615999999999985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59.961399999999998</v>
      </c>
      <c r="D84">
        <f ca="1">_xll.ciqfunctions.udf.CIQ($B84,"IQ_CDS_mid",D$2)</f>
        <v>59.961399999999998</v>
      </c>
      <c r="E84">
        <f ca="1">_xll.ciqfunctions.udf.CIQ($B84,"IQ_CDS_mid",E$2)</f>
        <v>59.995600000000003</v>
      </c>
      <c r="F84">
        <f ca="1">_xll.ciqfunctions.udf.CIQ($B84,"IQ_CDS_mid",F$2)</f>
        <v>59.995600000000003</v>
      </c>
      <c r="G84">
        <f ca="1">_xll.ciqfunctions.udf.CIQ($B84,"IQ_CDS_mid",G$2)</f>
        <v>59.995600000000003</v>
      </c>
      <c r="H84">
        <f ca="1">_xll.ciqfunctions.udf.CIQ($B84,"IQ_CDS_mid",H$2)</f>
        <v>59.956200000000003</v>
      </c>
      <c r="I84">
        <f ca="1">_xll.ciqfunctions.udf.CIQ($B84,"IQ_CDS_mid",I$2)</f>
        <v>59.987099999999998</v>
      </c>
      <c r="J84">
        <f ca="1">_xll.ciqfunctions.udf.CIQ($B84,"IQ_CDS_mid",J$2)</f>
        <v>59.529200000000003</v>
      </c>
      <c r="K84">
        <f ca="1">_xll.ciqfunctions.udf.CIQ($B84,"IQ_CDS_mid",K$2)</f>
        <v>59.992400000000004</v>
      </c>
      <c r="L84">
        <f ca="1">_xll.ciqfunctions.udf.CIQ($B84,"IQ_CDS_mid",L$2)</f>
        <v>59.968800000000002</v>
      </c>
      <c r="M84">
        <f ca="1">_xll.ciqfunctions.udf.CIQ($B84,"IQ_CDS_mid",M$2)</f>
        <v>59.968800000000002</v>
      </c>
      <c r="N84">
        <f ca="1">_xll.ciqfunctions.udf.CIQ($B84,"IQ_CDS_mid",N$2)</f>
        <v>59.968800000000002</v>
      </c>
      <c r="O84">
        <f ca="1">_xll.ciqfunctions.udf.CIQ($B84,"IQ_CDS_mid",O$2)</f>
        <v>60.011600000000001</v>
      </c>
      <c r="P84">
        <f ca="1">_xll.ciqfunctions.udf.CIQ($B84,"IQ_CDS_mid",P$2)</f>
        <v>60.831800000000001</v>
      </c>
      <c r="Q84">
        <f ca="1">_xll.ciqfunctions.udf.CIQ($B84,"IQ_CDS_mid",Q$2)</f>
        <v>60.072699999999998</v>
      </c>
      <c r="R84">
        <f ca="1">_xll.ciqfunctions.udf.CIQ($B84,"IQ_CDS_mid",R$2)</f>
        <v>54.1892</v>
      </c>
      <c r="S84">
        <f ca="1">_xll.ciqfunctions.udf.CIQ($B84,"IQ_CDS_mid",S$2)</f>
        <v>51.499000000000002</v>
      </c>
      <c r="T84">
        <f t="shared" ca="1" si="18"/>
        <v>5.1999999999949864E-3</v>
      </c>
      <c r="U84">
        <f t="shared" ca="1" si="19"/>
        <v>-7.40000000000407E-3</v>
      </c>
      <c r="V84">
        <f t="shared" ca="1" si="20"/>
        <v>-0.11129999999999995</v>
      </c>
      <c r="W84">
        <f t="shared" ca="1" si="21"/>
        <v>5.772199999999998</v>
      </c>
      <c r="X84">
        <f t="shared" ca="1" si="13"/>
        <v>8.4623999999999953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2026-08-11T14:33:16Z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