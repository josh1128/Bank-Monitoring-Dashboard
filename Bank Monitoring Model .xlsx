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10688" documentId="8_{CDDB89CF-5CE4-4A65-99F7-7EF0C0A12C4C}" xr6:coauthVersionLast="47" xr6:coauthVersionMax="47" xr10:uidLastSave="{3461569F-3544-4C76-AF59-6C78879002B4}"/>
  <bookViews>
    <workbookView xWindow="-110" yWindow="-110" windowWidth="19420" windowHeight="11500" firstSheet="1" activeTab="1" xr2:uid="{A93B9CC2-92A3-4946-B0CF-93E1751ADFB7}"/>
  </bookViews>
  <sheets>
    <sheet name="_CIQHiddenCacheSheet" sheetId="535" state="veryHidden" r:id="rId1"/>
    <sheet name="Report" sheetId="1" r:id="rId2"/>
    <sheet name="Risk Score Model" sheetId="466" r:id="rId3"/>
    <sheet name="CDS from CapitalIQ" sheetId="3" r:id="rId4"/>
  </sheets>
  <externalReferences>
    <externalReference r:id="rId5"/>
  </externalReferences>
  <definedNames>
    <definedName name="bank_bloom">'[1]Bloomberg Codes'!$N$2:$U$23</definedName>
    <definedName name="CIQWBGuid" hidden="1">"0fa70f1f-1b89-47bd-bbf0-6a958b119f36"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v_bloom">'[1]Bloomberg Codes'!$A$3:$J$43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X7" i="3"/>
  <c r="X21" i="3"/>
  <c r="X30" i="3"/>
  <c r="X43" i="3"/>
  <c r="X45" i="3"/>
  <c r="X46" i="3"/>
  <c r="X47" i="3"/>
  <c r="X55" i="3"/>
  <c r="X59" i="3"/>
  <c r="X62" i="3"/>
  <c r="X67" i="3"/>
  <c r="X70" i="3"/>
  <c r="X72" i="3"/>
  <c r="X78" i="3"/>
  <c r="C3" i="3"/>
  <c r="C4" i="3"/>
  <c r="C5" i="3"/>
  <c r="C6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4" i="3"/>
  <c r="C48" i="3"/>
  <c r="C49" i="3"/>
  <c r="C50" i="3"/>
  <c r="C51" i="3"/>
  <c r="C52" i="3"/>
  <c r="C53" i="3"/>
  <c r="C54" i="3"/>
  <c r="C56" i="3"/>
  <c r="C57" i="3"/>
  <c r="C58" i="3"/>
  <c r="C60" i="3"/>
  <c r="C61" i="3"/>
  <c r="C63" i="3"/>
  <c r="C64" i="3"/>
  <c r="C65" i="3"/>
  <c r="C66" i="3"/>
  <c r="C68" i="3"/>
  <c r="C69" i="3"/>
  <c r="C71" i="3"/>
  <c r="C73" i="3"/>
  <c r="C74" i="3"/>
  <c r="C75" i="3"/>
  <c r="C76" i="3"/>
  <c r="C77" i="3"/>
  <c r="C79" i="3"/>
  <c r="C80" i="3"/>
  <c r="C81" i="3"/>
  <c r="C82" i="3"/>
  <c r="C83" i="3"/>
  <c r="C84" i="3"/>
  <c r="D3" i="3"/>
  <c r="D4" i="3"/>
  <c r="D5" i="3"/>
  <c r="D6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1" i="3"/>
  <c r="D32" i="3"/>
  <c r="D33" i="3"/>
  <c r="D34" i="3"/>
  <c r="D35" i="3"/>
  <c r="D36" i="3"/>
  <c r="D37" i="3"/>
  <c r="D38" i="3"/>
  <c r="D39" i="3"/>
  <c r="D40" i="3"/>
  <c r="D42" i="3"/>
  <c r="D44" i="3"/>
  <c r="D48" i="3"/>
  <c r="D49" i="3"/>
  <c r="D50" i="3"/>
  <c r="D51" i="3"/>
  <c r="D52" i="3"/>
  <c r="D53" i="3"/>
  <c r="D54" i="3"/>
  <c r="D56" i="3"/>
  <c r="D57" i="3"/>
  <c r="D58" i="3"/>
  <c r="D60" i="3"/>
  <c r="D61" i="3"/>
  <c r="D63" i="3"/>
  <c r="D64" i="3"/>
  <c r="D65" i="3"/>
  <c r="D66" i="3"/>
  <c r="D68" i="3"/>
  <c r="D69" i="3"/>
  <c r="D71" i="3"/>
  <c r="D73" i="3"/>
  <c r="D74" i="3"/>
  <c r="D75" i="3"/>
  <c r="D76" i="3"/>
  <c r="D77" i="3"/>
  <c r="D79" i="3"/>
  <c r="D80" i="3"/>
  <c r="D81" i="3"/>
  <c r="D82" i="3"/>
  <c r="D83" i="3"/>
  <c r="D84" i="3"/>
  <c r="E3" i="3"/>
  <c r="E4" i="3"/>
  <c r="E5" i="3"/>
  <c r="E6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1" i="3"/>
  <c r="E32" i="3"/>
  <c r="E33" i="3"/>
  <c r="E34" i="3"/>
  <c r="E35" i="3"/>
  <c r="E36" i="3"/>
  <c r="E37" i="3"/>
  <c r="E38" i="3"/>
  <c r="E39" i="3"/>
  <c r="E40" i="3"/>
  <c r="E42" i="3"/>
  <c r="E44" i="3"/>
  <c r="E48" i="3"/>
  <c r="E49" i="3"/>
  <c r="E50" i="3"/>
  <c r="E51" i="3"/>
  <c r="E52" i="3"/>
  <c r="E53" i="3"/>
  <c r="E54" i="3"/>
  <c r="E56" i="3"/>
  <c r="E57" i="3"/>
  <c r="E58" i="3"/>
  <c r="E60" i="3"/>
  <c r="E61" i="3"/>
  <c r="E63" i="3"/>
  <c r="E64" i="3"/>
  <c r="E65" i="3"/>
  <c r="E66" i="3"/>
  <c r="E68" i="3"/>
  <c r="E69" i="3"/>
  <c r="E71" i="3"/>
  <c r="E73" i="3"/>
  <c r="E74" i="3"/>
  <c r="E75" i="3"/>
  <c r="E76" i="3"/>
  <c r="E77" i="3"/>
  <c r="E79" i="3"/>
  <c r="E80" i="3"/>
  <c r="E81" i="3"/>
  <c r="E82" i="3"/>
  <c r="E83" i="3"/>
  <c r="E84" i="3"/>
  <c r="N3" i="3"/>
  <c r="N4" i="3"/>
  <c r="N5" i="3"/>
  <c r="N6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2" i="3"/>
  <c r="N23" i="3"/>
  <c r="N24" i="3"/>
  <c r="N25" i="3"/>
  <c r="N26" i="3"/>
  <c r="N27" i="3"/>
  <c r="N28" i="3"/>
  <c r="N29" i="3"/>
  <c r="N31" i="3"/>
  <c r="N32" i="3"/>
  <c r="N33" i="3"/>
  <c r="N34" i="3"/>
  <c r="N35" i="3"/>
  <c r="N36" i="3"/>
  <c r="N37" i="3"/>
  <c r="N38" i="3"/>
  <c r="N39" i="3"/>
  <c r="N40" i="3"/>
  <c r="N42" i="3"/>
  <c r="N44" i="3"/>
  <c r="N48" i="3"/>
  <c r="N49" i="3"/>
  <c r="N50" i="3"/>
  <c r="N51" i="3"/>
  <c r="N52" i="3"/>
  <c r="N53" i="3"/>
  <c r="N54" i="3"/>
  <c r="N56" i="3"/>
  <c r="N57" i="3"/>
  <c r="N58" i="3"/>
  <c r="N60" i="3"/>
  <c r="N61" i="3"/>
  <c r="N63" i="3"/>
  <c r="N64" i="3"/>
  <c r="N65" i="3"/>
  <c r="N66" i="3"/>
  <c r="N68" i="3"/>
  <c r="N69" i="3"/>
  <c r="N71" i="3"/>
  <c r="N73" i="3"/>
  <c r="N74" i="3"/>
  <c r="N75" i="3"/>
  <c r="N76" i="3"/>
  <c r="N77" i="3"/>
  <c r="N79" i="3"/>
  <c r="N80" i="3"/>
  <c r="N81" i="3"/>
  <c r="N82" i="3"/>
  <c r="N83" i="3"/>
  <c r="N84" i="3"/>
  <c r="P3" i="3"/>
  <c r="P4" i="3"/>
  <c r="P5" i="3"/>
  <c r="P6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1" i="3"/>
  <c r="P32" i="3"/>
  <c r="P33" i="3"/>
  <c r="P34" i="3"/>
  <c r="P35" i="3"/>
  <c r="P36" i="3"/>
  <c r="P37" i="3"/>
  <c r="P38" i="3"/>
  <c r="P39" i="3"/>
  <c r="P40" i="3"/>
  <c r="P42" i="3"/>
  <c r="P44" i="3"/>
  <c r="P48" i="3"/>
  <c r="P49" i="3"/>
  <c r="P50" i="3"/>
  <c r="P51" i="3"/>
  <c r="P52" i="3"/>
  <c r="P53" i="3"/>
  <c r="P54" i="3"/>
  <c r="P56" i="3"/>
  <c r="P57" i="3"/>
  <c r="P58" i="3"/>
  <c r="P60" i="3"/>
  <c r="P61" i="3"/>
  <c r="P63" i="3"/>
  <c r="P64" i="3"/>
  <c r="P65" i="3"/>
  <c r="P66" i="3"/>
  <c r="P68" i="3"/>
  <c r="P69" i="3"/>
  <c r="P71" i="3"/>
  <c r="P73" i="3"/>
  <c r="P74" i="3"/>
  <c r="P75" i="3"/>
  <c r="P76" i="3"/>
  <c r="P77" i="3"/>
  <c r="P79" i="3"/>
  <c r="P80" i="3"/>
  <c r="P81" i="3"/>
  <c r="P82" i="3"/>
  <c r="P83" i="3"/>
  <c r="P84" i="3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1" i="3"/>
  <c r="F32" i="3"/>
  <c r="F33" i="3"/>
  <c r="F34" i="3"/>
  <c r="F35" i="3"/>
  <c r="F36" i="3"/>
  <c r="F37" i="3"/>
  <c r="F38" i="3"/>
  <c r="F39" i="3"/>
  <c r="F40" i="3"/>
  <c r="F42" i="3"/>
  <c r="F44" i="3"/>
  <c r="F48" i="3"/>
  <c r="F49" i="3"/>
  <c r="F50" i="3"/>
  <c r="F51" i="3"/>
  <c r="F52" i="3"/>
  <c r="F53" i="3"/>
  <c r="F54" i="3"/>
  <c r="F56" i="3"/>
  <c r="F57" i="3"/>
  <c r="F58" i="3"/>
  <c r="F60" i="3"/>
  <c r="F61" i="3"/>
  <c r="F63" i="3"/>
  <c r="F64" i="3"/>
  <c r="F65" i="3"/>
  <c r="F66" i="3"/>
  <c r="F68" i="3"/>
  <c r="F69" i="3"/>
  <c r="F71" i="3"/>
  <c r="F73" i="3"/>
  <c r="F74" i="3"/>
  <c r="F75" i="3"/>
  <c r="F76" i="3"/>
  <c r="F77" i="3"/>
  <c r="F79" i="3"/>
  <c r="F80" i="3"/>
  <c r="F81" i="3"/>
  <c r="F82" i="3"/>
  <c r="F83" i="3"/>
  <c r="F84" i="3"/>
  <c r="M3" i="3"/>
  <c r="M4" i="3"/>
  <c r="M5" i="3"/>
  <c r="M6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2" i="3"/>
  <c r="M44" i="3"/>
  <c r="M48" i="3"/>
  <c r="M49" i="3"/>
  <c r="M50" i="3"/>
  <c r="M51" i="3"/>
  <c r="M52" i="3"/>
  <c r="M53" i="3"/>
  <c r="M54" i="3"/>
  <c r="M56" i="3"/>
  <c r="M57" i="3"/>
  <c r="M58" i="3"/>
  <c r="M60" i="3"/>
  <c r="M61" i="3"/>
  <c r="M63" i="3"/>
  <c r="M64" i="3"/>
  <c r="M65" i="3"/>
  <c r="M66" i="3"/>
  <c r="M68" i="3"/>
  <c r="M69" i="3"/>
  <c r="M71" i="3"/>
  <c r="M73" i="3"/>
  <c r="M74" i="3"/>
  <c r="M75" i="3"/>
  <c r="M76" i="3"/>
  <c r="M77" i="3"/>
  <c r="M79" i="3"/>
  <c r="M80" i="3"/>
  <c r="M81" i="3"/>
  <c r="M82" i="3"/>
  <c r="M83" i="3"/>
  <c r="M84" i="3"/>
  <c r="O3" i="3"/>
  <c r="O4" i="3"/>
  <c r="O5" i="3"/>
  <c r="O6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2" i="3"/>
  <c r="O23" i="3"/>
  <c r="O24" i="3"/>
  <c r="O25" i="3"/>
  <c r="O26" i="3"/>
  <c r="O27" i="3"/>
  <c r="O28" i="3"/>
  <c r="O29" i="3"/>
  <c r="O31" i="3"/>
  <c r="O32" i="3"/>
  <c r="O33" i="3"/>
  <c r="O34" i="3"/>
  <c r="O35" i="3"/>
  <c r="O36" i="3"/>
  <c r="O37" i="3"/>
  <c r="O38" i="3"/>
  <c r="O39" i="3"/>
  <c r="O40" i="3"/>
  <c r="O42" i="3"/>
  <c r="O44" i="3"/>
  <c r="O48" i="3"/>
  <c r="O49" i="3"/>
  <c r="O50" i="3"/>
  <c r="O51" i="3"/>
  <c r="O52" i="3"/>
  <c r="O53" i="3"/>
  <c r="O54" i="3"/>
  <c r="O56" i="3"/>
  <c r="O57" i="3"/>
  <c r="O58" i="3"/>
  <c r="O60" i="3"/>
  <c r="O61" i="3"/>
  <c r="O63" i="3"/>
  <c r="O64" i="3"/>
  <c r="O65" i="3"/>
  <c r="O66" i="3"/>
  <c r="O68" i="3"/>
  <c r="O69" i="3"/>
  <c r="O71" i="3"/>
  <c r="O73" i="3"/>
  <c r="O74" i="3"/>
  <c r="O75" i="3"/>
  <c r="O76" i="3"/>
  <c r="O77" i="3"/>
  <c r="O79" i="3"/>
  <c r="O80" i="3"/>
  <c r="O81" i="3"/>
  <c r="O82" i="3"/>
  <c r="O83" i="3"/>
  <c r="O84" i="3"/>
  <c r="R3" i="3"/>
  <c r="R4" i="3"/>
  <c r="R5" i="3"/>
  <c r="R6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2" i="3"/>
  <c r="R23" i="3"/>
  <c r="R24" i="3"/>
  <c r="R25" i="3"/>
  <c r="R26" i="3"/>
  <c r="R27" i="3"/>
  <c r="R28" i="3"/>
  <c r="R29" i="3"/>
  <c r="R31" i="3"/>
  <c r="R32" i="3"/>
  <c r="R33" i="3"/>
  <c r="R34" i="3"/>
  <c r="R35" i="3"/>
  <c r="R36" i="3"/>
  <c r="R37" i="3"/>
  <c r="R38" i="3"/>
  <c r="R39" i="3"/>
  <c r="R40" i="3"/>
  <c r="R42" i="3"/>
  <c r="R44" i="3"/>
  <c r="R48" i="3"/>
  <c r="R49" i="3"/>
  <c r="R50" i="3"/>
  <c r="R51" i="3"/>
  <c r="R52" i="3"/>
  <c r="R53" i="3"/>
  <c r="R54" i="3"/>
  <c r="R56" i="3"/>
  <c r="R57" i="3"/>
  <c r="R58" i="3"/>
  <c r="R60" i="3"/>
  <c r="R61" i="3"/>
  <c r="R63" i="3"/>
  <c r="R64" i="3"/>
  <c r="R65" i="3"/>
  <c r="R66" i="3"/>
  <c r="R68" i="3"/>
  <c r="R69" i="3"/>
  <c r="R71" i="3"/>
  <c r="R73" i="3"/>
  <c r="R74" i="3"/>
  <c r="R75" i="3"/>
  <c r="R76" i="3"/>
  <c r="R77" i="3"/>
  <c r="R79" i="3"/>
  <c r="R80" i="3"/>
  <c r="R81" i="3"/>
  <c r="R82" i="3"/>
  <c r="R83" i="3"/>
  <c r="R84" i="3"/>
  <c r="G3" i="3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2" i="3"/>
  <c r="G23" i="3"/>
  <c r="G24" i="3"/>
  <c r="G25" i="3"/>
  <c r="G26" i="3"/>
  <c r="G27" i="3"/>
  <c r="G28" i="3"/>
  <c r="G29" i="3"/>
  <c r="G31" i="3"/>
  <c r="G32" i="3"/>
  <c r="G33" i="3"/>
  <c r="G34" i="3"/>
  <c r="G35" i="3"/>
  <c r="G36" i="3"/>
  <c r="G37" i="3"/>
  <c r="G38" i="3"/>
  <c r="G39" i="3"/>
  <c r="G40" i="3"/>
  <c r="G42" i="3"/>
  <c r="G44" i="3"/>
  <c r="G48" i="3"/>
  <c r="G49" i="3"/>
  <c r="G50" i="3"/>
  <c r="G51" i="3"/>
  <c r="G52" i="3"/>
  <c r="G53" i="3"/>
  <c r="G54" i="3"/>
  <c r="G56" i="3"/>
  <c r="G57" i="3"/>
  <c r="G58" i="3"/>
  <c r="G60" i="3"/>
  <c r="G61" i="3"/>
  <c r="G63" i="3"/>
  <c r="G64" i="3"/>
  <c r="G65" i="3"/>
  <c r="G66" i="3"/>
  <c r="G68" i="3"/>
  <c r="G69" i="3"/>
  <c r="G71" i="3"/>
  <c r="G73" i="3"/>
  <c r="G74" i="3"/>
  <c r="G75" i="3"/>
  <c r="G76" i="3"/>
  <c r="G77" i="3"/>
  <c r="G79" i="3"/>
  <c r="G80" i="3"/>
  <c r="G81" i="3"/>
  <c r="G82" i="3"/>
  <c r="G83" i="3"/>
  <c r="G84" i="3"/>
  <c r="H3" i="3"/>
  <c r="H4" i="3"/>
  <c r="H5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H24" i="3"/>
  <c r="H25" i="3"/>
  <c r="H26" i="3"/>
  <c r="H27" i="3"/>
  <c r="H28" i="3"/>
  <c r="H29" i="3"/>
  <c r="H31" i="3"/>
  <c r="H32" i="3"/>
  <c r="H33" i="3"/>
  <c r="H34" i="3"/>
  <c r="H35" i="3"/>
  <c r="H36" i="3"/>
  <c r="H37" i="3"/>
  <c r="H38" i="3"/>
  <c r="H39" i="3"/>
  <c r="H40" i="3"/>
  <c r="H42" i="3"/>
  <c r="H44" i="3"/>
  <c r="H48" i="3"/>
  <c r="H49" i="3"/>
  <c r="H50" i="3"/>
  <c r="H51" i="3"/>
  <c r="H52" i="3"/>
  <c r="H53" i="3"/>
  <c r="H54" i="3"/>
  <c r="H56" i="3"/>
  <c r="H57" i="3"/>
  <c r="H58" i="3"/>
  <c r="H60" i="3"/>
  <c r="H61" i="3"/>
  <c r="H63" i="3"/>
  <c r="H64" i="3"/>
  <c r="H65" i="3"/>
  <c r="H66" i="3"/>
  <c r="H68" i="3"/>
  <c r="H69" i="3"/>
  <c r="H71" i="3"/>
  <c r="H73" i="3"/>
  <c r="H74" i="3"/>
  <c r="H75" i="3"/>
  <c r="H76" i="3"/>
  <c r="H77" i="3"/>
  <c r="H79" i="3"/>
  <c r="H80" i="3"/>
  <c r="H81" i="3"/>
  <c r="H82" i="3"/>
  <c r="H83" i="3"/>
  <c r="H84" i="3"/>
  <c r="S3" i="3"/>
  <c r="S4" i="3"/>
  <c r="S5" i="3"/>
  <c r="S6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2" i="3"/>
  <c r="S23" i="3"/>
  <c r="S24" i="3"/>
  <c r="S25" i="3"/>
  <c r="S26" i="3"/>
  <c r="S27" i="3"/>
  <c r="S28" i="3"/>
  <c r="S29" i="3"/>
  <c r="S31" i="3"/>
  <c r="S32" i="3"/>
  <c r="S33" i="3"/>
  <c r="S34" i="3"/>
  <c r="S35" i="3"/>
  <c r="S36" i="3"/>
  <c r="S37" i="3"/>
  <c r="S38" i="3"/>
  <c r="S39" i="3"/>
  <c r="S40" i="3"/>
  <c r="S42" i="3"/>
  <c r="S44" i="3"/>
  <c r="S48" i="3"/>
  <c r="S49" i="3"/>
  <c r="S50" i="3"/>
  <c r="S51" i="3"/>
  <c r="S52" i="3"/>
  <c r="S53" i="3"/>
  <c r="S54" i="3"/>
  <c r="S56" i="3"/>
  <c r="S57" i="3"/>
  <c r="S58" i="3"/>
  <c r="S60" i="3"/>
  <c r="S61" i="3"/>
  <c r="S63" i="3"/>
  <c r="S64" i="3"/>
  <c r="S65" i="3"/>
  <c r="S66" i="3"/>
  <c r="S68" i="3"/>
  <c r="S69" i="3"/>
  <c r="S71" i="3"/>
  <c r="S73" i="3"/>
  <c r="S74" i="3"/>
  <c r="S75" i="3"/>
  <c r="S76" i="3"/>
  <c r="S77" i="3"/>
  <c r="S79" i="3"/>
  <c r="S80" i="3"/>
  <c r="S81" i="3"/>
  <c r="S82" i="3"/>
  <c r="S83" i="3"/>
  <c r="S84" i="3"/>
  <c r="I3" i="3"/>
  <c r="I4" i="3"/>
  <c r="I5" i="3"/>
  <c r="I6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2" i="3"/>
  <c r="I23" i="3"/>
  <c r="I24" i="3"/>
  <c r="I25" i="3"/>
  <c r="I26" i="3"/>
  <c r="I27" i="3"/>
  <c r="I28" i="3"/>
  <c r="I29" i="3"/>
  <c r="I31" i="3"/>
  <c r="I32" i="3"/>
  <c r="I33" i="3"/>
  <c r="I34" i="3"/>
  <c r="I35" i="3"/>
  <c r="I36" i="3"/>
  <c r="I37" i="3"/>
  <c r="I38" i="3"/>
  <c r="I39" i="3"/>
  <c r="I40" i="3"/>
  <c r="I42" i="3"/>
  <c r="I44" i="3"/>
  <c r="I48" i="3"/>
  <c r="I49" i="3"/>
  <c r="I50" i="3"/>
  <c r="I51" i="3"/>
  <c r="I52" i="3"/>
  <c r="I53" i="3"/>
  <c r="I54" i="3"/>
  <c r="I56" i="3"/>
  <c r="I57" i="3"/>
  <c r="I58" i="3"/>
  <c r="I60" i="3"/>
  <c r="I61" i="3"/>
  <c r="I63" i="3"/>
  <c r="I64" i="3"/>
  <c r="I65" i="3"/>
  <c r="I66" i="3"/>
  <c r="I68" i="3"/>
  <c r="I69" i="3"/>
  <c r="I71" i="3"/>
  <c r="I73" i="3"/>
  <c r="I74" i="3"/>
  <c r="I75" i="3"/>
  <c r="I76" i="3"/>
  <c r="I77" i="3"/>
  <c r="I79" i="3"/>
  <c r="I80" i="3"/>
  <c r="I81" i="3"/>
  <c r="I82" i="3"/>
  <c r="I83" i="3"/>
  <c r="I84" i="3"/>
  <c r="Q3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1" i="3"/>
  <c r="Q32" i="3"/>
  <c r="Q33" i="3"/>
  <c r="Q34" i="3"/>
  <c r="Q35" i="3"/>
  <c r="Q36" i="3"/>
  <c r="Q37" i="3"/>
  <c r="Q38" i="3"/>
  <c r="Q39" i="3"/>
  <c r="Q40" i="3"/>
  <c r="Q42" i="3"/>
  <c r="Q44" i="3"/>
  <c r="Q48" i="3"/>
  <c r="Q49" i="3"/>
  <c r="Q50" i="3"/>
  <c r="Q51" i="3"/>
  <c r="Q52" i="3"/>
  <c r="Q53" i="3"/>
  <c r="Q54" i="3"/>
  <c r="Q56" i="3"/>
  <c r="Q57" i="3"/>
  <c r="Q58" i="3"/>
  <c r="Q60" i="3"/>
  <c r="Q61" i="3"/>
  <c r="Q63" i="3"/>
  <c r="Q64" i="3"/>
  <c r="Q65" i="3"/>
  <c r="Q66" i="3"/>
  <c r="Q68" i="3"/>
  <c r="Q69" i="3"/>
  <c r="Q71" i="3"/>
  <c r="Q73" i="3"/>
  <c r="Q74" i="3"/>
  <c r="Q75" i="3"/>
  <c r="Q76" i="3"/>
  <c r="Q77" i="3"/>
  <c r="Q79" i="3"/>
  <c r="Q80" i="3"/>
  <c r="Q81" i="3"/>
  <c r="Q82" i="3"/>
  <c r="Q83" i="3"/>
  <c r="Q84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37" i="3"/>
  <c r="J38" i="3"/>
  <c r="J39" i="3"/>
  <c r="J40" i="3"/>
  <c r="J42" i="3"/>
  <c r="J44" i="3"/>
  <c r="J48" i="3"/>
  <c r="J49" i="3"/>
  <c r="J50" i="3"/>
  <c r="J51" i="3"/>
  <c r="J52" i="3"/>
  <c r="J53" i="3"/>
  <c r="J54" i="3"/>
  <c r="J56" i="3"/>
  <c r="J57" i="3"/>
  <c r="J58" i="3"/>
  <c r="J60" i="3"/>
  <c r="J61" i="3"/>
  <c r="J63" i="3"/>
  <c r="J64" i="3"/>
  <c r="J65" i="3"/>
  <c r="J66" i="3"/>
  <c r="J68" i="3"/>
  <c r="J69" i="3"/>
  <c r="J71" i="3"/>
  <c r="J73" i="3"/>
  <c r="J74" i="3"/>
  <c r="J75" i="3"/>
  <c r="J76" i="3"/>
  <c r="J77" i="3"/>
  <c r="J79" i="3"/>
  <c r="J80" i="3"/>
  <c r="J81" i="3"/>
  <c r="J82" i="3"/>
  <c r="J83" i="3"/>
  <c r="J84" i="3"/>
  <c r="K3" i="3"/>
  <c r="K4" i="3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2" i="3"/>
  <c r="K44" i="3"/>
  <c r="K48" i="3"/>
  <c r="K49" i="3"/>
  <c r="K50" i="3"/>
  <c r="K51" i="3"/>
  <c r="K52" i="3"/>
  <c r="K53" i="3"/>
  <c r="K54" i="3"/>
  <c r="K56" i="3"/>
  <c r="K57" i="3"/>
  <c r="K58" i="3"/>
  <c r="K60" i="3"/>
  <c r="K61" i="3"/>
  <c r="K63" i="3"/>
  <c r="K64" i="3"/>
  <c r="K65" i="3"/>
  <c r="K66" i="3"/>
  <c r="K68" i="3"/>
  <c r="K69" i="3"/>
  <c r="K71" i="3"/>
  <c r="K73" i="3"/>
  <c r="K74" i="3"/>
  <c r="K75" i="3"/>
  <c r="K76" i="3"/>
  <c r="K77" i="3"/>
  <c r="K79" i="3"/>
  <c r="K80" i="3"/>
  <c r="K81" i="3"/>
  <c r="K82" i="3"/>
  <c r="K83" i="3"/>
  <c r="K84" i="3"/>
  <c r="L3" i="3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2" i="3"/>
  <c r="L44" i="3"/>
  <c r="L48" i="3"/>
  <c r="L49" i="3"/>
  <c r="L50" i="3"/>
  <c r="L51" i="3"/>
  <c r="L52" i="3"/>
  <c r="L53" i="3"/>
  <c r="L54" i="3"/>
  <c r="L56" i="3"/>
  <c r="L57" i="3"/>
  <c r="L58" i="3"/>
  <c r="L60" i="3"/>
  <c r="L61" i="3"/>
  <c r="L63" i="3"/>
  <c r="L64" i="3"/>
  <c r="L65" i="3"/>
  <c r="L66" i="3"/>
  <c r="L68" i="3"/>
  <c r="L69" i="3"/>
  <c r="L71" i="3"/>
  <c r="L73" i="3"/>
  <c r="L74" i="3"/>
  <c r="L75" i="3"/>
  <c r="L76" i="3"/>
  <c r="L77" i="3"/>
  <c r="L79" i="3"/>
  <c r="L80" i="3"/>
  <c r="L81" i="3"/>
  <c r="L82" i="3"/>
  <c r="L83" i="3"/>
  <c r="L84" i="3"/>
  <c r="M2" i="1" a="1"/>
  <c r="T84" i="3" l="1"/>
  <c r="U84" i="3"/>
  <c r="V84" i="3"/>
  <c r="W84" i="3"/>
  <c r="X84" i="3"/>
  <c r="X83" i="3"/>
  <c r="T83" i="3"/>
  <c r="U83" i="3"/>
  <c r="V83" i="3"/>
  <c r="W83" i="3"/>
  <c r="V82" i="3"/>
  <c r="W82" i="3"/>
  <c r="X82" i="3"/>
  <c r="T82" i="3"/>
  <c r="U82" i="3"/>
  <c r="W81" i="3"/>
  <c r="X81" i="3"/>
  <c r="T81" i="3"/>
  <c r="U81" i="3"/>
  <c r="V81" i="3"/>
  <c r="T80" i="3"/>
  <c r="U80" i="3"/>
  <c r="V80" i="3"/>
  <c r="X80" i="3"/>
  <c r="W80" i="3"/>
  <c r="X79" i="3"/>
  <c r="W79" i="3"/>
  <c r="T79" i="3"/>
  <c r="U79" i="3"/>
  <c r="V79" i="3"/>
  <c r="T77" i="3"/>
  <c r="V77" i="3"/>
  <c r="X77" i="3"/>
  <c r="U77" i="3"/>
  <c r="W77" i="3"/>
  <c r="T76" i="3"/>
  <c r="U76" i="3"/>
  <c r="V76" i="3"/>
  <c r="W76" i="3"/>
  <c r="X76" i="3"/>
  <c r="T75" i="3"/>
  <c r="U75" i="3"/>
  <c r="V75" i="3"/>
  <c r="W75" i="3"/>
  <c r="X75" i="3"/>
  <c r="T74" i="3"/>
  <c r="W74" i="3"/>
  <c r="X74" i="3"/>
  <c r="U74" i="3"/>
  <c r="V74" i="3"/>
  <c r="U73" i="3"/>
  <c r="T73" i="3"/>
  <c r="V73" i="3"/>
  <c r="X73" i="3"/>
  <c r="W73" i="3"/>
  <c r="U71" i="3"/>
  <c r="T71" i="3"/>
  <c r="V71" i="3"/>
  <c r="W71" i="3"/>
  <c r="X71" i="3"/>
  <c r="V69" i="3"/>
  <c r="W69" i="3"/>
  <c r="X69" i="3"/>
  <c r="T69" i="3"/>
  <c r="U69" i="3"/>
  <c r="T68" i="3"/>
  <c r="U68" i="3"/>
  <c r="V68" i="3"/>
  <c r="W68" i="3"/>
  <c r="X68" i="3"/>
  <c r="X66" i="3"/>
  <c r="W66" i="3"/>
  <c r="V66" i="3"/>
  <c r="T66" i="3"/>
  <c r="U66" i="3"/>
  <c r="T65" i="3"/>
  <c r="U65" i="3"/>
  <c r="W65" i="3"/>
  <c r="V65" i="3"/>
  <c r="X65" i="3"/>
  <c r="W64" i="3"/>
  <c r="X64" i="3"/>
  <c r="T64" i="3"/>
  <c r="U64" i="3"/>
  <c r="V64" i="3"/>
  <c r="T63" i="3"/>
  <c r="W63" i="3"/>
  <c r="V63" i="3"/>
  <c r="U63" i="3"/>
  <c r="X63" i="3"/>
  <c r="W61" i="3"/>
  <c r="X61" i="3"/>
  <c r="T61" i="3"/>
  <c r="U61" i="3"/>
  <c r="V61" i="3"/>
  <c r="T60" i="3"/>
  <c r="U60" i="3"/>
  <c r="V60" i="3"/>
  <c r="X60" i="3"/>
  <c r="W60" i="3"/>
  <c r="T58" i="3"/>
  <c r="U58" i="3"/>
  <c r="V58" i="3"/>
  <c r="W58" i="3"/>
  <c r="X58" i="3"/>
  <c r="V57" i="3"/>
  <c r="T57" i="3"/>
  <c r="W57" i="3"/>
  <c r="X57" i="3"/>
  <c r="U57" i="3"/>
  <c r="T56" i="3"/>
  <c r="U56" i="3"/>
  <c r="V56" i="3"/>
  <c r="W56" i="3"/>
  <c r="X56" i="3"/>
  <c r="U54" i="3"/>
  <c r="V54" i="3"/>
  <c r="W54" i="3"/>
  <c r="X54" i="3"/>
  <c r="T54" i="3"/>
  <c r="U53" i="3"/>
  <c r="V53" i="3"/>
  <c r="T53" i="3"/>
  <c r="W53" i="3"/>
  <c r="X53" i="3"/>
  <c r="T52" i="3"/>
  <c r="V52" i="3"/>
  <c r="U52" i="3"/>
  <c r="W52" i="3"/>
  <c r="X52" i="3"/>
  <c r="U51" i="3"/>
  <c r="T51" i="3"/>
  <c r="V51" i="3"/>
  <c r="W51" i="3"/>
  <c r="X51" i="3"/>
  <c r="U50" i="3"/>
  <c r="V50" i="3"/>
  <c r="W50" i="3"/>
  <c r="X50" i="3"/>
  <c r="T50" i="3"/>
  <c r="U49" i="3"/>
  <c r="T49" i="3"/>
  <c r="V49" i="3"/>
  <c r="X49" i="3"/>
  <c r="W49" i="3"/>
  <c r="U48" i="3"/>
  <c r="V48" i="3"/>
  <c r="W48" i="3"/>
  <c r="X48" i="3"/>
  <c r="T48" i="3"/>
  <c r="T44" i="3"/>
  <c r="U44" i="3"/>
  <c r="V44" i="3"/>
  <c r="X44" i="3"/>
  <c r="W44" i="3"/>
  <c r="U42" i="3"/>
  <c r="T42" i="3"/>
  <c r="V42" i="3"/>
  <c r="W42" i="3"/>
  <c r="X42" i="3"/>
  <c r="T40" i="3"/>
  <c r="W40" i="3"/>
  <c r="V40" i="3"/>
  <c r="X40" i="3"/>
  <c r="U40" i="3"/>
  <c r="T39" i="3"/>
  <c r="U39" i="3"/>
  <c r="V39" i="3"/>
  <c r="W39" i="3"/>
  <c r="X39" i="3"/>
  <c r="T38" i="3"/>
  <c r="U38" i="3"/>
  <c r="V38" i="3"/>
  <c r="W38" i="3"/>
  <c r="X38" i="3"/>
  <c r="T37" i="3"/>
  <c r="U37" i="3"/>
  <c r="W37" i="3"/>
  <c r="V37" i="3"/>
  <c r="X37" i="3"/>
  <c r="V36" i="3"/>
  <c r="X36" i="3"/>
  <c r="T36" i="3"/>
  <c r="U36" i="3"/>
  <c r="W36" i="3"/>
  <c r="X35" i="3"/>
  <c r="T35" i="3"/>
  <c r="U35" i="3"/>
  <c r="V35" i="3"/>
  <c r="W35" i="3"/>
  <c r="T34" i="3"/>
  <c r="U34" i="3"/>
  <c r="V34" i="3"/>
  <c r="W34" i="3"/>
  <c r="X34" i="3"/>
  <c r="T33" i="3"/>
  <c r="U33" i="3"/>
  <c r="V33" i="3"/>
  <c r="X33" i="3"/>
  <c r="W33" i="3"/>
  <c r="V32" i="3"/>
  <c r="T32" i="3"/>
  <c r="W32" i="3"/>
  <c r="X32" i="3"/>
  <c r="U32" i="3"/>
  <c r="W31" i="3"/>
  <c r="T31" i="3"/>
  <c r="X31" i="3"/>
  <c r="U31" i="3"/>
  <c r="V31" i="3"/>
  <c r="U29" i="3"/>
  <c r="V29" i="3"/>
  <c r="W29" i="3"/>
  <c r="X29" i="3"/>
  <c r="T29" i="3"/>
  <c r="U28" i="3"/>
  <c r="T28" i="3"/>
  <c r="V28" i="3"/>
  <c r="W28" i="3"/>
  <c r="X28" i="3"/>
  <c r="U27" i="3"/>
  <c r="W27" i="3"/>
  <c r="X27" i="3"/>
  <c r="T27" i="3"/>
  <c r="V27" i="3"/>
  <c r="X26" i="3"/>
  <c r="U26" i="3"/>
  <c r="T26" i="3"/>
  <c r="V26" i="3"/>
  <c r="W26" i="3"/>
  <c r="U25" i="3"/>
  <c r="V25" i="3"/>
  <c r="W25" i="3"/>
  <c r="X25" i="3"/>
  <c r="T25" i="3"/>
  <c r="T24" i="3"/>
  <c r="V24" i="3"/>
  <c r="U24" i="3"/>
  <c r="X24" i="3"/>
  <c r="W24" i="3"/>
  <c r="U23" i="3"/>
  <c r="W23" i="3"/>
  <c r="T23" i="3"/>
  <c r="V23" i="3"/>
  <c r="X23" i="3"/>
  <c r="U22" i="3"/>
  <c r="T22" i="3"/>
  <c r="V22" i="3"/>
  <c r="W22" i="3"/>
  <c r="X22" i="3"/>
  <c r="V20" i="3"/>
  <c r="W20" i="3"/>
  <c r="X20" i="3"/>
  <c r="T20" i="3"/>
  <c r="U20" i="3"/>
  <c r="T19" i="3"/>
  <c r="V19" i="3"/>
  <c r="W19" i="3"/>
  <c r="U19" i="3"/>
  <c r="X19" i="3"/>
  <c r="X18" i="3"/>
  <c r="W18" i="3"/>
  <c r="U18" i="3"/>
  <c r="V18" i="3"/>
  <c r="T18" i="3"/>
  <c r="T17" i="3"/>
  <c r="V17" i="3"/>
  <c r="U17" i="3"/>
  <c r="W17" i="3"/>
  <c r="X17" i="3"/>
  <c r="V16" i="3"/>
  <c r="W16" i="3"/>
  <c r="X16" i="3"/>
  <c r="U16" i="3"/>
  <c r="T16" i="3"/>
  <c r="U15" i="3"/>
  <c r="T15" i="3"/>
  <c r="V15" i="3"/>
  <c r="W15" i="3"/>
  <c r="X15" i="3"/>
  <c r="W14" i="3"/>
  <c r="U14" i="3"/>
  <c r="V14" i="3"/>
  <c r="X14" i="3"/>
  <c r="T14" i="3"/>
  <c r="V13" i="3"/>
  <c r="T13" i="3"/>
  <c r="U13" i="3"/>
  <c r="W13" i="3"/>
  <c r="X13" i="3"/>
  <c r="V12" i="3"/>
  <c r="W12" i="3"/>
  <c r="X12" i="3"/>
  <c r="T12" i="3"/>
  <c r="U12" i="3"/>
  <c r="W11" i="3"/>
  <c r="T11" i="3"/>
  <c r="U11" i="3"/>
  <c r="V11" i="3"/>
  <c r="X11" i="3"/>
  <c r="V10" i="3"/>
  <c r="U10" i="3"/>
  <c r="T10" i="3"/>
  <c r="W10" i="3"/>
  <c r="X10" i="3"/>
  <c r="T9" i="3"/>
  <c r="V9" i="3"/>
  <c r="U9" i="3"/>
  <c r="W9" i="3"/>
  <c r="X9" i="3"/>
  <c r="V8" i="3"/>
  <c r="W8" i="3"/>
  <c r="X8" i="3"/>
  <c r="T8" i="3"/>
  <c r="U8" i="3"/>
  <c r="T6" i="3"/>
  <c r="U6" i="3"/>
  <c r="V6" i="3"/>
  <c r="X6" i="3"/>
  <c r="W6" i="3"/>
  <c r="V5" i="3"/>
  <c r="W5" i="3"/>
  <c r="X5" i="3"/>
  <c r="T5" i="3"/>
  <c r="U5" i="3"/>
  <c r="T4" i="3"/>
  <c r="W4" i="3"/>
  <c r="U4" i="3"/>
  <c r="V4" i="3"/>
  <c r="X4" i="3"/>
  <c r="W3" i="3"/>
  <c r="X3" i="3"/>
  <c r="V3" i="3"/>
  <c r="T3" i="3"/>
  <c r="U3" i="3"/>
  <c r="M2" i="1"/>
  <c r="M5" i="1" a="1"/>
  <c r="M5" i="1"/>
  <c r="C8" i="1"/>
  <c r="C8" i="466" s="1"/>
  <c r="D8" i="1"/>
  <c r="E8" i="1"/>
  <c r="F8" i="1"/>
  <c r="G8" i="1"/>
  <c r="H8" i="1" a="1"/>
  <c r="H8" i="1" l="1"/>
  <c r="I8" i="1" a="1"/>
  <c r="I8" i="1"/>
  <c r="D8" i="466" s="1"/>
  <c r="J8" i="1" a="1"/>
  <c r="J8" i="1" l="1"/>
  <c r="K8" i="1" a="1"/>
  <c r="K8" i="1"/>
  <c r="C9" i="1"/>
  <c r="C9" i="466" s="1"/>
  <c r="D9" i="1"/>
  <c r="E9" i="1"/>
  <c r="F9" i="1"/>
  <c r="G9" i="1"/>
  <c r="H9" i="1" a="1"/>
  <c r="H9" i="1" l="1"/>
  <c r="I9" i="1" a="1"/>
  <c r="I9" i="1"/>
  <c r="D9" i="466" s="1"/>
  <c r="J9" i="1" a="1"/>
  <c r="J9" i="1" l="1"/>
  <c r="K9" i="1" a="1"/>
  <c r="K9" i="1"/>
  <c r="C10" i="1"/>
  <c r="C10" i="466" s="1"/>
  <c r="D10" i="1"/>
  <c r="E10" i="1"/>
  <c r="F10" i="1"/>
  <c r="G10" i="1"/>
  <c r="H10" i="1" a="1"/>
  <c r="H10" i="1" l="1"/>
  <c r="I10" i="1" a="1"/>
  <c r="I10" i="1"/>
  <c r="D10" i="466" s="1"/>
  <c r="J10" i="1" a="1"/>
  <c r="J10" i="1" l="1"/>
  <c r="K10" i="1" a="1"/>
  <c r="K10" i="1"/>
  <c r="C11" i="1"/>
  <c r="C11" i="466" s="1"/>
  <c r="D11" i="1"/>
  <c r="E11" i="1"/>
  <c r="F11" i="1"/>
  <c r="G11" i="1"/>
  <c r="H11" i="1" a="1"/>
  <c r="H11" i="1" l="1"/>
  <c r="I11" i="1" a="1"/>
  <c r="I11" i="1"/>
  <c r="D11" i="466" s="1"/>
  <c r="J11" i="1" a="1"/>
  <c r="J11" i="1" l="1"/>
  <c r="K11" i="1" a="1"/>
  <c r="K11" i="1"/>
  <c r="C12" i="1"/>
  <c r="C12" i="466" s="1"/>
  <c r="D12" i="1"/>
  <c r="E12" i="1"/>
  <c r="F12" i="1"/>
  <c r="G12" i="1"/>
  <c r="H12" i="1" a="1"/>
  <c r="H12" i="1" l="1"/>
  <c r="I12" i="1" a="1"/>
  <c r="I12" i="1"/>
  <c r="D12" i="466" s="1"/>
  <c r="J12" i="1" a="1"/>
  <c r="J12" i="1" l="1"/>
  <c r="K12" i="1" a="1"/>
  <c r="K12" i="1"/>
  <c r="C13" i="1"/>
  <c r="C13" i="466" s="1"/>
  <c r="D13" i="1"/>
  <c r="E13" i="1"/>
  <c r="F13" i="1"/>
  <c r="G13" i="1"/>
  <c r="H13" i="1" a="1"/>
  <c r="H13" i="1" l="1"/>
  <c r="I13" i="1" a="1"/>
  <c r="I13" i="1"/>
  <c r="D13" i="466" s="1"/>
  <c r="J13" i="1" a="1"/>
  <c r="J13" i="1" l="1"/>
  <c r="K13" i="1" a="1"/>
  <c r="K13" i="1"/>
  <c r="C14" i="1"/>
  <c r="C14" i="466" s="1"/>
  <c r="D14" i="1"/>
  <c r="E14" i="1"/>
  <c r="F14" i="1"/>
  <c r="G14" i="1"/>
  <c r="H14" i="1" a="1"/>
  <c r="E14" i="466" l="1"/>
  <c r="E8" i="466"/>
  <c r="E13" i="466"/>
  <c r="E10" i="466"/>
  <c r="E11" i="466"/>
  <c r="E9" i="466"/>
  <c r="E12" i="466"/>
  <c r="H14" i="1"/>
  <c r="I14" i="1" a="1"/>
  <c r="I14" i="1" l="1"/>
  <c r="D14" i="466" s="1"/>
  <c r="J14" i="1" a="1"/>
  <c r="F14" i="466" l="1"/>
  <c r="G14" i="466" s="1"/>
  <c r="H14" i="466" s="1"/>
  <c r="F8" i="466"/>
  <c r="G8" i="466" s="1"/>
  <c r="H8" i="466" s="1"/>
  <c r="F13" i="466"/>
  <c r="G13" i="466" s="1"/>
  <c r="H13" i="466" s="1"/>
  <c r="F10" i="466"/>
  <c r="G10" i="466" s="1"/>
  <c r="H10" i="466" s="1"/>
  <c r="F12" i="466"/>
  <c r="G12" i="466" s="1"/>
  <c r="H12" i="466" s="1"/>
  <c r="F11" i="466"/>
  <c r="G11" i="466" s="1"/>
  <c r="H11" i="466" s="1"/>
  <c r="F9" i="466"/>
  <c r="G9" i="466" s="1"/>
  <c r="H9" i="466" s="1"/>
  <c r="J14" i="1"/>
  <c r="K14" i="1" a="1"/>
  <c r="K14" i="1"/>
  <c r="C16" i="1"/>
  <c r="C16" i="466" s="1"/>
  <c r="D16" i="1"/>
  <c r="E16" i="1"/>
  <c r="F16" i="1"/>
  <c r="G16" i="1"/>
  <c r="H16" i="1" a="1"/>
  <c r="H16" i="1" l="1"/>
  <c r="I16" i="1" a="1"/>
  <c r="I16" i="1"/>
  <c r="D16" i="466" s="1"/>
  <c r="J16" i="1" a="1"/>
  <c r="J16" i="1" l="1"/>
  <c r="K16" i="1" a="1"/>
  <c r="K16" i="1"/>
  <c r="C17" i="1"/>
  <c r="C17" i="466" s="1"/>
  <c r="D17" i="1"/>
  <c r="E17" i="1"/>
  <c r="F17" i="1"/>
  <c r="G17" i="1"/>
  <c r="H17" i="1" a="1"/>
  <c r="H17" i="1" l="1"/>
  <c r="I17" i="1" a="1"/>
  <c r="I17" i="1"/>
  <c r="D17" i="466" s="1"/>
  <c r="J17" i="1" a="1"/>
  <c r="J17" i="1" l="1"/>
  <c r="K17" i="1" a="1"/>
  <c r="K17" i="1"/>
  <c r="C18" i="1"/>
  <c r="C18" i="466" s="1"/>
  <c r="D18" i="1"/>
  <c r="E18" i="1"/>
  <c r="F18" i="1"/>
  <c r="G18" i="1"/>
  <c r="H18" i="1" a="1"/>
  <c r="E18" i="466" l="1"/>
  <c r="E17" i="466"/>
  <c r="E16" i="466"/>
  <c r="H18" i="1"/>
  <c r="I18" i="1" a="1"/>
  <c r="I18" i="1" l="1"/>
  <c r="D18" i="466" s="1"/>
  <c r="J18" i="1" a="1"/>
  <c r="F18" i="466" l="1"/>
  <c r="G18" i="466" s="1"/>
  <c r="H18" i="466" s="1"/>
  <c r="F17" i="466"/>
  <c r="G17" i="466" s="1"/>
  <c r="H17" i="466" s="1"/>
  <c r="F16" i="466"/>
  <c r="G16" i="466" s="1"/>
  <c r="H16" i="466" s="1"/>
  <c r="J18" i="1"/>
  <c r="K18" i="1" a="1"/>
  <c r="K18" i="1"/>
  <c r="C20" i="1"/>
  <c r="C20" i="466" s="1"/>
  <c r="E20" i="466" s="1"/>
  <c r="D20" i="1"/>
  <c r="E20" i="1"/>
  <c r="F20" i="1"/>
  <c r="G20" i="1"/>
  <c r="H20" i="1" a="1"/>
  <c r="H20" i="1" l="1"/>
  <c r="I20" i="1" a="1"/>
  <c r="I20" i="1"/>
  <c r="D20" i="466" s="1"/>
  <c r="F20" i="466" s="1"/>
  <c r="G20" i="466" s="1"/>
  <c r="H20" i="466" s="1"/>
  <c r="J20" i="1" a="1"/>
  <c r="J20" i="1"/>
  <c r="K20" i="1" a="1"/>
  <c r="K20" i="1"/>
  <c r="C22" i="1"/>
  <c r="C22" i="466" s="1"/>
  <c r="D22" i="1"/>
  <c r="E22" i="1"/>
  <c r="F22" i="1"/>
  <c r="G22" i="1"/>
  <c r="H22" i="1" a="1"/>
  <c r="H22" i="1" l="1"/>
  <c r="I22" i="1" a="1"/>
  <c r="I22" i="1"/>
  <c r="D22" i="466" s="1"/>
  <c r="J22" i="1" a="1"/>
  <c r="J22" i="1" l="1"/>
  <c r="K22" i="1" a="1"/>
  <c r="K22" i="1"/>
  <c r="C23" i="1"/>
  <c r="C23" i="466" s="1"/>
  <c r="D23" i="1"/>
  <c r="E23" i="1"/>
  <c r="F23" i="1"/>
  <c r="G23" i="1"/>
  <c r="H23" i="1" a="1"/>
  <c r="H23" i="1" l="1"/>
  <c r="I23" i="1" a="1"/>
  <c r="I23" i="1"/>
  <c r="D23" i="466" s="1"/>
  <c r="J23" i="1" a="1"/>
  <c r="J23" i="1" l="1"/>
  <c r="K23" i="1" a="1"/>
  <c r="K23" i="1"/>
  <c r="C24" i="1"/>
  <c r="C24" i="466" s="1"/>
  <c r="D24" i="1"/>
  <c r="E24" i="1"/>
  <c r="F24" i="1"/>
  <c r="G24" i="1"/>
  <c r="H24" i="1" a="1"/>
  <c r="H24" i="1" l="1"/>
  <c r="I24" i="1" a="1"/>
  <c r="I24" i="1"/>
  <c r="D24" i="466" s="1"/>
  <c r="J24" i="1" a="1"/>
  <c r="J24" i="1" l="1"/>
  <c r="K24" i="1" a="1"/>
  <c r="K24" i="1"/>
  <c r="C25" i="1"/>
  <c r="C25" i="466" s="1"/>
  <c r="D25" i="1"/>
  <c r="E25" i="1"/>
  <c r="F25" i="1"/>
  <c r="G25" i="1"/>
  <c r="H25" i="1" a="1"/>
  <c r="E25" i="466" l="1"/>
  <c r="E24" i="466"/>
  <c r="E22" i="466"/>
  <c r="E23" i="466"/>
  <c r="H25" i="1"/>
  <c r="I25" i="1" a="1"/>
  <c r="I25" i="1" l="1"/>
  <c r="D25" i="466" s="1"/>
  <c r="J25" i="1" a="1"/>
  <c r="F25" i="466" l="1"/>
  <c r="G25" i="466" s="1"/>
  <c r="H25" i="466" s="1"/>
  <c r="F24" i="466"/>
  <c r="G24" i="466" s="1"/>
  <c r="H24" i="466" s="1"/>
  <c r="F22" i="466"/>
  <c r="G22" i="466" s="1"/>
  <c r="H22" i="466" s="1"/>
  <c r="F23" i="466"/>
  <c r="G23" i="466" s="1"/>
  <c r="H23" i="466" s="1"/>
  <c r="J25" i="1"/>
  <c r="K25" i="1" a="1"/>
  <c r="K25" i="1"/>
  <c r="C27" i="1"/>
  <c r="C27" i="466" s="1"/>
  <c r="D27" i="1"/>
  <c r="E27" i="1"/>
  <c r="F27" i="1"/>
  <c r="G27" i="1"/>
  <c r="H27" i="1" a="1"/>
  <c r="H27" i="1" l="1"/>
  <c r="I27" i="1" a="1"/>
  <c r="I27" i="1"/>
  <c r="D27" i="466" s="1"/>
  <c r="J27" i="1" a="1"/>
  <c r="J27" i="1" l="1"/>
  <c r="K27" i="1" a="1"/>
  <c r="K27" i="1"/>
  <c r="C28" i="1"/>
  <c r="C28" i="466" s="1"/>
  <c r="D28" i="1"/>
  <c r="E28" i="1"/>
  <c r="F28" i="1"/>
  <c r="G28" i="1"/>
  <c r="H28" i="1" a="1"/>
  <c r="E28" i="466" l="1"/>
  <c r="E27" i="466"/>
  <c r="H28" i="1"/>
  <c r="I28" i="1" a="1"/>
  <c r="I28" i="1" l="1"/>
  <c r="D28" i="466" s="1"/>
  <c r="J28" i="1" a="1"/>
  <c r="F28" i="466" l="1"/>
  <c r="G28" i="466" s="1"/>
  <c r="H28" i="466" s="1"/>
  <c r="F27" i="466"/>
  <c r="G27" i="466" s="1"/>
  <c r="H27" i="466" s="1"/>
  <c r="J28" i="1"/>
  <c r="K28" i="1" a="1"/>
  <c r="K28" i="1"/>
  <c r="C30" i="1"/>
  <c r="C30" i="466" s="1"/>
  <c r="E30" i="466" s="1"/>
  <c r="D30" i="1"/>
  <c r="E30" i="1"/>
  <c r="F30" i="1"/>
  <c r="G30" i="1"/>
  <c r="H30" i="1" a="1"/>
  <c r="H30" i="1" l="1"/>
  <c r="I30" i="1" a="1"/>
  <c r="I30" i="1"/>
  <c r="D30" i="466" s="1"/>
  <c r="F30" i="466" s="1"/>
  <c r="G30" i="466" s="1"/>
  <c r="H30" i="466" s="1"/>
  <c r="J30" i="1" a="1"/>
  <c r="J30" i="1"/>
  <c r="K30" i="1" a="1"/>
  <c r="K30" i="1"/>
  <c r="C32" i="1"/>
  <c r="C32" i="466" s="1"/>
  <c r="D32" i="1"/>
  <c r="E32" i="1"/>
  <c r="F32" i="1"/>
  <c r="G32" i="1"/>
  <c r="H32" i="1" a="1"/>
  <c r="H32" i="1" l="1"/>
  <c r="I32" i="1" a="1"/>
  <c r="I32" i="1"/>
  <c r="D32" i="466" s="1"/>
  <c r="J32" i="1" a="1"/>
  <c r="J32" i="1" l="1"/>
  <c r="K32" i="1" a="1"/>
  <c r="K32" i="1"/>
  <c r="C33" i="1"/>
  <c r="C33" i="466" s="1"/>
  <c r="D33" i="1"/>
  <c r="E33" i="1"/>
  <c r="F33" i="1"/>
  <c r="G33" i="1"/>
  <c r="H33" i="1" a="1"/>
  <c r="H33" i="1" l="1"/>
  <c r="I33" i="1" a="1"/>
  <c r="I33" i="1"/>
  <c r="D33" i="466" s="1"/>
  <c r="J33" i="1" a="1"/>
  <c r="J33" i="1" l="1"/>
  <c r="K33" i="1" a="1"/>
  <c r="K33" i="1"/>
  <c r="C34" i="1"/>
  <c r="C34" i="466" s="1"/>
  <c r="D34" i="1"/>
  <c r="E34" i="1"/>
  <c r="F34" i="1"/>
  <c r="G34" i="1"/>
  <c r="H34" i="1" a="1"/>
  <c r="H34" i="1" l="1"/>
  <c r="I34" i="1" a="1"/>
  <c r="I34" i="1"/>
  <c r="D34" i="466" s="1"/>
  <c r="J34" i="1" a="1"/>
  <c r="J34" i="1" l="1"/>
  <c r="K34" i="1" a="1"/>
  <c r="K34" i="1"/>
  <c r="C35" i="1"/>
  <c r="C35" i="466" s="1"/>
  <c r="D35" i="1"/>
  <c r="E35" i="1"/>
  <c r="F35" i="1"/>
  <c r="G35" i="1"/>
  <c r="H35" i="1" a="1"/>
  <c r="H35" i="1" l="1"/>
  <c r="I35" i="1" a="1"/>
  <c r="I35" i="1"/>
  <c r="D35" i="466" s="1"/>
  <c r="J35" i="1" a="1"/>
  <c r="J35" i="1" l="1"/>
  <c r="K35" i="1" a="1"/>
  <c r="K35" i="1"/>
  <c r="C36" i="1"/>
  <c r="C36" i="466" s="1"/>
  <c r="D36" i="1"/>
  <c r="E36" i="1"/>
  <c r="F36" i="1"/>
  <c r="G36" i="1"/>
  <c r="H36" i="1" a="1"/>
  <c r="E36" i="466" l="1"/>
  <c r="E35" i="466"/>
  <c r="E32" i="466"/>
  <c r="E34" i="466"/>
  <c r="E33" i="466"/>
  <c r="H36" i="1"/>
  <c r="I36" i="1" a="1"/>
  <c r="I36" i="1" l="1"/>
  <c r="D36" i="466" s="1"/>
  <c r="J36" i="1" a="1"/>
  <c r="F36" i="466" l="1"/>
  <c r="G36" i="466" s="1"/>
  <c r="H36" i="466" s="1"/>
  <c r="F35" i="466"/>
  <c r="G35" i="466" s="1"/>
  <c r="H35" i="466" s="1"/>
  <c r="F32" i="466"/>
  <c r="G32" i="466" s="1"/>
  <c r="H32" i="466" s="1"/>
  <c r="F34" i="466"/>
  <c r="G34" i="466" s="1"/>
  <c r="H34" i="466" s="1"/>
  <c r="F33" i="466"/>
  <c r="G33" i="466" s="1"/>
  <c r="H33" i="466" s="1"/>
  <c r="J36" i="1"/>
  <c r="K36" i="1" a="1"/>
  <c r="K36" i="1"/>
  <c r="C38" i="1"/>
  <c r="C38" i="466" s="1"/>
  <c r="D38" i="1"/>
  <c r="E38" i="1"/>
  <c r="F38" i="1"/>
  <c r="G38" i="1"/>
  <c r="H38" i="1" a="1"/>
  <c r="H38" i="1" l="1"/>
  <c r="I38" i="1" a="1"/>
  <c r="I38" i="1"/>
  <c r="D38" i="466" s="1"/>
  <c r="J38" i="1" a="1"/>
  <c r="J38" i="1" l="1"/>
  <c r="K38" i="1" a="1"/>
  <c r="K38" i="1"/>
  <c r="C39" i="1"/>
  <c r="C39" i="466" s="1"/>
  <c r="D39" i="1"/>
  <c r="E39" i="1"/>
  <c r="F39" i="1"/>
  <c r="G39" i="1"/>
  <c r="H39" i="1" a="1"/>
  <c r="H39" i="1" l="1"/>
  <c r="I39" i="1" a="1"/>
  <c r="I39" i="1"/>
  <c r="D39" i="466" s="1"/>
  <c r="J39" i="1" a="1"/>
  <c r="J39" i="1" l="1"/>
  <c r="K39" i="1" a="1"/>
  <c r="K39" i="1"/>
  <c r="C40" i="1"/>
  <c r="C40" i="466" s="1"/>
  <c r="D40" i="1"/>
  <c r="E40" i="1"/>
  <c r="F40" i="1"/>
  <c r="G40" i="1"/>
  <c r="H40" i="1" a="1"/>
  <c r="H40" i="1" l="1"/>
  <c r="I40" i="1" a="1"/>
  <c r="I40" i="1"/>
  <c r="D40" i="466" s="1"/>
  <c r="J40" i="1" a="1"/>
  <c r="J40" i="1" l="1"/>
  <c r="K40" i="1" a="1"/>
  <c r="K40" i="1"/>
  <c r="C41" i="1"/>
  <c r="C41" i="466" s="1"/>
  <c r="D41" i="1"/>
  <c r="E41" i="1"/>
  <c r="F41" i="1"/>
  <c r="G41" i="1"/>
  <c r="H41" i="1" a="1"/>
  <c r="H41" i="1" l="1"/>
  <c r="I41" i="1" a="1"/>
  <c r="I41" i="1"/>
  <c r="D41" i="466" s="1"/>
  <c r="J41" i="1" a="1"/>
  <c r="J41" i="1" l="1"/>
  <c r="K41" i="1" a="1"/>
  <c r="K41" i="1"/>
  <c r="C42" i="1"/>
  <c r="C42" i="466" s="1"/>
  <c r="D42" i="1" a="1"/>
  <c r="D42" i="1" l="1"/>
  <c r="E42" i="1"/>
  <c r="F42" i="1"/>
  <c r="G42" i="1"/>
  <c r="H42" i="1" a="1"/>
  <c r="H42" i="1"/>
  <c r="I42" i="1" a="1"/>
  <c r="I42" i="1"/>
  <c r="D42" i="466" s="1"/>
  <c r="J42" i="1" a="1"/>
  <c r="J42" i="1" l="1"/>
  <c r="K42" i="1" a="1"/>
  <c r="K42" i="1"/>
  <c r="C43" i="1"/>
  <c r="C43" i="466" s="1"/>
  <c r="D43" i="1"/>
  <c r="E43" i="1"/>
  <c r="F43" i="1"/>
  <c r="G43" i="1"/>
  <c r="H43" i="1" a="1"/>
  <c r="E43" i="466" l="1"/>
  <c r="E42" i="466"/>
  <c r="E40" i="466"/>
  <c r="E39" i="466"/>
  <c r="E38" i="466"/>
  <c r="E41" i="466"/>
  <c r="E44" i="466"/>
  <c r="G44" i="466" s="1"/>
  <c r="H44" i="466" s="1"/>
  <c r="H43" i="1"/>
  <c r="I43" i="1" a="1"/>
  <c r="I43" i="1" l="1"/>
  <c r="D43" i="466" s="1"/>
  <c r="J43" i="1" a="1"/>
  <c r="F43" i="466" l="1"/>
  <c r="G43" i="466" s="1"/>
  <c r="H43" i="466" s="1"/>
  <c r="F42" i="466"/>
  <c r="G42" i="466" s="1"/>
  <c r="H42" i="466" s="1"/>
  <c r="F39" i="466"/>
  <c r="G39" i="466" s="1"/>
  <c r="H39" i="466" s="1"/>
  <c r="F41" i="466"/>
  <c r="G41" i="466" s="1"/>
  <c r="H41" i="466" s="1"/>
  <c r="F38" i="466"/>
  <c r="G38" i="466" s="1"/>
  <c r="H38" i="466" s="1"/>
  <c r="F40" i="466"/>
  <c r="G40" i="466" s="1"/>
  <c r="H40" i="466" s="1"/>
  <c r="J43" i="1"/>
  <c r="K43" i="1" a="1"/>
  <c r="K43" i="1"/>
  <c r="C44" i="1" a="1"/>
  <c r="C44" i="1"/>
  <c r="D44" i="1" a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H46" i="1"/>
  <c r="I46" i="1"/>
  <c r="J46" i="1"/>
  <c r="K46" i="1"/>
  <c r="H47" i="1"/>
  <c r="I47" i="1"/>
  <c r="J47" i="1"/>
  <c r="K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<sst xmlns="http://schemas.openxmlformats.org/spreadsheetml/2006/main" count="540" uniqueCount="372">
  <si>
    <t>CDS (bps)</t>
  </si>
  <si>
    <t>Equity Price (%)</t>
  </si>
  <si>
    <t>Bank</t>
  </si>
  <si>
    <t>Now</t>
  </si>
  <si>
    <t>5d Δ</t>
  </si>
  <si>
    <t>2wk Δ</t>
  </si>
  <si>
    <t>3m Δ</t>
  </si>
  <si>
    <t>1yr Δ</t>
  </si>
  <si>
    <t>America</t>
  </si>
  <si>
    <t>Dow Jones US Banks Index</t>
  </si>
  <si>
    <t>Citigroup</t>
  </si>
  <si>
    <t>Bank of America</t>
  </si>
  <si>
    <t>JPMorgan Chase</t>
  </si>
  <si>
    <t>Goldman Sachs</t>
  </si>
  <si>
    <t>Morgan Stanley</t>
  </si>
  <si>
    <t>Wells Fargo</t>
  </si>
  <si>
    <t>State Street Bank</t>
  </si>
  <si>
    <t>France</t>
  </si>
  <si>
    <t>BNP Paribas SA</t>
  </si>
  <si>
    <t>Credit Agricole SA</t>
  </si>
  <si>
    <t>Societe Generale</t>
  </si>
  <si>
    <t>Switzerland</t>
  </si>
  <si>
    <t>UBS Group AG</t>
  </si>
  <si>
    <t>U.K.</t>
  </si>
  <si>
    <t>Barclays Bank PLC</t>
  </si>
  <si>
    <t>HSBC Holdings PLC</t>
  </si>
  <si>
    <t>RBS Group PLC</t>
  </si>
  <si>
    <t>Standard Chartered</t>
  </si>
  <si>
    <t>Germany</t>
  </si>
  <si>
    <t>Deutsche Bank AG</t>
  </si>
  <si>
    <t>Commerzbank</t>
  </si>
  <si>
    <t>Denmark</t>
  </si>
  <si>
    <t>Danske</t>
  </si>
  <si>
    <t>Japan</t>
  </si>
  <si>
    <t>TOPIX Banks Index</t>
  </si>
  <si>
    <t>Mitsubishi</t>
  </si>
  <si>
    <t>Sumitomo</t>
  </si>
  <si>
    <t>Mizuho</t>
  </si>
  <si>
    <t>Daiwa</t>
  </si>
  <si>
    <t>Nomura</t>
  </si>
  <si>
    <t>Canada</t>
  </si>
  <si>
    <t>S&amp;P/TSX Composite Banks Index</t>
  </si>
  <si>
    <t>Bank of Nova Scotia</t>
  </si>
  <si>
    <t>BMO</t>
  </si>
  <si>
    <t>CIBC</t>
  </si>
  <si>
    <t>TD</t>
  </si>
  <si>
    <t>RBC</t>
  </si>
  <si>
    <t>Nationale</t>
  </si>
  <si>
    <t>Laurentian</t>
  </si>
  <si>
    <t>Equity RIC</t>
  </si>
  <si>
    <t>C.N</t>
  </si>
  <si>
    <t>BAC.N</t>
  </si>
  <si>
    <t>JPM.N</t>
  </si>
  <si>
    <t>GS.N</t>
  </si>
  <si>
    <t>MS.N</t>
  </si>
  <si>
    <t>WFC.N</t>
  </si>
  <si>
    <t>STT.N</t>
  </si>
  <si>
    <t>BNPP.PA</t>
  </si>
  <si>
    <t>CAGR.PA</t>
  </si>
  <si>
    <t>SOGN.PA</t>
  </si>
  <si>
    <t>UBSG.S</t>
  </si>
  <si>
    <t>BARC.L</t>
  </si>
  <si>
    <t>HSBA.L</t>
  </si>
  <si>
    <t>NWG.L</t>
  </si>
  <si>
    <t>STAN.L</t>
  </si>
  <si>
    <t>DBKGn.DE</t>
  </si>
  <si>
    <t>CBKG.DE</t>
  </si>
  <si>
    <t>DANSKE.CO</t>
  </si>
  <si>
    <t>Mitsubishi UFJ</t>
  </si>
  <si>
    <t>8306.T</t>
  </si>
  <si>
    <t>8316.T</t>
  </si>
  <si>
    <t>8411.T</t>
  </si>
  <si>
    <t>8601.T</t>
  </si>
  <si>
    <t>8604.T</t>
  </si>
  <si>
    <t>BNS.TO</t>
  </si>
  <si>
    <t>BMO.TO</t>
  </si>
  <si>
    <t>CM.TO</t>
  </si>
  <si>
    <t>TD.TO</t>
  </si>
  <si>
    <t>RY.TO</t>
  </si>
  <si>
    <t>NA.TO</t>
  </si>
  <si>
    <t>LB.TO</t>
  </si>
  <si>
    <t>C5YUSAX=R</t>
  </si>
  <si>
    <t>BAC5YUSAX=R</t>
  </si>
  <si>
    <t>JPM5YUSAX=R</t>
  </si>
  <si>
    <t>GS5YUSAX=R</t>
  </si>
  <si>
    <t>MS5YUSAX=R</t>
  </si>
  <si>
    <t>WFC5YUSAX=R</t>
  </si>
  <si>
    <t>STT5YUSAX=R</t>
  </si>
  <si>
    <t>FORB5YEUAM=R</t>
  </si>
  <si>
    <t>CAGR5YEUAM=R</t>
  </si>
  <si>
    <t>SG5YEUAM=R</t>
  </si>
  <si>
    <t>UBSJ5YEUAM=R</t>
  </si>
  <si>
    <t>BARC5YEUAM=R</t>
  </si>
  <si>
    <t>STAN5YEUAM=R</t>
  </si>
  <si>
    <t>HSBA5YEUAM=R</t>
  </si>
  <si>
    <t>RBS5YEUAM=R</t>
  </si>
  <si>
    <t>DB5YEUAM=R</t>
  </si>
  <si>
    <t>CBKG5YEUAM=R</t>
  </si>
  <si>
    <t>DDBA5YEUAM=R</t>
  </si>
  <si>
    <t>MTFB5YJPAC=R</t>
  </si>
  <si>
    <t>SANG5YJPAC=R</t>
  </si>
  <si>
    <t>MZFC5YUSAC=R</t>
  </si>
  <si>
    <t>DWAS5YJPAC=R</t>
  </si>
  <si>
    <t>NMH5YJPAC=R</t>
  </si>
  <si>
    <t>BNS5YUSAX=R</t>
  </si>
  <si>
    <t>CM5YUSAX=R</t>
  </si>
  <si>
    <t>RY5YUSAX=R</t>
  </si>
  <si>
    <t>NA5YUSAX=R</t>
  </si>
  <si>
    <t>BMO5YUSAX=FN</t>
  </si>
  <si>
    <t>TD5YUSAX=FN</t>
  </si>
  <si>
    <t>LB5YUSAX=FN</t>
  </si>
  <si>
    <t>IQT313313524</t>
  </si>
  <si>
    <t>IQT313317344</t>
  </si>
  <si>
    <t>IQT46220329</t>
  </si>
  <si>
    <t>IQT313315429</t>
  </si>
  <si>
    <t>IQT313314976</t>
  </si>
  <si>
    <t>IQT313310854</t>
  </si>
  <si>
    <t>IQT62270106</t>
  </si>
  <si>
    <t>IQT46200317</t>
  </si>
  <si>
    <t>IQT79634901</t>
  </si>
  <si>
    <t>IQT62270107</t>
  </si>
  <si>
    <t xml:space="preserve">IQT46225715 </t>
  </si>
  <si>
    <t>IQT46200364</t>
  </si>
  <si>
    <t>IQT46225083</t>
  </si>
  <si>
    <t>IQT46200412</t>
  </si>
  <si>
    <t>Deutche Bank AG</t>
  </si>
  <si>
    <t>IQT254955233</t>
  </si>
  <si>
    <t>Standard Chartered Bank</t>
  </si>
  <si>
    <t>IQT263213132</t>
  </si>
  <si>
    <t>IQT46225374</t>
  </si>
  <si>
    <t>IQT286096131</t>
  </si>
  <si>
    <t>IQT46199841</t>
  </si>
  <si>
    <t>Credit Suisse Group AG</t>
  </si>
  <si>
    <t>IQT528936812</t>
  </si>
  <si>
    <t>UBS Group AG**</t>
  </si>
  <si>
    <t>IQT46226132</t>
  </si>
  <si>
    <t>Societe Generale SA</t>
  </si>
  <si>
    <t>IQT46224740</t>
  </si>
  <si>
    <t>IQT46225006</t>
  </si>
  <si>
    <t>IQT323680130</t>
  </si>
  <si>
    <t>State Street Bank &amp; Trust</t>
  </si>
  <si>
    <t>IQT46223646</t>
  </si>
  <si>
    <t>IQT46470877</t>
  </si>
  <si>
    <t>IQT46204957</t>
  </si>
  <si>
    <t>Goldman Sachs Group</t>
  </si>
  <si>
    <t>IQT46207872</t>
  </si>
  <si>
    <t>JPMorgan Chase &amp; Co</t>
  </si>
  <si>
    <t>IQT46195491</t>
  </si>
  <si>
    <t>IQT46197694</t>
  </si>
  <si>
    <t>IQT46218674</t>
  </si>
  <si>
    <t>South Africa</t>
  </si>
  <si>
    <t>Africa</t>
  </si>
  <si>
    <t>IQT46220803</t>
  </si>
  <si>
    <t>Thailand</t>
  </si>
  <si>
    <t>Taiwan</t>
  </si>
  <si>
    <t>IQT46208634</t>
  </si>
  <si>
    <t>South Korea</t>
  </si>
  <si>
    <t>IQT313305879</t>
  </si>
  <si>
    <t>Singapore</t>
  </si>
  <si>
    <t>IQT46216986</t>
  </si>
  <si>
    <t>Russia</t>
  </si>
  <si>
    <t>IQT46213472</t>
  </si>
  <si>
    <t>New Zealand</t>
  </si>
  <si>
    <t>IQT46210032</t>
  </si>
  <si>
    <t>Malaysia</t>
  </si>
  <si>
    <t>IQT46207789</t>
  </si>
  <si>
    <t>IQT60388057</t>
  </si>
  <si>
    <t>India</t>
  </si>
  <si>
    <t>IQT79639953</t>
  </si>
  <si>
    <t>Hong Kong</t>
  </si>
  <si>
    <t>IQT46215111</t>
  </si>
  <si>
    <t>China</t>
  </si>
  <si>
    <t>IQT51023260</t>
  </si>
  <si>
    <t>Australia</t>
  </si>
  <si>
    <t>Asia/Pacific</t>
  </si>
  <si>
    <t>IQT46222292</t>
  </si>
  <si>
    <t>Ukraine</t>
  </si>
  <si>
    <t>IQT60389516</t>
  </si>
  <si>
    <t>IQT46219922</t>
  </si>
  <si>
    <t>Sweden</t>
  </si>
  <si>
    <t>IQT46214879</t>
  </si>
  <si>
    <t>Poland</t>
  </si>
  <si>
    <t>IQT51023480</t>
  </si>
  <si>
    <t>Norway</t>
  </si>
  <si>
    <t>IQT79639913</t>
  </si>
  <si>
    <t>IQT46200276</t>
  </si>
  <si>
    <t>Czech Republic</t>
  </si>
  <si>
    <t>IQT46262378</t>
  </si>
  <si>
    <t>United Kingdom</t>
  </si>
  <si>
    <t>Rest of Europe</t>
  </si>
  <si>
    <t>IQT46206779</t>
  </si>
  <si>
    <t>Spain</t>
  </si>
  <si>
    <t>IQT46218516</t>
  </si>
  <si>
    <t>Slovenia</t>
  </si>
  <si>
    <t>IQT46214954</t>
  </si>
  <si>
    <t>Portugal</t>
  </si>
  <si>
    <t>IQT79640024</t>
  </si>
  <si>
    <t>Netherlands</t>
  </si>
  <si>
    <t>IQT644701797</t>
  </si>
  <si>
    <t>Luxembourg</t>
  </si>
  <si>
    <t>IQT46207571</t>
  </si>
  <si>
    <t>Italy</t>
  </si>
  <si>
    <t>IQT46207308</t>
  </si>
  <si>
    <t>Ireland</t>
  </si>
  <si>
    <t>IQT46204884</t>
  </si>
  <si>
    <t>Greece</t>
  </si>
  <si>
    <t>IQT46204300</t>
  </si>
  <si>
    <t>IQT46203714</t>
  </si>
  <si>
    <t>IQT46203332</t>
  </si>
  <si>
    <t>Finland</t>
  </si>
  <si>
    <t>IQT46196225</t>
  </si>
  <si>
    <t>Belgium</t>
  </si>
  <si>
    <t>IQT46194995</t>
  </si>
  <si>
    <t>Austria</t>
  </si>
  <si>
    <t>Euro Area</t>
  </si>
  <si>
    <t>IQT49751196</t>
  </si>
  <si>
    <t>United States</t>
  </si>
  <si>
    <t>IQT46210560</t>
  </si>
  <si>
    <t>Mexico</t>
  </si>
  <si>
    <t>IQT313310184</t>
  </si>
  <si>
    <t>CDS Change</t>
  </si>
  <si>
    <t>CDS</t>
  </si>
  <si>
    <t>IQT46197138</t>
  </si>
  <si>
    <t>Brazil</t>
  </si>
  <si>
    <t>Thresholds</t>
  </si>
  <si>
    <t>1 year change</t>
  </si>
  <si>
    <t>3 month change</t>
  </si>
  <si>
    <t>14 day change</t>
  </si>
  <si>
    <t>10 day change</t>
  </si>
  <si>
    <t xml:space="preserve"> 5 Day Change</t>
  </si>
  <si>
    <t>Americas</t>
  </si>
  <si>
    <t>CIQ Code</t>
  </si>
  <si>
    <t>Country</t>
  </si>
  <si>
    <t>CDS RIC</t>
  </si>
  <si>
    <t>CDS Change (%)</t>
  </si>
  <si>
    <t>Threshold Green</t>
  </si>
  <si>
    <t>Threshold Red</t>
  </si>
  <si>
    <t>Distribution</t>
  </si>
  <si>
    <t>US</t>
  </si>
  <si>
    <t>High</t>
  </si>
  <si>
    <t>&gt;75–100</t>
  </si>
  <si>
    <t>Elevated</t>
  </si>
  <si>
    <t>&gt;50–75</t>
  </si>
  <si>
    <t>Moderate</t>
  </si>
  <si>
    <t>&gt;25–50</t>
  </si>
  <si>
    <t>Low</t>
  </si>
  <si>
    <t>0–25</t>
  </si>
  <si>
    <t>Risk Category</t>
  </si>
  <si>
    <t>Score</t>
  </si>
  <si>
    <t>Composite Risk Score</t>
  </si>
  <si>
    <t>Equity Risk Percentile</t>
  </si>
  <si>
    <t>CDS Risk Percentile</t>
  </si>
  <si>
    <t>2-Week Equity Return (%)</t>
  </si>
  <si>
    <t>5Y CDS (bps)</t>
  </si>
  <si>
    <t>Region</t>
  </si>
  <si>
    <t>Within-region percentile</t>
  </si>
  <si>
    <t>Scoring Basis</t>
  </si>
  <si>
    <t>2-week return</t>
  </si>
  <si>
    <t>Equity Horizon</t>
  </si>
  <si>
    <t>Equity Weight</t>
  </si>
  <si>
    <t>CDS Weight</t>
  </si>
  <si>
    <t>Model Assumptions</t>
  </si>
  <si>
    <t>Bank Market Risk Monitor — CDS &amp; Equity Composite Score</t>
  </si>
  <si>
    <t xml:space="preserve">America </t>
  </si>
  <si>
    <t>Europe Stoxx 600 Banks Index</t>
  </si>
  <si>
    <t>Asia</t>
  </si>
  <si>
    <t xml:space="preserve">Other Euro </t>
  </si>
  <si>
    <t>BAABTAVMT0NBTAFI/////wFQ1gMAACNDSVEuSVFUNDYyMDMzMzIuSVFfQ0RTX01JRC4wMi8wOS8yNgEAAABfHjcAAgAAAAQxMC41AKWpJiP0DN8IXdKdV/QM3wgjQ0lRLklRVDQ2MjE1MTExLklRX0NEU19NSUQuMDIvMDkvMjYBAAAAoEuyAQIAAAAHMzUuMTQyNQCf0CYj9AzfCHgzoFf0DN8II0NJUS5JUVQ0NjIyNjEzMi5JUV9DRFNfTUlELjAyLzA5LzI2AQAAAN1ZAAACAAAABzQ0LjU2MTMAsPcmI/QM3wh4M6BX9AzfCCRDSVEuSVFUMzEzMzEzNTI0LklRX0NEU19NSUQuMDIvMDkvMjYBAAAA71UNAAIAAAAHNTcuNTYyMgDchgcj9AzfCHgzoFf0DN8II0NJUS5JUVQ3OTYzOTkxMy5JUV9DRFNfTUlELjI5LzA4LzI2AQAAACBjHAICAAAABjguMDA1MwClqSYj9AzfCNz6pFf0DN8II0NJUS5JUVQ0NjIwNzg3Mi5JUV9DRFNfTUlELjI5LzA4LzI2AQAAAFgNCgACAAAABzM3Ljg5MjIAn9AmI/QM3wjc+qRX9AzfCCNDSVEuSVFUNDYyMDAzMTcuSVFfQ0RTX01JRC4yOS8wOC8yNgEAAAD+VA0AAgAAAAc2My4wMjAzANyGByP0DN8I6l2nV/QM3wgkQ0lRLklRVDY0NDcwMTc5Ny5JUV9DRFNfTUlELjI4LzA4LzI2AQAAAFM/fQECAAAABjkuODMzNgClqSYj9AzfCF9tm1f0DN8II0NJUS5JUVQ0NjIxNjk4Ni5JUV9DRFNfTUlELjI4LzA4LzI2AQAAAM5EOAEDAAAAAACf0CYj9AzfCF9tm1f0DN8IJENJUS5JUVQyNTQ5</t>
  </si>
  <si>
    <t>NTUyMzMuSVFfQ0RTX01JRC4yOC8wOC8yNgEAAAA5VgoAAgAAAAczOC4yNDU5ALD3JiP0DN8IX22bV/QM3wgjQ0lRLklRVDQ2MTk2MjI1LklRX0NEU19NSUQuMjYvMDgvMjYBAAAAvlWjAQIAAAAHMTcuMzEyNQClqSYj9AzfCF9tm1f0DN8II0NJUS5JUVQ1MTAyMzI2MC5JUV9DRFNfTUlELjI2LzA4LzI2AQAAALERfwECAAAABzE0LjM1MjQAn9AmI/QM3whfbZtX9AzfCCNDSVEuSVFUNDYyMjQ3NDAuSVFfQ0RTX01JRC4yNi8wOC8yNgEAAADTcggAAgAAAAczNS4xMzc1ALD3JiP0DN8IXdKdV/QM3wgkQ0lRLklRVDMxMzMxNzM0NC5JUV9DRFNfTUlELjI2LzA4LzI2AQAAAPGsAQACAAAABzYwLjQ5MDEA3IYHI/QM3whd0p1X9AzfCCNDSVEuSVFUNDYyMDAyNzYuSVFfQ0RTX01JRC4wMS8wOS8yNgEAAACWd3wBAgAAAAIzMAClqSYj9AzfCHgzoFf0DN8II0NJUS5JUVQ0NjE5NTQ5MS5JUV9DRFNfTUlELjAxLzA5LzI2AQAAAGlKAAACAAAABzUzLjQ2MTcAn9AmI/QM3wj/laJX9AzfCCNDSVEuSVFUNzk2MzQ5MDEuSVFfQ0RTX01JRC4wMS8wOS8yNgEAAACcBhAAAgAAAAc1My45MzI4ALD3JiP0DN8I/5WiV/QM3wgjQ0lRLklRVDQ2MjA3NTcxLklRX0NEU19NSUQuMzAvMDgvMjYBAAAAbe81AAIAAAAFMzAuNzUApakmI/QM3wjc+qRX9AzfCCNDSVEuSVFUNDYyMTM0NzIuSVFfQ0RTX01JRC4zMC8wOC8yNgEAAAC5</t>
  </si>
  <si>
    <t>WjgAAgAAAAQxNS41AJ/QJiP0DN8I3PqkV/QM3wgkQ0lRLklRVDI2MzIxMzEzMi5JUV9DRFNfTUlELjMwLzA4LzI2AQAAAOGaCAACAAAAAjUxALD3JiP0DN8I3PqkV/QM3wgjQ0lRLklRVDQ2MTk0OTk1LklRX0NEU19NSUQuMzEvMDgvMjYBAAAAbhAxAAIAAAAHMTEuMjI1NwClqSYj9AzfCP+Volf0DN8II0NJUS5JUVQ0NjIyMjI5Mi5JUV9DRFNfTUlELjMxLzA4LzI2AQAAANGRmwECAAAACDc2OC4yMzMzAJ/QJiP0DN8I/5WiV/QM3wgjQ0lRLklRVDQ2MjI1MDA2LklRX0NEU19NSUQuMzEvMDgvMjYBAAAA+FUNAAIAAAAHNDEuMjU2MgCf0CYj9AzfCNz6pFf0DN8II0NJUS5JUVQ0NjIyNTM3NC5JUV9DRFNfTUlELjI1LzA4LzI2AQAAALXWBQACAAAABzM1LjM5NzgAsPcmI/QM3whIcZlX9AzfCCNDSVEuSVFUNjAzODk1MTYuSVFfQ0RTX01JRC4yNC8wOC8yNgEAAACl8MMBAgAAAAY3LjE2MjEAn9AmI/QM3wj/laJX9AzfCCNDSVEuSVFUNDYyMjU3MTUuSVFfQ0RTX01JRC4wNy8wOS8yNQEAAAC35QQAAgAAAAYzNC4wNTUAsPcmI/QM3wh4M6BX9AzfCCNDSVEuSVFUNDYyMDQ4ODQuSVFfQ0RTX01JRC4wNy8wNi8yNgEAAACBUcABAgAAAAcyOC4yNTE3AKWpJiP0DN8IXdKdV/QM3wgjQ0lRLklRVDQ2NDcwODc3LklRX0NEU19NSUQuMDQvMDkvMjYBAAAAQjcHAAIAAAAHNTQuNjUxOQCf0CYj9AzfCF9tm1f0DN8I</t>
  </si>
  <si>
    <t>JENJUS5JUVQzMTMzMDU4NzkuSVFfQ0RTX01JRC4yOC8wOC8yNgEAAACE1twBAgAAAAYyLjI5MzkAn9AmI/QM3whfbZtX9AzfCCNDSVEuSVFUNDYxOTYyMjUuSVFfQ0RTX01JRC4zMS8wOC8yNgEAAAC+VaMBAgAAAAcxNy40NjA1AKWpJiP0DN8I/5WiV/QM3wgkQ0lRLklRVDI2MzIxMzEzMi5JUV9DRFNfTUlELjI1LzA4LzI2AQAAAOGaCAACAAAABzUwLjkzMTEAsPcmI/QM3whIcZlX9AzfCCNDSVEuSVFUNDYyNjIzNzguSVFfQ0RTX01JRC4wNy8wOS8yNQEAAABA0okBAgAAAAcxOS4wNzk4AKWpJiP0DN8IeDOgV/QM3wgjQ0lRLklRVDQ2MjA3MzA4LklRX0NEU19NSUQuMDcvMDYvMjYBAAAAOYl6AQIAAAAFMTMuNzUApakmI/QM3whd0p1X9AzfCCNDSVEuSVFUNDYyMDQzMDAuSVFfQ0RTX01JRC4wMi8wOS8yNgEAAAD2JX0AAgAAAAU3LjEyNQClqSYj9AzfCHgzoFf0DN8II0NJUS5JUVQ0NjIwMzcxNC5JUV9DRFNfTUlELjI2LzA4LzI2AQAAAF8FNQACAAAABzMyLjgzMzMApakmI/QM3whfbZtX9AzfCCRDSVEuSVFUMjU0OTU1MjMzLklRX0NEU19NSUQuMjUvMDgvMjYBAAAAOVYKAAIAAAAHMzguMDM2MwCw9yYj9AzfCEhxmVf0DN8IJENJUS5JUVQzMTMzMTA4NTQuSVFfQ0RTX01JRC4wMS8wOS8yNgEAAACvVA0AAgAAAAc2MS4zMzMzANyGByP0DN8I/5WiV/QM3wgkQ0lRLklRVDI1NDk1NTIzMy5JUV9DRFNf</t>
  </si>
  <si>
    <t>TUlELjA3LzA2LzI2AQAAADlWCgACAAAABzQ2Ljg1NzEAsPcmI/QM3whd0p1X9AzfCCNDSVEuSVFUNzk2NDAwMjQuSVFfQ0RTX01JRC4wNy8wNi8yNgEAAAA1j5sBAgAAAAY3LjgzMzMApakmI/QM3whd0p1X9AzfCCNDSVEuSVFUNDYyMTg2NzQuSVFfQ0RTX01JRC4zMC8wOC8yNgEAAABXyjYAAgAAAAgxMTQuODA5MwCf0CYj9AzfCNz6pFf0DN8II0NJUS5JUVQ0NjE5NzEzOC5JUV9DRFNfTUlELjA0LzA5LzI2AQAAAO6UOAECAAAACDExNC43MDE3AJWCJiP0DN8ISHGZV/QM3wgjQ0lRLklRVDUxMDIzNDgwLklRX0NEU19NSUQuMDQvMDkvMjYBAAAAwkXxAQIAAAAGNC42NTU4AKWpJiP0DN8ISHGZV/QM3wgjQ0lRLklRVDQ2MjA0OTU3LklRX0NEU19NSUQuMDQvMDkvMjYBAAAAIRUGAAIAAAAHNTIuMjMyOACf0CYj9AzfCF9tm1f0DN8II0NJUS5JUVQ2MjI3MDEwNi5JUV9DRFNfTUlELjA0LzA5LzI2AQAAAK13gwACAAAABzczLjIyMzYA3IYHI/QM3whfbZtX9AzfCCNDSVEuSVFUNDYyMTg1MTYuSVFfQ0RTX01JRC4wMy8wOS8yNgEAAACmVaMBAgAAAAczNS4zMTA0AKWpJiP0DN8IXdKdV/QM3wgjQ0lRLklRVDQ2MTk5ODQxLklRX0NEU19NSUQuMDIvMDkvMjYBAAAA6zAGAAMAAAAAALD3JiP0DN8IeDOgV/QM3wgjQ0lRLklRVDQ2MjI1MDgzLklRX0NEU19NSUQuMjgvMDgvMjYBAAAAVkQGAAIAAAAHMzMuMDgz</t>
  </si>
  <si>
    <t>MwCw9yYj9AzfCF9tm1f0DN8II0NJUS5JUVQ0NjIwMDI3Ni5JUV9DRFNfTUlELjA3LzA5LzI1AQAAAJZ3fAECAAAABzI0LjU4MDIApakmI/QM3wh4M6BX9AzfCCNDSVEuSVFUNDYyMDc1NzEuSVFfQ0RTX01JRC4wNy8wNi8yNgEAAABt7zUAAgAAAAcyOS4xNjY3AKWpJiP0DN8IXdKdV/QM3wgjQ0lRLklRVDQ5NzUxMTk2LklRX0NEU19NSUQuMDQvMDkvMjYBAAAAzZm9AAIAAAAHMzQuOTQxNAClqSYj9AzfCEhxmVf0DN8IJENJUS5JUVQzMTMzMTU0MjkuSVFfQ0RTX01JRC4wNC8wOS8yNgEAAAA55wUAAgAAAAc1OS44OTkyANyGByP0DN8IX22bV/QM3wgjQ0lRLklRVDQ2MjA2Nzc5LklRX0NEU19NSUQuMDMvMDkvMjYBAAAA/O82AAIAAAAEMTUuNQClqSYj9AzfCF3SnVf0DN8II0NJUS5JUVQ0NjIwNDMwMC5JUV9DRFNfTUlELjI2LzA4LzI2AQAAAPYlfQACAAAABjcuNDc1OQClqSYj9AzfCF9tm1f0DN8II0NJUS5JUVQ2MjI3MDEwNi5JUV9DRFNfTUlELjI3LzA4LzI2AQAAAK13gwACAAAABjc1LjU1MgDchgcj9AzfCEhxmVf0DN8IJENJUS5JUVQzMTMzMTAxODQuSVFfQ0RTX01JRC4wNC8wOS8yNgEAAABgRD4AAgAAAAYxMC43NTkAlYImI/QM3whIcZlX9AzfCCNDSVEuSVFUNDYyMTQ4NzkuSVFfQ0RTX01JRC4wNC8wOS8yNgEAAAD1GjcAAgAAAAc1MC43ODk0AKWpJiP0DN8ISHGZV/QM3wgjQ0lRLklRVDQ2</t>
  </si>
  <si>
    <t>MjI1MDgzLklRX0NEU19NSUQuMDMvMDkvMjYBAAAAVkQGAAIAAAAFMzIuOTUAsPcmI/QM3whd0p1X9AzfCCNDSVEuSVFUNTEwMjM0ODAuSVFfQ0RTX01JRC4yOS8wOC8yNgEAAADCRfEBAgAAAAY0LjgyMTIApakmI/QM3wjc+qRX9AzfCCNDSVEuSVFUNjIyNzAxMDYuSVFfQ0RTX01JRC4yOS8wOC8yNgEAAACtd4MAAgAAAAc3NS41Mzg0ANyGByP0DN8I6l2nV/QM3wgkQ0lRLklRVDMxMzMxMzUyNC5JUV9DRFNfTUlELjI2LzA4LzI2AQAAAO9VDQACAAAABzU5LjQ1NzQA3IYHI/QM3whd0p1X9AzfCCNDSVEuSVFUNDYxOTc2OTQuSVFfQ0RTX01JRC4wNy8wOS8yNQEAAAAH+gUAAgAAAAY1Mi41MTEAn9AmI/QM3wh4M6BX9AzfCCNDSVEuSVFUNDYyMjM2NDYuSVFfQ0RTX01JRC4wNC8wOS8yNgEAAAAbeAQAAgAAAAc0NS44MTU0AJ/QJiP0DN8IX22bV/QM3wgjQ0lRLklRVDYwMzg4MDU3LklRX0NEU19NSUQuMDIvMDkvMjYBAAAA38l9AQMAAAAAAJ/QJiP0DN8IeDOgV/QM3wgkQ0lRLklRVDMxMzMxMDE4NC5JUV9DRFNfTUlELjI5LzA4LzI2AQAAAGBEPgACAAAABzEwLjc0MTYAlYImI/QM3wjc+qRX9AzfCCRDSVEuSVFUMzEzMzEwODU0LklRX0NEU19NSUQuMjkvMDgvMjYBAAAAr1QNAAIAAAAHNTkuODMzMwDchgcj9AzfCOpdp1f0DN8IJENJUS5JUVQzMTMzMDU4NzkuSVFfQ0RTX01JRC4zMC8wOC8yNgEAAACE</t>
  </si>
  <si>
    <t>1twBAgAAAAYyLjI5MzkAn9AmI/QM3wjc+qRX9AzfCCNDSVEuSVFUNDYyMDAzMTcuSVFfQ0RTX01JRC4yNy8wOC8yNgEAAAD+VA0AAgAAAAc2My4wNzg0ANyGByP0DN8ISHGZV/QM3wgjQ0lRLklRVDQ2MjE2OTg2LklRX0NEU19NSUQuMjUvMDgvMjYBAAAAzkQ4AQMAAAAAAJ/QJiP0DN8ISHGZV/QM3wgjQ0lRLklRVDUxMDIzMjYwLklRX0NEU19NSUQuMjQvMDgvMjYBAAAAsRF/AQIAAAAHMTQuNTI1NQCf0CYj9AzfCP+Volf0DN8II0NJUS5JUVQ0NjIxMDU2MC5JUV9DRFNfTUlELjA0LzA5LzI2AQAAAPYaNwACAAAABzc5LjE3OTMAlYImI/QM3whIcZlX9AzfCCNDSVEuSVFUNDYyMTk5MjIuSVFfQ0RTX01JRC4wNC8wOS8yNgEAAADWRzkBAgAAAAY1Ljg4MTcAn9AmI/QM3whIcZlX9AzfCCNDSVEuSVFUNDYxOTQ5OTUuSVFfQ0RTX01JRC4wNC8wOS8yNgEAAABuEDEAAgAAAAcxMS4xNjg4AKWpJiP0DN8ISHGZV/QM3wgjQ0lRLklRVDQ2MjIyMjkyLklRX0NEU19NSUQuMDQvMDkvMjYBAAAA0ZGbAQIAAAAINzY4Ljc2NTEAn9AmI/QM3whIcZlX9AzfCCNDSVEuSVFUNDYyMjUwMDYuSVFfQ0RTX01JRC4wNC8wOS8yNgEAAAD4VQ0AAgAAAAY0MS45MDQAn9AmI/QM3whfbZtX9AzfCCNDSVEuSVFUNDYyMjAzMjkuSVFfQ0RTX01JRC4wNC8wOS8yNgEAAADbWwAAAgAAAAY1Ny40OTUA3IYHI/QM3whfbZtX9AzfCCND</t>
  </si>
  <si>
    <t>SVEuSVFUNDYyNjIzNzguSVFfQ0RTX01JRC4wMy8wOS8yNgEAAABA0okBAgAAAAIxOAClqSYj9AzfCF3SnVf0DN8II0NJUS5JUVQ0NjE5NzY5NC5JUV9DRFNfTUlELjAzLzA5LzI2AQAAAAf6BQACAAAABzUxLjEyMjIAn9AmI/QM3whd0p1X9AzfCCNDSVEuSVFUNjIyNzAxMDcuSVFfQ0RTX01JRC4wMy8wOS8yNgEAAAAVWQAAAgAAAAc0MC42NTQzALD3JiP0DN8IXdKdV/QM3wgjQ0lRLklRVDQ2MjA3MzA4LklRX0NEU19NSUQuMDIvMDkvMjYBAAAAOYl6AQIAAAAHMTQuMTY2NwClqSYj9AzfCHgzoFf0DN8II0NJUS5JUVQ0NjIxMDAzMi5JUV9DRFNfTUlELjAyLzA5LzI2AQAAAI9VowECAAAABzMzLjQzNzUAn9AmI/QM3wh4M6BX9AzfCCNDSVEuSVFUNDYyMjUzNzQuSVFfQ0RTX01JRC4wMi8wOS8yNgEAAAC11gUAAgAAAAQzNi4yALD3JiP0DN8IeDOgV/QM3wgjQ0lRLklRVDQ5NzUxMTk2LklRX0NEU19NSUQuMjkvMDgvMjYBAAAAzZm9AAIAAAAHMzYuNTMwOQClqSYj9AzfCNz6pFf0DN8II0NJUS5JUVQ2MDM4OTUxNi5JUV9DRFNfTUlELjI5LzA4LzI2AQAAAKXwwwECAAAABjcuMTU0NQCf0CYj9AzfCNz6pFf0DN8IJENJUS5JUVQzMjM2ODAxMzAuSVFfQ0RTX01JRC4yOS8wOC8yNgEAAABx4QIAAgAAAAc0OC44MjkzAJ/QJiP0DN8I3PqkV/QM3wgkQ0lRLklRVDMxMzMxNTQyOS5JUV9DRFNfTUlELjI5LzA4</t>
  </si>
  <si>
    <t>LzI2AQAAADnnBQACAAAABzYwLjM4MDIA3IYHI/QM3wjqXadX9AzfCCNDSVEuSVFUNDYyMDY3NzkuSVFfQ0RTX01JRC4yOC8wOC8yNgEAAAD87zYAAgAAAAcxNS43MzM3AKWpJiP0DN8IX22bV/QM3wgjQ0lRLklRVDQ2MjE4Njc0LklRX0NEU19NSUQuMjgvMDgvMjYBAAAAV8o2AAIAAAAIMTE0LjgwOTMAn9AmI/QM3whfbZtX9AzfCCNDSVEuSVFUNDYyMjU3MTUuSVFfQ0RTX01JRC4yOC8wOC8yNgEAAAC35QQAAgAAAAczOS4yOTM5ALD3JiP0DN8IX22bV/QM3wgjQ0lRLklRVDQ2MjA0ODg0LklRX0NEU19NSUQuMjYvMDgvMjYBAAAAgVHAAQIAAAAHMjkuMDA0NQClqSYj9AzfCF9tm1f0DN8II0NJUS5JUVQ0NjIwNzc4OS5JUV9DRFNfTUlELjI2LzA4LzI2AQAAACpYowECAAAABzI2LjM4ODEAn9AmI/QM3whfbZtX9AzfCCRDSVEuSVFUMjg2MDk2MTMxLklRX0NEU19NSUQuMjYvMDgvMjYBAAAAO/EEAAIAAAAENTMuMQCw9yYj9AzfCF3SnVf0DN8II0NJUS5JUVQ0NjIxMDU2MC5JUV9DRFNfTUlELjAxLzA5LzI2AQAAAPYaNwACAAAABzc5Ljg3MjgAlYImI/QM3wh4M6BX9AzfCCNDSVEuSVFUNDYyMTk5MjIuSVFfQ0RTX01JRC4wMS8wOS8yNgEAAADWRzkBAgAAAAY1LjczNzEAn9AmI/QM3wj/laJX9AzfCCNDSVEuSVFUNDYyMjM2NDYuSVFfQ0RTX01JRC4wMS8wOS8yNgEAAAAbeAQAAgAAAAc0Ni43MzcxAJ/Q</t>
  </si>
  <si>
    <t>JiP0DN8I/5WiV/QM3wgkQ0lRLklRVDMxMzMxNDk3Ni5JUV9DRFNfTUlELjAxLzA5LzI2AQAAAG1KAAACAAAABzU1LjQ3ODkA3IYHI/QM3wj/laJX9AzfCCNDSVEuSVFUNDYyMTg1MTYuSVFfQ0RTX01JRC4zMC8wOC8yNgEAAACmVaMBAgAAAAczNi4wMjA2AKWpJiP0DN8I3PqkV/QM3wgjQ0lRLklRVDQ2MjIwODAzLklRX0NEU19NSUQuMzAvMDgvMjYBAAAA1sk2AAIAAAAHNDAuMTY2NwCf0CYj9AzfCNz6pFf0DN8II0NJUS5JUVQ0NjIwMDM2NC5JUV9DRFNfTUlELjMwLzA4LzI2AQAAAFeGCAACAAAABjIzLjMyNQCw9yYj9AzfCNz6pFf0DN8II0NJUS5JUVQ0NjIwNDMwMC5JUV9DRFNfTUlELjMxLzA4LzI2AQAAAPYlfQACAAAABjcuNDc0OQClqSYj9AzfCP+Volf0DN8II0NJUS5JUVQ2MDM4ODA1Ny5JUV9DRFNfTUlELjMxLzA4LzI2AQAAAN/JfQEDAAAAAACf0CYj9AzfCP+Volf0DN8II0NJUS5JUVQ0NjE5OTg0MS5JUV9DRFNfTUlELjMxLzA4LzI2AQAAAOswBgADAAAAAACw9yYj9AzfCNz6pFf0DN8IJENJUS5JUVQzMTMzMTA4NTQuSVFfQ0RTX01JRC4yNy8wOC8yNgEAAACvVA0AAgAAAAc1OS44MzMzANyGByP0DN8ISHGZV/QM3wgjQ0lRLklRVDQ2MjE0OTU0LklRX0NEU19NSUQuMjUvMDgvMjYBAAAAOj05AQIAAAAFMTQuMjUApakmI/QM3whIcZlX9AzfCCNDSVEuSVFUNDYyMDg2MzQuSVFfQ0RTX01J</t>
  </si>
  <si>
    <t>RC4yNS8wOC8yNgEAAAADH8IAAgAAAAcyMS43OTMzAJ/QJiP0DN8ISHGZV/QM3wgjQ0lRLklRVDQ2MjI1MDgzLklRX0NEU19NSUQuMjUvMDgvMjYBAAAAVkQGAAIAAAAFMzMuMjUAsPcmI/QM3whIcZlX9AzfCCNDSVEuSVFUNDYyMDM3MTQuSVFfQ0RTX01JRC4yNC8wOC8yNgEAAABfBTUAAgAAAAczMi44MzMzAKWpJiP0DN8I/5WiV/QM3wgjQ0lRLklRVDc5NjM5OTUzLklRX0NEU19NSUQuMjQvMDgvMjYBAAAANJtWAQIAAAACMjAAn9AmI/QM3wj/laJX9AzfCCNDSVEuSVFUNDYyMDQ5NTcuSVFfQ0RTX01JRC4wNy8wOS8yNQEAAAAhFQYAAgAAAAc1NC44ODg5AJ/QJiP0DN8IeDOgV/QM3wgkQ0lRLklRVDMxMzMxNDk3Ni5JUV9DRFNfTUlELjI3LzA4LzI2AQAAAG1KAAACAAAABzU2LjgxNTUA3IYHI/QM3whIcZlX9AzfCCNDSVEuSVFUNDYyMDQzMDAuSVFfQ0RTX01JRC4yNC8wOC8yNgEAAAD2JX0AAgAAAAY3LjA5MzcApakmI/QM3wj/laJX9AzfCCNDSVEuSVFUNDYyMTQ5NTQuSVFfQ0RTX01JRC4wNy8wNi8yNgEAAAA6PTkBAgAAAAYxNC44NzUApakmI/QM3whd0p1X9AzfCCNDSVEuSVFUNDYyMDY3NzkuSVFfQ0RTX01JRC4yNS8wOC8yNgEAAAD87zYAAgAAAAcxNS41ODk3AKWpJiP0DN8ISHGZV/QM3wgjQ0lRLklRVDYwMzg5NTE2LklRX0NEU19NSUQuMDcvMDkvMjUBAAAApfDDAQIAAAAGOC4xMjIyAJ/Q</t>
  </si>
  <si>
    <t>JiP0DN8IeDOgV/QM3wgjQ0lRLklRVDQ2MjE4Njc0LklRX0NEU19NSUQuMDcvMDYvMjYBAAAAV8o2AAIAAAAIMTMwLjg3MTIAn9AmI/QM3whd0p1X9AzfCCNDSVEuSVFUNDYxOTYyMjUuSVFfQ0RTX01JRC4wNC8wOS8yNgEAAAC+VaMBAgAAAAYxNy4zNzUApakmI/QM3whIcZlX9AzfCCNDSVEuSVFUNTEwMjMyNjAuSVFfQ0RTX01JRC4wNC8wOS8yNgEAAACxEX8BAgAAAAcxMy45NTM2AJ/QJiP0DN8ISHGZV/QM3wgjQ0lRLklRVDQ2MjI0NzQwLklRX0NEU19NSUQuMDQvMDkvMjYBAAAA03IIAAIAAAAHMzYuNzE3OACw9yYj9AzfCF9tm1f0DN8IJENJUS5JUVQzMTMzMTczNDQuSVFfQ0RTX01JRC4wNC8wOS8yNgEAAADxrAEAAgAAAAc2MC4xNTgzANyGByP0DN8IX22bV/QM3wgjQ0lRLklRVDQ2MjAwMjc2LklRX0NEU19NSUQuMDMvMDkvMjYBAAAAlnd8AQIAAAAHMjkuNTc1MgClqSYj9AzfCF3SnVf0DN8II0NJUS5JUVQ0NjE5NTQ5MS5JUV9DRFNfTUlELjAzLzA5LzI2AQAAAGlKAAACAAAABjUyLjIyNACf0CYj9AzfCF3SnVf0DN8II0NJUS5JUVQ3OTYzNDkwMS5JUV9DRFNfTUlELjAzLzA5LzI2AQAAAJwGEAACAAAABzU0LjAzNTYAsPcmI/QM3whd0p1X9AzfCCNDSVEuSVFUNDYyMDc1NzEuSVFfQ0RTX01JRC4wMi8wOS8yNgEAAABt7zUAAgAAAAczMS4yMDgzAKWpJiP0DN8IeDOgV/QM3wgjQ0lRLklRVDQ2</t>
  </si>
  <si>
    <t>MjEzNDcyLklRX0NEU19NSUQuMDIvMDkvMjYBAAAAuVo4AAIAAAAGMTUuMDk0AJ/QJiP0DN8IeDOgV/QM3wgkQ0lRLklRVDI2MzIxMzEzMi5JUV9DRFNfTUlELjAyLzA5LzI2AQAAAOGaCAACAAAABzUyLjIyNjMAsPcmI/QM3wh4M6BX9AzfCCNDSVEuSVFUNDYxOTQ5OTUuSVFfQ0RTX01JRC4yOS8wOC8yNgEAAABuEDEAAgAAAAcxMS4xNTM3AKWpJiP0DN8I3PqkV/QM3wgjQ0lRLklRVDQ2MjIyMjkyLklRX0NEU19NSUQuMjkvMDgvMjYBAAAA0ZGbAQIAAAAINzY2LjQwNzQAn9AmI/QM3wjc+qRX9AzfCCNDSVEuSVFUNDYyMjUwMDYuSVFfQ0RTX01JRC4yOS8wOC8yNgEAAAD4VQ0AAgAAAAU0MS41OACf0CYj9AzfCNz6pFf0DN8II0NJUS5JUVQ0NjIyMDMyOS5JUV9DRFNfTUlELjI5LzA4LzI2AQAAANtbAAACAAAAAjU3ANyGByP0DN8I6l2nV/QM3wgjQ0lRLklRVDQ2MjYyMzc4LklRX0NEU19NSUQuMjgvMDgvMjYBAAAAQNKJAQIAAAAHMTguMDQyMwClqSYj9AzfCF9tm1f0DN8II0NJUS5JUVQ0NjE5NzY5NC5JUV9DRFNfTUlELjI4LzA4LzI2AQAAAAf6BQACAAAABzUxLjAyNjEAn9AmI/QM3whfbZtX9AzfCCNDSVEuSVFUNjIyNzAxMDcuSVFfQ0RTX01JRC4yOC8wOC8yNgEAAAAVWQAAAgAAAAc0MS42Mzc2ALD3JiP0DN8IX22bV/QM3wgjQ0lRLklRVDQ2MjA3MzA4LklRX0NEU19NSUQuMjYvMDgvMjYBAAAA</t>
  </si>
  <si>
    <t>OYl6AQIAAAAHMTQuMzU0MwClqSYj9AzfCF9tm1f0DN8II0NJUS5JUVQ0NjIxMDAzMi5JUV9DRFNfTUlELjI2LzA4LzI2AQAAAI9VowECAAAABTMzLjQzAJ/QJiP0DN8IX22bV/QM3wgjQ0lRLklRVDQ2MjI1Mzc0LklRX0NEU19NSUQuMjYvMDgvMjYBAAAAtdYFAAIAAAAGMzUuNDYxALD3JiP0DN8IXdKdV/QM3wgjQ0lRLklRVDQ2MjAwMzY0LklRX0NEU19NSUQuMjUvMDgvMjYBAAAAV4YIAAIAAAAFMjMuNDUAsPcmI/QM3whIcZlX9AzfCCNDSVEuSVFUNDYyMTQ4NzkuSVFfQ0RTX01JRC4wNy8wOS8yNQEAAAD1GjcAAgAAAAY1OS42NDkAn9AmI/QM3wh4M6BX9AzfCCNDSVEuSVFUNDYyMTg2NzQuSVFfQ0RTX01JRC4yNS8wOC8yNgEAAABXyjYAAgAAAAgxMTguMzA4MgCf0CYj9AzfCEhxmVf0DN8II0NJUS5JUVQ0NjIxOTkyMi5JUV9DRFNfTUlELjA3LzA5LzI1AQAAANZHOQECAAAABjkuMTY2NwCf0CYj9AzfCHgzoFf0DN8II0NJUS5JUVQ0NjIwMzMzMi5JUV9DRFNfTUlELjA0LzA5LzI2AQAAAF8eNwACAAAABDEwLjUApakmI/QM3whIcZlX9AzfCCNDSVEuSVFUNDYyMTUxMTEuSVFfQ0RTX01JRC4wNC8wOS8yNgEAAACgS7IBAgAAAAczNC44OTM0AJ/QJiP0DN8ISHGZV/QM3wgjQ0lRLklRVDQ2MjI2MTMyLklRX0NEU19NSUQuMDQvMDkvMjYBAAAA3VkAAAIAAAAHNDQuMTAzOQCw9yYj9AzfCF9tm1f0DN8I</t>
  </si>
  <si>
    <t>JENJUS5JUVQzMTMzMTM1MjQuSVFfQ0RTX01JRC4wNC8wOS8yNgEAAADvVQ0AAgAAAAc1Ni41Mjg5ANyGByP0DN8IX22bV/QM3wgjQ0lRLklRVDc5NjM5OTEzLklRX0NEU19NSUQuMDMvMDkvMjYBAAAAIGMcAgIAAAAGOC4wMDkyAKWpJiP0DN8IXdKdV/QM3wgjQ0lRLklRVDQ2MjA3ODcyLklRX0NEU19NSUQuMDMvMDkvMjYBAAAAWA0KAAIAAAAHMzYuOTA4OACf0CYj9AzfCF3SnVf0DN8II0NJUS5JUVQ0NjIwMDMxNy5JUV9DRFNfTUlELjAzLzA5LzI2AQAAAP5UDQACAAAABzYyLjMyODEA3IYHI/QM3whd0p1X9AzfCCRDSVEuSVFUNjQ0NzAxNzk3LklRX0NEU19NSUQuMDIvMDkvMjYBAAAAUz99AQIAAAAHMTAuMDExOAClqSYj9AzfCHgzoFf0DN8II0NJUS5JUVQ0NjIxNjk4Ni5JUV9DRFNfTUlELjAyLzA5LzI2AQAAAM5EOAEDAAAAAACf0CYj9AzfCHgzoFf0DN8IJENJUS5JUVQyNTQ5NTUyMzMuSVFfQ0RTX01JRC4wMi8wOS8yNgEAAAA5VgoAAgAAAAczOS4xMTM0ALD3JiP0DN8IeDOgV/QM3wgjQ0lRLklRVDQ2MTk2MjI1LklRX0NEU19NSUQuMjkvMDgvMjYBAAAAvlWjAQIAAAAHMTcuNDM4OAClqSYj9AzfCNz6pFf0DN8II0NJUS5JUVQ1MTAyMzI2MC5JUV9DRFNfTUlELjI5LzA4LzI2AQAAALERfwECAAAABzE0LjEzMTcAn9AmI/QM3wjc+qRX9AzfCCNDSVEuSVFUNDYyMjQ3NDAuSVFfQ0RTX01JRC4y</t>
  </si>
  <si>
    <t>OS8wOC8yNgEAAADTcggAAgAAAAczNS44OTI5ALD3JiP0DN8I3PqkV/QM3wgkQ0lRLklRVDMxMzMxNzM0NC5JUV9DRFNfTUlELjI5LzA4LzI2AQAAAPGsAQACAAAABzYwLjUxNTkA3IYHI/QM3wjqXadX9AzfCCNDSVEuSVFUNDYyMDAyNzYuSVFfQ0RTX01JRC4yOC8wOC8yNgEAAACWd3wBAgAAAAYxOS43NTIApakmI/QM3whfbZtX9AzfCCNDSVEuSVFUNDYxOTU0OTEuSVFfQ0RTX01JRC4yOC8wOC8yNgEAAABpSgAAAgAAAAc1My4wNzQ3AJ/QJiP0DN8IX22bV/QM3wgjQ0lRLklRVDc5NjM0OTAxLklRX0NEU19NSUQuMjgvMDgvMjYBAAAAnAYQAAIAAAAHNTMuOTcxOQCw9yYj9AzfCF9tm1f0DN8II0NJUS5JUVQ0NjIwNzU3MS5JUV9DRFNfTUlELjI2LzA4LzI2AQAAAG3vNQACAAAABzMwLjU2MjUApakmI/QM3whfbZtX9AzfCCNDSVEuSVFUNDYyMTM0NzIuSVFfQ0RTX01JRC4yNi8wOC8yNgEAAAC5WjgAAgAAAAYxNS4xOTYAn9AmI/QM3whfbZtX9AzfCCRDSVEuSVFUMjYzMjEzMTMyLklRX0NEU19NSUQuMjYvMDgvMjYBAAAA4ZoIAAIAAAAHNTAuODEyNQCw9yYj9AzfCF3SnVf0DN8II0NJUS5JUVQ0NjE5NDk5NS5JUV9DRFNfTUlELjAxLzA5LzI2AQAAAG4QMQACAAAABzExLjExODkApakmI/QM3wh4M6BX9AzfCCNDSVEuSVFUNDYyMjIyOTIuSVFfQ0RTX01JRC4wMS8wOS8yNgEAAADRkZsBAgAAAAg3Njgu</t>
  </si>
  <si>
    <t>MjMxNACf0CYj9AzfCP+Volf0DN8II0NJUS5JUVQ0NjIyNTAwNi5JUV9DRFNfTUlELjAxLzA5LzI2AQAAAPhVDQACAAAABzQyLjIzOTkAn9AmI/QM3wj/laJX9AzfCCNDSVEuSVFUNDYyMjAzMjkuSVFfQ0RTX01JRC4wMS8wOS8yNgEAAADbWwAAAgAAAAc1Ny4zMzMzANyGByP0DN8I/5WiV/QM3wgjQ0lRLklRVDQ2MjYyMzc4LklRX0NEU19NSUQuMzAvMDgvMjYBAAAAQNKJAQIAAAAHMTguMDQyMwClqSYj9AzfCNz6pFf0DN8II0NJUS5JUVQ0NjIwMzcxNC5JUV9DRFNfTUlELjA0LzA5LzI2AQAAAF8FNQACAAAABzM0LjE5NDEApakmI/QM3whIcZlX9AzfCCNDSVEuSVFUNzk2Mzk5NTMuSVFfQ0RTX01JRC4wNC8wOS8yNgEAAAA0m1YBAgAAAAcxOS45ODU0AJ/QJiP0DN8ISHGZV/QM3wgkQ0lRLklRVDUyODkzNjgxMi5JUV9DRFNfTUlELjA0LzA5LzI2AQAAAGxbBgACAAAABzQ0LjQ5NTIAsPcmI/QM3whfbZtX9AzfCCNDSVEuSVFUNDYxOTcxMzguSVFfQ0RTX01JRC4wMy8wOS8yNgEAAADulDgBAgAAAAgxMTUuNDg4OACVgiYj9AzfCF3SnVf0DN8II0NJUS5JUVQ1MTAyMzQ4MC5JUV9DRFNfTUlELjAzLzA5LzI2AQAAAMJF8QECAAAABDQuNjcApakmI/QM3whd0p1X9AzfCCNDSVEuSVFUNDYyMDQ5NTcuSVFfQ0RTX01JRC4wMy8wOS8yNgEAAAAhFQYAAgAAAAc1Mi41MTAxAJ/QJiP0DN8IXdKdV/QM3wgjQ0lR</t>
  </si>
  <si>
    <t>LklRVDYyMjcwMTA2LklRX0NEU19NSUQuMDMvMDkvMjYBAAAArXeDAAIAAAAHNzMuODc2NwDchgcj9AzfCF3SnVf0DN8II0NJUS5JUVQ3OTY0MDAyNC5JUV9DRFNfTUlELjAyLzA5LzI2AQAAADWPmwECAAAABjcuOTE2OQClqSYj9AzfCHgzoFf0DN8IJENJUS5JUVQzMTMzMDU4NzkuSVFfQ0RTX01JRC4wMi8wOS8yNgEAAACE1twBAgAAAAYyLjI5MzkAn9AmI/QM3wh4M6BX9AzfCCNDSVEuSVFUNDYyMDA0MTIuSVFfQ0RTX01JRC4wMi8wOS8yNgEAAABjQwYAAgAAAAU0NC40NQCw9yYj9AzfCHgzoFf0DN8II0NJUS5JUVQ0NjIwMzMzMi5JUV9DRFNfTUlELjI5LzA4LzI2AQAAAF8eNwACAAAABzEwLjc1MDQApakmI/QM3wjc+qRX9AzfCCNDSVEuSVFUNDYyMTUxMTEuSVFfQ0RTX01JRC4yOS8wOC8yNgEAAACgS7IBAgAAAAczNS4xMDc4AJ/QJiP0DN8I3PqkV/QM3wgjQ0lRLklRVDQ2MjI2MTMyLklRX0NEU19NSUQuMjkvMDgvMjYBAAAA3VkAAAIAAAAHNDMuNjA3MQCw9yYj9AzfCNz6pFf0DN8IJENJUS5JUVQzMTMzMTM1MjQuSVFfQ0RTX01JRC4yOS8wOC8yNgEAAADvVQ0AAgAAAAc1OS4zOTU2ANyGByP0DN8I6l2nV/QM3wgjQ0lRLklRVDc5NjM5OTEzLklRX0NEU19NSUQuMjgvMDgvMjYBAAAAIGMcAgIAAAAGOC4wMDUzAKWpJiP0DN8IX22bV/QM3wgjQ0lRLklRVDQ2MjA3ODcyLklRX0NEU19NSUQuMjgv</t>
  </si>
  <si>
    <t>MDgvMjYBAAAAWA0KAAIAAAAHMzcuODkyMgCf0CYj9AzfCF9tm1f0DN8II0NJUS5JUVQ0NjIwMDMxNy5JUV9DRFNfTUlELjI4LzA4LzI2AQAAAP5UDQACAAAABzYzLjAyMDMA3IYHI/QM3whfbZtX9AzfCCRDSVEuSVFUNjQ0NzAxNzk3LklRX0NEU19NSUQuMjYvMDgvMjYBAAAAUz99AQIAAAAHMTAuMDIyMwClqSYj9AzfCF9tm1f0DN8II0NJUS5JUVQ0NjIxNjk4Ni5JUV9DRFNfTUlELjI2LzA4LzI2AQAAAM5EOAEDAAAAAACf0CYj9AzfCF9tm1f0DN8IJENJUS5JUVQyNTQ5NTUyMzMuSVFfQ0RTX01JRC4yNi8wOC8yNgEAAAA5VgoAAgAAAAczNy43NDU1ALD3JiP0DN8IXdKdV/QM3wgjQ0lRLklRVDQ2MTk2MjI1LklRX0NEU19NSUQuMDEvMDkvMjYBAAAAvlWjAQIAAAAEMTcuNQClqSYj9AzfCHgzoFf0DN8II0NJUS5JUVQ1MTAyMzI2MC5JUV9DRFNfTUlELjAxLzA5LzI2AQAAALERfwECAAAABzE0LjE4NzUAn9AmI/QM3wj/laJX9AzfCCNDSVEuSVFUNDYyMjQ3NDAuSVFfQ0RTX01JRC4wMS8wOS8yNgEAAADTcggAAgAAAAYzNi41NjQAsPcmI/QM3wj/laJX9AzfCCRDSVEuSVFUMzEzMzE3MzQ0LklRX0NEU19NSUQuMDEvMDkvMjYBAAAA8awBAAIAAAAHNjAuNDA4MgDchgcj9AzfCP+Volf0DN8II0NJUS5JUVQ0NjIwMDI3Ni5JUV9DRFNfTUlELjMwLzA4LzI2AQAAAJZ3fAECAAAABjE5Ljc1MgClqSYj9Azf</t>
  </si>
  <si>
    <t>CNz6pFf0DN8II0NJUS5JUVQ0NjE5NTQ5MS5JUV9DRFNfTUlELjMwLzA4LzI2AQAAAGlKAAACAAAABzUzLjA3NDcAn9AmI/QM3wjc+qRX9AzfCCNDSVEuSVFUNzk2MzQ5MDEuSVFfQ0RTX01JRC4zMC8wOC8yNgEAAACcBhAAAgAAAAc1My45NzE5ALD3JiP0DN8I3PqkV/QM3wgjQ0lRLklRVDQ2MjA3NTcxLklRX0NEU19NSUQuMzEvMDgvMjYBAAAAbe81AAIAAAAGMzAuNjk0AKWpJiP0DN8I/5WiV/QM3wgjQ0lRLklRVDQ2MjEzNDcyLklRX0NEU19NSUQuMzEvMDgvMjYBAAAAuVo4AAIAAAAGMTUuMDY2AJ/QJiP0DN8I/5WiV/QM3wgkQ0lRLklRVDI2MzIxMzEzMi5JUV9DRFNfTUlELjMxLzA4LzI2AQAAAOGaCAACAAAABzUwLjk4MTEAsPcmI/QM3wjc+qRX9AzfCCNDSVEuSVFUNDYyMjAzMjkuSVFfQ0RTX01JRC4yNy8wOC8yNgEAAADbWwAAAgAAAAc1NS42NjY3ANyGByP0DN8ISHGZV/QM3wgjQ0lRLklRVDQ2MjYyMzc4LklRX0NEU19NSUQuMjUvMDgvMjYBAAAAQNKJAQIAAAAHMTcuOTI3MgClqSYj9AzfCEhxmVf0DN8II0NJUS5JUVQ0NjE5NzY5NC5JUV9DRFNfTUlELjI1LzA4LzI2AQAAAAf6BQACAAAABzUxLjAyODcAn9AmI/QM3whIcZlX9AzfCCNDSVEuSVFUNDYyMDA0MTIuSVFfQ0RTX01JRC4wMy8wOS8yNgEAAABjQwYAAgAAAAQ0NC4xALD3JiP0DN8IXdKdV/QM3wgjQ0lRLklRVDQ2MjA0MzAwLklR</t>
  </si>
  <si>
    <t>X0NEU19NSUQuMDQvMDkvMjYBAAAA9iV9AAIAAAAENi43NQClqSYj9AzfCEhxmVf0DN8II0NJUS5JUVQ2MDM4ODA1Ny5JUV9DRFNfTUlELjA0LzA5LzI2AQAAAN/JfQEDAAAAAACf0CYj9AzfCEhxmVf0DN8II0NJUS5JUVQ0NjE5OTg0MS5JUV9DRFNfTUlELjA0LzA5LzI2AQAAAOswBgADAAAAAACw9yYj9AzfCF9tm1f0DN8IJENJUS5JUVQzMTMzMTAxODQuSVFfQ0RTX01JRC4wMy8wOS8yNgEAAABgRD4AAgAAAAcxMC44Mzg2AJWCJiP0DN8IXdKdV/QM3wgjQ0lRLklRVDQ2MjE0ODc5LklRX0NEU19NSUQuMDMvMDkvMjYBAAAA9Ro3AAIAAAAHNTAuNDE3OQCf0CYj9AzfCF3SnVf0DN8II0NJUS5JUVQ0NjQ3MDg3Ny5JUV9DRFNfTUlELjAzLzA5LzI2AQAAAEI3BwACAAAABzU0Ljk2MDIAn9AmI/QM3whd0p1X9AzfCCRDSVEuSVFUMzEzMzEwODU0LklRX0NEU19NSUQuMDMvMDkvMjYBAAAAr1QNAAIAAAAHNjEuMzMzMwDchgcj9AzfCF3SnVf0DN8II0NJUS5JUVQ0NjIxNDk1NC5JUV9DRFNfTUlELjAyLzA5LzI2AQAAADo9OQECAAAABzE0LjEwMjEApakmI/QM3wh4M6BX9AzfCCNDSVEuSVFUNDYyMDg2MzQuSVFfQ0RTX01JRC4wMi8wOS8yNgEAAAADH8IAAgAAAAYyMS43MTMAn9AmI/QM3wh4M6BX9AzfCCNDSVEuSVFUNDYyMjUwODMuSVFfQ0RTX01JRC4wMi8wOS8yNgEAAABWRAYAAgAAAAczMy40MTY3ALD3</t>
  </si>
  <si>
    <t>JiP0DN8IeDOgV/QM3wgjQ0lRLklRVDQ2MjAzNzE0LklRX0NEU19NSUQuMjkvMDgvMjYBAAAAXwU1AAIAAAAHMzIuNjY2NwClqSYj9AzfCNz6pFf0DN8II0NJUS5JUVQ3OTYzOTk1My5JUV9DRFNfTUlELjI5LzA4LzI2AQAAADSbVgECAAAABzE5Ljk4OTMAn9AmI/QM3wjc+qRX9AzfCCRDSVEuSVFUNTI4OTM2ODEyLklRX0NEU19NSUQuMjkvMDgvMjYBAAAAbFsGAAIAAAAGNDQuMTQxALD3JiP0DN8I3PqkV/QM3wgjQ0lRLklRVDQ2MTk3MTM4LklRX0NEU19NSUQuMjgvMDgvMjYBAAAA7pQ4AQIAAAAIMTIwLjM5ODYAlYImI/QM3whfbZtX9AzfCCNDSVEuSVFUNTEwMjM0ODAuSVFfQ0RTX01JRC4yOC8wOC8yNgEAAADCRfEBAgAAAAY0LjgyMTIApakmI/QM3whfbZtX9AzfCCNDSVEuSVFUNDYyMDQ5NTcuSVFfQ0RTX01JRC4yOC8wOC8yNgEAAAAhFQYAAgAAAAc1Mi43NjMyAJ/QJiP0DN8IX22bV/QM3wgjQ0lRLklRVDYyMjcwMTA2LklRX0NEU19NSUQuMjgvMDgvMjYBAAAArXeDAAIAAAAHNzUuNTM4NADchgcj9AzfCF9tm1f0DN8II0NJUS5JUVQ3OTY0MDAyNC5JUV9DRFNfTUlELjI2LzA4LzI2AQAAADWPmwECAAAABjcuODQ1NgClqSYj9AzfCF9tm1f0DN8IJENJUS5JUVQzMTMzMDU4NzkuSVFfQ0RTX01JRC4yNi8wOC8yNgEAAACE1twBAgAAAAYyLjI5MzkAn9AmI/QM3whfbZtX9AzfCCNDSVEuSVFUNDYy</t>
  </si>
  <si>
    <t>MDA0MTIuSVFfQ0RTX01JRC4yNi8wOC8yNgEAAABjQwYAAgAAAAc0My42MjQ0ALD3JiP0DN8IXdKdV/QM3wgjQ0lRLklRVDQ2MjAzMzMyLklRX0NEU19NSUQuMDEvMDkvMjYBAAAAXx43AAIAAAAEMTAuNQClqSYj9AzfCHgzoFf0DN8II0NJUS5JUVQ0NjIxNTExMS5JUV9DRFNfTUlELjAxLzA5LzI2AQAAAKBLsgECAAAABzM1LjE1NjMAn9AmI/QM3wj/laJX9AzfCCNDSVEuSVFUNDYyMjYxMzIuSVFfQ0RTX01JRC4wMS8wOS8yNgEAAADdWQAAAgAAAAc0NC4yMTU0ALD3JiP0DN8I/5WiV/QM3wgkQ0lRLklRVDMxMzMxMzUyNC5JUV9DRFNfTUlELjAxLzA5LzI2AQAAAO9VDQACAAAABzU3LjkwNzcA3IYHI/QM3wj/laJX9AzfCCNDSVEuSVFUNzk2Mzk5MTMuSVFfQ0RTX01JRC4zMC8wOC8yNgEAAAAgYxwCAgAAAAY4LjAwNTMApakmI/QM3wjc+qRX9AzfCCNDSVEuSVFUNDYyMDc4NzIuSVFfQ0RTX01JRC4zMC8wOC8yNgEAAABYDQoAAgAAAAczNy44OTIyAJ/QJiP0DN8I3PqkV/QM3wgjQ0lRLklRVDQ2MjAwMzE3LklRX0NEU19NSUQuMzAvMDgvMjYBAAAA/lQNAAIAAAAHNjMuMDIwMwDchgcj9AzfCNz6pFf0DN8IJENJUS5JUVQ2NDQ3MDE3OTcuSVFfQ0RTX01JRC4zMS8wOC8yNgEAAABTP30BAgAAAAY5LjgxNjQApakmI/QM3wj/laJX9AzfCCNDSVEuSVFUNDYyMTY5ODYuSVFfQ0RTX01JRC4zMS8wOC8yNgEA</t>
  </si>
  <si>
    <t>AADORDgBAwAAAAAAn9AmI/QM3wj/laJX9AzfCCRDSVEuSVFUMjU0OTU1MjMzLklRX0NEU19NSUQuMzEvMDgvMjYBAAAAOVYKAAIAAAAHMzguMjM0MQCw9yYj9AzfCNz6pFf0DN8II0NJUS5JUVQ1MTAyMzI2MC5JUV9DRFNfTUlELjI3LzA4LzI2AQAAALERfwECAAAABzE0LjI3MjgAn9AmI/QM3wgCmJZX9AzfCCNDSVEuSVFUNDYyMjQ3NDAuSVFfQ0RTX01JRC4yNy8wOC8yNgEAAADTcggAAgAAAAczNS4xMTI5ALD3JiP0DN8IXPqYV/QM3wgkQ0lRLklRVDMxMzMxNzM0NC5JUV9DRFNfTUlELjI3LzA4LzI2AQAAAPGsAQACAAAABjYwLjUwNQDchgcj9AzfCEhxmVf0DN8II0NJUS5JUVQ0NjIwMDI3Ni5JUV9DRFNfTUlELjI1LzA4LzI2AQAAAJZ3fAECAAAABzIwLjIwMTIApakmI/QM3whIcZlX9AzfCCNDSVEuSVFUNDYxOTU0OTEuSVFfQ0RTX01JRC4yNS8wOC8yNgEAAABpSgAAAgAAAAc1My4zNTU3AJ/QJiP0DN8ISHGZV/QM3wgjQ0lRLklRVDc5NjM0OTAxLklRX0NEU19NSUQuMjUvMDgvMjYBAAAAnAYQAAIAAAAHNTQuMDMxMwCw9yYj9AzfCEhxmVf0DN8II0NJUS5JUVQ0NjIwNzU3MS5JUV9DRFNfTUlELjI0LzA4LzI2AQAAAG3vNQACAAAABjMwLjYyNQClqSYj9AzfCP+Volf0DN8II0NJUS5JUVQ0NjIxMzQ3Mi5JUV9DRFNfTUlELjI0LzA4LzI2AQAAALlaOAACAAAABjE1LjQxMQCf0CYj9AzfCP+Volf0</t>
  </si>
  <si>
    <t>DN8IJENJUS5JUVQyNjMyMTMxMzIuSVFfQ0RTX01JRC4yNC8wOC8yNgEAAADhmggAAgAAAAc1MS4xMjUzALD3JiP0DN8I/5WiV/QM3wgjQ0lRLklRVDQ2MTk0OTk1LklRX0NEU19NSUQuMDcvMDkvMjUBAAAAbhAxAAIAAAAHMTUuMjc4OAClqSYj9AzfCHgzoFf0DN8II0NJUS5JUVQ0NjIyMjI5Mi5JUV9DRFNfTUlELjA3LzA5LzI1AQAAANGRmwECAAAACjE0Nzg3LjMyOTMAn9AmI/QM3wh4M6BX9AzfCCNDSVEuSVFUNDYyMjUwMDYuSVFfQ0RTX01JRC4wNy8wOS8yNQEAAAD4VQ0AAgAAAAc0My4yNjI5ALD3JiP0DN8IeDOgV/QM3wgjQ0lRLklRVDQ2MjIwMzI5LklRX0NEU19NSUQuMDcvMDkvMjUBAAAA21sAAAIAAAAHNDQuOTc3MgDchgcj9AzfCHgzoFf0DN8II0NJUS5JUVQ0NjI2MjM3OC5JUV9DRFNfTUlELjA3LzA2LzI2AQAAAEDSiQECAAAABzE4LjkxNjcApakmI/QM3whd0p1X9AzfCCNDSVEuSVFUNDYxOTc2OTQuSVFfQ0RTX01JRC4wNy8wNi8yNgEAAAAH+gUAAgAAAAc1NS4wODY2AJ/QJiP0DN8IXdKdV/QM3wgjQ0lRLklRVDYyMjcwMTA3LklRX0NEU19NSUQuMDcvMDYvMjYBAAAAFVkAAAIAAAAHNDEuNjI4MwCw9yYj9AzfCF3SnVf0DN8II0NJUS5JUVQ0NjQ3MDg3Ny5JUV9DRFNfTUlELjI2LzA4LzI2AQAAAEI3BwACAAAABzU0LjkzMTcAn9AmI/QM3whfbZtX9AzfCCRDSVEuSVFUMzEzMzA1ODc5</t>
  </si>
  <si>
    <t>LklRX0NEU19NSUQuMjcvMDgvMjYBAAAAhNbcAQIAAAAGMi4yOTM5AJ/QJiP0DN8IXPqYV/QM3wgjQ0lRLklRVDQ2MjE2OTg2LklRX0NEU19NSUQuMDcvMDkvMjUBAAAAzkQ4AQMAAAAAAJ/QJiP0DN8IeDOgV/QM3wgkQ0lRLklRVDMxMzMxNzM0NC5JUV9DRFNfTUlELjA3LzA2LzI2AQAAAPGsAQACAAAABzU4LjM5MDEA3IYHI/QM3whd0p1X9AzfCCNDSVEuSVFUNjAzODk1MTYuSVFfQ0RTX01JRC4yNi8wOC8yNgEAAACl8MMBAgAAAAY3LjE2MzEAn9AmI/QM3whfbZtX9AzfCCNDSVEuSVFUNDYyMDQ4ODQuSVFfQ0RTX01JRC4zMC8wOC8yNgEAAACBUcABAgAAAAcyOC45MTY3AKWpJiP0DN8I3PqkV/QM3wgjQ0lRLklRVDc5NjM5OTEzLklRX0NEU19NSUQuMDcvMDkvMjUBAAAAIGMcAgIAAAAEOS40MQClqSYj9AzfCHgzoFf0DN8II0NJUS5JUVQ0OTc1MTE5Ni5JUV9DRFNfTUlELjAxLzA5LzI2AQAAAM2ZvQACAAAABzM1Ljk0NTcApakmI/QM3wh4M6BX9AzfCCNDSVEuSVFUNDYyMDY3NzkuSVFfQ0RTX01JRC4zMC8wOC8yNgEAAAD87zYAAgAAAAcxNS43MzM3AKWpJiP0DN8I3PqkV/QM3wgjQ0lRLklRVDYyMjcwMTA3LklRX0NEU19NSUQuMzAvMDgvMjYBAAAAFVkAAAIAAAAHNDEuNjM3NgCw9yYj9AzfCNz6pFf0DN8IJENJUS5JUVQzMTMzMTU0MjkuSVFfQ0RTX01JRC4yNy8wOC8yNgEAAAA55wUAAgAAAAc2</t>
  </si>
  <si>
    <t>MC4zODEyANyGByP0DN8ISHGZV/QM3wgjQ0lRLklRVDQ2MjI1NzE1LklRX0NEU19NSUQuMjUvMDgvMjYBAAAAt+UEAAIAAAAHNDEuMTU0NwCw9yYj9AzfCEhxmVf0DN8II0NJUS5JUVQ0NjIwNzc4OS5JUV9DRFNfTUlELjI0LzA4LzI2AQAAACpYowECAAAABzI2LjE3MDYAn9AmI/QM3wj/laJX9AzfCCNDSVEuSVFUNDk3NTExOTYuSVFfQ0RTX01JRC4wNy8wOS8yNQEAAADNmb0AAgAAAAI0MAClqSYj9AzfCHgzoFf0DN8IJENJUS5JUVQzMjM2ODAxMzAuSVFfQ0RTX01JRC4wNy8wOS8yNQEAAABx4QIAAgAAAAc0Ny45NjYxAJ/QJiP0DN8IeDOgV/QM3wgkQ0lRLklRVDMxMzMxNTQyOS5JUV9DRFNfTUlELjA2LzA5LzI2AQAAADnnBQACAAAABzU5Ljg5OTIA3IYHI/QM3wgCmJZX9AzfCCNDSVEuSVFUNDYyMDY3NzkuSVFfQ0RTX01JRC4wNS8wOS8yNgEAAAD87zYAAgAAAAcxNS40Mzc1AKWpJiP0DN8IApiWV/QM3wgjQ0lRLklRVDQ2MjE4Njc0LklRX0NEU19NSUQuMDUvMDkvMjYBAAAAV8o2AAIAAAAIMTE0LjcyMTEAn9AmI/QM3wgCmJZX9AzfCCNDSVEuSVFUNDYyMjU3MTUuSVFfQ0RTX01JRC4wNS8wOS8yNgEAAAC35QQAAgAAAAczOS4zOTk3ALD3JiP0DN8IApiWV/QM3wgjQ0lRLklRVDQ2MjA0ODg0LklRX0NEU19NSUQuMDQvMDkvMjYBAAAAgVHAAQIAAAAFMjkuMDUApakmI/QM3whIcZlX9AzfCCNDSVEu</t>
  </si>
  <si>
    <t>SVFUNDYyMDc3ODkuSVFfQ0RTX01JRC4wNC8wOS8yNgEAAAAqWKMBAgAAAAcyMy40MjU0AJ/QJiP0DN8ISHGZV/QM3wgkQ0lRLklRVDI4NjA5NjEzMS5JUV9DRFNfTUlELjA0LzA5LzI2AQAAADvxBAACAAAABzUzLjY0MDkAsPcmI/QM3whfbZtX9AzfCCNDSVEuSVFUNDYyMTA1NjAuSVFfQ0RTX01JRC4wMy8wOS8yNgEAAAD2GjcAAgAAAAc3OS4yMjQzAJWCJiP0DN8IXdKdV/QM3wgjQ0lRLklRVDQ2MjE5OTIyLklRX0NEU19NSUQuMDMvMDkvMjYBAAAA1kc5AQIAAAAGNi4wNTQ2AJ/QJiP0DN8IXdKdV/QM3wgjQ0lRLklRVDQ2MjIzNjQ2LklRX0NEU19NSUQuMDMvMDkvMjYBAAAAG3gEAAIAAAAHNDUuODIzMgCf0CYj9AzfCF3SnVf0DN8IJENJUS5JUVQzMTMzMTQ5NzYuSVFfQ0RTX01JRC4wMy8wOS8yNgEAAABtSgAAAgAAAAY1NC44MTEA3IYHI/QM3whd0p1X9AzfCCNDSVEuSVFUNDYyMTg1MTYuSVFfQ0RTX01JRC4wMi8wOS8yNgEAAACmVaMBAgAAAAczNS45MTU3AKWpJiP0DN8IeDOgV/QM3wgjQ0lRLklRVDQ2MjIwODAzLklRX0NEU19NSUQuMDIvMDkvMjYBAAAA1sk2AAIAAAAHNDAuODI1NgCf0CYj9AzfCHgzoFf0DN8II0NJUS5JUVQ0NjIwMDM2NC5JUV9DRFNfTUlELjAyLzA5LzI2AQAAAFeGCAACAAAABzI0LjAwNzEAsPcmI/QM3wh4M6BX9AzfCCNDSVEuSVFUNDYyMDQzMDAuSVFfQ0RTX01JRC4y</t>
  </si>
  <si>
    <t>OS8wOC8yNgEAAAD2JX0AAgAAAAY3LjQ5NjMApakmI/QM3wjc+qRX9AzfCCNDSVEuSVFUNjAzODgwNTcuSVFfQ0RTX01JRC4yOS8wOC8yNgEAAADfyX0BAwAAAAAAn9AmI/QM3wjc+qRX9AzfCCNDSVEuSVFUNDYxOTk4NDEuSVFfQ0RTX01JRC4yOS8wOC8yNgEAAADrMAYAAwAAAAAAsPcmI/QM3wjc+qRX9AzfCCRDSVEuSVFUMzEzMzEwMTg0LklRX0NEU19NSUQuMjgvMDgvMjYBAAAAYEQ+AAIAAAAHMTAuNzQxNgCVgiYj9AzfCF9tm1f0DN8II0NJUS5JUVQ0NjIxNDg3OS5JUV9DRFNfTUlELjI4LzA4LzI2AQAAAPUaNwACAAAABzQ5Ljg4MjEAn9AmI/QM3whfbZtX9AzfCCNDSVEuSVFUNDY0NzA4NzcuSVFfQ0RTX01JRC4yOC8wOC8yNgEAAABCNwcAAgAAAAc1NC44MzkzAJ/QJiP0DN8IX22bV/QM3wgkQ0lRLklRVDMxMzMxMDg1NC5JUV9DRFNfTUlELjI4LzA4LzI2AQAAAK9UDQACAAAABzU5LjgzMzMA3IYHI/QM3whfbZtX9AzfCCNDSVEuSVFUNDYyMTQ5NTQuSVFfQ0RTX01JRC4yNi8wOC8yNgEAAAA6PTkBAgAAAAcxNC4wNzQ3AKWpJiP0DN8IX22bV/QM3wgjQ0lRLklRVDQ2MjA4NjM0LklRX0NEU19NSUQuMjYvMDgvMjYBAAAAAx/CAAIAAAAHMjEuODQ1NACf0CYj9AzfCF9tm1f0DN8II0NJUS5JUVQ0NjIyNTA4My5JUV9DRFNfTUlELjI2LzA4LzI2AQAAAFZEBgACAAAABzMyLjgxMjUAsPcmI/QM3whd</t>
  </si>
  <si>
    <t>0p1X9AzfCCNDSVEuSVFUNDYyMDM3MTQuSVFfQ0RTX01JRC4wMS8wOS8yNgEAAABfBTUAAgAAAAIzMwClqSYj9AzfCHgzoFf0DN8II0NJUS5JUVQ3OTYzOTk1My5JUV9DRFNfTUlELjAxLzA5LzI2AQAAADSbVgECAAAABzE5Ljk4MzQAn9AmI/QM3wj/laJX9AzfCCRDSVEuSVFUNTI4OTM2ODEyLklRX0NEU19NSUQuMDEvMDkvMjYBAAAAbFsGAAIAAAAHNDQuNTEwOQCw9yYj9AzfCP+Volf0DN8II0NJUS5JUVQ0NjE5NzEzOC5JUV9DRFNfTUlELjMwLzA4LzI2AQAAAO6UOAECAAAACDEyMC4zOTg2AJWCJiP0DN8I3PqkV/QM3wgjQ0lRLklRVDUxMDIzNDgwLklRX0NEU19NSUQuMzAvMDgvMjYBAAAAwkXxAQIAAAAGNC44MjEyAKWpJiP0DN8I3PqkV/QM3wgjQ0lRLklRVDQ2MjA0OTU3LklRX0NEU19NSUQuMzAvMDgvMjYBAAAAIRUGAAIAAAAHNTIuNzYzMgCf0CYj9AzfCNz6pFf0DN8II0NJUS5JUVQ2MjI3MDEwNi5JUV9DRFNfTUlELjMwLzA4LzI2AQAAAK13gwACAAAABzc1LjUzODQA3IYHI/QM3wjc+qRX9AzfCCNDSVEuSVFUNzk2NDAwMjQuSVFfQ0RTX01JRC4zMS8wOC8yNgEAAAA1j5sBAgAAAAY3LjkxNTcApakmI/QM3wj/laJX9AzfCCRDSVEuSVFUMzEzMzA1ODc5LklRX0NEU19NSUQuMzEvMDgvMjYBAAAAhNbcAQIAAAAGMi4yOTM5AJ/QJiP0DN8I/5WiV/QM3wgjQ0lRLklRVDQ2MjAwNDEyLklRX0NE</t>
  </si>
  <si>
    <t>U19NSUQuMzEvMDgvMjYBAAAAY0MGAAIAAAAHNDMuODQyMgCw9yYj9AzfCNz6pFf0DN8II0NJUS5JUVQ0NjIwMzMzMi5JUV9DRFNfTUlELjI3LzA4LzI2AQAAAF8eNwACAAAABzEwLjc1MjQApakmI/QM3wgCmJZX9AzfCCNDSVEuSVFUNDYyMTUxMTEuSVFfQ0RTX01JRC4yNy8wOC8yNgEAAACgS7IBAgAAAAczNC45NzA1AJ/QJiP0DN8IApiWV/QM3wgjQ0lRLklRVDQ2MjI2MTMyLklRX0NEU19NSUQuMjcvMDgvMjYBAAAA3VkAAAIAAAAHNDMuMTkzOQCw9yYj9AzfCFz6mFf0DN8IJENJUS5JUVQzMTMzMTM1MjQuSVFfQ0RTX01JRC4yNy8wOC8yNgEAAADvVQ0AAgAAAAc1OS40NDE4ANyGByP0DN8ISHGZV/QM3wgjQ0lRLklRVDc5NjM5OTEzLklRX0NEU19NSUQuMjUvMDgvMjYBAAAAIGMcAgIAAAAGOC4wMjU0AKWpJiP0DN8ISHGZV/QM3wgjQ0lRLklRVDQ2MjA3ODcyLklRX0NEU19NSUQuMjUvMDgvMjYBAAAAWA0KAAIAAAAHMzguMTAwNACf0CYj9AzfCEhxmVf0DN8II0NJUS5JUVQ0NjIwMDMxNy5JUV9DRFNfTUlELjI1LzA4LzI2AQAAAP5UDQACAAAABjY0LjM0OADchgcj9AzfCEhxmVf0DN8IJENJUS5JUVQ2NDQ3MDE3OTcuSVFfQ0RTX01JRC4yNC8wOC8yNgEAAABTP30BAgAAAAcxMC4wNjk4AKWpJiP0DN8I/5WiV/QM3wgjQ0lRLklRVDQ2MjE2OTg2LklRX0NEU19NSUQuMjQvMDgvMjYBAAAAzkQ4AQMA</t>
  </si>
  <si>
    <t>AAAAAJ/QJiP0DN8I/5WiV/QM3wgkQ0lRLklRVDI1NDk1NTIzMy5JUV9DRFNfTUlELjI0LzA4LzI2AQAAADlWCgACAAAABzM4LjQ1ODQAsPcmI/QM3wj/laJX9AzfCCNDSVEuSVFUNDYxOTYyMjUuSVFfQ0RTX01JRC4wNy8wOS8yNQEAAAC+VaMBAgAAAAQyMi41AKWpJiP0DN8IeDOgV/QM3wgjQ0lRLklRVDUxMDIzMjYwLklRX0NEU19NSUQuMDcvMDkvMjUBAAAAsRF/AQIAAAAHMTAuOTE2NACf0CYj9AzfCHgzoFf0DN8II0NJUS5JUVQ0NjIyNDc0MC5JUV9DRFNfTUlELjA3LzA5LzI1AQAAANNyCAACAAAABzQwLjMxNTcAsPcmI/QM3wh4M6BX9AzfCCRDSVEuSVFUMzEzMzE3MzQ0LklRX0NEU19NSUQuMDcvMDkvMjUBAAAA8awBAAIAAAAFNTEuMjUA3IYHI/QM3wh4M6BX9AzfCCNDSVEuSVFUNDYyMDAyNzYuSVFfQ0RTX01JRC4wNy8wNi8yNgEAAACWd3wBAgAAAAYyNS4xMjgApakmI/QM3whd0p1X9AzfCCNDSVEuSVFUNDYxOTU0OTEuSVFfQ0RTX01JRC4wNy8wNi8yNgEAAABpSgAAAgAAAAc1NS41NDQ1AJ/QJiP0DN8IXdKdV/QM3wgjQ0lRLklRVDc5NjM0OTAxLklRX0NEU19NSUQuMDcvMDYvMjYBAAAAnAYQAAIAAAAHNDMuNTU1NQDchgcj9AzfCF3SnVf0DN8II0NJUS5JUVQ0NjIwNzc4OS5JUV9DRFNfTUlELjI3LzA4LzI2AQAAACpYowECAAAABjI1LjQyOQCf0CYj9AzfCAKYllf0DN8II0NJUS5JUVQ0</t>
  </si>
  <si>
    <t>NjIxOTkyMi5JUV9DRFNfTUlELjI1LzA4LzI2AQAAANZHOQECAAAABjUuNTM4NwCf0CYj9AzfCEhxmVf0DN8II0NJUS5JUVQ0NjIwNDMwMC5JUV9DRFNfTUlELjA3LzA5LzI1AQAAAPYlfQACAAAABjguMzAyNwClqSYj9AzfCHgzoFf0DN8II0NJUS5JUVQ0NjE5OTg0MS5JUV9DRFNfTUlELjA3LzA5LzI1AQAAAOswBgADAAAAAACw9yYj9AzfCHgzoFf0DN8IJENJUS5JUVQyNjMyMTMxMzIuSVFfQ0RTX01JRC4wMS8wOS8yNgEAAADhmggAAgAAAAc1MS43NDY2ALD3JiP0DN8I/5WiV/QM3wgjQ0lRLklRVDQ2MTk3Njk0LklRX0NEU19NSUQuMzEvMDgvMjYBAAAAB/oFAAIAAAAHNTEuNjgwNwCf0CYj9AzfCP+Volf0DN8II0NJUS5JUVQ0NjIxMDAzMi5JUV9DRFNfTUlELjI3LzA4LzI2AQAAAI9VowECAAAABTMzLjM4AJ/QJiP0DN8IApiWV/QM3wgkQ0lRLklRVDMxMzMxNTQyOS5JUV9DRFNfTUlELjI1LzA4LzI2AQAAADnnBQACAAAABzYwLjM3NzgA3IYHI/QM3whIcZlX9AzfCCNDSVEuSVFUNDYyMDQ4ODQuSVFfQ0RTX01JRC4wNy8wOS8yNQEAAACBUcABAgAAAAc0Mi4wMTgxAKWpJiP0DN8IeDOgV/QM3wgkQ0lRLklRVDI4NjA5NjEzMS5JUV9DRFNfTUlELjA3LzA5LzI1AQAAADvxBAACAAAABzY1LjUxODkAsPcmI/QM3wh4M6BX9AzfCCNDSVEuSVFUNDYyMTA1NjAuSVFfQ0RTX01JRC4wNy8wNi8yNgEAAAD2</t>
  </si>
  <si>
    <t>GjcAAgAAAAc4NS4xOTI5AKWpJiP0DN8IXdKdV/QM3wgjQ0lRLklRVDQ2MjIzNjQ2LklRX0NEU19NSUQuMDcvMDYvMjYBAAAAG3gEAAIAAAAGNTEuNTYyAJ/QJiP0DN8IXdKdV/QM3wgkQ0lRLklRVDMxMzMxNDk3Ni5JUV9DRFNfTUlELjA3LzA2LzI2AQAAAG1KAAACAAAABDU2LjUA3IYHI/QM3whd0p1X9AzfCCNDSVEuSVFUNDYyMDQ5NTcuSVFfQ0RTX01JRC4wMi8wOS8yNgEAAAAhFQYAAgAAAAc1Mi42NjQ0AJ/QJiP0DN8IeDOgV/QM3wgjQ0lRLklRVDQ2MjAwNDEyLklRX0NEU19NSUQuMjkvMDgvMjYBAAAAY0MGAAIAAAAENDMuOACw9yYj9AzfCNz6pFf0DN8IJENJUS5JUVQzMTMzMTM1MjQuSVFfQ0RTX01JRC4yOC8wOC8yNgEAAADvVQ0AAgAAAAc1OS4zOTU2ANyGByP0DN8IX22bV/QM3wgjQ0lRLklRVDQ2MjAwMjc2LklRX0NEU19NSUQuMzEvMDgvMjYBAAAAlnd8AQIAAAAHMTkuNzAyNAClqSYj9AzfCP+Volf0DN8II0NJUS5JUVQ0NjE5NzY5NC5JUV9DRFNfTUlELjI0LzA4LzI2AQAAAAf6BQACAAAABzUxLjgzMDEAn9AmI/QM3wj/laJX9AzfCCNDSVEuSVFUNDYyMTAwMzIuSVFfQ0RTX01JRC4wNy8wOS8yNQEAAACPVaMBAgAAAAczOC41ODM0AJ/QJiP0DN8IeDOgV/QM3wgjQ0lRLklRVDQ2MjAwMzE3LklRX0NEU19NSUQuMzEvMDgvMjYBAAAA/lQNAAIAAAAHNjIuOTkxNQDchgcj9AzfCNz6pFf0</t>
  </si>
  <si>
    <t>DN8II0NJUS5JUVQ0NjIxNjk4Ni5JUV9DRFNfTUlELjI3LzA4LzI2AQAAAM5EOAEDAAAAAACf0CYj9AzfCFz6mFf0DN8II0NJUS5JUVQ0NjIxMzQ3Mi5JUV9DRFNfTUlELjA3LzA5LzI1AQAAALlaOAACAAAABjEzLjc0NQCf0CYj9AzfCHgzoFf0DN8II0NJUS5JUVQ0NjIxODUxNi5JUV9DRFNfTUlELjI5LzA4LzI2AQAAAKZVowECAAAABzM2LjAyMDYApakmI/QM3wjc+qRX9AzfCCNDSVEuSVFUNDYyMDAzNjQuSVFfQ0RTX01JRC4yOS8wOC8yNgEAAABXhggAAgAAAAYyMy4zMjUAsPcmI/QM3wjqXadX9AzfCCNDSVEuSVFUNjAzODgwNTcuSVFfQ0RTX01JRC4yOC8wOC8yNgEAAADfyX0BAwAAAAAAn9AmI/QM3whfbZtX9AzfCCNDSVEuSVFUNDYyMDg2MzQuSVFfQ0RTX01JRC4wMS8wOS8yNgEAAAADH8IAAgAAAAcyMS43MDgzAJ/QJiP0DN8I/5WiV/QM3wgjQ0lRLklRVDQ2MTk3MTM4LklRX0NEU19NSUQuMzEvMDgvMjYBAAAA7pQ4AQIAAAAHMTIwLjcyMgCVgiYj9AzfCP+Volf0DN8II0NJUS5JUVQ2MjI3MDEwNi5JUV9DRFNfTUlELjMxLzA4LzI2AQAAAK13gwACAAAABzc1LjU0MjYA3IYHI/QM3wjc+qRX9AzfCCNDSVEuSVFUNDYyMDMzMzIuSVFfQ0RTX01JRC4yNS8wOC8yNgEAAABfHjcAAgAAAAYxMC44MzUApakmI/QM3whIcZlX9AzfCCNDSVEuSVFUNDYyMjQ3NDAuSVFfQ0RTX01JRC4wNy8wNi8yNgEA</t>
  </si>
  <si>
    <t>AADTcggAAgAAAAczMi42NDI5ALD3JiP0DN8IXdKdV/QM3wgjQ0lRLklRVDQ2MjA3MzA4LklRX0NEU19NSUQuMjgvMDgvMjYBAAAAOYl6AQIAAAAGMTQuMzE0AKWpJiP0DN8IX22bV/QM3wgjQ0lRLklRVDQ5NzUxMTk2LklRX0NEU19NSUQuMjYvMDgvMjYBAAAAzZm9AAIAAAAGMzcuMDI2AKWpJiP0DN8IX22bV/QM3wgjQ0lRLklRVDQ2MjIwODAzLklRX0NEU19NSUQuMjcvMDgvMjYBAAAA1sk2AAIAAAAHNDAuMTY2NwCf0CYj9AzfCFz6mFf0DN8IJENJUS5JUVQzMTMzMTAxODQuSVFfQ0RTX01JRC4yNC8wOC8yNgEAAABgRD4AAgAAAAYxMC44MjQAlYImI/QM3wj/laJX9AzfCCNDSVEuSVFUNDYyMTQ5NTQuSVFfQ0RTX01JRC4wNy8wOS8yNQEAAAA6PTkBAgAAAAcyMi4yMDMyAKWpJiP0DN8IeDOgV/QM3wgjQ0lRLklRVDYyMjcwMTA3LklRX0NEU19NSUQuMjcvMDgvMjYBAAAAFVkAAAIAAAAHNDEuNDQzMwCw9yYj9AzfCEhxmVf0DN8II0NJUS5JUVQ0NjIyNTcxNS5JUV9DRFNfTUlELjAzLzA5LzI2AQAAALflBAACAAAABzM5LjE5OTkAsPcmI/QM3whd0p1X9AzfCCNDSVEuSVFUNDYyMTg1MTYuSVFfQ0RTX01JRC4yOC8wOC8yNgEAAACmVaMBAgAAAAczNi4wMjA2AKWpJiP0DN8IX22bV/QM3wgjQ0lRLklRVDQ2MTk5ODQxLklRX0NEU19NSUQuMjYvMDgvMjYBAAAA6zAGAAMAAAAAALD3JiP0DN8IXdKdV/QM</t>
  </si>
  <si>
    <t>3wgjQ0lRLklRVDQ2NDcwODc3LklRX0NEU19NSUQuMDEvMDkvMjYBAAAAQjcHAAIAAAAHNTUuNjAyMgCf0CYj9AzfCP+Volf0DN8II0NJUS5JUVQ0NjIyNTA4My5JUV9DRFNfTUlELjMwLzA4LzI2AQAAAFZEBgACAAAABzMzLjA4MzMAsPcmI/QM3wjc+qRX9AzfCCRDSVEuSVFUNTI4OTM2ODEyLklRX0NEU19NSUQuMzEvMDgvMjYBAAAAbFsGAAIAAAAHNDQuMzU5NQCw9yYj9AzfCNz6pFf0DN8II0NJUS5JUVQ3OTY0MDAyNC5JUV9DRFNfTUlELjI1LzA4LzI2AQAAADWPmwECAAAABjcuODI0MQClqSYj9AzfCEhxmVf0DN8II0NJUS5JUVQ0NjIxNTExMS5JUV9DRFNfTUlELjI0LzA4LzI2AQAAAKBLsgECAAAABzM0LjkxMjYAn9AmI/QM3wj/laJX9AzfCCNDSVEuSVFUNDYyMDAzMTcuSVFfQ0RTX01JRC4wNy8wOS8yNQEAAAD+VA0AAgAAAAc2OC44ODE0ANyGByP0DN8IeDOgV/QM3wgjQ0lRLklRVDQ2MTk3MTM4LklRX0NEU19NSUQuMDcvMDkvMjUBAAAA7pQ4AQIAAAAIMTM2LjQ5NjIAlYImI/QM3wh4M6BX9AzfCCNDSVEuSVFUNjAzODk1MTYuSVFfQ0RTX01JRC4wMS8wOS8yNgEAAACl8MMBAgAAAAY3LjE1OTMAn9AmI/QM3wj/laJX9AzfCCNDSVEuSVFUNDYyMDQ4ODQuSVFfQ0RTX01JRC4zMS8wOC8yNgEAAACBUcABAgAAAAcyOS4wOTQzAKWpJiP0DN8I/5WiV/QM3wgjQ0lRLklRVDQ2MjIwMzI5LklRX0NE</t>
  </si>
  <si>
    <t>U19NSUQuMDYvMDkvMjYBAAAA21sAAAIAAAAGNTcuNDk1ANyGByP0DN8IApiWV/QM3wgjQ0lRLklRVDQ2MjYyMzc4LklRX0NEU19NSUQuMDUvMDkvMjYBAAAAQNKJAQIAAAAEMTcuOQClqSYj9AzfCAKYllf0DN8II0NJUS5JUVQ0NjE5NzY5NC5JUV9DRFNfTUlELjA1LzA5LzI2AQAAAAf6BQACAAAABzUwLjUyMzUAn9AmI/QM3wgCmJZX9AzfCCNDSVEuSVFUNjIyNzAxMDcuSVFfQ0RTX01JRC4wNS8wOS8yNgEAAAAVWQAAAgAAAAc0MC42NDE3ALD3JiP0DN8IApiWV/QM3wgjQ0lRLklRVDQ2MjA3MzA4LklRX0NEU19NSUQuMDQvMDkvMjYBAAAAOYl6AQIAAAACMTQApakmI/QM3whIcZlX9AzfCCNDSVEuSVFUNDYyMTAwMzIuSVFfQ0RTX01JRC4wNC8wOS8yNgEAAACPVaMBAgAAAAczMy4zMzMzAJ/QJiP0DN8ISHGZV/QM3wgjQ0lRLklRVDQ2MjI1Mzc0LklRX0NEU19NSUQuMDQvMDkvMjYBAAAAtdYFAAIAAAAHMzUuNjU2NwCw9yYj9AzfCF9tm1f0DN8II0NJUS5JUVQ0OTc1MTE5Ni5JUV9DRFNfTUlELjAzLzA5LzI2AQAAAM2ZvQACAAAABzM1LjI5NzUApakmI/QM3whd0p1X9AzfCCNDSVEuSVFUNjAzODk1MTYuSVFfQ0RTX01JRC4wMy8wOS8yNgEAAACl8MMBAgAAAAY3LjIyMDYAn9AmI/QM3whd0p1X9AzfCCRDSVEuSVFUMzIzNjgwMTMwLklRX0NEU19NSUQuMDMvMDkvMjYBAAAAceECAAIAAAAHNTAuNTcw</t>
  </si>
  <si>
    <t>OQCf0CYj9AzfCF3SnVf0DN8IJENJUS5JUVQzMTMzMTU0MjkuSVFfQ0RTX01JRC4wMy8wOS8yNgEAAAA55wUAAgAAAAc1OS44NjIxANyGByP0DN8IXdKdV/QM3wgjQ0lRLklRVDQ2MjA2Nzc5LklRX0NEU19NSUQuMDIvMDkvMjYBAAAA/O82AAIAAAAHMTUuNTYyNQClqSYj9AzfCHgzoFf0DN8II0NJUS5JUVQ0NjIxODY3NC5JUV9DRFNfTUlELjAyLzA5LzI2AQAAAFfKNgACAAAACDExNi4xODQ1AJ/QJiP0DN8IeDOgV/QM3wgjQ0lRLklRVDQ2MjI1NzE1LklRX0NEU19NSUQuMDIvMDkvMjYBAAAAt+UEAAIAAAAHMzguNzcxNQCw9yYj9AzfCHgzoFf0DN8II0NJUS5JUVQ0NjIwNDg4NC5JUV9DRFNfTUlELjI5LzA4LzI2AQAAAIFRwAECAAAABzI4LjkxNjcApakmI/QM3wjc+qRX9AzfCCNDSVEuSVFUNDYyMDc3ODkuSVFfQ0RTX01JRC4yOS8wOC8yNgEAAAAqWKMBAgAAAAcyNS4yNjE1AJ/QJiP0DN8I3PqkV/QM3wgkQ0lRLklRVDI4NjA5NjEzMS5JUV9DRFNfTUlELjI5LzA4LzI2AQAAADvxBAACAAAABTUyLjc1ALD3JiP0DN8I3PqkV/QM3wgjQ0lRLklRVDQ2MjEwNTYwLklRX0NEU19NSUQuMjgvMDgvMjYBAAAA9ho3AAIAAAAGNzcuOTkyAJWCJiP0DN8IX22bV/QM3wgjQ0lRLklRVDQ2MjE5OTIyLklRX0NEU19NSUQuMjgvMDgvMjYBAAAA1kc5AQIAAAAGNS40ODg4AJ/QJiP0DN8IX22bV/QM3wgjQ0lRLklR</t>
  </si>
  <si>
    <t>VDQ2MjIzNjQ2LklRX0NEU19NSUQuMjgvMDgvMjYBAAAAG3gEAAIAAAAHNDYuMDk1NwCf0CYj9AzfCF9tm1f0DN8IJENJUS5JUVQzMTMzMTQ5NzYuSVFfQ0RTX01JRC4yOC8wOC8yNgEAAABtSgAAAgAAAAc1Ni44MTQ5ANyGByP0DN8IX22bV/QM3wgjQ0lRLklRVDQ2MjE4NTE2LklRX0NEU19NSUQuMjYvMDgvMjYBAAAAplWjAQIAAAAHMzUuOTQ4NgClqSYj9AzfCF9tm1f0DN8II0NJUS5JUVQ0NjIyMDgwMy5JUV9DRFNfTUlELjI2LzA4LzI2AQAAANbJNgACAAAABzQwLjE2NjcAn9AmI/QM3whfbZtX9AzfCCNDSVEuSVFUNDYyMDAzNjQuSVFfQ0RTX01JRC4yNi8wOC8yNgEAAABXhggAAgAAAAcyMy4zMjQzALD3JiP0DN8IXdKdV/QM3wgjQ0lRLklRVDQ2MjA0MzAwLklRX0NEU19NSUQuMDEvMDkvMjYBAAAA9iV9AAIAAAABNwClqSYj9AzfCHgzoFf0DN8II0NJUS5JUVQ2MDM4ODA1Ny5JUV9DRFNfTUlELjAxLzA5LzI2AQAAAN/JfQEDAAAAAACf0CYj9AzfCP+Volf0DN8II0NJUS5JUVQ0NjE5OTg0MS5JUV9DRFNfTUlELjAxLzA5LzI2AQAAAOswBgADAAAAAACw9yYj9AzfCP+Volf0DN8IJENJUS5JUVQzMTMzMTAxODQuSVFfQ0RTX01JRC4zMC8wOC8yNgEAAABgRD4AAgAAAAcxMC43NDE2AJWCJiP0DN8I3PqkV/QM3wgjQ0lRLklRVDQ2MjE0ODc5LklRX0NEU19NSUQuMzAvMDgvMjYBAAAA9Ro3AAIAAAAH</t>
  </si>
  <si>
    <t>NDkuODgyMQCf0CYj9AzfCNz6pFf0DN8II0NJUS5JUVQ0NjQ3MDg3Ny5JUV9DRFNfTUlELjMwLzA4LzI2AQAAAEI3BwACAAAABzU0LjgzOTMAn9AmI/QM3wjc+qRX9AzfCCRDSVEuSVFUMzEzMzEwODU0LklRX0NEU19NSUQuMzAvMDgvMjYBAAAAr1QNAAIAAAAHNTkuODMzMwDchgcj9AzfCNz6pFf0DN8II0NJUS5JUVQ0NjIxNDk1NC5JUV9DRFNfTUlELjMxLzA4LzI2AQAAADo9OQECAAAABzEzLjEzMzgApakmI/QM3wj/laJX9AzfCCNDSVEuSVFUNDYyMDg2MzQuSVFfQ0RTX01JRC4zMS8wOC8yNgEAAAADH8IAAgAAAAYyMS42NzUAn9AmI/QM3wj/laJX9AzfCCNDSVEuSVFUNDYyMjUwODMuSVFfQ0RTX01JRC4zMS8wOC8yNgEAAABWRAYAAgAAAAczMy40ODY5ALD3JiP0DN8I3PqkV/QM3wgjQ0lRLklRVDQ2MjAzNzE0LklRX0NEU19NSUQuMjcvMDgvMjYBAAAAXwU1AAIAAAAFMzIuNzUApakmI/QM3wgCmJZX9AzfCCNDSVEuSVFUNzk2Mzk5NTMuSVFfQ0RTX01JRC4yNy8wOC8yNgEAAAA0m1YBAgAAAAcxOS45OTQ1AJ/QJiP0DN8IApiWV/QM3wgkQ0lRLklRVDUyODkzNjgxMi5JUV9DRFNfTUlELjI3LzA4LzI2AQAAAGxbBgACAAAABzQ0LjEwOTgAsPcmI/QM3whc+phX9AzfCCNDSVEuSVFUNDYxOTcxMzguSVFfQ0RTX01JRC4yNS8wOC8yNgEAAADulDgBAgAAAAgxMTkuODA3NQCVgiYj9AzfCEhxmVf0DN8I</t>
  </si>
  <si>
    <t>I0NJUS5JUVQ1MTAyMzQ4MC5JUV9DRFNfTUlELjI1LzA4LzI2AQAAAMJF8QECAAAABjQuNzQ1MwClqSYj9AzfCEhxmVf0DN8II0NJUS5JUVQ0NjIwNDk1Ny5JUV9DRFNfTUlELjI1LzA4LzI2AQAAACEVBgACAAAABzUzLjQyMjIAn9AmI/QM3whIcZlX9AzfCCNDSVEuSVFUNjIyNzAxMDYuSVFfQ0RTX01JRC4yNS8wOC8yNgEAAACtd4MAAgAAAAc3NS41NDYxANyGByP0DN8ISHGZV/QM3wgjQ0lRLklRVDc5NjQwMDI0LklRX0NEU19NSUQuMjQvMDgvMjYBAAAANY+bAQIAAAAENy43NQClqSYj9AzfCP+Volf0DN8IJENJUS5JUVQzMTMzMDU4NzkuSVFfQ0RTX01JRC4yNC8wOC8yNgEAAACE1twBAgAAAAYyLjI5MzkAn9AmI/QM3wj/laJX9AzfCCNDSVEuSVFUNDYyMDA0MTIuSVFfQ0RTX01JRC4yNC8wOC8yNgEAAABjQwYAAgAAAAU0NC4xNQCw9yYj9AzfCP+Volf0DN8II0NJUS5JUVQ0NjIwMzMzMi5JUV9DRFNfTUlELjA3LzA5LzI1AQAAAF8eNwACAAAABzE0LjE0MjEApakmI/QM3wh4M6BX9AzfCCNDSVEuSVFUNDYyMTUxMTEuSVFfQ0RTX01JRC4wNy8wOS8yNQEAAACgS7IBAgAAAAc0MS4wMzI2AJ/QJiP0DN8IeDOgV/QM3wgjQ0lRLklRVDQ2MjI2MTMyLklRX0NEU19NSUQuMDcvMDkvMjUBAAAA3VkAAAIAAAAHNDkuNjk0NACw9yYj9AzfCHgzoFf0DN8IJENJUS5JUVQzMTMzMTM1MjQuSVFfQ0RTX01JRC4w</t>
  </si>
  <si>
    <t>Ny8wOS8yNQEAAADvVQ0AAgAAAAc1MC42MzM0ANyGByP0DN8IeDOgV/QM3wgjQ0lRLklRVDc5NjM5OTEzLklRX0NEU19NSUQuMDcvMDYvMjYBAAAAIGMcAgIAAAADOC41AKWpJiP0DN8IXdKdV/QM3wgjQ0lRLklRVDQ2MjA3ODcyLklRX0NEU19NSUQuMDcvMDYvMjYBAAAAWA0KAAIAAAAHNDIuMDA1NwCf0CYj9AzfCF3SnVf0DN8II0NJUS5JUVQ0NjIwMDMxNy5JUV9DRFNfTUlELjA3LzA2LzI2AQAAAP5UDQACAAAABzY2LjU3NjcA3IYHI/QM3whd0p1X9AzfCCNDSVEuSVFUNDYyMTk5MjIuSVFfQ0RTX01JRC4zMC8wOC8yNgEAAADWRzkBAgAAAAY1LjQ4ODgAn9AmI/QM3wjc+qRX9AzfCCNDSVEuSVFUNDYyMTg1MTYuSVFfQ0RTX01JRC4zMS8wOC8yNgEAAACmVaMBAgAAAAczNS40OTk3AKWpJiP0DN8I/5WiV/QM3wgjQ0lRLklRVDQ2MjA0MzAwLklRX0NEU19NSUQuMjcvMDgvMjYBAAAA9iV9AAIAAAAGNy40ODg5AKWpJiP0DN8IApiWV/QM3wgjQ0lRLklRVDQ2NDcwODc3LklRX0NEU19NSUQuMjUvMDgvMjYBAAAAQjcHAAIAAAAHNTUuMzA0MQCf0CYj9AzfCEhxmVf0DN8IJENJUS5JUVQzMTMzMTA4NTQuSVFfQ0RTX01JRC4yNS8wOC8yNgEAAACvVA0AAgAAAAc1OS44MzMzANyGByP0DN8ISHGZV/QM3wgjQ0lRLklRVDQ2MjI1MDgzLklRX0NEU19NSUQuMjQvMDgvMjYBAAAAVkQGAAIAAAAFMzMuODUAsPcm</t>
  </si>
  <si>
    <t>I/QM3wj/laJX9AzfCCNDSVEuSVFUNzk2Mzk5NTMuSVFfQ0RTX01JRC4wNy8wOS8yNQEAAAA0m1YBAgAAAAUzMi45NQCf0CYj9AzfCHgzoFf0DN8IJENJUS5JUVQ1Mjg5MzY4MTIuSVFfQ0RTX01JRC4wNy8wOS8yNQEAAABsWwYAAgAAAAc0Ni4xNjY3ALD3JiP0DN8IeDOgV/QM3wgjQ0lRLklRVDQ2MTk3MTM4LklRX0NEU19NSUQuMDcvMDYvMjYBAAAA7pQ4AQIAAAAIMTI0LjE2MTEAlYImI/QM3whd0p1X9AzfCCNDSVEuSVFUNTEwMjM0ODAuSVFfQ0RTX01JRC4wNy8wNi8yNgEAAADCRfEBAgAAAAU0Ljg1NwClqSYj9AzfCF3SnVf0DN8II0NJUS5JUVQ0NjIwNDk1Ny5JUV9DRFNfTUlELjA3LzA2LzI2AQAAACEVBgACAAAABzU0LjY2MTYAn9AmI/QM3whd0p1X9AzfCCNDSVEuSVFUNjIyNzAxMDYuSVFfQ0RTX01JRC4wNy8wNi8yNgEAAACtd4MAAgAAAAc3NS41NDQ0ANyGByP0DN8IXdKdV/QM3wgjQ0lRLklRVDQ2MTk3Njk0LklRX0NEU19NSUQuMjYvMDgvMjYBAAAAB/oFAAIAAAAHNTEuMDM2NgCf0CYj9AzfCF9tm1f0DN8II0NJUS5JUVQ0NjIyNTM3NC5JUV9DRFNfTUlELjAxLzA5LzI2AQAAALXWBQACAAAABzM2LjAxNDMAsPcmI/QM3wj/laJX9AzfCCNDSVEuSVFUNjAzODk1MTYuSVFfQ0RTX01JRC4zMC8wOC8yNgEAAACl8MMBAgAAAAY3LjE1NDUAn9AmI/QM3wjc+qRX9AzfCCNDSVEuSVFUNDYyMDY3</t>
  </si>
  <si>
    <t>NzkuSVFfQ0RTX01JRC4zMS8wOC8yNgEAAAD87zYAAgAAAAcxNS42OTc2AKWpJiP0DN8I/5WiV/QM3wgjQ0lRLklRVDQ2MjI1NzE1LklRX0NEU19NSUQuMzEvMDgvMjYBAAAAt+UEAAIAAAAGMzkuNDI3ALD3JiP0DN8I3PqkV/QM3wgkQ0lRLklRVDI4NjA5NjEzMS5JUV9DRFNfTUlELjI3LzA4LzI2AQAAADvxBAACAAAABzUzLjA4MTgAsPcmI/QM3whc+phX9AzfCCRDSVEuSVFUMzEzMzE0OTc2LklRX0NEU19NSUQuMjUvMDgvMjYBAAAAbUoAAAIAAAAHNTYuODE2MwDchgcj9AzfCEhxmVf0DN8II0NJUS5JUVQ0NjIxODUxNi5JUV9DRFNfTUlELjI0LzA4LzI2AQAAAKZVowECAAAABzM1LjcwNTYApakmI/QM3wj/laJX9AzfCCNDSVEuSVFUNDYyMjA4MDMuSVFfQ0RTX01JRC4yNC8wOC8yNgEAAADWyTYAAgAAAAY0MC4zODIAn9AmI/QM3wj/laJX9AzfCCNDSVEuSVFUNjAzODgwNTcuSVFfQ0RTX01JRC4wNy8wOS8yNQEAAADfyX0BAgAAAAc0Mi43NzcyAJ/QJiP0DN8IeDOgV/QM3wgjQ0lRLklRVDQ2MjE0ODc5LklRX0NEU19NSUQuMDcvMDYvMjYBAAAA9Ro3AAIAAAAFNTEuMjkAn9AmI/QM3whd0p1X9AzfCCNDSVEuSVFUNDYxOTQ5OTUuSVFfQ0RTX01JRC4zMC8wOC8yNgEAAABuEDEAAgAAAAcxMS4xNTM3AKWpJiP0DN8I3PqkV/QM3wgjQ0lRLklRVDQ5NzUxMTk2LklRX0NEU19NSUQuMjUvMDgvMjYBAAAA</t>
  </si>
  <si>
    <t>zZm9AAIAAAAHMzcuNDIxOAClqSYj9AzfCEhxmVf0DN8IJENJUS5JUVQzMjM2ODAxMzAuSVFfQ0RTX01JRC4yNS8wOC8yNgEAAABx4QIAAgAAAAc0OS4wOTk4AJ/QJiP0DN8ISHGZV/QM3wgjQ0lRLklRVDQ2MjE4Njc0LklRX0NEU19NSUQuMjQvMDgvMjYBAAAAV8o2AAIAAAAIMTE5LjUyOTIAn9AmI/QM3wj/laJX9AzfCCNDSVEuSVFUNDYyMTk5MjIuSVFfQ0RTX01JRC4wNy8wNi8yNgEAAADWRzkBAgAAAAY3LjgzMzMAn9AmI/QM3whd0p1X9AzfCCRDSVEuSVFUMzEzMzA1ODc5LklRX0NEU19NSUQuMjkvMDgvMjYBAAAAhNbcAQIAAAAGMi4yOTM5AJ/QJiP0DN8I3PqkV/QM3wgjQ0lRLklRVDQ2MjA3ODcyLklRX0NEU19NSUQuMjYvMDgvMjYBAAAAWA0KAAIAAAAHMzcuODY0MgCf0CYj9AzfCF9tm1f0DN8II0NJUS5JUVQ1MTAyMzI2MC5JUV9DRFNfTUlELjMwLzA4LzI2AQAAALERfwECAAAABzE0LjEzMTcAn9AmI/QM3wjc+qRX9AzfCCNDSVEuSVFUNDYyMDc4NzIuSVFfQ0RTX01JRC4zMS8wOC8yNgEAAABYDQoAAgAAAAUzNy43NQCf0CYj9AzfCP+Volf0DN8IJENJUS5JUVQ2NDQ3MDE3OTcuSVFfQ0RTX01JRC4yNy8wOC8yNgEAAABTP30BAgAAAAY5Ljg5ODgApakmI/QM3wgCmJZX9AzfCCNDSVEuSVFUNDYxOTYyMjUuSVFfQ0RTX01JRC4yNS8wOC8yNgEAAAC+VaMBAgAAAAcxNy40MjcxAKWpJiP0DN8I</t>
  </si>
  <si>
    <t>SHGZV/QM3wgjQ0lRLklRVDQ2MjA3NTcxLklRX0NEU19NSUQuMDcvMDkvMjUBAAAAbe81AAIAAAAHMzkuNjU1NwClqSYj9AzfCHgzoFf0DN8II0NJUS5JUVQ0NjE5NDk5NS5JUV9DRFNfTUlELjA3LzA2LzI2AQAAAG4QMQACAAAABzExLjMzNTUApakmI/QM3whd0p1X9AzfCCNDSVEuSVFUNDYyMjM2NDYuSVFfQ0RTX01JRC4wMi8wOS8yNgEAAAAbeAQAAgAAAAc0Ni41OTM1AJ/QJiP0DN8IeDOgV/QM3wgjQ0lRLklRVDQ2MjA0MzAwLklRX0NEU19NSUQuMjgvMDgvMjYBAAAA9iV9AAIAAAAGNy40OTYzAKWpJiP0DN8IX22bV/QM3wgkQ0lRLklRVDMxMzMxMDg1NC5JUV9DRFNfTUlELjI2LzA4LzI2AQAAAK9UDQACAAAABzU5LjgzMzMA3IYHI/QM3whd0p1X9AzfCCNDSVEuSVFUNDYyMDM3MTQuSVFfQ0RTX01JRC4zMC8wOC8yNgEAAABfBTUAAgAAAAczMi42NjY3AKWpJiP0DN8I3PqkV/QM3wgjQ0lRLklRVDQ2MjI2MTMyLklRX0NEU19NSUQuMjUvMDgvMjYBAAAA3VkAAAIAAAAHNDIuOTExNwCw9yYj9AzfCEhxmVf0DN8IJENJUS5JUVQyNTQ5NTUyMzMuSVFfQ0RTX01JRC4wNy8wOS8yNQEAAAA5VgoAAgAAAAc1NC40MjkzALD3JiP0DN8IeDOgV/QM3wgjQ0lRLklRVDQ2MjI1Mzc0LklRX0NEU19NSUQuMjgvMDgvMjYBAAAAtdYFAAIAAAAHMzUuMTA4OACw9yYj9AzfCF9tm1f0DN8IJENJUS5JUVQzMTMzMTU0</t>
  </si>
  <si>
    <t>MjkuSVFfQ0RTX01JRC4yNi8wOC8yNgEAAAA55wUAAgAAAAc2MC4zODQyANyGByP0DN8IXdKdV/QM3wgjQ0lRLklRVDQ2MjE4Njc0LklRX0NEU19NSUQuMDEvMDkvMjYBAAAAV8o2AAIAAAAIMTE2LjAwODEAn9AmI/QM3wj/laJX9AzfCCRDSVEuSVFUMzIzNjgwMTMwLklRX0NEU19NSUQuMjQvMDgvMjYBAAAAceECAAIAAAAHNDkuNTUzOQCf0CYj9AzfCP+Volf0DN8II0NJUS5JUVQ0NjIwNjc3OS5JUV9DRFNfTUlELjA3LzA5LzI1AQAAAPzvNgACAAAABzI2LjIyMzgApakmI/QM3wh4M6BX9AzfCCNDSVEuSVFUNDYyMTg2NzQuSVFfQ0RTX01JRC4wNy8wOS8yNQEAAABXyjYAAgAAAAgxNjkuNjM5NACf0CYj9AzfCHgzoFf0DN8IJENJUS5JUVQyODYwOTYxMzEuSVFfQ0RTX01JRC4wNy8wNi8yNgEAAAA78QQAAgAAAAI2NQCw9yYj9AzfCF3SnVf0DN8IJENJUS5JUVQzMTMzMTA4NTQuSVFfQ0RTX01JRC4wNC8wOS8yNgEAAACvVA0AAgAAAAc2MS4zMzMzANyGByP0DN8IX22bV/QM3wgkQ0lRLklRVDUyODkzNjgxMi5JUV9DRFNfTUlELjAyLzA5LzI2AQAAAGxbBgACAAAABzQ0LjY1OTUAsPcmI/QM3wh4M6BX9AzfCCNDSVEuSVFUNDYyMDQ5NTcuSVFfQ0RTX01JRC4yOS8wOC8yNgEAAAAhFQYAAgAAAAc1Mi43NjMyAJ/QJiP0DN8I3PqkV/QM3wgjQ0lRLklRVDQ2MjAwNDEyLklRX0NEU19NSUQuMjgvMDgvMjYB</t>
  </si>
  <si>
    <t>AAAAY0MGAAIAAAAENDMuOACw9yYj9AzfCF9tm1f0DN8II0NJUS5JUVQ0NjIyNjEzMi5JUV9DRFNfTUlELjI2LzA4LzI2AQAAAN1ZAAACAAAAAjQzALD3JiP0DN8IXdKdV/QM3wgjQ0lRLklRVDQ2MjA3ODcyLklRX0NEU19NSUQuMDEvMDkvMjYBAAAAWA0KAAIAAAAHMzcuODY0NACf0CYj9AzfCP+Volf0DN8II0NJUS5JUVQ0NjIxNjk4Ni5JUV9DRFNfTUlELjMwLzA4LzI2AQAAAM5EOAEDAAAAAACf0CYj9AzfCNz6pFf0DN8II0NJUS5JUVQ0NjIyNDc0MC5JUV9DRFNfTUlELjMxLzA4LzI2AQAAANNyCAACAAAABzM1Ljk3NjkAsPcmI/QM3wjc+qRX9AzfCCRDSVEuSVFUMzIzNjgwMTMwLklRX0NEU19NSUQuMDQvMDkvMjYBAAAAceECAAIAAAAHNTAuOTkyOACf0CYj9AzfCF9tm1f0DN8II0NJUS5JUVQ0NjIyMzY0Ni5JUV9DRFNfTUlELjI3LzA4LzI2AQAAABt4BAACAAAABjQ2LjAzOACf0CYj9AzfCFz6mFf0DN8II0NJUS5JUVQ0NjIxODUxNi5JUV9DRFNfTUlELjI1LzA4LzI2AQAAAKZVowECAAAABjM1LjQ1NgClqSYj9AzfCEhxmVf0DN8IJENJUS5JUVQzMTMzMTAxODQuSVFfQ0RTX01JRC4wNy8wOS8yNQEAAABgRD4AAgAAAAcxNS43MzMzAJWCJiP0DN8IeDOgV/QM3wgkQ0lRLklRVDMyMzY4MDEzMC5JUV9DRFNfTUlELjI3LzA4LzI2AQAAAHHhAgACAAAABzQ4LjkwNzYAn9AmI/QM3whc+phX9AzfCCND</t>
  </si>
  <si>
    <t>SVEuSVFUNjIyNzAxMDcuSVFfQ0RTX01JRC4yNS8wOC8yNgEAAAAVWQAAAgAAAAU0MS42NQCw9yYj9AzfCEhxmVf0DN8IJENJUS5JUVQzMTMzMTczNDQuSVFfQ0RTX01JRC4wNi8wOS8yNgEAAADxrAEAAgAAAAc2MC4xNTgzANyGByP0DN8IApiWV/QM3wgjQ0lRLklRVDQ2MjAwMjc2LklRX0NEU19NSUQuMDUvMDkvMjYBAAAAlnd8AQIAAAAHMjkuNTk1MQClqSYj9AzfCAKYllf0DN8II0NJUS5JUVQ0NjE5NTQ5MS5JUV9DRFNfTUlELjA1LzA5LzI2AQAAAGlKAAACAAAABzUyLjExNTkAn9AmI/QM3wgCmJZX9AzfCCNDSVEuSVFUNzk2MzQ5MDEuSVFfQ0RTX01JRC4wNS8wOS8yNgEAAACcBhAAAgAAAAc1NC4wNjU5ALD3JiP0DN8IApiWV/QM3wgjQ0lRLklRVDQ2MjA3NTcxLklRX0NEU19NSUQuMDQvMDkvMjYBAAAAbe81AAIAAAAFMzEuMzUApakmI/QM3whIcZlX9AzfCCNDSVEuSVFUNDYyMTM0NzIuSVFfQ0RTX01JRC4wNC8wOS8yNgEAAAC5WjgAAgAAAAYxNS4wMjUAn9AmI/QM3whIcZlX9AzfCCRDSVEuSVFUMjYzMjEzMTMyLklRX0NEU19NSUQuMDQvMDkvMjYBAAAA4ZoIAAIAAAAHNTEuNjQ2MgCw9yYj9AzfCF9tm1f0DN8II0NJUS5JUVQ0NjE5NDk5NS5JUV9DRFNfTUlELjAzLzA5LzI2AQAAAG4QMQACAAAABzExLjE3NDcApakmI/QM3whd0p1X9AzfCCNDSVEuSVFUNDYyMjIyOTIuSVFfQ0RTX01JRC4w</t>
  </si>
  <si>
    <t>My8wOS8yNgEAAADRkZsBAgAAAAY3NjkuMDcAn9AmI/QM3whd0p1X9AzfCCNDSVEuSVFUNDYyMjUwMDYuSVFfQ0RTX01JRC4wMy8wOS8yNgEAAAD4VQ0AAgAAAAc0Mi4wODAyAJ/QJiP0DN8IXdKdV/QM3wgjQ0lRLklRVDQ2MjIwMzI5LklRX0NEU19NSUQuMDMvMDkvMjYBAAAA21sAAAIAAAAHNTcuMzMzMwDchgcj9AzfCF3SnVf0DN8II0NJUS5JUVQ0NjI2MjM3OC5JUV9DRFNfTUlELjAyLzA5LzI2AQAAAEDSiQECAAAAAjE4AKWpJiP0DN8IeDOgV/QM3wgjQ0lRLklRVDQ2MTk3Njk0LklRX0NEU19NSUQuMDIvMDkvMjYBAAAAB/oFAAIAAAAHNTEuNTc4NACf0CYj9AzfCHgzoFf0DN8II0NJUS5JUVQ2MjI3MDEwNy5JUV9DRFNfTUlELjAyLzA5LzI2AQAAABVZAAACAAAABzQwLjYxMDUAsPcmI/QM3wh4M6BX9AzfCCNDSVEuSVFUNDYyMDczMDguSVFfQ0RTX01JRC4yOS8wOC8yNgEAAAA5iXoBAgAAAAYxNC4zMTQApakmI/QM3wjc+qRX9AzfCCNDSVEuSVFUNDYyMTAwMzIuSVFfQ0RTX01JRC4yOS8wOC8yNgEAAACPVaMBAgAAAAUzMy4zNQCf0CYj9AzfCNz6pFf0DN8II0NJUS5JUVQ0NjIyNTM3NC5JUV9DRFNfTUlELjI5LzA4LzI2AQAAALXWBQACAAAABzM1LjEwODgAsPcmI/QM3wjc+qRX9AzfCCNDSVEuSVFUNDk3NTExOTYuSVFfQ0RTX01JRC4yOC8wOC8yNgEAAADNmb0AAgAAAAczNi41MzA5AKWpJiP0</t>
  </si>
  <si>
    <t>DN8IX22bV/QM3wgjQ0lRLklRVDYwMzg5NTE2LklRX0NEU19NSUQuMjgvMDgvMjYBAAAApfDDAQIAAAAGNy4xNTQ1AJ/QJiP0DN8IX22bV/QM3wgkQ0lRLklRVDMyMzY4MDEzMC5JUV9DRFNfTUlELjI4LzA4LzI2AQAAAHHhAgACAAAABzQ4LjgyOTMAn9AmI/QM3whfbZtX9AzfCCRDSVEuSVFUMzEzMzE1NDI5LklRX0NEU19NSUQuMjgvMDgvMjYBAAAAOecFAAIAAAAHNjAuMzgwMgDchgcj9AzfCF9tm1f0DN8II0NJUS5JUVQ0NjIwNjc3OS5JUV9DRFNfTUlELjI2LzA4LzI2AQAAAPzvNgACAAAABzE1LjYwNzMApakmI/QM3whfbZtX9AzfCCNDSVEuSVFUNDYyMTg2NzQuSVFfQ0RTX01JRC4yNi8wOC8yNgEAAABXyjYAAgAAAAgxMTcuMTgwOACf0CYj9AzfCF9tm1f0DN8II0NJUS5JUVQ0NjIyNTcxNS5JUV9DRFNfTUlELjI2LzA4LzI2AQAAALflBAACAAAABjQwLjQ0NACw9yYj9AzfCF3SnVf0DN8II0NJUS5JUVQ0NjIwNDg4NC5JUV9DRFNfTUlELjAxLzA5LzI2AQAAAIFRwAECAAAABzI5LjE4NzUApakmI/QM3wh4M6BX9AzfCCNDSVEuSVFUNDYyMDc3ODkuSVFfQ0RTX01JRC4wMS8wOS8yNgEAAAAqWKMBAgAAAAcyNS41MjAzAJ/QJiP0DN8I/5WiV/QM3wgkQ0lRLklRVDI4NjA5NjEzMS5JUV9DRFNfTUlELjAxLzA5LzI2AQAAADvxBAACAAAABzUzLjUwODEAsPcmI/QM3wj/laJX9AzfCCNDSVEuSVFUNDYy</t>
  </si>
  <si>
    <t>MTA1NjAuSVFfQ0RTX01JRC4zMC8wOC8yNgEAAAD2GjcAAgAAAAY3Ny45OTIAlYImI/QM3wjc+qRX9AzfCCNDSVEuSVFUNDYyMjM2NDYuSVFfQ0RTX01JRC4zMC8wOC8yNgEAAAAbeAQAAgAAAAc0Ni4wOTU3AJ/QJiP0DN8I3PqkV/QM3wgkQ0lRLklRVDMxMzMxNDk3Ni5JUV9DRFNfTUlELjMwLzA4LzI2AQAAAG1KAAACAAAABzU2LjgxNDkA3IYHI/QM3wjc+qRX9AzfCCNDSVEuSVFUNDYyMjA4MDMuSVFfQ0RTX01JRC4zMS8wOC8yNgEAAADWyTYAAgAAAAc0MC4wNTY3AJ/QJiP0DN8I/5WiV/QM3wgjQ0lRLklRVDQ2MjAwMzY0LklRX0NEU19NSUQuMzEvMDgvMjYBAAAAV4YIAAIAAAAHMjMuNjIwOQCw9yYj9AzfCNz6pFf0DN8II0NJUS5JUVQ2MDM4ODA1Ny5JUV9DRFNfTUlELjI3LzA4LzI2AQAAAN/JfQEDAAAAAACf0CYj9AzfCAKYllf0DN8II0NJUS5JUVQ0NjE5OTg0MS5JUV9DRFNfTUlELjI3LzA4LzI2AQAAAOswBgADAAAAAACw9yYj9AzfCFz6mFf0DN8IJENJUS5JUVQzMTMzMTAxODQuSVFfQ0RTX01JRC4yNS8wOC8yNgEAAABgRD4AAgAAAAcxMC44OTg5AJWCJiP0DN8ISHGZV/QM3wgjQ0lRLklRVDQ2MjE0ODc5LklRX0NEU19NSUQuMjUvMDgvMjYBAAAA9Ro3AAIAAAAHNDkuODY3NACf0CYj9AzfCEhxmVf0DN8II0NJUS5JUVQ0NjIxNDk1NC5JUV9DRFNfTUlELjI0LzA4LzI2AQAAADo9OQECAAAA</t>
  </si>
  <si>
    <t>BzE0LjMzMzMApakmI/QM3wj/laJX9AzfCCNDSVEuSVFUNDYyMDg2MzQuSVFfQ0RTX01JRC4yNC8wOC8yNgEAAAADH8IAAgAAAAUyMS43NQCf0CYj9AzfCP+Volf0DN8II0NJUS5JUVQ0NjIwMzcxNC5JUV9DRFNfTUlELjA3LzA5LzI1AQAAAF8FNQACAAAABzM2LjQ5MDMApakmI/QM3wh4M6BX9AzfCCNDSVEuSVFUNDYyMDczMDguSVFfQ0RTX01JRC4wMS8wOS8yNgEAAAA5iXoBAgAAAAcxNC4xNjY3AKWpJiP0DN8IeDOgV/QM3wgjQ0lRLklRVDQ5NzUxMTk2LklRX0NEU19NSUQuMzAvMDgvMjYBAAAAzZm9AAIAAAAHMzYuNTMwOQClqSYj9AzfCNz6pFf0DN8IJENJUS5JUVQzMjM2ODAxMzAuSVFfQ0RTX01JRC4zMC8wOC8yNgEAAABx4QIAAgAAAAc0OC44MjkzAJ/QJiP0DN8I3PqkV/QM3wgkQ0lRLklRVDMxMzMxNTQyOS5JUV9DRFNfTUlELjMwLzA4LzI2AQAAADnnBQACAAAABzYwLjM4MDIA3IYHI/QM3wjc+qRX9AzfCCNDSVEuSVFUNDYyMTg2NzQuSVFfQ0RTX01JRC4zMS8wOC8yNgEAAABXyjYAAgAAAAgxMTQuNTcwMwCf0CYj9AzfCP+Volf0DN8II0NJUS5JUVQ0NjIwNDg4NC5JUV9DRFNfTUlELjI3LzA4LzI2AQAAAIFRwAECAAAABzI4LjkwMzcApakmI/QM3wgCmJZX9AzfCCNDSVEuSVFUNDYyMTA1NjAuSVFfQ0RTX01JRC4yNS8wOC8yNgEAAAD2GjcAAgAAAAc3OC45MDE2AJWCJiP0DN8ISHGZV/QM</t>
  </si>
  <si>
    <t>3wgjQ0lRLklRVDQ2MjIzNjQ2LklRX0NEU19NSUQuMjUvMDgvMjYBAAAAG3gEAAIAAAAHNDYuODQwNwCf0CYj9AzfCEhxmVf0DN8IJENJUS5JUVQzMTMzMTAxODQuSVFfQ0RTX01JRC4wNy8wNi8yNgEAAABgRD4AAgAAAAcxMS43NjY4AJWCJiP0DN8IXdKdV/QM3wgkQ0lRLklRVDMxMzMxMDg1NC5JUV9DRFNfTUlELjA3LzA2LzI2AQAAAK9UDQACAAAABTY0Ljc1ANyGByP0DN8IXdKdV/QM3wgjQ0lRLklRVDc5NjM0OTAxLklRX0NEU19NSUQuMjYvMDgvMjYBAAAAnAYQAAIAAAAHNTMuOTk2OACw9yYj9AzfCF3SnVf0DN8II0NJUS5JUVQ0NjIxNTExMS5JUV9DRFNfTUlELjI4LzA4LzI2AQAAAKBLsgECAAAABzM1LjEwNzgAn9AmI/QM3whfbZtX9AzfCCNDSVEuSVFUNDYyMDAzMTcuSVFfQ0RTX01JRC4yNi8wOC8yNgEAAAD+VA0AAgAAAAc2My41NTExANyGByP0DN8IXdKdV/QM3wgjQ0lRLklRVDQ2MjE2OTg2LklRX0NEU19NSUQuMDEvMDkvMjYBAAAAzkQ4AQMAAAAAAJ/QJiP0DN8I/5WiV/QM3wgjQ0lRLklRVDQ2MjI0NzQwLklRX0NEU19NSUQuMzAvMDgvMjYBAAAA03IIAAIAAAAHMzUuODkyOQCw9yYj9AzfCNz6pFf0DN8IJENJUS5JUVQzMTMzMTczNDQuSVFfQ0RTX01JRC4zMC8wOC8yNgEAAADxrAEAAgAAAAc2MC41MTU5ANyGByP0DN8I3PqkV/QM3wgjQ0lRLklRVDQ2MjEzNDcyLklRX0NEU19NSUQu</t>
  </si>
  <si>
    <t>MjcvMDgvMjYBAAAAuVo4AAIAAAAGMTUuMTc2AJ/QJiP0DN8IXPqYV/QM3wgjQ0lRLklRVDQ2MTk0OTk1LklRX0NEU19NSUQuMjUvMDgvMjYBAAAAbhAxAAIAAAAHMTEuMTU1MgClqSYj9AzfCEhxmVf0DN8II0NJUS5JUVQ0NjIyMDMyOS5JUV9DRFNfTUlELjI1LzA4LzI2AQAAANtbAAACAAAAAjU2ANyGByP0DN8ISHGZV/QM3wgjQ0lRLklRVDYyMjcwMTA3LklRX0NEU19NSUQuMjQvMDgvMjYBAAAAFVkAAAIAAAAHNDEuMTUwNwCw9yYj9AzfCP+Volf0DN8II0NJUS5JUVQ0NjIwNzMwOC5JUV9DRFNfTUlELjA3LzA5LzI1AQAAADmJegECAAAABjE3LjM3NQClqSYj9AzfCHgzoFf0DN8II0NJUS5JUVQ0OTc1MTE5Ni5JUV9DRFNfTUlELjA3LzA2LzI2AQAAAM2ZvQACAAAABzQyLjUwMzUApakmI/QM3whd0p1X9AzfCCNDSVEuSVFUNjAzODk1MTYuSVFfQ0RTX01JRC4wNy8wNi8yNgEAAACl8MMBAgAAAAY3LjA2MTMAn9AmI/QM3whd0p1X9AzfCCRDSVEuSVFUMzIzNjgwMTMwLklRX0NEU19NSUQuMDcvMDYvMjYBAAAAceECAAIAAAAHNTMuMjIyNwCf0CYj9AzfCF3SnVf0DN8II0NJUS5JUVQ0NjIyNDc0MC5JUV9DRFNfTUlELjI1LzA4LzI2AQAAANNyCAACAAAABTM1Ljc1ALD3JiP0DN8ISHGZV/QM3wgjQ0lRLklRVDQ2MTk1NDkxLklRX0NEU19NSUQuMjQvMDgvMjYBAAAAaUoAAAIAAAAGNTQuMzAzAJ/QJiP0</t>
  </si>
  <si>
    <t>DN8I/5WiV/QM3wgjQ0lRLklRVDQ2MjIyMjkyLklRX0NEU19NSUQuMDcvMDYvMjYBAAAA0ZGbAQIAAAAINzU0LjI3NjYAn9AmI/QM3whd0p1X9AzfCCNDSVEuSVFUNDYyMjAzMjkuSVFfQ0RTX01JRC4wNy8wNi8yNgEAAADbWwAAAgAAAAI1NwDchgcj9AzfCF3SnVf0DN8IJENJUS5JUVQzMTMzMTQ5NzYuSVFfQ0RTX01JRC4wMi8wOS8yNgEAAABtSgAAAgAAAAc1NS4xNDQ3ANyGByP0DN8IeDOgV/QM3wgkQ0lRLklRVDMxMzMxMDE4NC5JUV9DRFNfTUlELjI2LzA4LzI2AQAAAGBEPgACAAAABzEwLjg0MjIAlYImI/QM3whfbZtX9AzfCCNDSVEuSVFUNDYyMjUwODMuSVFfQ0RTX01JRC4wMS8wOS8yNgEAAABWRAYAAgAAAAczMy40MTY3ALD3JiP0DN8I/5WiV/QM3wgkQ0lRLklRVDUyODkzNjgxMi5JUV9DRFNfTUlELjMwLzA4LzI2AQAAAGxbBgACAAAABjQ0LjE0MQCw9yYj9AzfCNz6pFf0DN8II0NJUS5JUVQ0NjIwNDk1Ny5JUV9DRFNfTUlELjMxLzA4LzI2AQAAACEVBgACAAAABDUyLjgAn9AmI/QM3wjc+qRX9AzfCCRDSVEuSVFUMzIzNjgwMTMwLklRX0NEU19NSUQuMjYvMDgvMjYBAAAAceECAAIAAAAHNDkuMDIyNACf0CYj9AzfCF9tm1f0DN8II0NJUS5JUVQ0NjIyNTcxNS5JUV9DRFNfTUlELjAxLzA5LzI2AQAAALflBAACAAAABzM5LjAxNTgAsPcmI/QM3wj/laJX9AzfCCNDSVEuSVFUNDYyMDc3ODku</t>
  </si>
  <si>
    <t>SVFfQ0RTX01JRC4zMC8wOC8yNgEAAAAqWKMBAgAAAAcyNS4yNjE1AJ/QJiP0DN8I3PqkV/QM3wgjQ0lRLklRVDQ2MjIzNjQ2LklRX0NEU19NSUQuMzEvMDgvMjYBAAAAG3gEAAIAAAAHNDYuMzE3OACf0CYj9AzfCNz6pFf0DN8IJENJUS5JUVQzMTMzMTA4NTQuSVFfQ0RTX01JRC4yNC8wOC8yNgEAAACvVA0AAgAAAAI2MADchgcj9AzfCP+Volf0DN8II0NJUS5JUVQ0NjIwNzMwOC5JUV9DRFNfTUlELjA1LzA5LzI2AQAAADmJegECAAAAAjE0AKWpJiP0DN8IApiWV/QM3wgjQ0lRLklRVDQ2MjA3Nzg5LklRX0NEU19NSUQuMDIvMDkvMjYBAAAAKlijAQIAAAAHMjUuNjYzOQCf0CYj9AzfCHgzoFf0DN8II0NJUS5JUVQ0NjIyMzY0Ni5JUV9DRFNfTUlELjI5LzA4LzI2AQAAABt4BAACAAAABzQ2LjA5NTcAn9AmI/QM3wjc+qRX9AzfCCRDSVEuSVFUMzEzMzE0OTc2LklRX0NEU19NSUQuMjkvMDgvMjYBAAAAbUoAAAIAAAAHNTYuODE0OQDchgcj9AzfCOpdp1f0DN8II0NJUS5JUVQ2MDM4ODA1Ny5JUV9DRFNfTUlELjI2LzA4LzI2AQAAAN/JfQEDAAAAAACf0CYj9AzfCF9tm1f0DN8IJENJUS5JUVQzMTMzMTAxODQuSVFfQ0RTX01JRC4wMS8wOS8yNgEAAABgRD4AAgAAAAcxMC43Mjk2AJWCJiP0DN8IeDOgV/QM3wgjQ0lRLklRVDQ2MjAwNDEyLklRX0NEU19NSUQuMjUvMDgvMjYBAAAAY0MGAAIAAAAFNDMuODUA</t>
  </si>
  <si>
    <t>sPcmI/QM3whIcZlX9AzfCCNDSVEuSVFUNDYyMDc3ODkuSVFfQ0RTX01JRC4zMS8wOC8yNgEAAAAqWKMBAgAAAAcyNS42MDUyAJ/QJiP0DN8I/5WiV/QM3wgjQ0lRLklRVDQ2MTk5ODQxLklRX0NEU19NSUQuMjQvMDgvMjYBAAAA6zAGAAMAAAAAALD3JiP0DN8I/5WiV/QM3wgjQ0lRLklRVDQ2MjA3MzA4LklRX0NEU19NSUQuMzEvMDgvMjYBAAAAOYl6AQIAAAAFMTQuMzkApakmI/QM3wj/laJX9AzfCCNDSVEuSVFUNDYyMTAwMzIuSVFfQ0RTX01JRC4yNC8wOC8yNgEAAACPVaMBAgAAAAQzMy40AJ/QJiP0DN8I/5WiV/QM3wgkQ0lRLklRVDMxMzMxMzUyNC5JUV9DRFNfTUlELjA2LzA5LzI2AQAAAO9VDQACAAAABzU2LjUyODkA3IYHI/QM3wgCmJZX9AzfCCNDSVEuSVFUNzk2Mzk5MTMuSVFfQ0RTX01JRC4wNS8wOS8yNgEAAAAgYxwCAgAAAAU4LjEyNQClqSYj9AzfCAKYllf0DN8II0NJUS5JUVQ0NjIwNzg3Mi5JUV9DRFNfTUlELjA1LzA5LzI2AQAAAFgNCgACAAAABjM3LjM5NwCf0CYj9AzfCAKYllf0DN8II0NJUS5JUVQ0NjIwMDMxNy5JUV9DRFNfTUlELjA1LzA5LzI2AQAAAP5UDQACAAAABzYyLjA2OTUA3IYHI/QM3wgCmJZX9AzfCCRDSVEuSVFUNjQ0NzAxNzk3LklRX0NEU19NSUQuMDQvMDkvMjYBAAAAUz99AQIAAAAHMTAuMjQ0NwClqSYj9AzfCEhxmVf0DN8II0NJUS5JUVQ0NjIxNjk4Ni5JUV9D</t>
  </si>
  <si>
    <t>RFNfTUlELjA0LzA5LzI2AQAAAM5EOAEDAAAAAACf0CYj9AzfCEhxmVf0DN8IJENJUS5JUVQyNTQ5NTUyMzMuSVFfQ0RTX01JRC4wNC8wOS8yNgEAAAA5VgoAAgAAAAczOC43MTUyALD3JiP0DN8IX22bV/QM3wgjQ0lRLklRVDQ2MTk2MjI1LklRX0NEU19NSUQuMDMvMDkvMjYBAAAAvlWjAQIAAAAEMTcuNQClqSYj9AzfCF3SnVf0DN8II0NJUS5JUVQ1MTAyMzI2MC5JUV9DRFNfTUlELjAzLzA5LzI2AQAAALERfwECAAAABTE0LjA1AJ/QJiP0DN8IXdKdV/QM3wgjQ0lRLklRVDQ2MjI0NzQwLklRX0NEU19NSUQuMDMvMDkvMjYBAAAA03IIAAIAAAAHMzYuODU4NQCw9yYj9AzfCF3SnVf0DN8IJENJUS5JUVQzMTMzMTczNDQuSVFfQ0RTX01JRC4wMy8wOS8yNgEAAADxrAEAAgAAAAc2MC4yNTU5ANyGByP0DN8IXdKdV/QM3wgjQ0lRLklRVDQ2MjAwMjc2LklRX0NEU19NSUQuMDIvMDkvMjYBAAAAlnd8AQIAAAAHMjkuNTk4NAClqSYj9AzfCHgzoFf0DN8II0NJUS5JUVQ0NjE5NTQ5MS5JUV9DRFNfTUlELjAyLzA5LzI2AQAAAGlKAAACAAAABzUzLjAzMTQAn9AmI/QM3wh4M6BX9AzfCCNDSVEuSVFUNzk2MzQ5MDEuSVFfQ0RTX01JRC4wMi8wOS8yNgEAAACcBhAAAgAAAAc1My45MjA4ALD3JiP0DN8IeDOgV/QM3wgjQ0lRLklRVDQ2MjA3NTcxLklRX0NEU19NSUQuMjkvMDgvMjYBAAAAbe81AAIAAAAFMzAuNzUA</t>
  </si>
  <si>
    <t>pakmI/QM3wjc+qRX9AzfCCNDSVEuSVFUNDYyMTM0NzIuSVFfQ0RTX01JRC4yOS8wOC8yNgEAAAC5WjgAAgAAAAQxNS41AJ/QJiP0DN8I3PqkV/QM3wgkQ0lRLklRVDI2MzIxMzEzMi5JUV9DRFNfTUlELjI5LzA4LzI2AQAAAOGaCAACAAAAAjUxALD3JiP0DN8I3PqkV/QM3wgjQ0lRLklRVDQ2MTk0OTk1LklRX0NEU19NSUQuMjgvMDgvMjYBAAAAbhAxAAIAAAAHMTEuMTUzNwClqSYj9AzfCF9tm1f0DN8II0NJUS5JUVQ0NjIyMjI5Mi5JUV9DRFNfTUlELjI4LzA4LzI2AQAAANGRmwECAAAACDc2Ni40MDc0AJ/QJiP0DN8IX22bV/QM3wgjQ0lRLklRVDQ2MjI1MDA2LklRX0NEU19NSUQuMjgvMDgvMjYBAAAA+FUNAAIAAAAFNDEuNTgAn9AmI/QM3whfbZtX9AzfCCNDSVEuSVFUNDYyMjAzMjkuSVFfQ0RTX01JRC4yOC8wOC8yNgEAAADbWwAAAgAAAAI1NwDchgcj9AzfCF9tm1f0DN8II0NJUS5JUVQ0NjI2MjM3OC5JUV9DRFNfTUlELjI2LzA4LzI2AQAAAEDSiQECAAAABTE4LjI1AKWpJiP0DN8IX22bV/QM3wgjQ0lRLklRVDYyMjcwMTA3LklRX0NEU19NSUQuMjYvMDgvMjYBAAAAFVkAAAIAAAAHNDEuNjM5NgCw9yYj9AzfCF3SnVf0DN8II0NJUS5JUVQ0NjIxMDAzMi5JUV9DRFNfTUlELjAxLzA5LzI2AQAAAI9VowECAAAABTMzLjQ1AJ/QJiP0DN8I/5WiV/QM3wgjQ0lRLklRVDQ2MjAwMzY0LklRX0NEU19N</t>
  </si>
  <si>
    <t>SUQuMjQvMDgvMjYBAAAAV4YIAAIAAAAGMjMuNTEzALD3JiP0DN8I/5WiV/QM3wgjQ0lRLklRVDQ2NDcwODc3LklRX0NEU19NSUQuMDcvMDYvMjYBAAAAQjcHAAIAAAAHNTcuNDgwMwCf0CYj9AzfCF3SnVf0DN8II0NJUS5JUVQ0NjIwNzU3MS5JUV9DRFNfTUlELjAxLzA5LzI2AQAAAG3vNQACAAAABzMwLjg4MTYApakmI/QM3wh4M6BX9AzfCCNDSVEuSVFUNDYyMjAzMjkuSVFfQ0RTX01JRC4zMC8wOC8yNgEAAADbWwAAAgAAAAI1NwDchgcj9AzfCNz6pFf0DN8II0NJUS5JUVQ0NjIwNzMwOC5JUV9DRFNfTUlELjI3LzA4LzI2AQAAADmJegECAAAABTE0LjMyAKWpJiP0DN8IApiWV/QM3wgjQ0lRLklRVDQ2MjI1Mzc0LklRX0NEU19NSUQuMjcvMDgvMjYBAAAAtdYFAAIAAAAHMzUuNjU0NgCw9yYj9AzfCFz6mFf0DN8II0NJUS5JUVQ3OTY0MDAyNC5JUV9DRFNfTUlELjI5LzA4LzI2AQAAADWPmwECAAAABjcuODQ3MwClqSYj9AzfCNz6pFf0DN8II0NJUS5JUVQ0NjIwMzMzMi5JUV9DRFNfTUlELjI4LzA4LzI2AQAAAF8eNwACAAAABzEwLjc1MDQApakmI/QM3whfbZtX9AzfCCNDSVEuSVFUNzk2Mzk5MTMuSVFfQ0RTX01JRC4yNi8wOC8yNgEAAAAgYxwCAgAAAAY4LjAxNzMApakmI/QM3whfbZtX9AzfCCNDSVEuSVFUNzk2MzQ5MDEuSVFfQ0RTX01JRC4zMS8wOC8yNgEAAACcBhAAAgAAAAc1My45Njg0ALD3</t>
  </si>
  <si>
    <t>JiP0DN8I3PqkV/QM3wgkQ0lRLklRVDI2MzIxMzEzMi5JUV9DRFNfTUlELjI3LzA4LzI2AQAAAOGaCAACAAAABzUwLjkzMTEAsPcmI/QM3whc+phX9AzfCCNDSVEuSVFUNDYyMjIyOTIuSVFfQ0RTX01JRC4yNS8wOC8yNgEAAADRkZsBAgAAAAg3NjYuODc1NwCf0CYj9AzfCEhxmVf0DN8II0NJUS5JUVQ0NjIyNTAwNi5JUV9DRFNfTUlELjI1LzA4LzI2AQAAAPhVDQACAAAABTQwLjQ1ALD3JiP0DN8ISHGZV/QM3wgjQ0lRLklRVDQ2MjYyMzc4LklRX0NEU19NSUQuMjQvMDgvMjYBAAAAQNKJAQIAAAAHMTcuNjY2NwClqSYj9AzfCP+Volf0DN8II0NJUS5JUVQ0NjIyNTM3NC5JUV9DRFNfTUlELjA3LzA5LzI1AQAAALXWBQACAAAABzQ2LjQ2MDMAsPcmI/QM3wh4M6BX9AzfCCNDSVEuSVFUNzk2Mzk5MTMuSVFfQ0RTX01JRC4zMS8wOC8yNgEAAAAgYxwCAgAAAAU4LjAxNAClqSYj9AzfCP+Volf0DN8IJENJUS5JUVQyNTQ5NTUyMzMuSVFfQ0RTX01JRC4yNy8wOC8yNgEAAAA5VgoAAgAAAAczOC4xMzk1ALD3JiP0DN8IXPqYV/QM3wgjQ0lRLklRVDUxMDIzMjYwLklRX0NEU19NSUQuMjUvMDgvMjYBAAAAsRF/AQIAAAAHMTQuMzkxNwCf0CYj9AzfCEhxmVf0DN8IJENJUS5JUVQyNjMyMTMxMzIuSVFfQ0RTX01JRC4wNy8wOS8yNQEAAADhmggAAgAAAAc1OC4wNTUxALD3JiP0DN8IeDOgV/QM3wgjQ0lRLklRVDQ2</t>
  </si>
  <si>
    <t>MjI1MDA2LklRX0NEU19NSUQuMDcvMDYvMjYBAAAA+FUNAAIAAAAHMzguNTA4MwCw9yYj9AzfCF3SnVf0DN8II0NJUS5JUVQ0NjIyMDgwMy5JUV9DRFNfTUlELjI5LzA4LzI2AQAAANbJNgACAAAABzQwLjE2NjcAn9AmI/QM3wjc+qRX9AzfCCNDSVEuSVFUNDYxOTk4NDEuSVFfQ0RTX01JRC4yOC8wOC8yNgEAAADrMAYAAwAAAAAAsPcmI/QM3whfbZtX9AzfCCNDSVEuSVFUNDYyMTQ4NzkuSVFfQ0RTX01JRC4yNi8wOC8yNgEAAAD1GjcAAgAAAAc0OS44Nzk2AJ/QJiP0DN8IX22bV/QM3wgjQ0lRLklRVDQ2MjE0OTU0LklRX0NEU19NSUQuMDEvMDkvMjYBAAAAOj05AQIAAAAHMTQuMjA4MwClqSYj9AzfCHgzoFf0DN8II0NJUS5JUVQ3OTYzOTk1My5JUV9DRFNfTUlELjMwLzA4LzI2AQAAADSbVgECAAAABzE5Ljk4OTMAn9AmI/QM3wjc+qRX9AzfCCNDSVEuSVFUNTEwMjM0ODAuSVFfQ0RTX01JRC4zMS8wOC8yNgEAAADCRfEBAgAAAAY0LjgzNzUApakmI/QM3wj/laJX9AzfCCNDSVEuSVFUNzk2NDAwMjQuSVFfQ0RTX01JRC4yNy8wOC8yNgEAAAA1j5sBAgAAAAY3Ljg0NTcApakmI/QM3wgCmJZX9AzfCCNDSVEuSVFUNDYyMDA0MTIuSVFfQ0RTX01JRC4yNy8wOC8yNgEAAABjQwYAAgAAAAQ0My44ALD3JiP0DN8IXPqYV/QM3wgjQ0lRLklRVDQ2MjE1MTExLklRX0NEU19NSUQuMjUvMDgvMjYBAAAAoEuyAQIA</t>
  </si>
  <si>
    <t>AAAHMzQuODg2NwCf0CYj9AzfCEhxmVf0DN8IJENJUS5JUVQzMTMzMTM1MjQuSVFfQ0RTX01JRC4yNS8wOC8yNgEAAADvVQ0AAgAAAAc1OS40ODcxANyGByP0DN8ISHGZV/QM3wgjQ0lRLklRVDc5NjM5OTEzLklRX0NEU19NSUQuMjQvMDgvMjYBAAAAIGMcAgIAAAAGOC4wMjIxAKWpJiP0DN8I/5WiV/QM3wgjQ0lRLklRVDQ2MjAwMzE3LklRX0NEU19NSUQuMjQvMDgvMjYBAAAA/lQNAAIAAAAHNjMuNzgxNQDchgcj9AzfCP+Volf0DN8II0NJUS5JUVQ1MTAyMzI2MC5JUV9DRFNfTUlELjA3LzA2LzI2AQAAALERfwECAAAABzE0LjA4NjcAn9AmI/QM3whd0p1X9AzfCCRDSVEuSVFUMzEzMzE0OTc2LklRX0NEU19NSUQuMzEvMDgvMjYBAAAAbUoAAAIAAAAHNTYuNDc5NADchgcj9AzfCNz6pFf0DN8II0NJUS5JUVQ0NjIwMDM2NC5JUV9DRFNfTUlELjI3LzA4LzI2AQAAAFeGCAACAAAABzIzLjQzMzMAsPcmI/QM3whc+phX9AzfCCNDSVEuSVFUNjAzODgwNTcuSVFfQ0RTX01JRC4yNS8wOC8yNgEAAADfyX0BAwAAAAAAn9AmI/QM3whIcZlX9AzfCCNDSVEuSVFUNDYxOTk4NDEuSVFfQ0RTX01JRC4yNS8wOC8yNgEAAADrMAYAAwAAAAAAsPcmI/QM3whIcZlX9AzfCCRDSVEuSVFUNTI4OTM2ODEyLklRX0NEU19NSUQuMDcvMDYvMjYBAAAAbFsGAAIAAAAGNDkuNjI1ALD3JiP0DN8IXdKdV/QM3wgjQ0lRLklRVDc5</t>
  </si>
  <si>
    <t>NjM5OTUzLklRX0NEU19NSUQuMDIvMDkvMjYBAAAANJtWAQIAAAAHMTkuOTg3MgCf0CYj9AzfCHgzoFf0DN8II0NJUS5JUVQ0NjIwMzMzMi5JUV9DRFNfTUlELjI2LzA4LzI2AQAAAF8eNwACAAAABzEwLjgwODkApakmI/QM3whfbZtX9AzfCCRDSVEuSVFUMjU0OTU1MjMzLklRX0NEU19NSUQuMzAvMDgvMjYBAAAAOVYKAAIAAAAHMzguMjQ1OQCw9yYj9AzfCNz6pFf0DN8IJENJUS5JUVQzMTMzMTczNDQuSVFfQ0RTX01JRC4zMS8wOC8yNgEAAADxrAEAAgAAAAc2MC4yNjk2ANyGByP0DN8I3PqkV/QM3wgjQ0lRLklRVDQ2MjEzNDcyLklRX0NEU19NSUQuMjUvMDgvMjYBAAAAuVo4AAIAAAAHMTUuMjYyNQCf0CYj9AzfCEhxmVf0DN8II0NJUS5JUVQ0NjIyNTAwNi5JUV9DRFNfTUlELjI0LzA4LzI2AQAAAPhVDQACAAAABzQwLjcwODQAsPcmI/QM3wj/laJX9AzfCCNDSVEuSVFUNDYyMTAwMzIuSVFfQ0RTX01JRC4wNy8wNi8yNgEAAACPVaMBAgAAAAYzNS4xNTUAn9AmI/QM3whd0p1X9AzfCCRDSVEuSVFUMzEzMzE0OTc2LklRX0NEU19NSUQuMDQvMDkvMjYBAAAAbUoAAAIAAAAHNTQuODEwNgDchgcj9AzfCF9tm1f0DN8II0NJUS5JUVQ0NjIwODYzNC5JUV9DRFNfTUlELjI4LzA4LzI2AQAAAAMfwgACAAAABzIxLjcwODMAn9AmI/QM3whfbZtX9AzfCCNDSVEuSVFUNzk2NDAwMjQuSVFfQ0RTX01JRC4zMC8w</t>
  </si>
  <si>
    <t>OC8yNgEAAAA1j5sBAgAAAAY3Ljg0NzMApakmI/QM3wjc+qRX9AzfCCNDSVEuSVFUNDYyMDMzMzIuSVFfQ0RTX01JRC4zMS8wOC8yNgEAAABfHjcAAgAAAAcxMC44NTE4AKWpJiP0DN8I/5WiV/QM3wgjQ0lRLklRVDQ2MjA3ODcyLklRX0NEU19NSUQuMjcvMDgvMjYBAAAAWA0KAAIAAAAHMzcuNzEzNwCf0CYj9AzfCFz6mFf0DN8IJENJUS5JUVQzMTMzMTczNDQuSVFfQ0RTX01JRC4yNC8wOC8yNgEAAADxrAEAAgAAAAc2MC40Mzk4ANyGByP0DN8I/5WiV/QM3wgkQ0lRLklRVDI2MzIxMzEzMi5JUV9DRFNfTUlELjA3LzA2LzI2AQAAAOGaCAACAAAABzU3LjY4NzUAsPcmI/QM3whd0p1X9AzfCCNDSVEuSVFUNjAzODk1MTYuSVFfQ0RTX01JRC4wNC8wOS8yNgEAAACl8MMBAgAAAAY3LjIyODkAn9AmI/QM3whIcZlX9AzfCCNDSVEuSVFUNDYyMDQ4ODQuSVFfQ0RTX01JRC4wMi8wOS8yNgEAAACBUcABAgAAAAcyOS4xMjY3AKWpJiP0DN8IeDOgV/QM3wgjQ0lRLklRVDQ2MjE0OTU0LklRX0NEU19NSUQuMzAvMDgvMjYBAAAAOj05AQIAAAAHMTQuMDQxNwClqSYj9AzfCNz6pFf0DN8II0NJUS5JUVQ0NjIwMzMzMi5JUV9DRFNfTUlELjI0LzA4LzI2AQAAAF8eNwACAAAABDEwLjUApakmI/QM3wj/laJX9AzfCCNDSVEuSVFUNDYyMDc4NzIuSVFfQ0RTX01JRC4wNy8wOS8yNQEAAABYDQoAAgAAAAczOC4zOTI4AJ/Q</t>
  </si>
  <si>
    <t>JiP0DN8IeDOgV/QM3wgjQ0lRLklRVDUxMDIzNDgwLklRX0NEU19NSUQuMDcvMDkvMjUBAAAAwkXxAQIAAAAGNy43MDU3AKWpJiP0DN8IeDOgV/QM3wgkQ0lRLklRVDMxMzMxNTQyOS5JUV9DRFNfTUlELjAxLzA5LzI2AQAAADnnBQACAAAABjYwLjE5NwDchgcj9AzfCP+Volf0DN8II0NJUS5JUVQ0NjE5NzEzOC5JUV9DRFNfTUlELjA1LzA5LzI2AQAAAO6UOAECAAAACDExNC43MDE3AJWCJiP0DN8IApiWV/QM3wgjQ0lRLklRVDUxMDIzNDgwLklRX0NEU19NSUQuMDUvMDkvMjYBAAAAwkXxAQIAAAAGNC42NTU4AKWpJiP0DN8IApiWV/QM3wgjQ0lRLklRVDQ2MjA0OTU3LklRX0NEU19NSUQuMDUvMDkvMjYBAAAAIRUGAAIAAAAHNTIuMjMyOACf0CYj9AzfCAKYllf0DN8II0NJUS5JUVQ2MjI3MDEwNi5JUV9DRFNfTUlELjA1LzA5LzI2AQAAAK13gwACAAAABzczLjIyMzYA3IYHI/QM3wgCmJZX9AzfCCNDSVEuSVFUNzk2NDAwMjQuSVFfQ0RTX01JRC4wNC8wOS8yNgEAAAA1j5sBAgAAAAU3LjkyOQClqSYj9AzfCEhxmVf0DN8IJENJUS5JUVQzMTMzMDU4NzkuSVFfQ0RTX01JRC4wNC8wOS8yNgEAAACE1twBAgAAAAYyLjI5MzkAn9AmI/QM3whIcZlX9AzfCCNDSVEuSVFUNDYyMDA0MTIuSVFfQ0RTX01JRC4wNC8wOS8yNgEAAABjQwYAAgAAAAc0My45NjE5ALD3JiP0DN8IX22bV/QM3wgjQ0lRLklRVDQ2MjAz</t>
  </si>
  <si>
    <t>MzMyLklRX0NEU19NSUQuMDMvMDkvMjYBAAAAXx43AAIAAAAEMTAuNQClqSYj9AzfCF3SnVf0DN8II0NJUS5JUVQ0NjIxNTExMS5JUV9DRFNfTUlELjAzLzA5LzI2AQAAAKBLsgECAAAABzM0Ljk2MzQAn9AmI/QM3whd0p1X9AzfCCNDSVEuSVFUNDYyMjYxMzIuSVFfQ0RTX01JRC4wMy8wOS8yNgEAAADdWQAAAgAAAAc0NC4zMzYxALD3JiP0DN8IXdKdV/QM3wgkQ0lRLklRVDMxMzMxMzUyNC5JUV9DRFNfTUlELjAzLzA5LzI2AQAAAO9VDQACAAAABzU2LjkzMjUA3IYHI/QM3whd0p1X9AzfCCNDSVEuSVFUNzk2Mzk5MTMuSVFfQ0RTX01JRC4wMi8wOS8yNgEAAAAgYxwCAgAAAAY3LjkwNDgApakmI/QM3wh4M6BX9AzfCCNDSVEuSVFUNDYyMDc4NzIuSVFfQ0RTX01JRC4wMi8wOS8yNgEAAABYDQoAAgAAAAczNy44ODY2AJ/QJiP0DN8IeDOgV/QM3wgjQ0lRLklRVDQ2MjAwMzE3LklRX0NEU19NSUQuMDIvMDkvMjYBAAAA/lQNAAIAAAAHNjEuNTY1MgDchgcj9AzfCHgzoFf0DN8IJENJUS5JUVQ2NDQ3MDE3OTcuSVFfQ0RTX01JRC4yOS8wOC8yNgEAAABTP30BAgAAAAY5LjgzMzYApakmI/QM3wjc+qRX9AzfCCNDSVEuSVFUNDYyMTY5ODYuSVFfQ0RTX01JRC4yOS8wOC8yNgEAAADORDgBAwAAAAAAn9AmI/QM3wjc+qRX9AzfCCRDSVEuSVFUMjU0OTU1MjMzLklRX0NEU19NSUQuMjkvMDgvMjYBAAAAOVYKAAIA</t>
  </si>
  <si>
    <t>AAAHMzguMjQ1OQCw9yYj9AzfCNz6pFf0DN8II0NJUS5JUVQ0NjE5NjIyNS5JUV9DRFNfTUlELjI4LzA4LzI2AQAAAL5VowECAAAABzE3LjQzODgApakmI/QM3whfbZtX9AzfCCNDSVEuSVFUNTEwMjMyNjAuSVFfQ0RTX01JRC4yOC8wOC8yNgEAAACxEX8BAgAAAAcxNC4xMzE3AJ/QJiP0DN8IX22bV/QM3wgjQ0lRLklRVDQ2MjI0NzQwLklRX0NEU19NSUQuMjgvMDgvMjYBAAAA03IIAAIAAAAHMzUuODkyOQCw9yYj9AzfCF9tm1f0DN8IJENJUS5JUVQzMTMzMTczNDQuSVFfQ0RTX01JRC4yOC8wOC8yNgEAAADxrAEAAgAAAAc2MC41MTU5ANyGByP0DN8IX22bV/QM3wgjQ0lRLklRVDQ2MjAwMjc2LklRX0NEU19NSUQuMjYvMDgvMjYBAAAAlnd8AQIAAAAHMTkuOTYzOQClqSYj9AzfCF9tm1f0DN8II0NJUS5JUVQ0NjE5NTQ5MS5JUV9DRFNfTUlELjI2LzA4LzI2AQAAAGlKAAACAAAABzUzLjI0NDcAn9AmI/QM3whfbZtX9AzfCCNDSVEuSVFUNDYyMTM0NzIuSVFfQ0RTX01JRC4wMS8wOS8yNgEAAAC5WjgAAgAAAAYxNS4wOTQAn9AmI/QM3wj/laJX9AzfCCNDSVEuSVFUNDYyMjIyOTIuSVFfQ0RTX01JRC4zMC8wOC8yNgEAAADRkZsBAgAAAAg3NjYuNDA3NACf0CYj9AzfCNz6pFf0DN8II0NJUS5JUVQ0NjIyNTAwNi5JUV9DRFNfTUlELjMwLzA4LzI2AQAAAPhVDQACAAAABTQxLjU4AJ/QJiP0DN8I3PqkV/QM</t>
  </si>
  <si>
    <t>3wgjQ0lRLklRVDQ2MjYyMzc4LklRX0NEU19NSUQuMzEvMDgvMjYBAAAAQNKJAQIAAAAHMTcuOTU3NQClqSYj9AzfCP+Volf0DN8II0NJUS5JUVQ2MjI3MDEwNy5JUV9DRFNfTUlELjMxLzA4LzI2AQAAABVZAAACAAAABzQwLjI5ODUAsPcmI/QM3wjc+qRX9AzfCCNDSVEuSVFUNjAzODk1MTYuSVFfQ0RTX01JRC4yNS8wOC8yNgEAAACl8MMBAgAAAAY3LjE2ODEAn9AmI/QM3whIcZlX9AzfCCNDSVEuSVFUNDYyMDY3NzkuSVFfQ0RTX01JRC4yNC8wOC8yNgEAAAD87zYAAgAAAAcxNS4yOTE3AKWpJiP0DN8I/5WiV/QM3wgjQ0lRLklRVDQ2MjI1NzE1LklRX0NEU19NSUQuMjQvMDgvMjYBAAAAt+UEAAIAAAAHNDEuOTgxNwCw9yYj9AzfCP+Volf0DN8II0NJUS5JUVQ0NjIwNzc4OS5JUV9DRFNfTUlELjA3LzA5LzI1AQAAACpYowECAAAABzE5LjE4MDEAn9AmI/QM3wh4M6BX9AzfCCNDSVEuSVFUNjIyNzAxMDYuSVFfQ0RTX01JRC4wMi8wOS8yNgEAAACtd4MAAgAAAAc3NS41NTYyANyGByP0DN8IeDOgV/QM3wgjQ0lRLklRVDQ2MjI2MTMyLklRX0NEU19NSUQuMjgvMDgvMjYBAAAA3VkAAAIAAAAHNDMuNjA3MQCw9yYj9AzfCF9tm1f0DN8IJENJUS5JUVQ2NDQ3MDE3OTcuSVFfQ0RTX01JRC4wMS8wOS8yNgEAAABTP30BAgAAAAY5LjY1NjQApakmI/QM3wh4M6BX9AzfCCRDSVEuSVFUMjU0OTU1MjMzLklRX0NE</t>
  </si>
  <si>
    <t>U19NSUQuMDEvMDkvMjYBAAAAOVYKAAIAAAAHMzguODIwMwCw9yYj9AzfCP+Volf0DN8II0NJUS5JUVQ0NjE5NjIyNS5JUV9DRFNfTUlELjMwLzA4LzI2AQAAAL5VowECAAAABzE3LjQzODgApakmI/QM3wjc+qRX9AzfCCNDSVEuSVFUNDYxOTU0OTEuSVFfQ0RTX01JRC4zMS8wOC8yNgEAAABpSgAAAgAAAAc1My4xNTMyAJ/QJiP0DN8I/5WiV/QM3wgjQ0lRLklRVDQ2MjA3NTcxLklRX0NEU19NSUQuMjcvMDgvMjYBAAAAbe81AAIAAAAEMzAuNQClqSYj9AzfCAKYllf0DN8IJENJUS5JUVQzMTMzMTU0MjkuSVFfQ0RTX01JRC4wNy8wNi8yNgEAAAA55wUAAgAAAAc2MS45Njc4ANyGByP0DN8IXdKdV/QM3wgkQ0lRLklRVDMxMzMxNzM0NC5JUV9DRFNfTUlELjI1LzA4LzI2AQAAAPGsAQACAAAABzYwLjQ1NzYA3IYHI/QM3whIcZlX9AzfCCNDSVEuSVFUNDYyMDAyNzYuSVFfQ0RTX01JRC4yNC8wOC8yNgEAAACWd3wBAgAAAAcyMC40MjY4AKWpJiP0DN8I/5WiV/QM3wgjQ0lRLklRVDc5NjM0OTAxLklRX0NEU19NSUQuMjQvMDgvMjYBAAAAnAYQAAIAAAAHNDAuNTEzNACVgiYj9AzfCP+Volf0DN8II0NJUS5JUVQ0NjIwNzg3Mi5JUV9DRFNfTUlELjI0LzA4LzI2AQAAAFgNCgACAAAABzM4LjU0ODgAn9AmI/QM3wj/laJX9AzfCCRDSVEuSVFUNjQ0NzAxNzk3LklRX0NEU19NSUQuMDcvMDkvMjUBAAAAUz99AQIA</t>
  </si>
  <si>
    <t>AAAGMTIuNjAyAKWpJiP0DN8IeDOgV/QM3wgjQ0lRLklRVDQ2MTk2MjI1LklRX0NEU19NSUQuMDcvMDYvMjYBAAAAvlWjAQIAAAAFMTcuNzUApakmI/QM3whd0p1X9AzfCCNDSVEuSVFUNDYyMTAwMzIuSVFfQ0RTX01JRC4yOC8wOC8yNgEAAACPVaMBAgAAAAUzMy4zNQCf0CYj9AzfCF9tm1f0DN8IJENJUS5JUVQyODYwOTYxMzEuSVFfQ0RTX01JRC4zMC8wOC8yNgEAAAA78QQAAgAAAAU1Mi43NQCw9yYj9AzfCNz6pFf0DN8II0NJUS5JUVQ0NjIxMDU2MC5JUV9DRFNfTUlELjMxLzA4LzI2AQAAAPYaNwACAAAABzc4LjM1MDIAlYImI/QM3wj/laJX9AzfCCNDSVEuSVFUNDYyMTk5MjIuSVFfQ0RTX01JRC4zMS8wOC8yNgEAAADWRzkBAgAAAAY1LjQ5MjEAn9AmI/QM3wj/laJX9AzfCCNDSVEuSVFUNDYyMTg1MTYuSVFfQ0RTX01JRC4yNy8wOC8yNgEAAACmVaMBAgAAAAczNS40NTAyAKWpJiP0DN8IApiWV/QM3wgjQ0lRLklRVDQ2MjA0MzAwLklRX0NEU19NSUQuMjUvMDgvMjYBAAAA9iV9AAIAAAAGNy40MzI5AKWpJiP0DN8ISHGZV/QM3wgjQ0lRLklRVDQ2NDcwODc3LklRX0NEU19NSUQuMjQvMDgvMjYBAAAAQjcHAAIAAAAHNTYuMjY1MwCf0CYj9AzfCP+Volf0DN8II0NJUS5JUVQ0NjIwODYzNC5JUV9DRFNfTUlELjA3LzA5LzI1AQAAAAMfwgACAAAABzE4Ljg1MTgAn9AmI/QM3wh4M6BX9AzfCCNDSVEu</t>
  </si>
  <si>
    <t>SVFUNDYyMDM3MTQuSVFfQ0RTX01JRC4wNy8wNi8yNgEAAABfBTUAAgAAAAcyOC41MDA4AKWpJiP0DN8IXdKdV/QM3wgjQ0lRLklRVDc5NjM5OTUzLklRX0NEU19NSUQuMDcvMDYvMjYBAAAANJtWAQIAAAAHMjUuMDAwOQCf0CYj9AzfCF3SnVf0DN8II0NJUS5JUVQ0NjIyMDMyOS5JUV9DRFNfTUlELjMxLzA4LzI2AQAAANtbAAACAAAABzU2LjY2NjcA3IYHI/QM3wjc+qRX9AzfCCNDSVEuSVFUNDYyNjIzNzguSVFfQ0RTX01JRC4yNy8wOC8yNgEAAABA0okBAgAAAAYxOC4wMzYApakmI/QM3wgCmJZX9AzfCCNDSVEuSVFUNDYyMDczMDguSVFfQ0RTX01JRC4yNS8wOC8yNgEAAAA5iXoBAgAAAAcxNC4zNDkzAKWpJiP0DN8ISHGZV/QM3wgjQ0lRLklRVDQ2MjAzNzE0LklRX0NEU19NSUQuMDIvMDkvMjYBAAAAXwU1AAIAAAAHMzMuNTAyMQClqSYj9AzfCHgzoFf0DN8IJENJUS5JUVQ2NDQ3MDE3OTcuSVFfQ0RTX01JRC4zMC8wOC8yNgEAAABTP30BAgAAAAY5LjgzMzYApakmI/QM3wjc+qRX9AzfCCNDSVEuSVFUNzk2MzQ5MDEuSVFfQ0RTX01JRC4yNy8wOC8yNgEAAACcBhAAAgAAAAc1My45ODA3ALD3JiP0DN8ISHGZV/QM3wgjQ0lRLklRVDQ2NDcwODc3LklRX0NEU19NSUQuMjkvMDgvMjYBAAAAQjcHAAIAAAAHNTQuODM5MwCf0CYj9AzfCNz6pFf0DN8II0NJUS5JUVQ3OTYzOTk1My5JUV9DRFNfTUlELjI2</t>
  </si>
  <si>
    <t>LzA4LzI2AQAAADSbVgECAAAABzIwLjAyNjQAn9AmI/QM3whfbZtX9AzfCCNDSVEuSVFUNDYyMDQ5NTcuSVFfQ0RTX01JRC4wMS8wOS8yNgEAAAAhFQYAAgAAAAc1My4wNDgxAJ/QJiP0DN8I/5WiV/QM3wgjQ0lRLklRVDc5NjM0OTAxLklRX0NEU19NSUQuMDcvMDkvMjUBAAAAnAYQAAIAAAAHNTUuMTAxOQDchgcj9AzfCHgzoFf0DN8II0NJUS5JUVQ0NjIyNTM3NC5JUV9DRFNfTUlELjA1LzA5LzI2AQAAALXWBQACAAAABzM1LjY1NjcAsPcmI/QM3wgCmJZX9AzfCCNDSVEuSVFUNDYyMTg2NzQuSVFfQ0RTX01JRC4wMy8wOS8yNgEAAABXyjYAAgAAAAgxMTUuNjQzMwCf0CYj9AzfCF3SnVf0DN8II0NJUS5JUVQ0NjIwMDM2NC5JUV9DRFNfTUlELjI4LzA4LzI2AQAAAFeGCAACAAAABjIzLjMyNQCw9yYj9AzfCF9tm1f0DN8II0NJUS5JUVQ0NjIwODYzNC5JUV9DRFNfTUlELjMwLzA4LzI2AQAAAAMfwgACAAAABzIxLjcwODMAn9AmI/QM3wjc+qRX9AzfCCNDSVEuSVFUNDYxOTcxMzguSVFfQ0RTX01JRC4yNy8wOC8yNgEAAADulDgBAgAAAAgxMTguNzg5OQCVgiYj9AzfCAKYllf0DN8IJENJUS5JUVQzMTMzMDU4NzkuSVFfQ0RTX01JRC4yNS8wOC8yNgEAAACE1twBAgAAAAYyLjI5MzkAn9AmI/QM3whIcZlX9AzfCCRDSVEuSVFUMzEzMzEzNTI0LklRX0NEU19NSUQuMjQvMDgvMjYBAAAA71UNAAIAAAAHNTku</t>
  </si>
  <si>
    <t>NDM4NwDchgcj9AzfCP+Volf0DN8IJENJUS5JUVQ2NDQ3MDE3OTcuSVFfQ0RTX01JRC4wNy8wNi8yNgEAAABTP30BAgAAAAcxMC4xMjY0AKWpJiP0DN8IXdKdV/QM3wgkQ0lRLklRVDMxMzMwNTg3OS5JUV9DRFNfTUlELjA3LzA2LzI2AQAAAITW3AECAAAABjIuMzMzNACf0CYj9AzfCF3SnVf0DN8II0NJUS5JUVQ0NjIyNTcxNS5JUV9DRFNfTUlELjMwLzA4LzI2AQAAALflBAACAAAABzM5LjI5MzkAsPcmI/QM3wjc+qRX9AzfCCNDSVEuSVFUNjAzODgwNTcuSVFfQ0RTX01JRC4yNC8wOC8yNgEAAADfyX0BAwAAAAAAn9AmI/QM3wj/laJX9AzfCCRDSVEuSVFUMzEzMzEwODU0LklRX0NEU19NSUQuMDcvMDkvMjUBAAAAr1QNAAIAAAAHNDEuODc3MwDchgcj9AzfCHgzoFf0DN8II0NJUS5JUVQ0NjIwODYzNC5JUV9DRFNfTUlELjA3LzA2LzI2AQAAAAMfwgACAAAABzIzLjAwMDEAn9AmI/QM3whd0p1X9AzfCCNDSVEuSVFUNDYyMjUwODMuSVFfQ0RTX01JRC4wNy8wNi8yNgEAAABWRAYAAgAAAAQ0MC44ALD3JiP0DN8IXdKdV/QM3wgjQ0lRLklRVDQ2MTk3Njk0LklRX0NEU19NSUQuMzAvMDgvMjYBAAAAB/oFAAIAAAAHNTEuMDI2MQCf0CYj9AzfCNz6pFf0DN8II0NJUS5JUVQ0NjIxMDAzMi5JUV9DRFNfTUlELjMxLzA4LzI2AQAAAI9VowECAAAABzMzLjQzOTUAn9AmI/QM3wj/laJX9AzfCCNDSVEuSVFUNjAz</t>
  </si>
  <si>
    <t>ODk1MTYuSVFfQ0RTX01JRC4yNy8wOC8yNgEAAACl8MMBAgAAAAY3LjE2MjUAn9AmI/QM3wgCmJZX9AzfCCNDSVEuSVFUNDYyMDQ4ODQuSVFfQ0RTX01JRC4yNC8wOC8yNgEAAACBUcABAgAAAAcyOS41ODMzAKWpJiP0DN8I/5WiV/QM3wgkQ0lRLklRVDMxMzMxNDk3Ni5JUV9DRFNfTUlELjA3LzA5LzI1AQAAAG1KAAACAAAABzQ1LjM3NDMA3IYHI/QM3wh4M6BX9AzfCCNDSVEuSVFUNDYyMDczMDguSVFfQ0RTX01JRC4yNC8wOC8yNgEAAAA5iXoBAgAAAAUxNC4yNQClqSYj9AzfCP+Volf0DN8II0NJUS5JUVQ0NjIwNjc3OS5JUV9DRFNfTUlELjA3LzA2LzI2AQAAAPzvNgACAAAABzE1LjgzMzMApakmI/QM3whd0p1X9AzfCCNDSVEuSVFUNDYxOTk4NDEuSVFfQ0RTX01JRC4wNi8wOS8yNgEAAADrMAYAAwAAAAAAsPcmI/QM3wgCmJZX9AzfCCRDSVEuSVFUMzEzMzEwMTg0LklRX0NEU19NSUQuMDUvMDkvMjYBAAAAYEQ+AAIAAAAGMTAuNzU5AJWCJiP0DN8IApiWV/QM3wgjQ0lRLklRVDQ2MjE0ODc5LklRX0NEU19NSUQuMDUvMDkvMjYBAAAA9Ro3AAIAAAAHNTAuNzg5NAClqSYj9AzfCAKYllf0DN8II0NJUS5JUVQ0NjQ3MDg3Ny5JUV9DRFNfTUlELjA1LzA5LzI2AQAAAEI3BwACAAAABzU0LjY1MTkAn9AmI/QM3wgCmJZX9AzfCCRDSVEuSVFUMzEzMzEwODU0LklRX0NEU19NSUQuMDUvMDkvMjYBAAAAr1QN</t>
  </si>
  <si>
    <t>AAIAAAAHNjEuMzMzMwDchgcj9AzfCAKYllf0DN8II0NJUS5JUVQ0NjIxNDk1NC5JUV9DRFNfTUlELjA0LzA5LzI2AQAAADo9OQECAAAABzE0LjE1NjMApakmI/QM3whIcZlX9AzfCCNDSVEuSVFUNDYyMDg2MzQuSVFfQ0RTX01JRC4wNC8wOS8yNgEAAAADH8IAAgAAAAcyMS41Mjg1AJ/QJiP0DN8IX22bV/QM3wgjQ0lRLklRVDQ2MjI1MDgzLklRX0NEU19NSUQuMDQvMDkvMjYBAAAAVkQGAAIAAAAFMzMuMDUAsPcmI/QM3whfbZtX9AzfCCNDSVEuSVFUNDYyMDM3MTQuSVFfQ0RTX01JRC4wMy8wOS8yNgEAAABfBTUAAgAAAAczMy44MjA5AKWpJiP0DN8IXdKdV/QM3wgjQ0lRLklRVDc5NjM5OTUzLklRX0NEU19NSUQuMDMvMDkvMjYBAAAANJtWAQIAAAAGMjAuMDAzAJ/QJiP0DN8IXdKdV/QM3wgkQ0lRLklRVDUyODkzNjgxMi5JUV9DRFNfTUlELjAzLzA5LzI2AQAAAGxbBgACAAAABzQ0LjUzMzEAsPcmI/QM3whd0p1X9AzfCCNDSVEuSVFUNDYxOTcxMzguSVFfQ0RTX01JRC4wMi8wOS8yNgEAAADulDgBAgAAAAgxMTguMjMwMgCVgiYj9AzfCF3SnVf0DN8II0NJUS5JUVQ1MTAyMzQ4MC5JUV9DRFNfTUlELjAyLzA5LzI2AQAAAMJF8QECAAAABjQuNjM3NAClqSYj9AzfCHgzoFf0DN8IJENJUS5JUVQyODYwOTYxMzEuSVFfQ0RTX01JRC4wNi8wOS8yNgEAAAA78QQAAgAAAAc1My42NDA5ALD3JiP0DN8IApiW</t>
  </si>
  <si>
    <t>V/QM3wgjQ0lRLklRVDQ2MjEwNTYwLklRX0NEU19NSUQuMDUvMDkvMjYBAAAA9ho3AAIAAAAHNzkuMTc5MwCVgiYj9AzfCAKYllf0DN8II0NJUS5JUVQ0NjIxOTkyMi5JUV9DRFNfTUlELjA1LzA5LzI2AQAAANZHOQECAAAABjUuODgxNwCf0CYj9AzfCAKYllf0DN8II0NJUS5JUVQ0NjIyMzY0Ni5JUV9DRFNfTUlELjA1LzA5LzI2AQAAABt4BAACAAAABzQ1LjgxNTQAn9AmI/QM3wgCmJZX9AzfCCRDSVEuSVFUMzEzMzE0OTc2LklRX0NEU19NSUQuMDUvMDkvMjYBAAAAbUoAAAIAAAAHNTQuODEwNgDchgcj9AzfCAKYllf0DN8II0NJUS5JUVQ0NjIxODUxNi5JUV9DRFNfTUlELjA0LzA5LzI2AQAAAKZVowECAAAABzM1Ljk0NjgApakmI/QM3whIcZlX9AzfCCNDSVEuSVFUNDYyMjA4MDMuSVFfQ0RTX01JRC4wNC8wOS8yNgEAAADWyTYAAgAAAAY0MC4zNzUAn9AmI/QM3whfbZtX9AzfCCNDSVEuSVFUNDYyMDAzNjQuSVFfQ0RTX01JRC4wNC8wOS8yNgEAAABXhggAAgAAAAcyMy4wNzg3ALD3JiP0DN8IX22bV/QM3wgjQ0lRLklRVDQ2MjA0MzAwLklRX0NEU19NSUQuMDMvMDkvMjYBAAAA9iV9AAIAAAADNi41AKWpJiP0DN8IXdKdV/QM3wgjQ0lRLklRVDYwMzg4MDU3LklRX0NEU19NSUQuMDMvMDkvMjYBAAAA38l9AQMAAAAAAJ/QJiP0DN8IXdKdV/QM3wgjQ0lRLklRVDQ2MTk5ODQxLklRX0NEU19NSUQuMDMv</t>
  </si>
  <si>
    <t>MDkvMjYBAAAA6zAGAAMAAAAAALD3JiP0DN8IXdKdV/QM3wgkQ0lRLklRVDMxMzMxMDE4NC5JUV9DRFNfTUlELjAyLzA5LzI2AQAAAGBEPgACAAAABzEwLjgwMzQAlYImI/QM3whd0p1X9AzfCCNDSVEuSVFUNDYyMTQ4NzkuSVFfQ0RTX01JRC4wMi8wOS8yNgEAAAD1GjcAAgAAAAc1MC40NDQ4AJ/QJiP0DN8IeDOgV/QM3wgjQ0lRLklRVDQ2NDcwODc3LklRX0NEU19NSUQuMDIvMDkvMjYBAAAAQjcHAAIAAAAHNTUuMjcyNACf0CYj9AzfCHgzoFf0DN8IJENJUS5JUVQzMTMzMTA4NTQuSVFfQ0RTX01JRC4wMi8wOS8yNgEAAACvVA0AAgAAAAQ2MS41ANyGByP0DN8IeDOgV/QM3wgjQ0lRLklRVDQ2MjE0OTU0LklRX0NEU19NSUQuMjkvMDgvMjYBAAAAOj05AQIAAAAHMTQuMDQxNwClqSYj9AzfCNz6pFf0DN8II0NJUS5JUVQ0NjIwODYzNC5JUV9DRFNfTUlELjI5LzA4LzI2AQAAAAMfwgACAAAABzIxLjcwODMAn9AmI/QM3wjc+qRX9AzfCCNDSVEuSVFUNDYyMjUwODMuSVFfQ0RTX01JRC4yOS8wOC8yNgEAAABWRAYAAgAAAAczMy4wODMzALD3JiP0DN8I3PqkV/QM3wgjQ0lRLklRVDQ2MjAzNzE0LklRX0NEU19NSUQuMjgvMDgvMjYBAAAAXwU1AAIAAAAHMzIuNjY2NwClqSYj9AzfCF9tm1f0DN8II0NJUS5JUVQ3OTYzOTk1My5JUV9DRFNfTUlELjI4LzA4LzI2AQAAADSbVgECAAAABzE5Ljk4OTMAn9AmI/QM</t>
  </si>
  <si>
    <t>3whfbZtX9AzfCCRDSVEuSVFUNTI4OTM2ODEyLklRX0NEU19NSUQuMjgvMDgvMjYBAAAAbFsGAAIAAAAGNDQuMTQxALD3JiP0DN8IX22bV/QM3wgjQ0lRLklRVDQ2MTk3MTM4LklRX0NEU19NSUQuMjYvMDgvMjYBAAAA7pQ4AQIAAAAIMTE4LjkyNDQAlYImI/QM3whfbZtX9AzfCCNDSVEuSVFUNTEwMjM0ODAuSVFfQ0RTX01JRC4yNi8wOC8yNgEAAADCRfEBAgAAAAY0LjgxNDIApakmI/QM3whfbZtX9AzfCCNDSVEuSVFUNDYyMDQ5NTcuSVFfQ0RTX01JRC4yNi8wOC8yNgEAAAAhFQYAAgAAAAc1My4xOTU4AJ/QJiP0DN8IX22bV/QM3wgjQ0lRLklRVDYyMjcwMTA2LklRX0NEU19NSUQuMjYvMDgvMjYBAAAArXeDAAIAAAAHNzUuNTQ2MgDchgcj9AzfCF3SnVf0DN8II0NJUS5JUVQ3OTY0MDAyNC5JUV9DRFNfTUlELjAxLzA5LzI2AQAAADWPmwECAAAABjcuODMzMwClqSYj9AzfCHgzoFf0DN8IJENJUS5JUVQzMTMzMDU4NzkuSVFfQ0RTX01JRC4wMS8wOS8yNgEAAACE1twBAgAAAAYyLjI5MzkAn9AmI/QM3wj/laJX9AzfCCNDSVEuSVFUNDYyMDA0MTIuSVFfQ0RTX01JRC4wMS8wOS8yNgEAAABjQwYAAgAAAAc0NC4zOTg5ALD3JiP0DN8I/5WiV/QM3wgjQ0lRLklRVDQ2MjAzMzMyLklRX0NEU19NSUQuMzAvMDgvMjYBAAAAXx43AAIAAAAHMTAuNzUwNAClqSYj9AzfCNz6pFf0DN8II0NJUS5JUVQ0NjIxNTEx</t>
  </si>
  <si>
    <t>MS5JUV9DRFNfTUlELjMwLzA4LzI2AQAAAKBLsgECAAAABzM1LjEwNzgAn9AmI/QM3wjc+qRX9AzfCCNDSVEuSVFUNDYyMjYxMzIuSVFfQ0RTX01JRC4zMC8wOC8yNgEAAADdWQAAAgAAAAc0My42MDcxALD3JiP0DN8I3PqkV/QM3wgkQ0lRLklRVDMxMzMxMzUyNC5JUV9DRFNfTUlELjMwLzA4LzI2AQAAAO9VDQACAAAABzU5LjM5NTYA3IYHI/QM3wjc+qRX9AzfCCNDSVEuSVFUNDYyMDY3NzkuSVFfQ0RTX01JRC4wMS8wOS8yNgEAAAD87zYAAgAAAAQxNS41AKWpJiP0DN8IeDOgV/QM3wgjQ0lRLklRVDQ2MjE0ODc5LklRX0NEU19NSUQuMjQvMDgvMjYBAAAA9Ro3AAIAAAAHNDkuOTcwMwCf0CYj9AzfCP+Volf0DN8II0NJUS5JUVQ0NjIyNTA4My5JUV9DRFNfTUlELjA3LzA5LzI1AQAAAFZEBgACAAAABzQ0LjEzNzEAsPcmI/QM3wh4M6BX9AzfCCNDSVEuSVFUNDYyMTAwMzIuSVFfQ0RTX01JRC4yNS8wOC8yNgEAAACPVaMBAgAAAAUzMy4yNQCf0CYj9AzfCEhxmVf0DN8II0NJUS5JUVQ0NjIxNDk1NC5JUV9DRFNfTUlELjAzLzA5LzI2AQAAADo9OQECAAAABjE0LjEyNQClqSYj9AzfCF3SnVf0DN8II0NJUS5JUVQ0NjE5NzEzOC5JUV9DRFNfTUlELjI5LzA4LzI2AQAAAO6UOAECAAAACDEyMC4zOTg2AJWCJiP0DN8I3PqkV/QM3wgjQ0lRLklRVDQ2MjI0NzQwLklRX0NEU19NSUQuMjQvMDgvMjYBAAAA03II</t>
  </si>
  <si>
    <t>AAIAAAAHMzUuNDQwMQCw9yYj9AzfCP+Volf0DN8II0NJUS5JUVQ0NjIxMzQ3Mi5JUV9DRFNfTUlELjA3LzA2LzI2AQAAALlaOAACAAAABjE1LjI4OACf0CYj9AzfCF3SnVf0DN8IJENJUS5JUVQyODYwOTYxMzEuSVFfQ0RTX01JRC4wMi8wOS8yNgEAAAA78QQAAgAAAAc1My45NTg0ALD3JiP0DN8IeDOgV/QM3wgjQ0lRLklRVDc5NjM5OTUzLklRX0NEU19NSUQuMzEvMDgvMjYBAAAANJtWAQIAAAAHMTkuOTgyMwCf0CYj9AzfCP+Volf0DN8II0NJUS5JUVQ1MTAyMzQ4MC5JUV9DRFNfTUlELjI3LzA4LzI2AQAAAMJF8QECAAAABjQuODE2NwClqSYj9AzfCAKYllf0DN8II0NJUS5JUVQ0NjIyNjEzMi5JUV9DRFNfTUlELjI0LzA4LzI2AQAAAN1ZAAACAAAABzQzLjA2MzYAsPcmI/QM3wj/laJX9AzfCCRDSVEuSVFUNTI4OTM2ODEyLklRX0NEU19NSUQuMjQvMDgvMjYBAAAAbFsGAAIAAAAHNDUuMDQxNgCw9yYj9AzfCP+Volf0DN8IJENJUS5JUVQyODYwOTYxMzEuSVFfQ0RTX01JRC4zMS8wOC8yNgEAAAA78QQAAgAAAAU1Mi44OACw9yYj9AzfCNz6pFf0DN8II0NJUS5JUVQ0NjIyMDgwMy5JUV9DRFNfTUlELjI1LzA4LzI2AQAAANbJNgACAAAAAjQwAJ/QJiP0DN8ISHGZV/QM3wgjQ0lRLklRVDQ2MjEwNTYwLklRX0NEU19NSUQuMDcvMDkvMjUBAAAA9ho3AAIAAAAHOTUuMDExMQClqSYj9AzfCHgzoFf0DN8I</t>
  </si>
  <si>
    <t>I0NJUS5JUVQ0NjIwMDM2NC5JUV9DRFNfTUlELjA3LzA2LzI2AQAAAFeGCAACAAAABTI2LjI1ALD3JiP0DN8IXdKdV/QM3wgjQ0lRLklRVDQ2MjI1NzE1LklRX0NEU19NSUQuMDcvMDYvMjYBAAAAt+UEAAIAAAAGMzkuNzQ0ALD3JiP0DN8IXdKdV/QM3wgjQ0lRLklRVDQ2MjI1Mzc0LklRX0NEU19NSUQuMDYvMDkvMjYBAAAAtdYFAAIAAAAHMzUuNjU2NwCw9yYj9AzfCAKYllf0DN8II0NJUS5JUVQ0OTc1MTE5Ni5JUV9DRFNfTUlELjA1LzA5LzI2AQAAAM2ZvQACAAAABzM0Ljk0MTQApakmI/QM3wgCmJZX9AzfCCNDSVEuSVFUNjAzODk1MTYuSVFfQ0RTX01JRC4wNS8wOS8yNgEAAACl8MMBAgAAAAY3LjIyODkAn9AmI/QM3wgCmJZX9AzfCCRDSVEuSVFUMzIzNjgwMTMwLklRX0NEU19NSUQuMDUvMDkvMjYBAAAAceECAAIAAAAHNTAuOTkyOACf0CYj9AzfCAKYllf0DN8IJENJUS5JUVQzMTMzMTU0MjkuSVFfQ0RTX01JRC4wNS8wOS8yNgEAAAA55wUAAgAAAAc1OS44OTkyANyGByP0DN8IApiWV/QM3wgjQ0lRLklRVDQ2MjA2Nzc5LklRX0NEU19NSUQuMDQvMDkvMjYBAAAA/O82AAIAAAAHMTUuNDM3NQClqSYj9AzfCEhxmVf0DN8II0NJUS5JUVQ0NjIxODY3NC5JUV9DRFNfTUlELjA0LzA5LzI2AQAAAFfKNgACAAAACDExNC43MjExAJ/QJiP0DN8IX22bV/QM3wgjQ0lRLklRVDQ2MjI1NzE1LklRX0NEU19N</t>
  </si>
  <si>
    <t>SUQuMDQvMDkvMjYBAAAAt+UEAAIAAAAHMzkuMzk5NwCw9yYj9AzfCF9tm1f0DN8II0NJUS5JUVQ0NjIwNDg4NC5JUV9DRFNfTUlELjAzLzA5LzI2AQAAAIFRwAECAAAABzI4Ljg4MDgApakmI/QM3whd0p1X9AzfCCNDSVEuSVFUNDYyMDc3ODkuSVFfQ0RTX01JRC4wMy8wOS8yNgEAAAAqWKMBAgAAAAcyMy45Mzg5AJ/QJiP0DN8IXdKdV/QM3wgkQ0lRLklRVDI4NjA5NjEzMS5JUV9DRFNfTUlELjAzLzA5LzI2AQAAADvxBAACAAAABzUzLjg2MjIAsPcmI/QM3whd0p1X9AzfCCNDSVEuSVFUNDYyMTA1NjAuSVFfQ0RTX01JRC4wMi8wOS8yNgEAAAD2GjcAAgAAAAc3OS44OTM2AJWCJiP0DN8IXdKdV/QM3wgjQ0lRLklRVDQ2MjE5OTIyLklRX0NEU19NSUQuMDIvMDkvMjYBAAAA1kc5AQIAAAAGNS43OTY1AJ/QJiP0DN8IeDOgV/QM3wgjQ0lRLklRVDQ2MjAwMzE3LklRX0NEU19NSUQuMDEvMDkvMjYBAAAA/lQNAAIAAAAHNjIuODcyMgDchgcj9AzfCP+Volf0DN8II0NJUS5JUVQ0NjIwMDI3Ni5JUV9DRFNfTUlELjI3LzA4LzI2AQAAAJZ3fAECAAAABzE5Ljg3NTgApakmI/QM3wgCmJZX9AzfCCNDSVEuSVFUNDYyMDc1NzEuSVFfQ0RTX01JRC4yNS8wOC8yNgEAAABt7zUAAgAAAAYzMC42MjUApakmI/QM3whIcZlX9AzfCCNDSVEuSVFUNDYyMjAzMjkuSVFfQ0RTX01JRC4yNC8wOC8yNgEAAADbWwAAAgAAAAI1</t>
  </si>
  <si>
    <t>NgDchgcj9AzfCP+Volf0DN8II0NJUS5JUVQ2MjI3MDEwNy5JUV9DRFNfTUlELjA3LzA5LzI1AQAAABVZAAACAAAABTI4Ljc1ALD3JiP0DN8IeDOgV/QM3wgjQ0lRLklRVDQ2MjI1Mzc0LklRX0NEU19NSUQuMDcvMDYvMjYBAAAAtdYFAAIAAAAHNDAuODM4NgCw9yYj9AzfCF3SnVf0DN8II0NJUS5JUVQ0NjIyMDgwMy5JUV9DRFNfTUlELjAzLzA5LzI2AQAAANbJNgACAAAABzQwLjQxNzUAn9AmI/QM3whd0p1X9AzfCCNDSVEuSVFUNDYyMTQ4NzkuSVFfQ0RTX01JRC4yOS8wOC8yNgEAAAD1GjcAAgAAAAc0OS44ODIxAJ/QJiP0DN8I3PqkV/QM3wgjQ0lRLklRVDQ2MjI2MTMyLklRX0NEU19NSUQuMzEvMDgvMjYBAAAA3VkAAAIAAAAHNDMuNDIxNwCw9yYj9AzfCNz6pFf0DN8II0NJUS5JUVQ0NjE5NjIyNS5JUV9DRFNfTUlELjI0LzA4LzI2AQAAAL5VowECAAAABTE3LjI1AKWpJiP0DN8I/5WiV/QM3wgjQ0lRLklRVDQ2MTk1NDkxLklRX0NEU19NSUQuMDcvMDkvMjUBAAAAaUoAAAIAAAAHNTMuMDEzMQCf0CYj9AzfCHgzoFf0DN8II0NJUS5JUVQ0NjIxNDg3OS5JUV9DRFNfTUlELjAxLzA5LzI2AQAAAPUaNwACAAAABTUwLjI1AJ/QJiP0DN8IeDOgV/QM3wgjQ0lRLklRVDQ2MjAzNzE0LklRX0NEU19NSUQuMzEvMDgvMjYBAAAAXwU1AAIAAAAHMzIuODI2OQClqSYj9AzfCP+Volf0DN8II0NJUS5JUVQ2MjI3</t>
  </si>
  <si>
    <t>MDEwNi5JUV9DRFNfTUlELjA3LzA5LzI1AQAAAK13gwACAAAABzczLjg0ODUA3IYHI/QM3wh4M6BX9AzfCCRDSVEuSVFUMzIzNjgwMTMwLklRX0NEU19NSUQuMDEvMDkvMjYBAAAAceECAAIAAAAHNTAuNTQ3OACf0CYj9AzfCP+Volf0DN8II0NJUS5JUVQ0NjIxMDU2MC5JUV9DRFNfTUlELjI3LzA4LzI2AQAAAPYaNwACAAAABzc3LjIwMTYAlYImI/QM3wgCmJZX9AzfCCNDSVEuSVFUNDYyMjM2NDYuSVFfQ0RTX01JRC4wNy8wOS8yNQEAAAAbeAQAAgAAAAc0NS44NjEyAJ/QJiP0DN8IeDOgV/QM3wgjQ0lRLklRVDQ2MjE4NTE2LklRX0NEU19NSUQuMDcvMDYvMjYBAAAAplWjAQIAAAAHMzUuMzUzOAClqSYj9AzfCF3SnVf0DN8II0NJUS5JUVQ0NjIyNTM3NC5JUV9DRFNfTUlELjI0LzA4LzI2AQAAALXWBQACAAAABzM1Ljg2MzQAsPcmI/QM3wj/laJX9AzfCCRDSVEuSVFUMjYzMjEzMTMyLklRX0NEU19NSUQuMDYvMDkvMjYBAAAA4ZoIAAIAAAAHNTEuNjQ2MgCw9yYj9AzfCAKYllf0DN8II0NJUS5JUVQ0NjE5NDk5NS5JUV9DRFNfTUlELjA1LzA5LzI2AQAAAG4QMQACAAAABzExLjE2ODgApakmI/QM3wgCmJZX9AzfCCNDSVEuSVFUNDYyMjIyOTIuSVFfQ0RTX01JRC4wNS8wOS8yNgEAAADRkZsBAgAAAAg3NjguNzY1MQCf0CYj9AzfCAKYllf0DN8II0NJUS5JUVQ0NjIyNTAwNi5JUV9DRFNfTUlELjA1LzA5</t>
  </si>
  <si>
    <t>LzI2AQAAAPhVDQACAAAABjQxLjkwNACf0CYj9AzfCAKYllf0DN8II0NJUS5JUVQ0NjIyMDMyOS5JUV9DRFNfTUlELjA1LzA5LzI2AQAAANtbAAACAAAABjU3LjQ5NQDchgcj9AzfCAKYllf0DN8II0NJUS5JUVQ0NjI2MjM3OC5JUV9DRFNfTUlELjA0LzA5LzI2AQAAAEDSiQECAAAABDE3LjkApakmI/QM3whIcZlX9AzfCCNDSVEuSVFUNDYxOTc2OTQuSVFfQ0RTX01JRC4wNC8wOS8yNgEAAAAH+gUAAgAAAAc1MC41MjM1AJ/QJiP0DN8IX22bV/QM3wgjQ0lRLklRVDYyMjcwMTA3LklRX0NEU19NSUQuMDQvMDkvMjYBAAAAFVkAAAIAAAAHNDAuNjQxNwCw9yYj9AzfCF9tm1f0DN8II0NJUS5JUVQ0NjIwNzMwOC5JUV9DRFNfTUlELjAzLzA5LzI2AQAAADmJegECAAAABzE0LjE2NjcApakmI/QM3whd0p1X9AzfCCNDSVEuSVFUNDYyMTAwMzIuSVFfQ0RTX01JRC4wMy8wOS8yNgEAAACPVaMBAgAAAAczMy4yMzc1AJ/QJiP0DN8IXdKdV/QM3wgjQ0lRLklRVDQ2MjI1Mzc0LklRX0NEU19NSUQuMDMvMDkvMjYBAAAAtdYFAAIAAAAHMzYuMDY4MQCw9yYj9AzfCF3SnVf0DN8II0NJUS5JUVQ0OTc1MTE5Ni5JUV9DRFNfTUlELjAyLzA5LzI2AQAAAM2ZvQACAAAABzM1LjYxNzEApakmI/QM3whd0p1X9AzfCCNDSVEuSVFUNjAzODk1MTYuSVFfQ0RTX01JRC4wMi8wOS8yNgEAAACl8MMBAgAAAAY3LjE2MjIAn9AmI/QM</t>
  </si>
  <si>
    <t>3wh4M6BX9AzfCCRDSVEuSVFUMzIzNjgwMTMwLklRX0NEU19NSUQuMDIvMDkvMjYBAAAAceECAAIAAAAHNTAuNTA2OQCf0CYj9AzfCHgzoFf0DN8IJENJUS5JUVQzMTMzMTU0MjkuSVFfQ0RTX01JRC4wMi8wOS8yNgEAAAA55wUAAgAAAAc2MC4zMzMzANyGByP0DN8IeDOgV/QM3wgjQ0lRLklRVDQ2MjA2Nzc5LklRX0NEU19NSUQuMjkvMDgvMjYBAAAA/O82AAIAAAAHMTUuNzMzNwClqSYj9AzfCNz6pFf0DN8II0NJUS5JUVQ0NjIxODY3NC5JUV9DRFNfTUlELjI5LzA4LzI2AQAAAFfKNgACAAAACDExNC44MDkzAJ/QJiP0DN8I3PqkV/QM3wgjQ0lRLklRVDQ2MjI1NzE1LklRX0NEU19NSUQuMjkvMDgvMjYBAAAAt+UEAAIAAAAHMzkuMjkzOQCw9yYj9AzfCOpdp1f0DN8II0NJUS5JUVQ0NjIwNDg4NC5JUV9DRFNfTUlELjI4LzA4LzI2AQAAAIFRwAECAAAABzI4LjkxNjcApakmI/QM3whfbZtX9AzfCCNDSVEuSVFUNDYyMDc3ODkuSVFfQ0RTX01JRC4yOC8wOC8yNgEAAAAqWKMBAgAAAAcyNS4yNjE1AJ/QJiP0DN8IX22bV/QM3wgkQ0lRLklRVDI4NjA5NjEzMS5JUV9DRFNfTUlELjI4LzA4LzI2AQAAADvxBAACAAAABTUyLjc1ALD3JiP0DN8IX22bV/QM3wgjQ0lRLklRVDQ2MjEwNTYwLklRX0NEU19NSUQuMjYvMDgvMjYBAAAA9ho3AAIAAAAGNzcuNzgyAJWCJiP0DN8IX22bV/QM3wgjQ0lRLklRVDQ2MjE5</t>
  </si>
  <si>
    <t>OTIyLklRX0NEU19NSUQuMjYvMDgvMjYBAAAA1kc5AQIAAAAGNS41MjA3AJ/QJiP0DN8IX22bV/QM3wgjQ0lRLklRVDQ2MjIzNjQ2LklRX0NEU19NSUQuMjYvMDgvMjYBAAAAG3gEAAIAAAAHNDYuNDA4NgCf0CYj9AzfCF9tm1f0DN8IJENJUS5JUVQzMTMzMTQ5NzYuSVFfQ0RTX01JRC4yNi8wOC8yNgEAAABtSgAAAgAAAAc1Ni44MTYzANyGByP0DN8IXdKdV/QM3wgjQ0lRLklRVDQ2MjE4NTE2LklRX0NEU19NSUQuMDEvMDkvMjYBAAAAplWjAQIAAAAHMzUuNDUxOAClqSYj9AzfCHgzoFf0DN8II0NJUS5JUVQ0NjIyMDgwMy5JUV9DRFNfTUlELjAxLzA5LzI2AQAAANbJNgACAAAABzQwLjMzMzMAn9AmI/QM3wj/laJX9AzfCCNDSVEuSVFUNDYyMDAzNjQuSVFfQ0RTX01JRC4wMS8wOS8yNgEAAABXhggAAgAAAAUyMy40NwCw9yYj9AzfCP+Volf0DN8II0NJUS5JUVQ0NjIwNDMwMC5JUV9DRFNfTUlELjMwLzA4LzI2AQAAAPYlfQACAAAABjcuNDk2MwClqSYj9AzfCNz6pFf0DN8II0NJUS5JUVQ2MDM4ODA1Ny5JUV9DRFNfTUlELjMwLzA4LzI2AQAAAN/JfQEDAAAAAACf0CYj9AzfCNz6pFf0DN8II0NJUS5JUVQ0NjE5OTg0MS5JUV9DRFNfTUlELjMwLzA4LzI2AQAAAOswBgADAAAAAACw9yYj9AzfCNz6pFf0DN8IJENJUS5JUVQzMTMzMTAxODQuSVFfQ0RTX01JRC4zMS8wOC8yNgEAAABgRD4AAgAAAAcxMC43</t>
  </si>
  <si>
    <t>OTQ0AJWCJiP0DN8I/5WiV/QM3wgjQ0lRLklRVDQ2MjE0ODc5LklRX0NEU19NSUQuMzEvMDgvMjYBAAAA9Ro3AAIAAAAHNDkuNzYyMgCf0CYj9AzfCP+Volf0DN8II0NJUS5JUVQ0NjQ3MDg3Ny5JUV9DRFNfTUlELjMxLzA4LzI2AQAAAEI3BwACAAAABzU1LjY2NjcAn9AmI/QM3wjc+qRX9AzfCCRDSVEuSVFUMzEzMzEwODU0LklRX0NEU19NSUQuMzEvMDgvMjYBAAAAr1QNAAIAAAAENTkuNQDchgcj9AzfCNz6pFf0DN8II0NJUS5JUVQ0NjIxNDk1NC5JUV9DRFNfTUlELjI3LzA4LzI2AQAAADo9OQECAAAABzE0LjA4MzMApakmI/QM3wgCmJZX9AzfCCNDSVEuSVFUNDYyMDg2MzQuSVFfQ0RTX01JRC4yNy8wOC8yNgEAAAADH8IAAgAAAAcyMS42MTcyAJ/QJiP0DN8IXPqYV/QM3wgjQ0lRLklRVDQ2MjI1MDgzLklRX0NEU19NSUQuMjcvMDgvMjYBAAAAVkQGAAIAAAAGMzMuMzc1ALD3JiP0DN8IXPqYV/QM3wgjQ0lRLklRVDQ2MjAzNzE0LklRX0NEU19NSUQuMjUvMDgvMjYBAAAAXwU1AAIAAAAHMzIuODMzMwClqSYj9AzfCEhxmVf0DN8II0NJUS5JUVQ3OTYzOTk1My5JUV9DRFNfTUlELjI1LzA4LzI2AQAAADSbVgECAAAABzE5Ljk5MjkAn9AmI/QM3whIcZlX9AzfCCRDSVEuSVFUNTI4OTM2ODEyLklRX0NEU19NSUQuMjUvMDgvMjYBAAAAbFsGAAIAAAAHNDQuNDQyOQCw9yYj9AzfCEhxmVf0DN8II0NJUS5J</t>
  </si>
  <si>
    <t>UVQ0NjE5NzEzOC5JUV9DRFNfTUlELjI0LzA4LzI2AQAAAO6UOAECAAAACDEyMi44MDY1AJWCJiP0DN8I/5WiV/QM3wgjQ0lRLklRVDUxMDIzNDgwLklRX0NEU19NSUQuMjQvMDgvMjYBAAAAwkXxAQIAAAAGNC41MzA3AKWpJiP0DN8I/5WiV/QM3wgjQ0lRLklRVDQ2MjA0OTU3LklRX0NEU19NSUQuMjQvMDgvMjYBAAAAIRUGAAIAAAAHNTQuMjg1NwCf0CYj9AzfCP+Volf0DN8II0NJUS5JUVQ2MjI3MDEwNi5JUV9DRFNfTUlELjI0LzA4LzI2AQAAAK13gwACAAAABzc1LjU0OTgA3IYHI/QM3wj/laJX9AzfCCNDSVEuSVFUNzk2NDAwMjQuSVFfQ0RTX01JRC4wNy8wOS8yNQEAAAA1j5sBAgAAAAcxMC4xMjc1AKWpJiP0DN8IeDOgV/QM3wgkQ0lRLklRVDMxMzMwNTg3OS5JUV9DRFNfTUlELjA3LzA5LzI1AQAAAITW3AECAAAABjMuMjcyNgCf0CYj9AzfCHgzoFf0DN8II0NJUS5JUVQ0NjIwMDQxMi5JUV9DRFNfTUlELjA3LzA5LzI1AQAAAGNDBgACAAAABzU0LjY0MTMAsPcmI/QM3wh4M6BX9AzfCCNDSVEuSVFUNDYyMDMzMzIuSVFfQ0RTX01JRC4wNy8wNi8yNgEAAABfHjcAAgAAAAQxMS41AKWpJiP0DN8IXdKdV/QM3wgjQ0lRLklRVDQ2MjE1MTExLklRX0NEU19NSUQuMDcvMDYvMjYBAAAAoEuyAQIAAAAHNDAuODM4OQCf0CYj9AzfCF3SnVf0DN8II0NJUS5JUVQ0NjIyNjEzMi5JUV9DRFNfTUlELjA3LzA2</t>
  </si>
  <si>
    <t>LzI2AQAAAN1ZAAACAAAABzQwLjg5NTMAsPcmI/QM3whd0p1X9AzfCCRDSVEuSVFUMzEzMzEzNTI0LklRX0NEU19NSUQuMDcvMDYvMjYBAAAA71UNAAIAAAAGNTUuNTA4ANyGByP0DN8IXdKdV/QM3wgjQ0lRLklRVDQ2MTk2MjI1LklRX0NEU19NSUQuMDUvMDkvMjYBAAAAvlWjAQIAAAAGMTcuMzc1AKWpJiP0DN8IApiWV/QM3wgjQ0lRLklRVDUxMDIzMjYwLklRX0NEU19NSUQuMDUvMDkvMjYBAAAAsRF/AQIAAAAHMTMuOTUzNgCf0CYj9AzfCAKYllf0DN8II0NJUS5JUVQ0NjIwMDI3Ni5JUV9DRFNfTUlELjA0LzA5LzI2AQAAAJZ3fAECAAAABzI5LjU5NTEApakmI/QM3whIcZlX9AzfCCNDSVEuSVFUNzk2MzQ5MDEuSVFfQ0RTX01JRC4wNC8wOS8yNgEAAACcBhAAAgAAAAc1NC4wNjU5ALD3JiP0DN8IX22bV/QM3wgjQ0lRLklRVDQ2MTk3Njk0LklRX0NEU19NSUQuMjcvMDgvMjYBAAAAB/oFAAIAAAAHNTEuMDYzNwCf0CYj9AzfCFz6mFf0DN8II0NJUS5JUVQ0OTc1MTE5Ni5JUV9DRFNfTUlELjI0LzA4LzI2AQAAAM2ZvQACAAAABzM3LjYzMTUApakmI/QM3wj/laJX9AzfCCRDSVEuSVFUMzEzMzE1NDI5LklRX0NEU19NSUQuMjQvMDgvMjYBAAAAOecFAAIAAAAHNjAuNjI4NgDchgcj9AzfCP+Volf0DN8II0NJUS5JUVQ3OTYzOTkxMy5JUV9DRFNfTUlELjAxLzA5LzI2AQAAACBjHAICAAAABjcuOTE3OACl</t>
  </si>
  <si>
    <t>qSYj9AzfCHgzoFf0DN8II0NJUS5JUVQ0NjE5NTQ5MS5JUV9DRFNfTUlELjI3LzA4LzI2AQAAAGlKAAACAAAABzUzLjI5MTIAn9AmI/QM3whc+phX9AzfCCNDSVEuSVFUNDYxOTQ5OTUuSVFfQ0RTX01JRC4yNC8wOC8yNgEAAABuEDEAAgAAAAcxMS4wMTg2AKWpJiP0DN8I/5WiV/QM3wgjQ0lRLklRVDQ2MjAwMzY0LklRX0NEU19NSUQuMDMvMDkvMjYBAAAAV4YIAAIAAAAEMjMuNwCw9yYj9AzfCF3SnVf0DN8II0NJUS5JUVQ0NjIxNDk1NC5JUV9DRFNfTUlELjI4LzA4LzI2AQAAADo9OQECAAAABzE0LjA0MTcApakmI/QM3whfbZtX9AzfCCRDSVEuSVFUNTI4OTM2ODEyLklRX0NEU19NSUQuMjYvMDgvMjYBAAAAbFsGAAIAAAAGNDMuOTU5ALD3JiP0DN8IXdKdV/QM3wgjQ0lRLklRVDUxMDIzNDgwLklRX0NEU19NSUQuMDEvMDkvMjYBAAAAwkXxAQIAAAAGNC42NTkxAKWpJiP0DN8IeDOgV/QM3wgjQ0lRLklRVDYyMjcwMTA2LklRX0NEU19NSUQuMDEvMDkvMjYBAAAArXeDAAIAAAAHNzUuNTQwNQDchgcj9AzfCP+Volf0DN8II0NJUS5JUVQ0NjIwMDQxMi5JUV9DRFNfTUlELjMwLzA4LzI2AQAAAGNDBgACAAAABDQzLjgAsPcmI/QM3wjc+qRX9AzfCCNDSVEuSVFUNDYyMTUxMTEuSVFfQ0RTX01JRC4zMS8wOC8yNgEAAACgS7IBAgAAAAczNS4xOTM5AJ/QJiP0DN8I/5WiV/QM3wgjQ0lRLklRVDc5NjM5OTEz</t>
  </si>
  <si>
    <t>LklRX0NEU19NSUQuMjcvMDgvMjYBAAAAIGMcAgIAAAAGOC4wMTMzAKWpJiP0DN8IApiWV/QM3wgjQ0lRLklRVDQ2MjEwNTYwLklRX0NEU19NSUQuMjkvMDgvMjYBAAAA9ho3AAIAAAAGNzcuOTkyAJWCJiP0DN8I3PqkV/QM3wgjQ0lRLklRVDQ2MjIwODAzLklRX0NEU19NSUQuMjgvMDgvMjYBAAAA1sk2AAIAAAAHNDAuMTY2NwCf0CYj9AzfCF9tm1f0DN8II0NJUS5JUVQ0NjIxNjk4Ni5JUV9DRFNfTUlELjA3LzA2LzI2AQAAAM5EOAEDAAAAAACf0CYj9AzfCF3SnVf0DN8II0NJUS5JUVQ0NjIwMDQxMi5JUV9DRFNfTUlELjA3LzA2LzI2AQAAAGNDBgACAAAABzUzLjE2NjcAsPcmI/QM3whd0p1X9AzfCCNDSVEuSVFUNDYyMTk5MjIuSVFfQ0RTX01JRC4yNy8wOC8yNgEAAADWRzkBAgAAAAY1LjUwNTgAn9AmI/QM3wgCmJZX9AzfCCNDSVEuSVFUNDYyMjUzNzQuSVFfQ0RTX01JRC4zMS8wOC8yNgEAAAC11gUAAgAAAAczNS4zMzI1ALD3JiP0DN8I3PqkV/QM3wgkQ0lRLklRVDI4NjA5NjEzMS5JUV9DRFNfTUlELjI0LzA4LzI2AQAAADvxBAACAAAABzUzLjI4MjQAsPcmI/QM3wj/laJX9AzfCCRDSVEuSVFUMjU0OTU1MjMzLklRX0NEU19NSUQuMDYvMDkvMjYBAAAAOVYKAAIAAAAHMzguNzE1MgCw9yYj9AzfCAKYllf0DN8II0NJUS5JUVQ0NjIyNDc0MC5JUV9DRFNfTUlELjA1LzA5LzI2AQAAANNyCAACAAAA</t>
  </si>
  <si>
    <t>BzM2LjcxNzgAsPcmI/QM3wgCmJZX9AzfCCRDSVEuSVFUMzEzMzE3MzQ0LklRX0NEU19NSUQuMDUvMDkvMjYBAAAA8awBAAIAAAAHNjAuMTU4MwDchgcj9AzfCAKYllf0DN8II0NJUS5JUVQ0NjE5NTQ5MS5JUV9DRFNfTUlELjA0LzA5LzI2AQAAAGlKAAACAAAABzUyLjExNTkAn9AmI/QM3whfbZtX9AzfCCNDSVEuSVFUNDYyMDc1NzEuSVFfQ0RTX01JRC4wMy8wOS8yNgEAAABt7zUAAgAAAAczMS4yOTIzAKWpJiP0DN8IXdKdV/QM3wgjQ0lRLklRVDQ2MjEzNDcyLklRX0NEU19NSUQuMDMvMDkvMjYBAAAAuVo4AAIAAAAHMTUuMDk4NQCf0CYj9AzfCF3SnVf0DN8IJENJUS5JUVQyNjMyMTMxMzIuSVFfQ0RTX01JRC4wMy8wOS8yNgEAAADhmggAAgAAAAc1MS44NDg0ALD3JiP0DN8IXdKdV/QM3wgjQ0lRLklRVDQ2MTk0OTk1LklRX0NEU19NSUQuMDIvMDkvMjYBAAAAbhAxAAIAAAAHMTEuMTk1OAClqSYj9AzfCF3SnVf0DN8II0NJUS5JUVQ0NjIyMjI5Mi5JUV9DRFNfTUlELjAyLzA5LzI2AQAAANGRmwECAAAACDc2OS4wMjI0AJ/QJiP0DN8IeDOgV/QM3wgjQ0lRLklRVDQ2MjI1MDA2LklRX0NEU19NSUQuMDIvMDkvMjYBAAAA+FUNAAIAAAAHNDIuNDI0MwCf0CYj9AzfCHgzoFf0DN8II0NJUS5JUVQ0NjIyMDMyOS5JUV9DRFNfTUlELjAyLzA5LzI2AQAAANtbAAACAAAABDU3LjUA3IYHI/QM3wh4M6BX9Azf</t>
  </si>
  <si>
    <t>CCNDSVEuSVFUNDYyNjIzNzguSVFfQ0RTX01JRC4yOS8wOC8yNgEAAABA0okBAgAAAAcxOC4wNDIzAKWpJiP0DN8I3PqkV/QM3wgjQ0lRLklRVDQ2MTk3Njk0LklRX0NEU19NSUQuMjkvMDgvMjYBAAAAB/oFAAIAAAAHNTEuMDI2MQCf0CYj9AzfCNz6pFf0DN8II0NJUS5JUVQ2MjI3MDEwNy5JUV9DRFNfTUlELjI5LzA4LzI2AQAAABVZAAACAAAABzQxLjYzNzYAsPcmI/QM3wjqXadX9AzfCCNDSVEuSVFUNDYyMDc3ODkuSVFfQ0RTX01JRC4wNy8wNi8yNgEAAAAqWKMBAgAAAAcyNy4zMDY3AJ/QJiP0DN8IXdKdV/QM3wgjQ0lRLklRVDQ2MjA4NjM0LklRX0NEU19NSUQuMDMvMDkvMjYBAAAAAx/CAAIAAAAGMjEuNjI1AJ/QJiP0DN8IXdKdV/QM3wgjQ0lRLklRVDc5NjQwMDI0LklRX0NEU19NSUQuMjgvMDgvMjYBAAAANY+bAQIAAAAGNy44NDczAKWpJiP0DN8IX22bV/QM3wgjQ0lRLklRVDQ2MjE1MTExLklRX0NEU19NSUQuMjYvMDgvMjYBAAAAoEuyAQIAAAAHMzUuMTY1NwCf0CYj9AzfCF9tm1f0DN8II0NJUS5JUVQ1MTAyMzI2MC5JUV9DRFNfTUlELjMxLzA4LzI2AQAAALERfwECAAAABzE0LjE4ODQAn9AmI/QM3wj/laJX9AzfCCNDSVEuSVFUNDYyMjIyOTIuSVFfQ0RTX01JRC4yNC8wOC8yNgEAAADRkZsBAgAAAAg3NjYuNTQzMwCf0CYj9AzfCP+Volf0DN8II0NJUS5JUVQ0NjE5NzEzOC5JUV9DRFNf</t>
  </si>
  <si>
    <t>TUlELjAxLzA5LzI2AQAAAO6UOAECAAAACDEyMC45OTI0AJWCJiP0DN8IeDOgV/QM3wgkQ0lRLklRVDMxMzMxMzUyNC5JUV9DRFNfTUlELjMxLzA4LzI2AQAAAO9VDQACAAAABzU4LjkyODIA3IYHI/QM3wjc+qRX9AzfCCRDSVEuSVFUNjQ0NzAxNzk3LklRX0NEU19NSUQuMjUvMDgvMjYBAAAAUz99AQIAAAAGMTAuMDEyAKWpJiP0DN8ISHGZV/QM3wgjQ0lRLklRVDQ2MjE5OTIyLklRX0NEU19NSUQuMjkvMDgvMjYBAAAA1kc5AQIAAAAGNS40ODg4AJ/QJiP0DN8I3PqkV/QM3wgjQ0lRLklRVDQ2NDcwODc3LklRX0NEU19NSUQuMDcvMDkvMjUBAAAAQjcHAAIAAAAHNTEuODM3OACf0CYj9AzfCHgzoFf0DN8II0NJUS5JUVQ0OTc1MTE5Ni5JUV9DRFNfTUlELjI3LzA4LzI2AQAAAM2ZvQACAAAABzM2LjczMDcApakmI/QM3wgCmJZX9AzfCCNDSVEuSVFUNDYyMjA4MDMuSVFfQ0RTX01JRC4wNy8wNi8yNgEAAADWyTYAAgAAAAc0OC40NTU3AJ/QJiP0DN8IXdKdV/QM3wgkQ0lRLklRVDMxMzMxNTQyOS5JUV9DRFNfTUlELjA3LzA5LzI1AQAAADnnBQACAAAABzQ0LjEyODgA3IYHI/QM3wh4M6BX9AzfCCNDSVEuSVFUNDYyMDA0MTIuSVFfQ0RTX01JRC4wNi8wOS8yNgEAAABjQwYAAgAAAAc0My45NjE5ALD3JiP0DN8IApiWV/QM3wgjQ0lRLklRVDQ2MjAzMzMyLklRX0NEU19NSUQuMDUvMDkvMjYBAAAAXx43AAIA</t>
  </si>
  <si>
    <t>AAAEMTAuNQClqSYj9AzfCAKYllf0DN8II0NJUS5JUVQ0NjIxNTExMS5JUV9DRFNfTUlELjA1LzA5LzI2AQAAAKBLsgECAAAABzM0Ljg5MzQAn9AmI/QM3wgCmJZX9AzfCCNDSVEuSVFUNDYyMjYxMzIuSVFfQ0RTX01JRC4wNS8wOS8yNgEAAADdWQAAAgAAAAc0NC4xMDM5ALD3JiP0DN8IApiWV/QM3wgkQ0lRLklRVDMxMzMxMzUyNC5JUV9DRFNfTUlELjA1LzA5LzI2AQAAAO9VDQACAAAABzU2LjUyODkA3IYHI/QM3wgCmJZX9AzfCCNDSVEuSVFUNzk2Mzk5MTMuSVFfQ0RTX01JRC4wNC8wOS8yNgEAAAAgYxwCAgAAAAU4LjEyNQClqSYj9AzfCEhxmVf0DN8II0NJUS5JUVQ0NjIwNzg3Mi5JUV9DRFNfTUlELjA0LzA5LzI2AQAAAFgNCgACAAAABjM3LjM5NwCf0CYj9AzfCF9tm1f0DN8II0NJUS5JUVQ0NjIwMDMxNy5JUV9DRFNfTUlELjA0LzA5LzI2AQAAAP5UDQACAAAABzYyLjA2OTUA3IYHI/QM3whfbZtX9AzfCCRDSVEuSVFUNjQ0NzAxNzk3LklRX0NEU19NSUQuMDMvMDkvMjYBAAAAUz99AQIAAAAHMTAuMDIwNwClqSYj9AzfCF3SnVf0DN8II0NJUS5JUVQ0NjIxNjk4Ni5JUV9DRFNfTUlELjAzLzA5LzI2AQAAAM5EOAEDAAAAAACf0CYj9AzfCF3SnVf0DN8IJENJUS5JUVQyNTQ5NTUyMzMuSVFfQ0RTX01JRC4wMy8wOS8yNgEAAAA5VgoAAgAAAAczOC44NTk4ALD3JiP0DN8IXdKdV/QM3wgjQ0lRLklR</t>
  </si>
  <si>
    <t>VDQ2MTk2MjI1LklRX0NEU19NSUQuMDIvMDkvMjYBAAAAvlWjAQIAAAAEMTcuNQClqSYj9AzfCF3SnVf0DN8II0NJUS5JUVQ1MTAyMzI2MC5JUV9DRFNfTUlELjAyLzA5LzI2AQAAALERfwECAAAABzE0LjE5NzQAn9AmI/QM3wh4M6BX9AzfCCNDSVEuSVFUNDYyMjQ3NDAuSVFfQ0RTX01JRC4wMi8wOS8yNgEAAADTcggAAgAAAAczNi43Njg0ALD3JiP0DN8IeDOgV/QM3wgkQ0lRLklRVDMxMzMxNzM0NC5JUV9DRFNfTUlELjAyLzA5LzI2AQAAAPGsAQACAAAABzYwLjQ2MjgA3IYHI/QM3wh4M6BX9AzfCCNDSVEuSVFUNDYyMDAyNzYuSVFfQ0RTX01JRC4yOS8wOC8yNgEAAACWd3wBAgAAAAYxOS43NTIApakmI/QM3wjc+qRX9AzfCCNDSVEuSVFUNDYxOTU0OTEuSVFfQ0RTX01JRC4yOS8wOC8yNgEAAABpSgAAAgAAAAc1My4wNzQ3AJ/QJiP0DN8I3PqkV/QM3wgjQ0lRLklRVDc5NjM0OTAxLklRX0NEU19NSUQuMjkvMDgvMjYBAAAAnAYQAAIAAAAHNTMuOTcxOQCw9yYj9AzfCOpdp1f0DN8II0NJUS5JUVQ0NjIwNzU3MS5JUV9DRFNfTUlELjI4LzA4LzI2AQAAAG3vNQACAAAABTMwLjc1AKWpJiP0DN8IX22bV/QM3wgjQ0lRLklRVDQ2MjEzNDcyLklRX0NEU19NSUQuMjgvMDgvMjYBAAAAuVo4AAIAAAAEMTUuNQCf0CYj9AzfCF9tm1f0DN8IJENJUS5JUVQyNjMyMTMxMzIuSVFfQ0RTX01JRC4yOC8wOC8yNgEA</t>
  </si>
  <si>
    <t>AADhmggAAgAAAAI1MQCw9yYj9AzfCF9tm1f0DN8II0NJUS5JUVQ0NjE5NDk5NS5JUV9DRFNfTUlELjI2LzA4LzI2AQAAAG4QMQACAAAABzExLjE1NDEApakmI/QM3whfbZtX9AzfCCNDSVEuSVFUNDYyMjIyOTIuSVFfQ0RTX01JRC4yNi8wOC8yNgEAAADRkZsBAgAAAAg3NjYuMDAxMQCf0CYj9AzfCF9tm1f0DN8II0NJUS5JUVQ0NjIyNTAwNi5JUV9DRFNfTUlELjI2LzA4LzI2AQAAAPhVDQACAAAABTQwLjg2ALD3JiP0DN8IXdKdV/QM3wgjQ0lRLklRVDQ2MjIwMzI5LklRX0NEU19NSUQuMjYvMDgvMjYBAAAA21sAAAIAAAACNTYA3IYHI/QM3whd0p1X9AzfCCNDSVEuSVFUNDYyNjIzNzguSVFfQ0RTX01JRC4wMS8wOS8yNgEAAABA0okBAgAAAAcxNy45Njg4AKWpJiP0DN8IeDOgV/QM3wgjQ0lRLklRVDQ2MTk3Njk0LklRX0NEU19NSUQuMDEvMDkvMjYBAAAAB/oFAAIAAAAHNTEuOTgxOACf0CYj9AzfCP+Volf0DN8II0NJUS5JUVQ2MjI3MDEwNy5JUV9DRFNfTUlELjAxLzA5LzI2AQAAABVZAAACAAAABzQwLjU5MjcAsPcmI/QM3wj/laJX9AzfCCNDSVEuSVFUNDYyMDczMDguSVFfQ0RTX01JRC4zMC8wOC8yNgEAAAA5iXoBAgAAAAYxNC4zMTQApakmI/QM3wjc+qRX9AzfCCNDSVEuSVFUNDYyMTAwMzIuSVFfQ0RTX01JRC4zMC8wOC8yNgEAAACPVaMBAgAAAAUzMy4zNQCf0CYj9AzfCNz6pFf0DN8II0NJ</t>
  </si>
  <si>
    <t>US5JUVQ0NjIyNTM3NC5JUV9DRFNfTUlELjMwLzA4LzI2AQAAALXWBQACAAAABzM1LjEwODgAsPcmI/QM3wjc+qRX9AzfCCNDSVEuSVFUNDk3NTExOTYuSVFfQ0RTX01JRC4zMS8wOC8yNgEAAADNmb0AAgAAAAczNi42NDEyAKWpJiP0DN8I/5WiV/QM3wgjQ0lRLklRVDYwMzg5NTE2LklRX0NEU19NSUQuMzEvMDgvMjYBAAAApfDDAQIAAAAGNy4xNjM5AJ/QJiP0DN8I/5WiV/QM3wgkQ0lRLklRVDMyMzY4MDEzMC5JUV9DRFNfTUlELjMxLzA4LzI2AQAAAHHhAgACAAAABzQ5LjQ1NDkAn9AmI/QM3wjc+qRX9AzfCCRDSVEuSVFUMzEzMzE1NDI5LklRX0NEU19NSUQuMzEvMDgvMjYBAAAAOecFAAIAAAAHNTkuODYzNgDchgcj9AzfCNz6pFf0DN8II0NJUS5JUVQ0NjIwNjc3OS5JUV9DRFNfTUlELjI3LzA4LzI2AQAAAPzvNgACAAAABjE1LjcwMQClqSYj9AzfCAKYllf0DN8II0NJUS5JUVQ0NjIxODY3NC5JUV9DRFNfTUlELjI3LzA4LzI2AQAAAFfKNgACAAAACDExNS44OTEzAJ/QJiP0DN8IXPqYV/QM3wgjQ0lRLklRVDQ2MjI1NzE1LklRX0NEU19NSUQuMjcvMDgvMjYBAAAAt+UEAAIAAAAHMzkuNzc1MwCw9yYj9AzfCFz6mFf0DN8II0NJUS5JUVQ0NjIwNDg4NC5JUV9DRFNfTUlELjI1LzA4LzI2AQAAAIFRwAECAAAABzI5LjE2NjcApakmI/QM3whIcZlX9AzfCCNDSVEuSVFUNDYyMDc3ODkuSVFfQ0RTX01J</t>
  </si>
  <si>
    <t>RC4yNS8wOC8yNgEAAAAqWKMBAgAAAAcyNi40NTg3AJ/QJiP0DN8ISHGZV/QM3wgkQ0lRLklRVDI4NjA5NjEzMS5JUV9DRFNfTUlELjI1LzA4LzI2AQAAADvxBAACAAAABzUyLjc5NjgAsPcmI/QM3whIcZlX9AzfCCNDSVEuSVFUNDYyMTA1NjAuSVFfQ0RTX01JRC4yNC8wOC8yNgEAAAD2GjcAAgAAAAc3OS44NTE3AKWpJiP0DN8I/5WiV/QM3wgjQ0lRLklRVDQ2MjE5OTIyLklRX0NEU19NSUQuMjQvMDgvMjYBAAAA1kc5AQIAAAAGNS41Njc4AJ/QJiP0DN8I/5WiV/QM3wgjQ0lRLklRVDQ2MjIzNjQ2LklRX0NEU19NSUQuMjQvMDgvMjYBAAAAG3gEAAIAAAAHNDcuNTAyNQCf0CYj9AzfCP+Volf0DN8IJENJUS5JUVQzMTMzMTQ5NzYuSVFfQ0RTX01JRC4yNC8wOC8yNgEAAABtSgAAAgAAAAc1Ni44MTY4ANyGByP0DN8I/5WiV/QM3wgjQ0lRLklRVDQ2MjE4NTE2LklRX0NEU19NSUQuMDcvMDkvMjUBAAAAplWjAQIAAAAHMzMuMjA5NAClqSYj9AzfCHgzoFf0DN8II0NJUS5JUVQ0NjIyMDgwMy5JUV9DRFNfTUlELjA3LzA5LzI1AQAAANbJNgACAAAABzM3Ljg0MjgAn9AmI/QM3wh4M6BX9AzfCCNDSVEuSVFUNDYyMDAzNjQuSVFfQ0RTX01JRC4wNy8wOS8yNQEAAABXhggAAgAAAAczNS4yOTE3ALD3JiP0DN8IeDOgV/QM3wgjQ0lRLklRVDQ2MjA0MzAwLklRX0NEU19NSUQuMDcvMDYvMjYBAAAA9iV9AAIAAAAF</t>
  </si>
  <si>
    <t>Ny43MjUApakmI/QM3whd0p1X9AzfCCNDSVEuSVFUNjAzODgwNTcuSVFfQ0RTX01JRC4wNy8wNi8yNgEAAADfyX0BAwAAAAAAn9AmI/QM3whd0p1X9AzfCCNDSVEuSVFUNDYxOTk4NDEuSVFfQ0RTX01JRC4wNy8wNi8yNgEAAADrMAYAAwAAAAAAsPcmI/QM3whd0p1X9AzfCCNDSVEuSVFUNzk2NDAwMjQuSVFfQ0RTX01JRC4wMy8wOS8yNgEAAAA1j5sBAgAAAAE4AKWpJiP0DN8IXdKdV/QM3wgkQ0lRLklRVDMxMzMwNTg3OS5JUV9DRFNfTUlELjAzLzA5LzI2AQAAAITW3AECAAAABjIuMjkzOQCf0CYj9AzfCF3SnVf0DN8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</si>
</sst>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;\-0;&quot;-&quot;"/>
    <numFmt numFmtId="165" formatCode="#,##0.0;\-#,##0.0;&quot;-&quot;"/>
    <numFmt numFmtId="166" formatCode="\+0.0%;\-0.0%;&quot;-&quot;"/>
    <numFmt numFmtId="167" formatCode="#,##0.0_ ;\-#,##0.0\ "/>
    <numFmt numFmtId="168" formatCode="#,##0.000_ ;\-#,##0.000\ "/>
    <numFmt numFmtId="169" formatCode="0.0;[Red]\(0.0\);\-"/>
    <numFmt numFmtId="170" formatCode="0.0%;[Red]\(0.0%\);\-"/>
  </numFmts>
  <fonts count="30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8"/>
      <color rgb="FF333333"/>
      <name val="Arial"/>
      <family val="2"/>
    </font>
    <font>
      <sz val="8"/>
      <color rgb="FF00000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8"/>
      <color rgb="FF333333"/>
      <name val="Arial"/>
      <family val="2"/>
    </font>
    <font>
      <i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0"/>
      <color rgb="FF14181F"/>
      <name val="Aptos Narrow"/>
      <family val="2"/>
      <scheme val="minor"/>
    </font>
    <font>
      <sz val="8"/>
      <color rgb="FF000000"/>
      <name val="Verdana"/>
      <family val="2"/>
    </font>
    <font>
      <sz val="12"/>
      <color theme="1"/>
      <name val="Tahoma"/>
      <family val="2"/>
    </font>
    <font>
      <b/>
      <sz val="12"/>
      <color theme="0"/>
      <name val="Tahoma"/>
      <family val="2"/>
    </font>
    <font>
      <sz val="11"/>
      <color rgb="FF14181F"/>
      <name val="Aptos Narrow"/>
      <family val="2"/>
      <scheme val="minor"/>
    </font>
    <font>
      <sz val="8"/>
      <color theme="1"/>
      <name val="Arial"/>
      <family val="2"/>
    </font>
    <font>
      <sz val="11"/>
      <color rgb="FF000000"/>
      <name val="Verdana"/>
      <family val="2"/>
    </font>
    <font>
      <sz val="5"/>
      <color rgb="FF000000"/>
      <name val="Verdana"/>
      <family val="2"/>
    </font>
    <font>
      <sz val="11"/>
      <color theme="1"/>
      <name val="Aptos Narrow"/>
      <family val="2"/>
      <scheme val="minor"/>
    </font>
    <font>
      <b/>
      <sz val="10"/>
      <color rgb="FF333333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 Unicode MS"/>
    </font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5C6B"/>
      </patternFill>
    </fill>
    <fill>
      <patternFill patternType="solid">
        <fgColor rgb="FF4AA8B8"/>
      </patternFill>
    </fill>
    <fill>
      <patternFill patternType="solid">
        <fgColor rgb="FF2F4F7F"/>
      </patternFill>
    </fill>
    <fill>
      <patternFill patternType="solid">
        <fgColor rgb="FFDCE9F5"/>
      </patternFill>
    </fill>
    <fill>
      <patternFill patternType="solid">
        <fgColor rgb="FFFFFFFF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96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23" fillId="0" borderId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 wrapText="1"/>
    </xf>
    <xf numFmtId="0" fontId="8" fillId="0" borderId="0" xfId="0" applyFont="1"/>
    <xf numFmtId="166" fontId="1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vertical="center"/>
    </xf>
    <xf numFmtId="165" fontId="1" fillId="8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/>
    </xf>
    <xf numFmtId="0" fontId="11" fillId="0" borderId="0" xfId="0" applyFont="1"/>
    <xf numFmtId="0" fontId="12" fillId="0" borderId="3" xfId="0" applyFont="1" applyBorder="1"/>
    <xf numFmtId="0" fontId="12" fillId="0" borderId="4" xfId="0" applyFont="1" applyBorder="1"/>
    <xf numFmtId="0" fontId="13" fillId="9" borderId="0" xfId="0" applyFont="1" applyFill="1"/>
    <xf numFmtId="0" fontId="12" fillId="0" borderId="0" xfId="0" applyFont="1"/>
    <xf numFmtId="14" fontId="0" fillId="0" borderId="0" xfId="0" applyNumberFormat="1"/>
    <xf numFmtId="165" fontId="14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" fontId="1" fillId="6" borderId="1" xfId="0" applyNumberFormat="1" applyFont="1" applyFill="1" applyBorder="1" applyAlignment="1">
      <alignment horizontal="center" vertical="center"/>
    </xf>
    <xf numFmtId="1" fontId="1" fillId="6" borderId="2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horizontal="center" vertical="center"/>
    </xf>
    <xf numFmtId="1" fontId="1" fillId="8" borderId="2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164" fontId="3" fillId="10" borderId="2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5" fillId="0" borderId="0" xfId="0" applyFont="1"/>
    <xf numFmtId="9" fontId="8" fillId="13" borderId="0" xfId="1" applyFont="1" applyFill="1" applyAlignment="1">
      <alignment horizontal="left"/>
    </xf>
    <xf numFmtId="9" fontId="21" fillId="12" borderId="0" xfId="1" applyFont="1" applyFill="1" applyBorder="1" applyAlignment="1">
      <alignment horizontal="left" vertical="center"/>
    </xf>
    <xf numFmtId="9" fontId="22" fillId="12" borderId="0" xfId="1" applyFont="1" applyFill="1" applyAlignment="1">
      <alignment horizontal="left" vertical="center"/>
    </xf>
    <xf numFmtId="9" fontId="22" fillId="13" borderId="0" xfId="1" applyFont="1" applyFill="1" applyAlignment="1">
      <alignment horizontal="left" vertical="center"/>
    </xf>
    <xf numFmtId="0" fontId="23" fillId="0" borderId="0" xfId="2"/>
    <xf numFmtId="0" fontId="23" fillId="0" borderId="0" xfId="2" applyAlignment="1">
      <alignment horizontal="center"/>
    </xf>
    <xf numFmtId="169" fontId="23" fillId="0" borderId="0" xfId="2" applyNumberFormat="1" applyAlignment="1">
      <alignment horizontal="right"/>
    </xf>
    <xf numFmtId="170" fontId="24" fillId="17" borderId="0" xfId="2" applyNumberFormat="1" applyFont="1" applyFill="1" applyAlignment="1">
      <alignment horizontal="right"/>
    </xf>
    <xf numFmtId="169" fontId="24" fillId="17" borderId="0" xfId="2" applyNumberFormat="1" applyFont="1" applyFill="1" applyAlignment="1">
      <alignment horizontal="right"/>
    </xf>
    <xf numFmtId="0" fontId="24" fillId="0" borderId="0" xfId="2" applyFont="1"/>
    <xf numFmtId="0" fontId="25" fillId="0" borderId="0" xfId="2" applyFont="1" applyAlignment="1">
      <alignment horizontal="center"/>
    </xf>
    <xf numFmtId="169" fontId="25" fillId="0" borderId="0" xfId="2" applyNumberFormat="1" applyFont="1" applyAlignment="1">
      <alignment horizontal="right"/>
    </xf>
    <xf numFmtId="0" fontId="23" fillId="15" borderId="0" xfId="2" applyFill="1"/>
    <xf numFmtId="0" fontId="23" fillId="19" borderId="0" xfId="2" applyFill="1"/>
    <xf numFmtId="0" fontId="23" fillId="16" borderId="0" xfId="2" applyFill="1"/>
    <xf numFmtId="0" fontId="23" fillId="14" borderId="0" xfId="2" applyFill="1"/>
    <xf numFmtId="0" fontId="27" fillId="20" borderId="0" xfId="2" applyFont="1" applyFill="1"/>
    <xf numFmtId="0" fontId="27" fillId="20" borderId="0" xfId="2" applyFont="1" applyFill="1" applyAlignment="1">
      <alignment horizontal="center" vertical="center" wrapText="1"/>
    </xf>
    <xf numFmtId="0" fontId="23" fillId="2" borderId="0" xfId="2" applyFill="1"/>
    <xf numFmtId="0" fontId="28" fillId="18" borderId="0" xfId="2" applyFont="1" applyFill="1"/>
    <xf numFmtId="9" fontId="24" fillId="17" borderId="0" xfId="2" applyNumberFormat="1" applyFont="1" applyFill="1"/>
    <xf numFmtId="0" fontId="6" fillId="2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0" borderId="2" xfId="0" applyBorder="1"/>
    <xf numFmtId="0" fontId="4" fillId="3" borderId="1" xfId="0" applyFont="1" applyFill="1" applyBorder="1" applyAlignment="1">
      <alignment horizontal="center" vertical="center"/>
    </xf>
    <xf numFmtId="0" fontId="26" fillId="18" borderId="0" xfId="2" applyFont="1" applyFill="1" applyAlignment="1">
      <alignment horizontal="left" vertical="center"/>
    </xf>
    <xf numFmtId="169" fontId="26" fillId="18" borderId="0" xfId="2" applyNumberFormat="1" applyFont="1" applyFill="1" applyAlignment="1">
      <alignment horizontal="left" vertical="center"/>
    </xf>
    <xf numFmtId="170" fontId="26" fillId="18" borderId="0" xfId="2" applyNumberFormat="1" applyFont="1" applyFill="1" applyAlignment="1">
      <alignment horizontal="left" vertical="center"/>
    </xf>
    <xf numFmtId="0" fontId="29" fillId="21" borderId="0" xfId="2" applyFont="1" applyFill="1" applyAlignment="1">
      <alignment horizontal="left" vertical="center"/>
    </xf>
    <xf numFmtId="0" fontId="27" fillId="21" borderId="0" xfId="2" applyFont="1" applyFill="1" applyAlignment="1">
      <alignment horizontal="left"/>
    </xf>
  </cellXfs>
  <cellStyles count="3">
    <cellStyle name="Normal" xfId="0" builtinId="0"/>
    <cellStyle name="Normal 2" xfId="2" xr:uid="{A1D5D424-D9FE-4AC9-A874-619309FC9078}"/>
    <cellStyle name="Percent" xfId="1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 t="s">
        <v>The formula must contain at least one field or function.</v>
        <stp/>
        <stp>4</stp>
        <stp>225218</stp>
        <tr r="M5" s="1"/>
      </tp>
      <tp>
        <v>137.72</v>
        <stp/>
        <stp>5</stp>
        <stp>225218</stp>
        <tr r="J8" s="1"/>
      </tp>
      <tp>
        <v>132.47</v>
        <stp/>
        <stp>6</stp>
        <stp>225218</stp>
        <tr r="J8" s="1"/>
        <tr r="J8" s="1"/>
      </tp>
      <tp>
        <v>137.72</v>
        <stp/>
        <stp>7</stp>
        <stp>225218</stp>
        <tr r="I8" s="1"/>
      </tp>
      <tp t="s">
        <v>The formula must contain at least one field or function.</v>
        <stp/>
        <stp>1</stp>
        <stp>225218</stp>
        <tr r="M2" s="1"/>
      </tp>
      <tp>
        <v>137.72</v>
        <stp/>
        <stp>2</stp>
        <stp>225218</stp>
        <tr r="H8" s="1"/>
      </tp>
      <tp>
        <v>131.62</v>
        <stp/>
        <stp>3</stp>
        <stp>225218</stp>
        <tr r="H8" s="1"/>
        <tr r="H8" s="1"/>
      </tp>
      <tp>
        <v>131.72</v>
        <stp/>
        <stp>8</stp>
        <stp>225218</stp>
        <tr r="I8" s="1"/>
        <tr r="I8" s="1"/>
      </tp>
      <tp>
        <v>137.72</v>
        <stp/>
        <stp>9</stp>
        <stp>225218</stp>
        <tr r="K8" s="1"/>
      </tp>
      <tp>
        <v>32.1</v>
        <stp/>
        <stp>90</stp>
        <stp>225218</stp>
        <tr r="K20" s="1"/>
        <tr r="K20" s="1"/>
      </tp>
      <tp>
        <v>499.65</v>
        <stp/>
        <stp>91</stp>
        <stp>225218</stp>
        <tr r="H22" s="1"/>
      </tp>
      <tp>
        <v>496.65</v>
        <stp/>
        <stp>92</stp>
        <stp>225218</stp>
        <tr r="H22" s="1"/>
        <tr r="H22" s="1"/>
      </tp>
      <tp>
        <v>499.65</v>
        <stp/>
        <stp>93</stp>
        <stp>225218</stp>
        <tr r="J22" s="1"/>
      </tp>
      <tp>
        <v>457.65</v>
        <stp/>
        <stp>94</stp>
        <stp>225218</stp>
        <tr r="J22" s="1"/>
        <tr r="J22" s="1"/>
      </tp>
      <tp>
        <v>499.65</v>
        <stp/>
        <stp>95</stp>
        <stp>225218</stp>
        <tr r="I22" s="1"/>
      </tp>
      <tp>
        <v>495.35</v>
        <stp/>
        <stp>96</stp>
        <stp>225218</stp>
        <tr r="I22" s="1"/>
        <tr r="I22" s="1"/>
      </tp>
      <tp>
        <v>499.65</v>
        <stp/>
        <stp>97</stp>
        <stp>225218</stp>
        <tr r="K22" s="1"/>
      </tp>
      <tp>
        <v>361.05</v>
        <stp/>
        <stp>98</stp>
        <stp>225218</stp>
        <tr r="K22" s="1"/>
        <tr r="K22" s="1"/>
      </tp>
      <tp>
        <v>1579</v>
        <stp/>
        <stp>99</stp>
        <stp>225218</stp>
        <tr r="H23" s="1"/>
      </tp>
      <tp>
        <v>70.260000000000005</v>
        <stp/>
        <stp>80</stp>
        <stp>225218</stp>
        <tr r="J18" s="1"/>
        <tr r="J18" s="1"/>
      </tp>
      <tp>
        <v>75.069999999999993</v>
        <stp/>
        <stp>81</stp>
        <stp>225218</stp>
        <tr r="K18" s="1"/>
      </tp>
      <tp>
        <v>53.04</v>
        <stp/>
        <stp>82</stp>
        <stp>225218</stp>
        <tr r="K18" s="1"/>
        <tr r="K18" s="1"/>
      </tp>
      <tp>
        <v>44.36</v>
        <stp/>
        <stp>83</stp>
        <stp>225218</stp>
        <tr r="H20" s="1"/>
      </tp>
      <tp>
        <v>44.28</v>
        <stp/>
        <stp>84</stp>
        <stp>225218</stp>
        <tr r="H20" s="1"/>
        <tr r="H20" s="1"/>
      </tp>
      <tp>
        <v>44.36</v>
        <stp/>
        <stp>85</stp>
        <stp>225218</stp>
        <tr r="I20" s="1"/>
      </tp>
      <tp>
        <v>43.2</v>
        <stp/>
        <stp>86</stp>
        <stp>225218</stp>
        <tr r="I20" s="1"/>
        <tr r="I20" s="1"/>
      </tp>
      <tp>
        <v>44.36</v>
        <stp/>
        <stp>87</stp>
        <stp>225218</stp>
        <tr r="J20" s="1"/>
      </tp>
      <tp>
        <v>37.630000000000003</v>
        <stp/>
        <stp>88</stp>
        <stp>225218</stp>
        <tr r="J20" s="1"/>
        <tr r="J20" s="1"/>
      </tp>
      <tp>
        <v>44.36</v>
        <stp/>
        <stp>89</stp>
        <stp>225218</stp>
        <tr r="K20" s="1"/>
      </tp>
      <tp>
        <v>1038.68</v>
        <stp/>
        <stp>30</stp>
        <stp>225218</stp>
        <tr r="J11" s="1"/>
        <tr r="J11" s="1"/>
      </tp>
      <tp>
        <v>1038.6099999999999</v>
        <stp/>
        <stp>31</stp>
        <stp>225218</stp>
        <tr r="I11" s="1"/>
      </tp>
      <tp>
        <v>1036.28</v>
        <stp/>
        <stp>32</stp>
        <stp>225218</stp>
        <tr r="I11" s="1"/>
        <tr r="I11" s="1"/>
      </tp>
      <tp>
        <v>1038.6099999999999</v>
        <stp/>
        <stp>33</stp>
        <stp>225218</stp>
        <tr r="K11" s="1"/>
      </tp>
      <tp>
        <v>738.21</v>
        <stp/>
        <stp>34</stp>
        <stp>225218</stp>
        <tr r="K11" s="1"/>
        <tr r="K11" s="1"/>
      </tp>
      <tp>
        <v>217.72</v>
        <stp/>
        <stp>35</stp>
        <stp>225218</stp>
        <tr r="H12" s="1"/>
      </tp>
      <tp>
        <v>213.32</v>
        <stp/>
        <stp>36</stp>
        <stp>225218</stp>
        <tr r="H12" s="1"/>
        <tr r="H12" s="1"/>
      </tp>
      <tp>
        <v>217.72</v>
        <stp/>
        <stp>37</stp>
        <stp>225218</stp>
        <tr r="J12" s="1"/>
      </tp>
      <tp>
        <v>211.93</v>
        <stp/>
        <stp>38</stp>
        <stp>225218</stp>
        <tr r="J12" s="1"/>
        <tr r="J12" s="1"/>
      </tp>
      <tp>
        <v>217.72</v>
        <stp/>
        <stp>39</stp>
        <stp>225218</stp>
        <tr r="I12" s="1"/>
      </tp>
      <tp>
        <v>53.83</v>
        <stp/>
        <stp>20</stp>
        <stp>225218</stp>
        <tr r="J9" s="1"/>
        <tr r="J9" s="1"/>
      </tp>
      <tp>
        <v>358.64</v>
        <stp/>
        <stp>21</stp>
        <stp>225218</stp>
        <tr r="I10" s="1"/>
      </tp>
      <tp>
        <v>356.39</v>
        <stp/>
        <stp>22</stp>
        <stp>225218</stp>
        <tr r="I10" s="1"/>
        <tr r="I10" s="1"/>
      </tp>
      <tp>
        <v>358.64</v>
        <stp/>
        <stp>23</stp>
        <stp>225218</stp>
        <tr r="J10" s="1"/>
      </tp>
      <tp>
        <v>312.37</v>
        <stp/>
        <stp>24</stp>
        <stp>225218</stp>
        <tr r="J10" s="1"/>
        <tr r="J10" s="1"/>
      </tp>
      <tp>
        <v>358.64</v>
        <stp/>
        <stp>25</stp>
        <stp>225218</stp>
        <tr r="K10" s="1"/>
      </tp>
      <tp>
        <v>294.38</v>
        <stp/>
        <stp>26</stp>
        <stp>225218</stp>
        <tr r="K10" s="1"/>
        <tr r="K10" s="1"/>
      </tp>
      <tp>
        <v>1038.6099999999999</v>
        <stp/>
        <stp>27</stp>
        <stp>225218</stp>
        <tr r="H11" s="1"/>
      </tp>
      <tp>
        <v>1025.9000000000001</v>
        <stp/>
        <stp>28</stp>
        <stp>225218</stp>
        <tr r="H11" s="1"/>
        <tr r="H11" s="1"/>
      </tp>
      <tp>
        <v>1038.6099999999999</v>
        <stp/>
        <stp>29</stp>
        <stp>225218</stp>
        <tr r="J11" s="1"/>
      </tp>
      <tp>
        <v>95.4</v>
        <stp/>
        <stp>10</stp>
        <stp>225218</stp>
        <tr r="K8" s="1"/>
        <tr r="K8" s="1"/>
      </tp>
      <tp>
        <v>62.68</v>
        <stp/>
        <stp>11</stp>
        <stp>225218</stp>
        <tr r="H9" s="1"/>
      </tp>
      <tp>
        <v>61.94</v>
        <stp/>
        <stp>12</stp>
        <stp>225218</stp>
        <tr r="H9" s="1"/>
        <tr r="H9" s="1"/>
      </tp>
      <tp>
        <v>62.68</v>
        <stp/>
        <stp>13</stp>
        <stp>225218</stp>
        <tr r="K9" s="1"/>
      </tp>
      <tp>
        <v>49.77</v>
        <stp/>
        <stp>14</stp>
        <stp>225218</stp>
        <tr r="K9" s="1"/>
        <tr r="K9" s="1"/>
      </tp>
      <tp>
        <v>358.64</v>
        <stp/>
        <stp>15</stp>
        <stp>225218</stp>
        <tr r="H10" s="1"/>
      </tp>
      <tp>
        <v>356.02</v>
        <stp/>
        <stp>16</stp>
        <stp>225218</stp>
        <tr r="H10" s="1"/>
        <tr r="H10" s="1"/>
      </tp>
      <tp>
        <v>62.68</v>
        <stp/>
        <stp>17</stp>
        <stp>225218</stp>
        <tr r="I9" s="1"/>
      </tp>
      <tp>
        <v>62.33</v>
        <stp/>
        <stp>18</stp>
        <stp>225218</stp>
        <tr r="I9" s="1"/>
        <tr r="I9" s="1"/>
      </tp>
      <tp>
        <v>62.68</v>
        <stp/>
        <stp>19</stp>
        <stp>225218</stp>
        <tr r="J9" s="1"/>
      </tp>
      <tp>
        <v>15.69</v>
        <stp/>
        <stp>70</stp>
        <stp>225218</stp>
        <tr r="K17" s="1"/>
        <tr r="K17" s="1"/>
      </tp>
      <tp>
        <v>18.864999999999998</v>
        <stp/>
        <stp>71</stp>
        <stp>225218</stp>
        <tr r="I17" s="1"/>
      </tp>
      <tp>
        <v>19.085000000000001</v>
        <stp/>
        <stp>72</stp>
        <stp>225218</stp>
        <tr r="I17" s="1"/>
        <tr r="I17" s="1"/>
      </tp>
      <tp>
        <v>75.069999999999993</v>
        <stp/>
        <stp>73</stp>
        <stp>225218</stp>
        <tr r="H18" s="1"/>
      </tp>
      <tp>
        <v>72.650000000000006</v>
        <stp/>
        <stp>74</stp>
        <stp>225218</stp>
        <tr r="H18" s="1"/>
        <tr r="H18" s="1"/>
      </tp>
      <tp>
        <v>18.864999999999998</v>
        <stp/>
        <stp>75</stp>
        <stp>225218</stp>
        <tr r="J17" s="1"/>
      </tp>
      <tp>
        <v>16.53</v>
        <stp/>
        <stp>76</stp>
        <stp>225218</stp>
        <tr r="J17" s="1"/>
        <tr r="J17" s="1"/>
      </tp>
      <tp>
        <v>75.069999999999993</v>
        <stp/>
        <stp>77</stp>
        <stp>225218</stp>
        <tr r="I18" s="1"/>
      </tp>
      <tp>
        <v>75.64</v>
        <stp/>
        <stp>78</stp>
        <stp>225218</stp>
        <tr r="I18" s="1"/>
        <tr r="I18" s="1"/>
      </tp>
      <tp>
        <v>75.069999999999993</v>
        <stp/>
        <stp>79</stp>
        <stp>225218</stp>
        <tr r="J18" s="1"/>
      </tp>
      <tp>
        <v>112.95</v>
        <stp/>
        <stp>60</stp>
        <stp>225218</stp>
        <tr r="K14" s="1"/>
        <tr r="K14" s="1"/>
      </tp>
      <tp>
        <v>104.54</v>
        <stp/>
        <stp>61</stp>
        <stp>225218</stp>
        <tr r="J16" s="1"/>
      </tp>
      <tp>
        <v>93.65</v>
        <stp/>
        <stp>62</stp>
        <stp>225218</stp>
        <tr r="J16" s="1"/>
        <tr r="J16" s="1"/>
      </tp>
      <tp>
        <v>18.864999999999998</v>
        <stp/>
        <stp>63</stp>
        <stp>225218</stp>
        <tr r="H17" s="1"/>
      </tp>
      <tp>
        <v>18.515000000000001</v>
        <stp/>
        <stp>64</stp>
        <stp>225218</stp>
        <tr r="H17" s="1"/>
        <tr r="H17" s="1"/>
      </tp>
      <tp>
        <v>104.54</v>
        <stp/>
        <stp>65</stp>
        <stp>225218</stp>
        <tr r="I16" s="1"/>
      </tp>
      <tp>
        <v>106.8</v>
        <stp/>
        <stp>66</stp>
        <stp>225218</stp>
        <tr r="I16" s="1"/>
        <tr r="I16" s="1"/>
      </tp>
      <tp>
        <v>104.54</v>
        <stp/>
        <stp>67</stp>
        <stp>225218</stp>
        <tr r="K16" s="1"/>
      </tp>
      <tp>
        <v>76.52</v>
        <stp/>
        <stp>68</stp>
        <stp>225218</stp>
        <tr r="K16" s="1"/>
        <tr r="K16" s="1"/>
      </tp>
      <tp>
        <v>18.864999999999998</v>
        <stp/>
        <stp>69</stp>
        <stp>225218</stp>
        <tr r="K17" s="1"/>
      </tp>
      <tp>
        <v>78.959999999999994</v>
        <stp/>
        <stp>50</stp>
        <stp>225218</stp>
        <tr r="K13" s="1"/>
        <tr r="K13" s="1"/>
      </tp>
      <tp>
        <v>194.26</v>
        <stp/>
        <stp>51</stp>
        <stp>225218</stp>
        <tr r="H14" s="1"/>
      </tp>
      <tp>
        <v>191.38</v>
        <stp/>
        <stp>52</stp>
        <stp>225218</stp>
        <tr r="H14" s="1"/>
        <tr r="H14" s="1"/>
      </tp>
      <tp>
        <v>194.26</v>
        <stp/>
        <stp>53</stp>
        <stp>225218</stp>
        <tr r="I14" s="1"/>
      </tp>
      <tp>
        <v>190.92</v>
        <stp/>
        <stp>54</stp>
        <stp>225218</stp>
        <tr r="I14" s="1"/>
        <tr r="I14" s="1"/>
      </tp>
      <tp>
        <v>194.26</v>
        <stp/>
        <stp>55</stp>
        <stp>225218</stp>
        <tr r="J14" s="1"/>
      </tp>
      <tp>
        <v>161.75</v>
        <stp/>
        <stp>56</stp>
        <stp>225218</stp>
        <tr r="J14" s="1"/>
        <tr r="J14" s="1"/>
      </tp>
      <tp>
        <v>104.54</v>
        <stp/>
        <stp>57</stp>
        <stp>225218</stp>
        <tr r="H16" s="1"/>
      </tp>
      <tp>
        <v>102.78</v>
        <stp/>
        <stp>58</stp>
        <stp>225218</stp>
        <tr r="H16" s="1"/>
        <tr r="H16" s="1"/>
      </tp>
      <tp>
        <v>194.26</v>
        <stp/>
        <stp>59</stp>
        <stp>225218</stp>
        <tr r="K14" s="1"/>
      </tp>
      <tp>
        <v>214.08</v>
        <stp/>
        <stp>40</stp>
        <stp>225218</stp>
        <tr r="I12" s="1"/>
        <tr r="I12" s="1"/>
      </tp>
      <tp>
        <v>217.72</v>
        <stp/>
        <stp>41</stp>
        <stp>225218</stp>
        <tr r="K12" s="1"/>
      </tp>
      <tp>
        <v>148.09</v>
        <stp/>
        <stp>42</stp>
        <stp>225218</stp>
        <tr r="K12" s="1"/>
        <tr r="K12" s="1"/>
      </tp>
      <tp>
        <v>89.97</v>
        <stp/>
        <stp>43</stp>
        <stp>225218</stp>
        <tr r="H13" s="1"/>
      </tp>
      <tp>
        <v>86.39</v>
        <stp/>
        <stp>44</stp>
        <stp>225218</stp>
        <tr r="H13" s="1"/>
        <tr r="H13" s="1"/>
      </tp>
      <tp>
        <v>89.97</v>
        <stp/>
        <stp>45</stp>
        <stp>225218</stp>
        <tr r="J13" s="1"/>
      </tp>
      <tp>
        <v>81.94</v>
        <stp/>
        <stp>46</stp>
        <stp>225218</stp>
        <tr r="J13" s="1"/>
        <tr r="J13" s="1"/>
      </tp>
      <tp>
        <v>89.97</v>
        <stp/>
        <stp>47</stp>
        <stp>225218</stp>
        <tr r="I13" s="1"/>
      </tp>
      <tp>
        <v>84.72</v>
        <stp/>
        <stp>48</stp>
        <stp>225218</stp>
        <tr r="I13" s="1"/>
        <tr r="I13" s="1"/>
      </tp>
      <tp>
        <v>89.97</v>
        <stp/>
        <stp>49</stp>
        <stp>225218</stp>
        <tr r="K13" s="1"/>
      </tp>
      <tp>
        <v>40.619999999999997</v>
        <stp/>
        <stp>242</stp>
        <stp>225218</stp>
        <tr r="K44" s="1"/>
      </tp>
      <tp>
        <v>31.59</v>
        <stp/>
        <stp>243</stp>
        <stp>225218</stp>
        <tr r="K44" s="1"/>
        <tr r="K44" s="1"/>
      </tp>
      <tp>
        <v>40.619999999999997</v>
        <stp/>
        <stp>240</stp>
        <stp>225218</stp>
        <tr r="I44" s="1"/>
      </tp>
      <tp>
        <v>40.340000000000003</v>
        <stp/>
        <stp>241</stp>
        <stp>225218</stp>
        <tr r="I44" s="1"/>
        <tr r="I44" s="1"/>
      </tp>
      <tp>
        <v>40.619999999999997</v>
        <stp/>
        <stp>246</stp>
        <stp>225218</stp>
        <tr r="J44" s="1"/>
      </tp>
      <tp>
        <v>40.340000000000003</v>
        <stp/>
        <stp>247</stp>
        <stp>225218</stp>
        <tr r="J44" s="1"/>
        <tr r="J44" s="1"/>
      </tp>
      <tp>
        <v>217.91</v>
        <stp/>
        <stp>244</stp>
        <stp>225218</stp>
        <tr r="J43" s="1"/>
      </tp>
      <tp>
        <v>204.4</v>
        <stp/>
        <stp>245</stp>
        <stp>225218</stp>
        <tr r="J43" s="1"/>
        <tr r="J43" s="1"/>
      </tp>
      <tp>
        <v>40.619999999999997</v>
        <stp/>
        <stp>238</stp>
        <stp>225218</stp>
        <tr r="H44" s="1"/>
      </tp>
      <tp>
        <v>40.6</v>
        <stp/>
        <stp>239</stp>
        <stp>225218</stp>
        <tr r="H44" s="1"/>
        <tr r="H44" s="1"/>
      </tp>
      <tp>
        <v>217.06</v>
        <stp/>
        <stp>232</stp>
        <stp>225218</stp>
        <tr r="I43" s="1"/>
        <tr r="I43" s="1"/>
      </tp>
      <tp>
        <v>217.91</v>
        <stp/>
        <stp>233</stp>
        <stp>225218</stp>
        <tr r="K43" s="1"/>
      </tp>
      <tp>
        <v>272.63</v>
        <stp/>
        <stp>230</stp>
        <stp>225218</stp>
        <tr r="J42" s="1"/>
        <tr r="J42" s="1"/>
      </tp>
      <tp>
        <v>217.91</v>
        <stp/>
        <stp>231</stp>
        <stp>225218</stp>
        <tr r="I43" s="1"/>
      </tp>
      <tp t="s">
        <v>The record could not be found (Error code: 0)</v>
        <stp/>
        <stp>236</stp>
        <stp>225218</stp>
        <tr r="D44" s="1"/>
      </tp>
      <tp t="s">
        <v>The record could not be found (Error code: 0)</v>
        <stp/>
        <stp>237</stp>
        <stp>225218</stp>
        <tr r="D44" s="1"/>
        <tr r="D44" s="1"/>
      </tp>
      <tp>
        <v>145.91</v>
        <stp/>
        <stp>234</stp>
        <stp>225218</stp>
        <tr r="K43" s="1"/>
        <tr r="K43" s="1"/>
      </tp>
      <tp t="s">
        <v>The record could not be found (Error code: 0)</v>
        <stp/>
        <stp>235</stp>
        <stp>225218</stp>
        <tr r="C44" s="1"/>
      </tp>
      <tp>
        <v>283.39999999999998</v>
        <stp/>
        <stp>228</stp>
        <stp>225218</stp>
        <tr r="H42" s="1"/>
        <tr r="H42" s="1"/>
      </tp>
      <tp>
        <v>291.48</v>
        <stp/>
        <stp>229</stp>
        <stp>225218</stp>
        <tr r="J42" s="1"/>
      </tp>
      <tp>
        <v>212.67</v>
        <stp/>
        <stp>222</stp>
        <stp>225218</stp>
        <tr r="H43" s="1"/>
        <tr r="H43" s="1"/>
      </tp>
      <tp>
        <v>291.48</v>
        <stp/>
        <stp>223</stp>
        <stp>225218</stp>
        <tr r="I42" s="1"/>
      </tp>
      <tp>
        <v>159.47</v>
        <stp/>
        <stp>220</stp>
        <stp>225218</stp>
        <tr r="J41" s="1"/>
        <tr r="J41" s="1"/>
      </tp>
      <tp>
        <v>217.91</v>
        <stp/>
        <stp>221</stp>
        <stp>225218</stp>
        <tr r="H43" s="1"/>
      </tp>
      <tp>
        <v>200.22</v>
        <stp/>
        <stp>226</stp>
        <stp>225218</stp>
        <tr r="K42" s="1"/>
        <tr r="K42" s="1"/>
      </tp>
      <tp>
        <v>291.48</v>
        <stp/>
        <stp>227</stp>
        <stp>225218</stp>
        <tr r="H42" s="1"/>
      </tp>
      <tp>
        <v>282.62</v>
        <stp/>
        <stp>224</stp>
        <stp>225218</stp>
        <tr r="I42" s="1"/>
        <tr r="I42" s="1"/>
      </tp>
      <tp>
        <v>291.48</v>
        <stp/>
        <stp>225</stp>
        <stp>225218</stp>
        <tr r="K42" s="1"/>
      </tp>
      <tp>
        <v>161.41999999999999</v>
        <stp/>
        <stp>218</stp>
        <stp>225218</stp>
        <tr r="I41" s="1"/>
        <tr r="I41" s="1"/>
      </tp>
      <tp>
        <v>168.24</v>
        <stp/>
        <stp>219</stp>
        <stp>225218</stp>
        <tr r="J41" s="1"/>
      </tp>
      <tp>
        <v>167.67</v>
        <stp/>
        <stp>212</stp>
        <stp>225218</stp>
        <tr r="H41" s="1"/>
        <tr r="H41" s="1"/>
      </tp>
      <tp>
        <v>168.24</v>
        <stp/>
        <stp>213</stp>
        <stp>225218</stp>
        <tr r="K41" s="1"/>
      </tp>
      <tp>
        <v>108.42</v>
        <stp/>
        <stp>210</stp>
        <stp>225218</stp>
        <tr r="K40" s="1"/>
        <tr r="K40" s="1"/>
      </tp>
      <tp>
        <v>168.24</v>
        <stp/>
        <stp>211</stp>
        <stp>225218</stp>
        <tr r="H41" s="1"/>
      </tp>
      <tp>
        <v>-0.02</v>
        <stp/>
        <stp>216</stp>
        <stp>225218</stp>
        <tr r="D42" s="1"/>
        <tr r="D42" s="1"/>
      </tp>
      <tp>
        <v>168.24</v>
        <stp/>
        <stp>217</stp>
        <stp>225218</stp>
        <tr r="I41" s="1"/>
      </tp>
      <tp>
        <v>103.16</v>
        <stp/>
        <stp>214</stp>
        <stp>225218</stp>
        <tr r="K41" s="1"/>
        <tr r="K41" s="1"/>
      </tp>
      <tp>
        <v>61.11</v>
        <stp/>
        <stp>215</stp>
        <stp>225218</stp>
        <tr r="D42" s="1"/>
      </tp>
      <tp>
        <v>152.94999999999999</v>
        <stp/>
        <stp>208</stp>
        <stp>225218</stp>
        <tr r="J40" s="1"/>
        <tr r="J40" s="1"/>
      </tp>
      <tp>
        <v>162.75</v>
        <stp/>
        <stp>209</stp>
        <stp>225218</stp>
        <tr r="K40" s="1"/>
      </tp>
      <tp>
        <v>174.72</v>
        <stp/>
        <stp>202</stp>
        <stp>225218</stp>
        <tr r="K39" s="1"/>
        <tr r="K39" s="1"/>
      </tp>
      <tp>
        <v>162.75</v>
        <stp/>
        <stp>203</stp>
        <stp>225218</stp>
        <tr r="H40" s="1"/>
      </tp>
      <tp>
        <v>229.65</v>
        <stp/>
        <stp>200</stp>
        <stp>225218</stp>
        <tr r="J39" s="1"/>
        <tr r="J39" s="1"/>
      </tp>
      <tp>
        <v>242.76</v>
        <stp/>
        <stp>201</stp>
        <stp>225218</stp>
        <tr r="K39" s="1"/>
      </tp>
      <tp>
        <v>159.26</v>
        <stp/>
        <stp>206</stp>
        <stp>225218</stp>
        <tr r="I40" s="1"/>
        <tr r="I40" s="1"/>
      </tp>
      <tp>
        <v>162.75</v>
        <stp/>
        <stp>207</stp>
        <stp>225218</stp>
        <tr r="J40" s="1"/>
      </tp>
      <tp>
        <v>157.31</v>
        <stp/>
        <stp>204</stp>
        <stp>225218</stp>
        <tr r="H40" s="1"/>
        <tr r="H40" s="1"/>
      </tp>
      <tp>
        <v>162.75</v>
        <stp/>
        <stp>205</stp>
        <stp>225218</stp>
        <tr r="I40" s="1"/>
      </tp>
      <tp>
        <v>238.63</v>
        <stp/>
        <stp>198</stp>
        <stp>225218</stp>
        <tr r="I39" s="1"/>
        <tr r="I39" s="1"/>
      </tp>
      <tp>
        <v>242.76</v>
        <stp/>
        <stp>199</stp>
        <stp>225218</stp>
        <tr r="J39" s="1"/>
      </tp>
      <tp>
        <v>87.86</v>
        <stp/>
        <stp>192</stp>
        <stp>225218</stp>
        <tr r="K38" s="1"/>
        <tr r="K38" s="1"/>
      </tp>
      <tp>
        <v>242.76</v>
        <stp/>
        <stp>193</stp>
        <stp>225218</stp>
        <tr r="H39" s="1"/>
      </tp>
      <tp>
        <v>120.29</v>
        <stp/>
        <stp>190</stp>
        <stp>225218</stp>
        <tr r="I38" s="1"/>
        <tr r="I38" s="1"/>
      </tp>
      <tp>
        <v>129.65</v>
        <stp/>
        <stp>191</stp>
        <stp>225218</stp>
        <tr r="K38" s="1"/>
      </tp>
      <tp>
        <v>113.01</v>
        <stp/>
        <stp>196</stp>
        <stp>225218</stp>
        <tr r="J38" s="1"/>
        <tr r="J38" s="1"/>
      </tp>
      <tp>
        <v>242.76</v>
        <stp/>
        <stp>197</stp>
        <stp>225218</stp>
        <tr r="I39" s="1"/>
      </tp>
      <tp>
        <v>236.24</v>
        <stp/>
        <stp>194</stp>
        <stp>225218</stp>
        <tr r="H39" s="1"/>
        <tr r="H39" s="1"/>
      </tp>
      <tp>
        <v>129.65</v>
        <stp/>
        <stp>195</stp>
        <stp>225218</stp>
        <tr r="J38" s="1"/>
      </tp>
      <tp>
        <v>1359.5</v>
        <stp/>
        <stp>188</stp>
        <stp>225218</stp>
        <tr r="J36" s="1"/>
        <tr r="J36" s="1"/>
      </tp>
      <tp>
        <v>129.65</v>
        <stp/>
        <stp>189</stp>
        <stp>225218</stp>
        <tr r="I38" s="1"/>
      </tp>
      <tp>
        <v>1539</v>
        <stp/>
        <stp>182</stp>
        <stp>225218</stp>
        <tr r="I36" s="1"/>
        <tr r="I36" s="1"/>
      </tp>
      <tp>
        <v>1656</v>
        <stp/>
        <stp>183</stp>
        <stp>225218</stp>
        <tr r="K36" s="1"/>
      </tp>
      <tp>
        <v>1561</v>
        <stp/>
        <stp>180</stp>
        <stp>225218</stp>
        <tr r="J35" s="1"/>
        <tr r="J35" s="1"/>
      </tp>
      <tp>
        <v>1656</v>
        <stp/>
        <stp>181</stp>
        <stp>225218</stp>
        <tr r="I36" s="1"/>
      </tp>
      <tp>
        <v>126.87</v>
        <stp/>
        <stp>186</stp>
        <stp>225218</stp>
        <tr r="H38" s="1"/>
        <tr r="H38" s="1"/>
      </tp>
      <tp>
        <v>1656</v>
        <stp/>
        <stp>187</stp>
        <stp>225218</stp>
        <tr r="J36" s="1"/>
      </tp>
      <tp>
        <v>1064</v>
        <stp/>
        <stp>184</stp>
        <stp>225218</stp>
        <tr r="K36" s="1"/>
        <tr r="K36" s="1"/>
      </tp>
      <tp>
        <v>129.65</v>
        <stp/>
        <stp>185</stp>
        <stp>225218</stp>
        <tr r="H38" s="1"/>
      </tp>
      <tp>
        <v>1163</v>
        <stp/>
        <stp>178</stp>
        <stp>225218</stp>
        <tr r="K35" s="1"/>
        <tr r="K35" s="1"/>
      </tp>
      <tp>
        <v>1866.5</v>
        <stp/>
        <stp>179</stp>
        <stp>225218</stp>
        <tr r="J35" s="1"/>
      </tp>
      <tp>
        <v>1843.5</v>
        <stp/>
        <stp>172</stp>
        <stp>225218</stp>
        <tr r="H35" s="1"/>
        <tr r="H35" s="1"/>
      </tp>
      <tp>
        <v>1656</v>
        <stp/>
        <stp>173</stp>
        <stp>225218</stp>
        <tr r="H36" s="1"/>
      </tp>
      <tp>
        <v>8108</v>
        <stp/>
        <stp>170</stp>
        <stp>225218</stp>
        <tr r="I34" s="1"/>
        <tr r="I34" s="1"/>
      </tp>
      <tp>
        <v>1866.5</v>
        <stp/>
        <stp>171</stp>
        <stp>225218</stp>
        <tr r="H35" s="1"/>
      </tp>
      <tp>
        <v>1786.5</v>
        <stp/>
        <stp>176</stp>
        <stp>225218</stp>
        <tr r="I35" s="1"/>
        <tr r="I35" s="1"/>
      </tp>
      <tp>
        <v>1866.5</v>
        <stp/>
        <stp>177</stp>
        <stp>225218</stp>
        <tr r="K35" s="1"/>
      </tp>
      <tp>
        <v>1635.5</v>
        <stp/>
        <stp>174</stp>
        <stp>225218</stp>
        <tr r="H36" s="1"/>
        <tr r="H36" s="1"/>
      </tp>
      <tp>
        <v>1866.5</v>
        <stp/>
        <stp>175</stp>
        <stp>225218</stp>
        <tr r="I35" s="1"/>
      </tp>
      <tp>
        <v>7716</v>
        <stp/>
        <stp>168</stp>
        <stp>225218</stp>
        <tr r="J34" s="1"/>
        <tr r="J34" s="1"/>
      </tp>
      <tp>
        <v>8710</v>
        <stp/>
        <stp>169</stp>
        <stp>225218</stp>
        <tr r="I34" s="1"/>
      </tp>
      <tp>
        <v>8623</v>
        <stp/>
        <stp>162</stp>
        <stp>225218</stp>
        <tr r="H34" s="1"/>
        <tr r="H34" s="1"/>
      </tp>
      <tp>
        <v>6976</v>
        <stp/>
        <stp>163</stp>
        <stp>225218</stp>
        <tr r="I33" s="1"/>
      </tp>
      <tp>
        <v>6230</v>
        <stp/>
        <stp>160</stp>
        <stp>225218</stp>
        <tr r="J33" s="1"/>
        <tr r="J33" s="1"/>
      </tp>
      <tp>
        <v>8710</v>
        <stp/>
        <stp>161</stp>
        <stp>225218</stp>
        <tr r="H34" s="1"/>
      </tp>
      <tp>
        <v>4859</v>
        <stp/>
        <stp>166</stp>
        <stp>225218</stp>
        <tr r="K34" s="1"/>
        <tr r="K34" s="1"/>
      </tp>
      <tp>
        <v>8710</v>
        <stp/>
        <stp>167</stp>
        <stp>225218</stp>
        <tr r="J34" s="1"/>
      </tp>
      <tp>
        <v>6593</v>
        <stp/>
        <stp>164</stp>
        <stp>225218</stp>
        <tr r="I33" s="1"/>
        <tr r="I33" s="1"/>
      </tp>
      <tp>
        <v>8710</v>
        <stp/>
        <stp>165</stp>
        <stp>225218</stp>
        <tr r="K34" s="1"/>
      </tp>
      <tp>
        <v>4084</v>
        <stp/>
        <stp>158</stp>
        <stp>225218</stp>
        <tr r="K33" s="1"/>
        <tr r="K33" s="1"/>
      </tp>
      <tp>
        <v>6976</v>
        <stp/>
        <stp>159</stp>
        <stp>225218</stp>
        <tr r="J33" s="1"/>
      </tp>
      <tp>
        <v>2268.5</v>
        <stp/>
        <stp>152</stp>
        <stp>225218</stp>
        <tr r="K32" s="1"/>
        <tr r="K32" s="1"/>
      </tp>
      <tp>
        <v>3711</v>
        <stp/>
        <stp>153</stp>
        <stp>225218</stp>
        <tr r="J32" s="1"/>
      </tp>
      <tp>
        <v>3481</v>
        <stp/>
        <stp>150</stp>
        <stp>225218</stp>
        <tr r="I32" s="1"/>
        <tr r="I32" s="1"/>
      </tp>
      <tp>
        <v>3711</v>
        <stp/>
        <stp>151</stp>
        <stp>225218</stp>
        <tr r="K32" s="1"/>
      </tp>
      <tp>
        <v>6975</v>
        <stp/>
        <stp>156</stp>
        <stp>225218</stp>
        <tr r="H33" s="1"/>
        <tr r="H33" s="1"/>
      </tp>
      <tp>
        <v>6976</v>
        <stp/>
        <stp>157</stp>
        <stp>225218</stp>
        <tr r="K33" s="1"/>
      </tp>
      <tp>
        <v>3219</v>
        <stp/>
        <stp>154</stp>
        <stp>225218</stp>
        <tr r="J32" s="1"/>
        <tr r="J32" s="1"/>
      </tp>
      <tp>
        <v>6976</v>
        <stp/>
        <stp>155</stp>
        <stp>225218</stp>
        <tr r="H33" s="1"/>
      </tp>
      <tp>
        <v>3680</v>
        <stp/>
        <stp>148</stp>
        <stp>225218</stp>
        <tr r="H32" s="1"/>
        <tr r="H32" s="1"/>
      </tp>
      <tp>
        <v>3711</v>
        <stp/>
        <stp>149</stp>
        <stp>225218</stp>
        <tr r="I32" s="1"/>
      </tp>
      <tp>
        <v>370.3</v>
        <stp/>
        <stp>142</stp>
        <stp>225218</stp>
        <tr r="I30" s="1"/>
        <tr r="I30" s="1"/>
      </tp>
      <tp>
        <v>372.6</v>
        <stp/>
        <stp>143</stp>
        <stp>225218</stp>
        <tr r="J30" s="1"/>
      </tp>
      <tp>
        <v>32.58</v>
        <stp/>
        <stp>140</stp>
        <stp>225218</stp>
        <tr r="K28" s="1"/>
        <tr r="K28" s="1"/>
      </tp>
      <tp>
        <v>372.6</v>
        <stp/>
        <stp>141</stp>
        <stp>225218</stp>
        <tr r="I30" s="1"/>
      </tp>
      <tp>
        <v>258.89999999999998</v>
        <stp/>
        <stp>146</stp>
        <stp>225218</stp>
        <tr r="K30" s="1"/>
        <tr r="K30" s="1"/>
      </tp>
      <tp>
        <v>3711</v>
        <stp/>
        <stp>147</stp>
        <stp>225218</stp>
        <tr r="H32" s="1"/>
      </tp>
      <tp>
        <v>330.1</v>
        <stp/>
        <stp>144</stp>
        <stp>225218</stp>
        <tr r="J30" s="1"/>
        <tr r="J30" s="1"/>
      </tp>
      <tp>
        <v>372.6</v>
        <stp/>
        <stp>145</stp>
        <stp>225218</stp>
        <tr r="K30" s="1"/>
      </tp>
      <tp>
        <v>372.6</v>
        <stp/>
        <stp>138</stp>
        <stp>225218</stp>
        <tr r="H30" s="1"/>
        <tr r="H30" s="1"/>
      </tp>
      <tp>
        <v>42.75</v>
        <stp/>
        <stp>139</stp>
        <stp>225218</stp>
        <tr r="K28" s="1"/>
      </tp>
      <tp>
        <v>40.19</v>
        <stp/>
        <stp>132</stp>
        <stp>225218</stp>
        <tr r="H28" s="1"/>
        <tr r="H28" s="1"/>
      </tp>
      <tp>
        <v>42.75</v>
        <stp/>
        <stp>133</stp>
        <stp>225218</stp>
        <tr r="I28" s="1"/>
      </tp>
      <tp>
        <v>29.87</v>
        <stp/>
        <stp>130</stp>
        <stp>225218</stp>
        <tr r="K27" s="1"/>
        <tr r="K27" s="1"/>
      </tp>
      <tp>
        <v>42.75</v>
        <stp/>
        <stp>131</stp>
        <stp>225218</stp>
        <tr r="H28" s="1"/>
      </tp>
      <tp>
        <v>37.1</v>
        <stp/>
        <stp>136</stp>
        <stp>225218</stp>
        <tr r="J28" s="1"/>
        <tr r="J28" s="1"/>
      </tp>
      <tp>
        <v>372.6</v>
        <stp/>
        <stp>137</stp>
        <stp>225218</stp>
        <tr r="H30" s="1"/>
      </tp>
      <tp>
        <v>39.549999999999997</v>
        <stp/>
        <stp>134</stp>
        <stp>225218</stp>
        <tr r="I28" s="1"/>
        <tr r="I28" s="1"/>
      </tp>
      <tp>
        <v>42.75</v>
        <stp/>
        <stp>135</stp>
        <stp>225218</stp>
        <tr r="J28" s="1"/>
      </tp>
      <tp>
        <v>27.53</v>
        <stp/>
        <stp>128</stp>
        <stp>225218</stp>
        <tr r="J27" s="1"/>
        <tr r="J27" s="1"/>
      </tp>
      <tp>
        <v>35.524999999999999</v>
        <stp/>
        <stp>129</stp>
        <stp>225218</stp>
        <tr r="K27" s="1"/>
      </tp>
      <tp>
        <v>34.659999999999997</v>
        <stp/>
        <stp>122</stp>
        <stp>225218</stp>
        <tr r="H27" s="1"/>
        <tr r="H27" s="1"/>
      </tp>
      <tp>
        <v>2269</v>
        <stp/>
        <stp>123</stp>
        <stp>225218</stp>
        <tr r="J25" s="1"/>
      </tp>
      <tp>
        <v>1366</v>
        <stp/>
        <stp>120</stp>
        <stp>225218</stp>
        <tr r="K25" s="1"/>
        <tr r="K25" s="1"/>
      </tp>
      <tp>
        <v>35.524999999999999</v>
        <stp/>
        <stp>121</stp>
        <stp>225218</stp>
        <tr r="H27" s="1"/>
      </tp>
      <tp>
        <v>33.055</v>
        <stp/>
        <stp>126</stp>
        <stp>225218</stp>
        <tr r="I27" s="1"/>
        <tr r="I27" s="1"/>
      </tp>
      <tp>
        <v>35.524999999999999</v>
        <stp/>
        <stp>127</stp>
        <stp>225218</stp>
        <tr r="J27" s="1"/>
      </tp>
      <tp>
        <v>1933</v>
        <stp/>
        <stp>124</stp>
        <stp>225218</stp>
        <tr r="J25" s="1"/>
        <tr r="J25" s="1"/>
      </tp>
      <tp>
        <v>35.524999999999999</v>
        <stp/>
        <stp>125</stp>
        <stp>225218</stp>
        <tr r="I27" s="1"/>
      </tp>
      <tp>
        <v>2195</v>
        <stp/>
        <stp>118</stp>
        <stp>225218</stp>
        <tr r="I25" s="1"/>
        <tr r="I25" s="1"/>
      </tp>
      <tp>
        <v>2269</v>
        <stp/>
        <stp>119</stp>
        <stp>225218</stp>
        <tr r="K25" s="1"/>
      </tp>
      <tp>
        <v>2177</v>
        <stp/>
        <stp>112</stp>
        <stp>225218</stp>
        <tr r="H25" s="1"/>
        <tr r="H25" s="1"/>
      </tp>
      <tp>
        <v>700</v>
        <stp/>
        <stp>113</stp>
        <stp>225218</stp>
        <tr r="J24" s="1"/>
      </tp>
      <tp>
        <v>688.8</v>
        <stp/>
        <stp>110</stp>
        <stp>225218</stp>
        <tr r="I24" s="1"/>
        <tr r="I24" s="1"/>
      </tp>
      <tp>
        <v>2269</v>
        <stp/>
        <stp>111</stp>
        <stp>225218</stp>
        <tr r="H25" s="1"/>
      </tp>
      <tp>
        <v>506</v>
        <stp/>
        <stp>116</stp>
        <stp>225218</stp>
        <tr r="K24" s="1"/>
        <tr r="K24" s="1"/>
      </tp>
      <tp>
        <v>2269</v>
        <stp/>
        <stp>117</stp>
        <stp>225218</stp>
        <tr r="I25" s="1"/>
      </tp>
      <tp>
        <v>593.79999999999995</v>
        <stp/>
        <stp>114</stp>
        <stp>225218</stp>
        <tr r="J24" s="1"/>
        <tr r="J24" s="1"/>
      </tp>
      <tp>
        <v>700</v>
        <stp/>
        <stp>115</stp>
        <stp>225218</stp>
        <tr r="K24" s="1"/>
      </tp>
      <tp>
        <v>963</v>
        <stp/>
        <stp>108</stp>
        <stp>225218</stp>
        <tr r="K23" s="1"/>
        <tr r="K23" s="1"/>
      </tp>
      <tp>
        <v>700</v>
        <stp/>
        <stp>109</stp>
        <stp>225218</stp>
        <tr r="I24" s="1"/>
      </tp>
      <tp>
        <v>1360.8</v>
        <stp/>
        <stp>102</stp>
        <stp>225218</stp>
        <tr r="J23" s="1"/>
        <tr r="J23" s="1"/>
      </tp>
      <tp>
        <v>700</v>
        <stp/>
        <stp>103</stp>
        <stp>225218</stp>
        <tr r="H24" s="1"/>
      </tp>
      <tp>
        <v>1528.4</v>
        <stp/>
        <stp>100</stp>
        <stp>225218</stp>
        <tr r="H23" s="1"/>
        <tr r="H23" s="1"/>
      </tp>
      <tp>
        <v>1579</v>
        <stp/>
        <stp>101</stp>
        <stp>225218</stp>
        <tr r="J23" s="1"/>
      </tp>
      <tp>
        <v>1529</v>
        <stp/>
        <stp>106</stp>
        <stp>225218</stp>
        <tr r="I23" s="1"/>
        <tr r="I23" s="1"/>
      </tp>
      <tp>
        <v>1579</v>
        <stp/>
        <stp>107</stp>
        <stp>225218</stp>
        <tr r="K23" s="1"/>
      </tp>
      <tp>
        <v>679.4</v>
        <stp/>
        <stp>104</stp>
        <stp>225218</stp>
        <tr r="H24" s="1"/>
        <tr r="H24" s="1"/>
      </tp>
      <tp>
        <v>1579</v>
        <stp/>
        <stp>105</stp>
        <stp>225218</stp>
        <tr r="I2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CA"/>
              <a:t>Composite Risk Score by Bank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14-4BF4-BA99-8D63BE6D9D3F}"/>
            </c:ext>
          </c:extLst>
        </c:ser>
        <c:ser>
          <c:idx val="1"/>
          <c:order val="1"/>
          <c:tx>
            <c:v>Composite Risk Score</c:v>
          </c:tx>
          <c:invertIfNegative val="1"/>
          <c:cat>
            <c:strRef>
              <c:f>'Risk Score Model'!$A$8:$A$44</c:f>
              <c:strCache>
                <c:ptCount val="37"/>
                <c:pt idx="0">
                  <c:v>Citigroup</c:v>
                </c:pt>
                <c:pt idx="1">
                  <c:v>Bank of America</c:v>
                </c:pt>
                <c:pt idx="2">
                  <c:v>JPMorgan Chase</c:v>
                </c:pt>
                <c:pt idx="3">
                  <c:v>Goldman Sachs</c:v>
                </c:pt>
                <c:pt idx="4">
                  <c:v>Morgan Stanley</c:v>
                </c:pt>
                <c:pt idx="5">
                  <c:v>Wells Fargo</c:v>
                </c:pt>
                <c:pt idx="6">
                  <c:v>State Street Bank</c:v>
                </c:pt>
                <c:pt idx="7">
                  <c:v>France</c:v>
                </c:pt>
                <c:pt idx="8">
                  <c:v>BNP Paribas SA</c:v>
                </c:pt>
                <c:pt idx="9">
                  <c:v>Credit Agricole SA</c:v>
                </c:pt>
                <c:pt idx="10">
                  <c:v>Societe Generale</c:v>
                </c:pt>
                <c:pt idx="11">
                  <c:v>Switzerland</c:v>
                </c:pt>
                <c:pt idx="12">
                  <c:v>UBS Group AG</c:v>
                </c:pt>
                <c:pt idx="13">
                  <c:v>U.K.</c:v>
                </c:pt>
                <c:pt idx="14">
                  <c:v>Barclays Bank PLC</c:v>
                </c:pt>
                <c:pt idx="15">
                  <c:v>HSBC Holdings PLC</c:v>
                </c:pt>
                <c:pt idx="16">
                  <c:v>RBS Group PLC</c:v>
                </c:pt>
                <c:pt idx="17">
                  <c:v>Standard Chartered</c:v>
                </c:pt>
                <c:pt idx="18">
                  <c:v>Germany</c:v>
                </c:pt>
                <c:pt idx="19">
                  <c:v>Deutsche Bank AG</c:v>
                </c:pt>
                <c:pt idx="20">
                  <c:v>Commerzbank</c:v>
                </c:pt>
                <c:pt idx="21">
                  <c:v>Denmark</c:v>
                </c:pt>
                <c:pt idx="22">
                  <c:v>Danske</c:v>
                </c:pt>
                <c:pt idx="23">
                  <c:v>Japan</c:v>
                </c:pt>
                <c:pt idx="24">
                  <c:v>Mitsubishi</c:v>
                </c:pt>
                <c:pt idx="25">
                  <c:v>Sumitomo</c:v>
                </c:pt>
                <c:pt idx="26">
                  <c:v>Mizuho</c:v>
                </c:pt>
                <c:pt idx="27">
                  <c:v>Daiwa</c:v>
                </c:pt>
                <c:pt idx="28">
                  <c:v>Nomura</c:v>
                </c:pt>
                <c:pt idx="29">
                  <c:v>Canada</c:v>
                </c:pt>
                <c:pt idx="30">
                  <c:v>Bank of Nova Scotia</c:v>
                </c:pt>
                <c:pt idx="31">
                  <c:v>BMO</c:v>
                </c:pt>
                <c:pt idx="32">
                  <c:v>CIBC</c:v>
                </c:pt>
                <c:pt idx="33">
                  <c:v>TD</c:v>
                </c:pt>
                <c:pt idx="34">
                  <c:v>RBC</c:v>
                </c:pt>
                <c:pt idx="35">
                  <c:v>Nationale</c:v>
                </c:pt>
                <c:pt idx="36">
                  <c:v>Laurentian</c:v>
                </c:pt>
              </c:strCache>
            </c:strRef>
          </c:cat>
          <c:val>
            <c:numRef>
              <c:f>'Risk Score Model'!$G$8:$G$44</c:f>
              <c:numCache>
                <c:formatCode>0.0;[Red]\(0.0\);\-</c:formatCode>
                <c:ptCount val="37"/>
                <c:pt idx="0">
                  <c:v>26.660000000000004</c:v>
                </c:pt>
                <c:pt idx="1">
                  <c:v>73.319999999999993</c:v>
                </c:pt>
                <c:pt idx="2">
                  <c:v>26.680000000000003</c:v>
                </c:pt>
                <c:pt idx="3">
                  <c:v>89.97999999999999</c:v>
                </c:pt>
                <c:pt idx="4">
                  <c:v>80</c:v>
                </c:pt>
                <c:pt idx="5">
                  <c:v>9.9600000000000009</c:v>
                </c:pt>
                <c:pt idx="6">
                  <c:v>43.36</c:v>
                </c:pt>
                <c:pt idx="8">
                  <c:v>0</c:v>
                </c:pt>
                <c:pt idx="9">
                  <c:v>50</c:v>
                </c:pt>
                <c:pt idx="10">
                  <c:v>60</c:v>
                </c:pt>
                <c:pt idx="12">
                  <c:v>0</c:v>
                </c:pt>
                <c:pt idx="14">
                  <c:v>100</c:v>
                </c:pt>
                <c:pt idx="15">
                  <c:v>13.36</c:v>
                </c:pt>
                <c:pt idx="16">
                  <c:v>66.64</c:v>
                </c:pt>
                <c:pt idx="17">
                  <c:v>19.98</c:v>
                </c:pt>
                <c:pt idx="19">
                  <c:v>100</c:v>
                </c:pt>
                <c:pt idx="20">
                  <c:v>0</c:v>
                </c:pt>
                <c:pt idx="22">
                  <c:v>0</c:v>
                </c:pt>
                <c:pt idx="24">
                  <c:v>20</c:v>
                </c:pt>
                <c:pt idx="25">
                  <c:v>45</c:v>
                </c:pt>
                <c:pt idx="26">
                  <c:v>40</c:v>
                </c:pt>
                <c:pt idx="27">
                  <c:v>85</c:v>
                </c:pt>
                <c:pt idx="28">
                  <c:v>60</c:v>
                </c:pt>
                <c:pt idx="30">
                  <c:v>60</c:v>
                </c:pt>
                <c:pt idx="31">
                  <c:v>32</c:v>
                </c:pt>
                <c:pt idx="32">
                  <c:v>60</c:v>
                </c:pt>
                <c:pt idx="33">
                  <c:v>32</c:v>
                </c:pt>
                <c:pt idx="34">
                  <c:v>64</c:v>
                </c:pt>
                <c:pt idx="35">
                  <c:v>52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4-4BF4-BA99-8D63BE6D9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0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F02A0E3-C32E-48CE-B969-D4ABB72B0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22D82-AA10-4CAC-BFA1-B0968B94E963}">
  <dimension ref="A1:DB1"/>
  <sheetViews>
    <sheetView workbookViewId="0"/>
  </sheetViews>
  <sheetFormatPr defaultRowHeight="14.5"/>
  <sheetData>
    <row r="1" spans="1:106">
      <c r="A1">
        <v>106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  <c r="BP1" t="s">
        <v>333</v>
      </c>
      <c r="BQ1" t="s">
        <v>334</v>
      </c>
      <c r="BR1" t="s">
        <v>335</v>
      </c>
      <c r="BS1" t="s">
        <v>336</v>
      </c>
      <c r="BT1" t="s">
        <v>337</v>
      </c>
      <c r="BU1" t="s">
        <v>338</v>
      </c>
      <c r="BV1" t="s">
        <v>339</v>
      </c>
      <c r="BW1" t="s">
        <v>340</v>
      </c>
      <c r="BX1" t="s">
        <v>341</v>
      </c>
      <c r="BY1" t="s">
        <v>342</v>
      </c>
      <c r="BZ1" t="s">
        <v>343</v>
      </c>
      <c r="CA1" t="s">
        <v>344</v>
      </c>
      <c r="CB1" t="s">
        <v>345</v>
      </c>
      <c r="CC1" t="s">
        <v>346</v>
      </c>
      <c r="CD1" t="s">
        <v>347</v>
      </c>
      <c r="CE1" t="s">
        <v>348</v>
      </c>
      <c r="CF1" t="s">
        <v>349</v>
      </c>
      <c r="CG1" t="s">
        <v>350</v>
      </c>
      <c r="CH1" t="s">
        <v>351</v>
      </c>
      <c r="CI1" t="s">
        <v>352</v>
      </c>
      <c r="CJ1" t="s">
        <v>353</v>
      </c>
      <c r="CK1" t="s">
        <v>354</v>
      </c>
      <c r="CL1" t="s">
        <v>355</v>
      </c>
      <c r="CM1" t="s">
        <v>356</v>
      </c>
      <c r="CN1" t="s">
        <v>357</v>
      </c>
      <c r="CO1" t="s">
        <v>358</v>
      </c>
      <c r="CP1" t="s">
        <v>359</v>
      </c>
      <c r="CQ1" t="s">
        <v>360</v>
      </c>
      <c r="CR1" t="s">
        <v>361</v>
      </c>
      <c r="CS1" t="s">
        <v>362</v>
      </c>
      <c r="CT1" t="s">
        <v>363</v>
      </c>
      <c r="CU1" t="s">
        <v>364</v>
      </c>
      <c r="CV1" t="s">
        <v>365</v>
      </c>
      <c r="CW1" t="s">
        <v>366</v>
      </c>
      <c r="CX1" t="s">
        <v>367</v>
      </c>
      <c r="CY1" t="s">
        <v>368</v>
      </c>
      <c r="CZ1" t="s">
        <v>369</v>
      </c>
      <c r="DA1" t="s">
        <v>370</v>
      </c>
      <c r="DB1" t="s">
        <v>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7631-A035-4B26-8F61-072DACD140F6}">
  <dimension ref="A1:Q64"/>
  <sheetViews>
    <sheetView tabSelected="1" zoomScale="84" zoomScaleNormal="84" workbookViewId="0">
      <selection activeCell="G25" sqref="G25"/>
    </sheetView>
  </sheetViews>
  <sheetFormatPr defaultRowHeight="14.5"/>
  <cols>
    <col min="1" max="1" width="19.36328125" customWidth="1"/>
    <col min="2" max="2" width="27.08984375" customWidth="1"/>
    <col min="3" max="3" width="23.90625" customWidth="1"/>
    <col min="8" max="8" width="15.08984375" customWidth="1"/>
    <col min="13" max="13" width="21.453125" customWidth="1"/>
    <col min="14" max="14" width="12.7265625" customWidth="1"/>
    <col min="15" max="15" width="18.7265625" customWidth="1"/>
    <col min="16" max="16" width="18.6328125" customWidth="1"/>
    <col min="17" max="17" width="12.1796875" customWidth="1"/>
  </cols>
  <sheetData>
    <row r="1" spans="1:17">
      <c r="A1" s="44"/>
      <c r="B1" s="43"/>
      <c r="C1" s="73" t="s">
        <v>234</v>
      </c>
      <c r="D1" s="74"/>
      <c r="E1" s="74"/>
      <c r="F1" s="74"/>
      <c r="G1" s="75"/>
      <c r="H1" s="73" t="s">
        <v>1</v>
      </c>
      <c r="I1" s="74"/>
      <c r="J1" s="74"/>
      <c r="K1" s="74"/>
    </row>
    <row r="2" spans="1:17">
      <c r="A2" s="42"/>
      <c r="B2" s="45" t="s">
        <v>235</v>
      </c>
      <c r="C2" s="1"/>
      <c r="D2" s="39">
        <v>-3</v>
      </c>
      <c r="E2" s="39">
        <v>-3</v>
      </c>
      <c r="F2" s="39">
        <v>-30</v>
      </c>
      <c r="G2" s="47">
        <v>-75</v>
      </c>
      <c r="H2" s="39">
        <v>2</v>
      </c>
      <c r="I2" s="39">
        <v>10</v>
      </c>
      <c r="J2" s="39">
        <v>30</v>
      </c>
      <c r="K2" s="39">
        <v>70</v>
      </c>
      <c r="M2" s="21" t="str" cm="1">
        <f t="array" ref="M2">_xll.TR("C5YUSAX=R","PCT1W")</f>
        <v>The formula must contain at least one field or function.</v>
      </c>
    </row>
    <row r="3" spans="1:17">
      <c r="A3" s="42"/>
      <c r="B3" s="45" t="s">
        <v>236</v>
      </c>
      <c r="C3" s="1"/>
      <c r="D3" s="48">
        <v>3</v>
      </c>
      <c r="E3" s="48">
        <v>3</v>
      </c>
      <c r="F3" s="49">
        <v>20</v>
      </c>
      <c r="G3" s="49">
        <v>50</v>
      </c>
      <c r="H3" s="48">
        <v>-3</v>
      </c>
      <c r="I3" s="48">
        <v>-10</v>
      </c>
      <c r="J3" s="48">
        <v>-30</v>
      </c>
      <c r="K3" s="48">
        <v>-70</v>
      </c>
      <c r="M3" s="40"/>
      <c r="N3" s="40"/>
    </row>
    <row r="4" spans="1:17">
      <c r="A4" s="43"/>
      <c r="B4" s="46"/>
      <c r="H4" s="50"/>
      <c r="I4" s="50"/>
      <c r="J4" s="50"/>
      <c r="K4" s="50"/>
      <c r="M4" s="21"/>
    </row>
    <row r="5" spans="1:17">
      <c r="A5" s="2"/>
      <c r="B5" s="2"/>
      <c r="C5" s="76" t="s">
        <v>0</v>
      </c>
      <c r="D5" s="74"/>
      <c r="E5" s="74"/>
      <c r="F5" s="74"/>
      <c r="G5" s="75"/>
      <c r="H5" s="76" t="s">
        <v>1</v>
      </c>
      <c r="I5" s="74"/>
      <c r="J5" s="74"/>
      <c r="K5" s="74"/>
      <c r="M5" s="24" t="str" cm="1">
        <f t="array" ref="M5">_xll.TR(O10,"TR.CDSMidSpread")</f>
        <v>The formula must contain at least one field or function.</v>
      </c>
    </row>
    <row r="6" spans="1:17">
      <c r="A6" s="3" t="s">
        <v>2</v>
      </c>
      <c r="B6" s="3" t="s">
        <v>254</v>
      </c>
      <c r="C6" s="3" t="s">
        <v>3</v>
      </c>
      <c r="D6" s="3" t="s">
        <v>4</v>
      </c>
      <c r="E6" s="3" t="s">
        <v>5</v>
      </c>
      <c r="F6" s="3" t="s">
        <v>6</v>
      </c>
      <c r="G6" s="4" t="s">
        <v>7</v>
      </c>
      <c r="H6" s="3" t="s">
        <v>4</v>
      </c>
      <c r="I6" s="3" t="s">
        <v>5</v>
      </c>
      <c r="J6" s="3" t="s">
        <v>6</v>
      </c>
      <c r="K6" s="3" t="s">
        <v>7</v>
      </c>
    </row>
    <row r="7" spans="1:17">
      <c r="A7" s="5" t="s">
        <v>8</v>
      </c>
      <c r="B7" s="5" t="s">
        <v>9</v>
      </c>
      <c r="C7" s="6"/>
      <c r="D7" s="6"/>
      <c r="E7" s="6"/>
      <c r="F7" s="6"/>
      <c r="G7" s="7"/>
      <c r="H7" s="6"/>
      <c r="I7" s="6"/>
      <c r="J7" s="6"/>
      <c r="K7" s="6"/>
      <c r="M7" s="13" t="s">
        <v>2</v>
      </c>
      <c r="N7" s="13" t="s">
        <v>49</v>
      </c>
      <c r="O7" s="16" t="s">
        <v>233</v>
      </c>
    </row>
    <row r="8" spans="1:17">
      <c r="A8" s="8" t="s">
        <v>10</v>
      </c>
      <c r="B8" s="9" t="s">
        <v>263</v>
      </c>
      <c r="C8" s="10">
        <f ca="1">'CDS from CapitalIQ'!C48</f>
        <v>50.523499999999999</v>
      </c>
      <c r="D8" s="35">
        <f ca="1">'CDS from CapitalIQ'!T48</f>
        <v>-1.0549000000000035</v>
      </c>
      <c r="E8" s="35">
        <f ca="1">'CDS from CapitalIQ'!V48</f>
        <v>-1.3066000000000031</v>
      </c>
      <c r="F8" s="35">
        <f ca="1">'CDS from CapitalIQ'!W48</f>
        <v>-4.5630999999999986</v>
      </c>
      <c r="G8" s="36">
        <f ca="1">'CDS from CapitalIQ'!X48</f>
        <v>-1.9875000000000043</v>
      </c>
      <c r="H8" s="11" cm="1">
        <f t="array" aca="1" ref="H8" ca="1">(_xll.TR(N8,"TR.PriceClose")-_xll.TR(N8,"TR.PriceClose","SDate:"&amp;TEXT(WORKDAY(TODAY(),-5),"yyyy-mm-dd")))/_xll.TR(N8,"TR.PriceClose","SDate:"&amp;TEXT(WORKDAY(TODAY(),-5),"yyyy-mm-dd"))</f>
        <v>4.634554019146022E-2</v>
      </c>
      <c r="I8" s="11" cm="1">
        <f t="array" aca="1" ref="I8" ca="1">(_xll.TR(N8,"TR.PriceClose")-_xll.TR(N8,"TR.PriceClose","SDate:"&amp;TEXT(WORKDAY(TODAY(),-10),"yyyy-mm-dd")))/_xll.TR(N8,"TR.PriceClose","SDate:"&amp;TEXT(WORKDAY(TODAY(),-10),"yyyy-mm-dd"))</f>
        <v>4.5551169146674765E-2</v>
      </c>
      <c r="J8" s="11" cm="1">
        <f t="array" aca="1" ref="J8" ca="1">(_xll.TR(N8,"TR.PriceClose")-_xll.TR(N8,"TR.PriceClose","SDate:"&amp;EDATE(TODAY(),-3)))/_xll.TR(N8,"TR.PriceClose","SDate:"&amp;EDATE(TODAY(),-3))</f>
        <v>3.9631614705216277E-2</v>
      </c>
      <c r="K8" s="11" cm="1">
        <f t="array" aca="1" ref="K8" ca="1">(_xll.TR(N8,"TR.PriceClose")-_xll.TR(N8,"TR.PriceClose","SDate:"&amp;EDATE(TODAY(),-12)))/_xll.TR(N8,"TR.PriceClose","SDate:"&amp;EDATE(TODAY(),-12))</f>
        <v>0.44360587002096424</v>
      </c>
      <c r="M8" s="14" t="s">
        <v>10</v>
      </c>
      <c r="N8" s="15" t="s">
        <v>50</v>
      </c>
      <c r="O8" t="s">
        <v>81</v>
      </c>
      <c r="Q8" s="31"/>
    </row>
    <row r="9" spans="1:17">
      <c r="A9" s="12" t="s">
        <v>11</v>
      </c>
      <c r="B9" s="9" t="s">
        <v>263</v>
      </c>
      <c r="C9" s="10">
        <f ca="1">'CDS from CapitalIQ'!C49</f>
        <v>52.115900000000003</v>
      </c>
      <c r="D9" s="35">
        <f ca="1">'CDS from CapitalIQ'!T49</f>
        <v>-0.91549999999999443</v>
      </c>
      <c r="E9" s="35">
        <f ca="1">'CDS from CapitalIQ'!V49</f>
        <v>-2.1870999999999938</v>
      </c>
      <c r="F9" s="35">
        <f ca="1">'CDS from CapitalIQ'!W49</f>
        <v>-3.4285999999999959</v>
      </c>
      <c r="G9" s="36">
        <f ca="1">'CDS from CapitalIQ'!X49</f>
        <v>-0.897199999999998</v>
      </c>
      <c r="H9" s="11" cm="1">
        <f t="array" aca="1" ref="H9" ca="1">(_xll.TR(N9,"TR.PriceClose")-_xll.TR(N9,"TR.PriceClose","SDate:"&amp;TEXT(WORKDAY(TODAY(),-5),"yyyy-mm-dd")))/_xll.TR(N9,"TR.PriceClose","SDate:"&amp;TEXT(WORKDAY(TODAY(),-5),"yyyy-mm-dd"))</f>
        <v>1.1947045527930288E-2</v>
      </c>
      <c r="I9" s="11" cm="1">
        <f t="array" aca="1" ref="I9" ca="1">(_xll.TR(N9,"TR.PriceClose")-_xll.TR(N9,"TR.PriceClose","SDate:"&amp;TEXT(WORKDAY(TODAY(),-10),"yyyy-mm-dd")))/_xll.TR(N9,"TR.PriceClose","SDate:"&amp;TEXT(WORKDAY(TODAY(),-10),"yyyy-mm-dd"))</f>
        <v>5.6152735440398111E-3</v>
      </c>
      <c r="J9" s="11" cm="1">
        <f t="array" aca="1" ref="J9" ca="1">(_xll.TR(N9,"TR.PriceClose")-_xll.TR(N9,"TR.PriceClose","SDate:"&amp;EDATE(TODAY(),-3)))/_xll.TR(N9,"TR.PriceClose","SDate:"&amp;EDATE(TODAY(),-3))</f>
        <v>0.16440646479658186</v>
      </c>
      <c r="K9" s="11" cm="1">
        <f t="array" aca="1" ref="K9" ca="1">(_xll.TR(N9,"TR.PriceClose")-_xll.TR(N9,"TR.PriceClose","SDate:"&amp;EDATE(TODAY(),-12)))/_xll.TR(N9,"TR.PriceClose","SDate:"&amp;EDATE(TODAY(),-12))</f>
        <v>0.25939320876029726</v>
      </c>
      <c r="M9" s="14" t="s">
        <v>11</v>
      </c>
      <c r="N9" s="15" t="s">
        <v>51</v>
      </c>
      <c r="O9" t="s">
        <v>82</v>
      </c>
      <c r="Q9" s="32"/>
    </row>
    <row r="10" spans="1:17">
      <c r="A10" s="8" t="s">
        <v>12</v>
      </c>
      <c r="B10" s="9" t="s">
        <v>263</v>
      </c>
      <c r="C10" s="10">
        <f ca="1">'CDS from CapitalIQ'!C50</f>
        <v>37.396999999999998</v>
      </c>
      <c r="D10" s="35">
        <f ca="1">'CDS from CapitalIQ'!T50</f>
        <v>-0.48960000000000292</v>
      </c>
      <c r="E10" s="35">
        <f ca="1">'CDS from CapitalIQ'!V50</f>
        <v>-1.1518000000000015</v>
      </c>
      <c r="F10" s="35">
        <f ca="1">'CDS from CapitalIQ'!W50</f>
        <v>-4.6086999999999989</v>
      </c>
      <c r="G10" s="36">
        <f ca="1">'CDS from CapitalIQ'!X50</f>
        <v>-0.99580000000000268</v>
      </c>
      <c r="H10" s="11" cm="1">
        <f t="array" aca="1" ref="H10" ca="1">(_xll.TR(N10,"TR.PriceClose")-_xll.TR(N10,"TR.PriceClose","SDate:"&amp;TEXT(WORKDAY(TODAY(),-5),"yyyy-mm-dd")))/_xll.TR(N10,"TR.PriceClose","SDate:"&amp;TEXT(WORKDAY(TODAY(),-5),"yyyy-mm-dd"))</f>
        <v>7.3591371271277024E-3</v>
      </c>
      <c r="I10" s="11" cm="1">
        <f t="array" aca="1" ref="I10" ca="1">(_xll.TR(N10,"TR.PriceClose")-_xll.TR(N10,"TR.PriceClose","SDate:"&amp;TEXT(WORKDAY(TODAY(),-10),"yyyy-mm-dd")))/_xll.TR(N10,"TR.PriceClose","SDate:"&amp;TEXT(WORKDAY(TODAY(),-10),"yyyy-mm-dd"))</f>
        <v>6.3133084542214991E-3</v>
      </c>
      <c r="J10" s="11" cm="1">
        <f t="array" aca="1" ref="J10" ca="1">(_xll.TR(N10,"TR.PriceClose")-_xll.TR(N10,"TR.PriceClose","SDate:"&amp;EDATE(TODAY(),-3)))/_xll.TR(N10,"TR.PriceClose","SDate:"&amp;EDATE(TODAY(),-3))</f>
        <v>0.14812562025802728</v>
      </c>
      <c r="K10" s="11" cm="1">
        <f t="array" aca="1" ref="K10" ca="1">(_xll.TR(N10,"TR.PriceClose")-_xll.TR(N10,"TR.PriceClose","SDate:"&amp;EDATE(TODAY(),-12)))/_xll.TR(N10,"TR.PriceClose","SDate:"&amp;EDATE(TODAY(),-12))</f>
        <v>0.2182892859569264</v>
      </c>
      <c r="M10" s="14" t="s">
        <v>12</v>
      </c>
      <c r="N10" s="15" t="s">
        <v>52</v>
      </c>
      <c r="O10" t="s">
        <v>83</v>
      </c>
      <c r="Q10" s="33"/>
    </row>
    <row r="11" spans="1:17">
      <c r="A11" s="12" t="s">
        <v>13</v>
      </c>
      <c r="B11" s="9" t="s">
        <v>263</v>
      </c>
      <c r="C11" s="10">
        <f ca="1">'CDS from CapitalIQ'!C51</f>
        <v>52.232799999999997</v>
      </c>
      <c r="D11" s="35">
        <f ca="1">'CDS from CapitalIQ'!T51</f>
        <v>-0.43160000000000309</v>
      </c>
      <c r="E11" s="35">
        <f ca="1">'CDS from CapitalIQ'!V51</f>
        <v>-2.0529000000000011</v>
      </c>
      <c r="F11" s="35">
        <f ca="1">'CDS from CapitalIQ'!W51</f>
        <v>-2.4288000000000025</v>
      </c>
      <c r="G11" s="36">
        <f ca="1">'CDS from CapitalIQ'!X51</f>
        <v>-2.6561000000000021</v>
      </c>
      <c r="H11" s="11" cm="1">
        <f t="array" aca="1" ref="H11" ca="1">(_xll.TR(N11,"TR.PriceClose")-_xll.TR(N11,"TR.PriceClose","SDate:"&amp;TEXT(WORKDAY(TODAY(),-5),"yyyy-mm-dd")))/_xll.TR(N11,"TR.PriceClose","SDate:"&amp;TEXT(WORKDAY(TODAY(),-5),"yyyy-mm-dd"))</f>
        <v>1.2389121746758757E-2</v>
      </c>
      <c r="I11" s="11" cm="1">
        <f t="array" aca="1" ref="I11" ca="1">(_xll.TR(N11,"TR.PriceClose")-_xll.TR(N11,"TR.PriceClose","SDate:"&amp;TEXT(WORKDAY(TODAY(),-10),"yyyy-mm-dd")))/_xll.TR(N11,"TR.PriceClose","SDate:"&amp;TEXT(WORKDAY(TODAY(),-10),"yyyy-mm-dd"))</f>
        <v>2.248427066043856E-3</v>
      </c>
      <c r="J11" s="11" cm="1">
        <f t="array" aca="1" ref="J11" ca="1">(_xll.TR(N11,"TR.PriceClose")-_xll.TR(N11,"TR.PriceClose","SDate:"&amp;EDATE(TODAY(),-3)))/_xll.TR(N11,"TR.PriceClose","SDate:"&amp;EDATE(TODAY(),-3))</f>
        <v>-6.7393229868837083E-5</v>
      </c>
      <c r="K11" s="11" cm="1">
        <f t="array" aca="1" ref="K11" ca="1">(_xll.TR(N11,"TR.PriceClose")-_xll.TR(N11,"TR.PriceClose","SDate:"&amp;EDATE(TODAY(),-12)))/_xll.TR(N11,"TR.PriceClose","SDate:"&amp;EDATE(TODAY(),-12))</f>
        <v>0.40693027729236919</v>
      </c>
      <c r="M11" s="14" t="s">
        <v>13</v>
      </c>
      <c r="N11" s="15" t="s">
        <v>53</v>
      </c>
      <c r="O11" t="s">
        <v>84</v>
      </c>
      <c r="Q11" s="34"/>
    </row>
    <row r="12" spans="1:17">
      <c r="A12" s="8" t="s">
        <v>14</v>
      </c>
      <c r="B12" s="9" t="s">
        <v>263</v>
      </c>
      <c r="C12" s="10">
        <f ca="1">'CDS from CapitalIQ'!C52</f>
        <v>54.651899999999998</v>
      </c>
      <c r="D12" s="35">
        <f ca="1">'CDS from CapitalIQ'!T52</f>
        <v>-0.62049999999999983</v>
      </c>
      <c r="E12" s="35">
        <f ca="1">'CDS from CapitalIQ'!V52</f>
        <v>-1.6134000000000057</v>
      </c>
      <c r="F12" s="35">
        <f ca="1">'CDS from CapitalIQ'!W52</f>
        <v>-2.828400000000002</v>
      </c>
      <c r="G12" s="36">
        <f ca="1">'CDS from CapitalIQ'!X52</f>
        <v>2.8140999999999963</v>
      </c>
      <c r="H12" s="11" cm="1">
        <f t="array" aca="1" ref="H12" ca="1">(_xll.TR(N12,"TR.PriceClose")-_xll.TR(N12,"TR.PriceClose","SDate:"&amp;TEXT(WORKDAY(TODAY(),-5),"yyyy-mm-dd")))/_xll.TR(N12,"TR.PriceClose","SDate:"&amp;TEXT(WORKDAY(TODAY(),-5),"yyyy-mm-dd"))</f>
        <v>2.062628914307147E-2</v>
      </c>
      <c r="I12" s="11" cm="1">
        <f t="array" aca="1" ref="I12" ca="1">(_xll.TR(N12,"TR.PriceClose")-_xll.TR(N12,"TR.PriceClose","SDate:"&amp;TEXT(WORKDAY(TODAY(),-10),"yyyy-mm-dd")))/_xll.TR(N12,"TR.PriceClose","SDate:"&amp;TEXT(WORKDAY(TODAY(),-10),"yyyy-mm-dd"))</f>
        <v>1.7002989536621761E-2</v>
      </c>
      <c r="J12" s="11" cm="1">
        <f t="array" aca="1" ref="J12" ca="1">(_xll.TR(N12,"TR.PriceClose")-_xll.TR(N12,"TR.PriceClose","SDate:"&amp;EDATE(TODAY(),-3)))/_xll.TR(N12,"TR.PriceClose","SDate:"&amp;EDATE(TODAY(),-3))</f>
        <v>2.7320341622233717E-2</v>
      </c>
      <c r="K12" s="11" cm="1">
        <f t="array" aca="1" ref="K12" ca="1">(_xll.TR(N12,"TR.PriceClose")-_xll.TR(N12,"TR.PriceClose","SDate:"&amp;EDATE(TODAY(),-12)))/_xll.TR(N12,"TR.PriceClose","SDate:"&amp;EDATE(TODAY(),-12))</f>
        <v>0.47018704841650344</v>
      </c>
      <c r="M12" s="14" t="s">
        <v>14</v>
      </c>
      <c r="N12" s="15" t="s">
        <v>54</v>
      </c>
      <c r="O12" t="s">
        <v>85</v>
      </c>
      <c r="Q12" s="21"/>
    </row>
    <row r="13" spans="1:17">
      <c r="A13" s="12" t="s">
        <v>15</v>
      </c>
      <c r="B13" s="9" t="s">
        <v>263</v>
      </c>
      <c r="C13" s="10">
        <f ca="1">'CDS from CapitalIQ'!C53</f>
        <v>45.815399999999997</v>
      </c>
      <c r="D13" s="35">
        <f ca="1">'CDS from CapitalIQ'!T53</f>
        <v>-0.77810000000000201</v>
      </c>
      <c r="E13" s="35">
        <f ca="1">'CDS from CapitalIQ'!V53</f>
        <v>-1.6871000000000009</v>
      </c>
      <c r="F13" s="35">
        <f ca="1">'CDS from CapitalIQ'!W53</f>
        <v>-5.7466000000000008</v>
      </c>
      <c r="G13" s="36">
        <f ca="1">'CDS from CapitalIQ'!X53</f>
        <v>-4.5799999999999841E-2</v>
      </c>
      <c r="H13" s="11" cm="1">
        <f t="array" aca="1" ref="H13" ca="1">(_xll.TR(N13,"TR.PriceClose")-_xll.TR(N13,"TR.PriceClose","SDate:"&amp;TEXT(WORKDAY(TODAY(),-5),"yyyy-mm-dd")))/_xll.TR(N13,"TR.PriceClose","SDate:"&amp;TEXT(WORKDAY(TODAY(),-5),"yyyy-mm-dd"))</f>
        <v>4.1439981479337869E-2</v>
      </c>
      <c r="I13" s="11" cm="1">
        <f t="array" aca="1" ref="I13" ca="1">(_xll.TR(N13,"TR.PriceClose")-_xll.TR(N13,"TR.PriceClose","SDate:"&amp;TEXT(WORKDAY(TODAY(),-10),"yyyy-mm-dd")))/_xll.TR(N13,"TR.PriceClose","SDate:"&amp;TEXT(WORKDAY(TODAY(),-10),"yyyy-mm-dd"))</f>
        <v>6.1968838526912179E-2</v>
      </c>
      <c r="J13" s="11" cm="1">
        <f t="array" aca="1" ref="J13" ca="1">(_xll.TR(N13,"TR.PriceClose")-_xll.TR(N13,"TR.PriceClose","SDate:"&amp;EDATE(TODAY(),-3)))/_xll.TR(N13,"TR.PriceClose","SDate:"&amp;EDATE(TODAY(),-3))</f>
        <v>9.7998535513790591E-2</v>
      </c>
      <c r="K13" s="11" cm="1">
        <f t="array" aca="1" ref="K13" ca="1">(_xll.TR(N13,"TR.PriceClose")-_xll.TR(N13,"TR.PriceClose","SDate:"&amp;EDATE(TODAY(),-12)))/_xll.TR(N13,"TR.PriceClose","SDate:"&amp;EDATE(TODAY(),-12))</f>
        <v>0.13943768996960493</v>
      </c>
      <c r="M13" s="14" t="s">
        <v>15</v>
      </c>
      <c r="N13" s="15" t="s">
        <v>55</v>
      </c>
      <c r="O13" s="20" t="s">
        <v>86</v>
      </c>
      <c r="Q13" s="21"/>
    </row>
    <row r="14" spans="1:17">
      <c r="A14" s="8" t="s">
        <v>16</v>
      </c>
      <c r="B14" s="9" t="s">
        <v>263</v>
      </c>
      <c r="C14" s="10">
        <f ca="1">'CDS from CapitalIQ'!C54</f>
        <v>50.992800000000003</v>
      </c>
      <c r="D14" s="35">
        <f ca="1">'CDS from CapitalIQ'!T54</f>
        <v>0.48590000000000089</v>
      </c>
      <c r="E14" s="35">
        <f ca="1">'CDS from CapitalIQ'!V54</f>
        <v>1.4389000000000038</v>
      </c>
      <c r="F14" s="35">
        <f ca="1">'CDS from CapitalIQ'!W54</f>
        <v>-2.2299000000000007</v>
      </c>
      <c r="G14" s="36">
        <f ca="1">'CDS from CapitalIQ'!X54</f>
        <v>3.0267000000000053</v>
      </c>
      <c r="H14" s="11" cm="1">
        <f t="array" aca="1" ref="H14" ca="1">(_xll.TR(N14,"TR.PriceClose")-_xll.TR(N14,"TR.PriceClose","SDate:"&amp;TEXT(WORKDAY(TODAY(),-5),"yyyy-mm-dd")))/_xll.TR(N14,"TR.PriceClose","SDate:"&amp;TEXT(WORKDAY(TODAY(),-5),"yyyy-mm-dd"))</f>
        <v>1.5048594419479547E-2</v>
      </c>
      <c r="I14" s="11" cm="1">
        <f t="array" aca="1" ref="I14" ca="1">(_xll.TR(N14,"TR.PriceClose")-_xll.TR(N14,"TR.PriceClose","SDate:"&amp;TEXT(WORKDAY(TODAY(),-10),"yyyy-mm-dd")))/_xll.TR(N14,"TR.PriceClose","SDate:"&amp;TEXT(WORKDAY(TODAY(),-10),"yyyy-mm-dd"))</f>
        <v>1.7494238424471002E-2</v>
      </c>
      <c r="J14" s="11" cm="1">
        <f t="array" aca="1" ref="J14" ca="1">(_xll.TR(N14,"TR.PriceClose")-_xll.TR(N14,"TR.PriceClose","SDate:"&amp;EDATE(TODAY(),-3)))/_xll.TR(N14,"TR.PriceClose","SDate:"&amp;EDATE(TODAY(),-3))</f>
        <v>0.20098918083462128</v>
      </c>
      <c r="K14" s="11" cm="1">
        <f t="array" aca="1" ref="K14" ca="1">(_xll.TR(N14,"TR.PriceClose")-_xll.TR(N14,"TR.PriceClose","SDate:"&amp;EDATE(TODAY(),-12)))/_xll.TR(N14,"TR.PriceClose","SDate:"&amp;EDATE(TODAY(),-12))</f>
        <v>0.71987605135015487</v>
      </c>
      <c r="M14" s="14" t="s">
        <v>16</v>
      </c>
      <c r="N14" s="15" t="s">
        <v>56</v>
      </c>
      <c r="O14" t="s">
        <v>87</v>
      </c>
      <c r="Q14" s="21"/>
    </row>
    <row r="15" spans="1:17">
      <c r="A15" s="18" t="s">
        <v>17</v>
      </c>
      <c r="B15" s="5" t="s">
        <v>264</v>
      </c>
      <c r="C15" s="22"/>
      <c r="D15" s="37"/>
      <c r="E15" s="37"/>
      <c r="F15" s="37"/>
      <c r="G15" s="38"/>
      <c r="H15" s="17"/>
      <c r="I15" s="17"/>
      <c r="J15" s="17"/>
      <c r="K15" s="17"/>
      <c r="M15" s="16"/>
    </row>
    <row r="16" spans="1:17">
      <c r="A16" s="12" t="s">
        <v>18</v>
      </c>
      <c r="B16" s="72" t="s">
        <v>214</v>
      </c>
      <c r="C16" s="10">
        <f ca="1">'CDS from CapitalIQ'!C56</f>
        <v>41.904000000000003</v>
      </c>
      <c r="D16" s="35">
        <f ca="1">'CDS from CapitalIQ'!T56</f>
        <v>-0.52029999999999887</v>
      </c>
      <c r="E16" s="35">
        <f ca="1">'CDS from CapitalIQ'!V56</f>
        <v>1.195600000000006</v>
      </c>
      <c r="F16" s="35">
        <f ca="1">'CDS from CapitalIQ'!W56</f>
        <v>3.395700000000005</v>
      </c>
      <c r="G16" s="36">
        <f ca="1">'CDS from CapitalIQ'!X56</f>
        <v>-1.3588999999999984</v>
      </c>
      <c r="H16" s="11" cm="1">
        <f t="array" aca="1" ref="H16" ca="1">(_xll.TR(N16,"TR.PriceClose")-_xll.TR(N16,"TR.PriceClose","SDate:"&amp;TEXT(WORKDAY(TODAY(),-5),"yyyy-mm-dd")))/_xll.TR(N16,"TR.PriceClose","SDate:"&amp;TEXT(WORKDAY(TODAY(),-5),"yyyy-mm-dd"))</f>
        <v>1.7123954076668661E-2</v>
      </c>
      <c r="I16" s="11" cm="1">
        <f t="array" aca="1" ref="I16" ca="1">(_xll.TR(N16,"TR.PriceClose")-_xll.TR(N16,"TR.PriceClose","SDate:"&amp;TEXT(WORKDAY(TODAY(),-10),"yyyy-mm-dd")))/_xll.TR(N16,"TR.PriceClose","SDate:"&amp;TEXT(WORKDAY(TODAY(),-10),"yyyy-mm-dd"))</f>
        <v>-2.1161048689138491E-2</v>
      </c>
      <c r="J16" s="11" cm="1">
        <f t="array" aca="1" ref="J16" ca="1">(_xll.TR(N16,"TR.PriceClose")-_xll.TR(N16,"TR.PriceClose","SDate:"&amp;EDATE(TODAY(),-3)))/_xll.TR(N16,"TR.PriceClose","SDate:"&amp;EDATE(TODAY(),-3))</f>
        <v>0.11628403630539241</v>
      </c>
      <c r="K16" s="11" cm="1">
        <f t="array" aca="1" ref="K16" ca="1">(_xll.TR(N16,"TR.PriceClose")-_xll.TR(N16,"TR.PriceClose","SDate:"&amp;EDATE(TODAY(),-12)))/_xll.TR(N16,"TR.PriceClose","SDate:"&amp;EDATE(TODAY(),-12))</f>
        <v>0.36617877679038174</v>
      </c>
      <c r="M16" s="14" t="s">
        <v>18</v>
      </c>
      <c r="N16" s="15" t="s">
        <v>57</v>
      </c>
      <c r="O16" s="20" t="s">
        <v>88</v>
      </c>
    </row>
    <row r="17" spans="1:17">
      <c r="A17" s="8" t="s">
        <v>19</v>
      </c>
      <c r="B17" s="72" t="s">
        <v>214</v>
      </c>
      <c r="C17" s="10">
        <f ca="1">'CDS from CapitalIQ'!C57</f>
        <v>36.717799999999997</v>
      </c>
      <c r="D17" s="35">
        <f ca="1">'CDS from CapitalIQ'!T57</f>
        <v>-5.0600000000002865E-2</v>
      </c>
      <c r="E17" s="35">
        <f ca="1">'CDS from CapitalIQ'!V57</f>
        <v>1.2776999999999958</v>
      </c>
      <c r="F17" s="35">
        <f ca="1">'CDS from CapitalIQ'!W57</f>
        <v>4.0748999999999995</v>
      </c>
      <c r="G17" s="36">
        <f ca="1">'CDS from CapitalIQ'!X57</f>
        <v>-3.5979000000000028</v>
      </c>
      <c r="H17" s="11" cm="1">
        <f t="array" aca="1" ref="H17" ca="1">(_xll.TR(N17,"TR.PriceClose")-_xll.TR(N17,"TR.PriceClose","SDate:"&amp;TEXT(WORKDAY(TODAY(),-5),"yyyy-mm-dd")))/_xll.TR(N17,"TR.PriceClose","SDate:"&amp;TEXT(WORKDAY(TODAY(),-5),"yyyy-mm-dd"))</f>
        <v>1.8903591682419545E-2</v>
      </c>
      <c r="I17" s="11" cm="1">
        <f t="array" aca="1" ref="I17" ca="1">(_xll.TR(N17,"TR.PriceClose")-_xll.TR(N17,"TR.PriceClose","SDate:"&amp;TEXT(WORKDAY(TODAY(),-10),"yyyy-mm-dd")))/_xll.TR(N17,"TR.PriceClose","SDate:"&amp;TEXT(WORKDAY(TODAY(),-10),"yyyy-mm-dd"))</f>
        <v>-1.1527377521613959E-2</v>
      </c>
      <c r="J17" s="11" cm="1">
        <f t="array" aca="1" ref="J17" ca="1">(_xll.TR(N17,"TR.PriceClose")-_xll.TR(N17,"TR.PriceClose","SDate:"&amp;EDATE(TODAY(),-3)))/_xll.TR(N17,"TR.PriceClose","SDate:"&amp;EDATE(TODAY(),-3))</f>
        <v>0.14125831820931622</v>
      </c>
      <c r="K17" s="11" cm="1">
        <f t="array" aca="1" ref="K17" ca="1">(_xll.TR(N17,"TR.PriceClose")-_xll.TR(N17,"TR.PriceClose","SDate:"&amp;EDATE(TODAY(),-12)))/_xll.TR(N17,"TR.PriceClose","SDate:"&amp;EDATE(TODAY(),-12))</f>
        <v>0.2023581899298916</v>
      </c>
      <c r="M17" s="14" t="s">
        <v>19</v>
      </c>
      <c r="N17" s="15" t="s">
        <v>58</v>
      </c>
      <c r="O17" t="s">
        <v>89</v>
      </c>
      <c r="Q17" s="23"/>
    </row>
    <row r="18" spans="1:17">
      <c r="A18" s="12" t="s">
        <v>20</v>
      </c>
      <c r="B18" s="72" t="s">
        <v>214</v>
      </c>
      <c r="C18" s="10">
        <f ca="1">'CDS from CapitalIQ'!C58</f>
        <v>44.103900000000003</v>
      </c>
      <c r="D18" s="35">
        <f ca="1">'CDS from CapitalIQ'!T58</f>
        <v>-0.45739999999999981</v>
      </c>
      <c r="E18" s="35">
        <f ca="1">'CDS from CapitalIQ'!V58</f>
        <v>1.040300000000002</v>
      </c>
      <c r="F18" s="35">
        <f ca="1">'CDS from CapitalIQ'!W58</f>
        <v>3.2086000000000041</v>
      </c>
      <c r="G18" s="36">
        <f ca="1">'CDS from CapitalIQ'!X58</f>
        <v>-5.5904999999999987</v>
      </c>
      <c r="H18" s="11" cm="1">
        <f t="array" aca="1" ref="H18" ca="1">(_xll.TR(N18,"TR.PriceClose")-_xll.TR(N18,"TR.PriceClose","SDate:"&amp;TEXT(WORKDAY(TODAY(),-5),"yyyy-mm-dd")))/_xll.TR(N18,"TR.PriceClose","SDate:"&amp;TEXT(WORKDAY(TODAY(),-5),"yyyy-mm-dd"))</f>
        <v>3.3310392291809876E-2</v>
      </c>
      <c r="I18" s="11" cm="1">
        <f t="array" aca="1" ref="I18" ca="1">(_xll.TR(N18,"TR.PriceClose")-_xll.TR(N18,"TR.PriceClose","SDate:"&amp;TEXT(WORKDAY(TODAY(),-10),"yyyy-mm-dd")))/_xll.TR(N18,"TR.PriceClose","SDate:"&amp;TEXT(WORKDAY(TODAY(),-10),"yyyy-mm-dd"))</f>
        <v>-7.5356953992597488E-3</v>
      </c>
      <c r="J18" s="11" cm="1">
        <f t="array" aca="1" ref="J18" ca="1">(_xll.TR(N18,"TR.PriceClose")-_xll.TR(N18,"TR.PriceClose","SDate:"&amp;EDATE(TODAY(),-3)))/_xll.TR(N18,"TR.PriceClose","SDate:"&amp;EDATE(TODAY(),-3))</f>
        <v>6.8460005693139592E-2</v>
      </c>
      <c r="K18" s="11" cm="1">
        <f t="array" aca="1" ref="K18" ca="1">(_xll.TR(N18,"TR.PriceClose")-_xll.TR(N18,"TR.PriceClose","SDate:"&amp;EDATE(TODAY(),-12)))/_xll.TR(N18,"TR.PriceClose","SDate:"&amp;EDATE(TODAY(),-12))</f>
        <v>0.41534690799396673</v>
      </c>
      <c r="M18" s="14" t="s">
        <v>20</v>
      </c>
      <c r="N18" s="15" t="s">
        <v>59</v>
      </c>
      <c r="O18" t="s">
        <v>90</v>
      </c>
      <c r="Q18" s="23"/>
    </row>
    <row r="19" spans="1:17">
      <c r="A19" s="18" t="s">
        <v>21</v>
      </c>
      <c r="B19" s="19"/>
      <c r="C19" s="22"/>
      <c r="D19" s="37"/>
      <c r="E19" s="37"/>
      <c r="F19" s="37"/>
      <c r="G19" s="38"/>
      <c r="H19" s="17"/>
      <c r="I19" s="17"/>
      <c r="J19" s="17"/>
      <c r="K19" s="17"/>
      <c r="M19" s="14"/>
      <c r="N19" s="15"/>
      <c r="Q19" s="23"/>
    </row>
    <row r="20" spans="1:17">
      <c r="A20" s="8" t="s">
        <v>22</v>
      </c>
      <c r="B20" s="9" t="s">
        <v>266</v>
      </c>
      <c r="C20" s="10">
        <f ca="1">'CDS from CapitalIQ'!C60</f>
        <v>44.495199999999997</v>
      </c>
      <c r="D20" s="35">
        <f ca="1">'CDS from CapitalIQ'!T60</f>
        <v>-0.16430000000000433</v>
      </c>
      <c r="E20" s="35">
        <f ca="1">'CDS from CapitalIQ'!V60</f>
        <v>-0.54640000000000555</v>
      </c>
      <c r="F20" s="35">
        <f ca="1">'CDS from CapitalIQ'!W60</f>
        <v>-5.129800000000003</v>
      </c>
      <c r="G20" s="36">
        <f ca="1">'CDS from CapitalIQ'!X60</f>
        <v>-1.6715000000000018</v>
      </c>
      <c r="H20" s="11" cm="1">
        <f t="array" aca="1" ref="H20" ca="1">(_xll.TR(N20,"TR.PriceClose")-_xll.TR(N20,"TR.PriceClose","SDate:"&amp;TEXT(WORKDAY(TODAY(),-5),"yyyy-mm-dd")))/_xll.TR(N20,"TR.PriceClose","SDate:"&amp;TEXT(WORKDAY(TODAY(),-5),"yyyy-mm-dd"))</f>
        <v>1.8066847335139634E-3</v>
      </c>
      <c r="I20" s="11" cm="1">
        <f t="array" aca="1" ref="I20" ca="1">(_xll.TR(N20,"TR.PriceClose")-_xll.TR(N20,"TR.PriceClose","SDate:"&amp;TEXT(WORKDAY(TODAY(),-10),"yyyy-mm-dd")))/_xll.TR(N20,"TR.PriceClose","SDate:"&amp;TEXT(WORKDAY(TODAY(),-10),"yyyy-mm-dd"))</f>
        <v>2.6851851851851773E-2</v>
      </c>
      <c r="J20" s="11" cm="1">
        <f t="array" aca="1" ref="J20" ca="1">(_xll.TR(N20,"TR.PriceClose")-_xll.TR(N20,"TR.PriceClose","SDate:"&amp;EDATE(TODAY(),-3)))/_xll.TR(N20,"TR.PriceClose","SDate:"&amp;EDATE(TODAY(),-3))</f>
        <v>0.17884666489503045</v>
      </c>
      <c r="K20" s="11" cm="1">
        <f t="array" aca="1" ref="K20" ca="1">(_xll.TR(N20,"TR.PriceClose")-_xll.TR(N20,"TR.PriceClose","SDate:"&amp;EDATE(TODAY(),-12)))/_xll.TR(N20,"TR.PriceClose","SDate:"&amp;EDATE(TODAY(),-12))</f>
        <v>0.38193146417445473</v>
      </c>
      <c r="M20" s="14" t="s">
        <v>22</v>
      </c>
      <c r="N20" s="15" t="s">
        <v>60</v>
      </c>
      <c r="O20" t="s">
        <v>91</v>
      </c>
    </row>
    <row r="21" spans="1:17">
      <c r="A21" s="18" t="s">
        <v>23</v>
      </c>
      <c r="B21" s="19"/>
      <c r="C21" s="22"/>
      <c r="D21" s="37"/>
      <c r="E21" s="37"/>
      <c r="F21" s="37"/>
      <c r="G21" s="38"/>
      <c r="H21" s="17"/>
      <c r="I21" s="17"/>
      <c r="J21" s="17"/>
      <c r="K21" s="17"/>
      <c r="M21" s="16"/>
      <c r="Q21" s="23"/>
    </row>
    <row r="22" spans="1:17">
      <c r="A22" s="8" t="s">
        <v>24</v>
      </c>
      <c r="B22" s="9" t="s">
        <v>214</v>
      </c>
      <c r="C22" s="10">
        <f ca="1">'CDS from CapitalIQ'!C63</f>
        <v>53.640900000000002</v>
      </c>
      <c r="D22" s="35">
        <f ca="1">'CDS from CapitalIQ'!T63</f>
        <v>-0.31749999999999545</v>
      </c>
      <c r="E22" s="35">
        <f ca="1">'CDS from CapitalIQ'!T63</f>
        <v>-0.31749999999999545</v>
      </c>
      <c r="F22" s="35">
        <f ca="1">'CDS from CapitalIQ'!V63</f>
        <v>0.35849999999999937</v>
      </c>
      <c r="G22" s="36">
        <f ca="1">'CDS from CapitalIQ'!X63</f>
        <v>-11.878</v>
      </c>
      <c r="H22" s="11" cm="1">
        <f t="array" aca="1" ref="H22" ca="1">(_xll.TR(N22,"TR.PriceClose")-_xll.TR(N22,"TR.PriceClose","SDate:"&amp;TEXT(WORKDAY(TODAY(),-5),"yyyy-mm-dd")))/_xll.TR(N22,"TR.PriceClose","SDate:"&amp;TEXT(WORKDAY(TODAY(),-5),"yyyy-mm-dd"))</f>
        <v>6.0404711567502269E-3</v>
      </c>
      <c r="I22" s="11" cm="1">
        <f t="array" aca="1" ref="I22" ca="1">(_xll.TR(N22,"TR.PriceClose")-_xll.TR(N22,"TR.PriceClose","SDate:"&amp;TEXT(WORKDAY(TODAY(),-10),"yyyy-mm-dd")))/_xll.TR(N22,"TR.PriceClose","SDate:"&amp;TEXT(WORKDAY(TODAY(),-10),"yyyy-mm-dd"))</f>
        <v>8.6807307964064887E-3</v>
      </c>
      <c r="J22" s="11" cm="1">
        <f t="array" aca="1" ref="J22" ca="1">(_xll.TR(N22,"TR.PriceClose")-_xll.TR(N22,"TR.PriceClose","SDate:"&amp;EDATE(TODAY(),-3)))/_xll.TR(N22,"TR.PriceClose","SDate:"&amp;EDATE(TODAY(),-3))</f>
        <v>9.1773189118321871E-2</v>
      </c>
      <c r="K22" s="11" cm="1">
        <f t="array" aca="1" ref="K22" ca="1">(_xll.TR(N22,"TR.PriceClose")-_xll.TR(N22,"TR.PriceClose","SDate:"&amp;EDATE(TODAY(),-12)))/_xll.TR(N22,"TR.PriceClose","SDate:"&amp;EDATE(TODAY(),-12))</f>
        <v>0.38388034898213536</v>
      </c>
      <c r="M22" s="14" t="s">
        <v>24</v>
      </c>
      <c r="N22" s="15" t="s">
        <v>61</v>
      </c>
      <c r="O22" t="s">
        <v>92</v>
      </c>
      <c r="Q22" s="23"/>
    </row>
    <row r="23" spans="1:17">
      <c r="A23" s="12" t="s">
        <v>25</v>
      </c>
      <c r="B23" s="9" t="s">
        <v>214</v>
      </c>
      <c r="C23" s="10">
        <f ca="1">'CDS from CapitalIQ'!C64</f>
        <v>35.656700000000001</v>
      </c>
      <c r="D23" s="35">
        <f ca="1">'CDS from CapitalIQ'!T64</f>
        <v>-0.54330000000000211</v>
      </c>
      <c r="E23" s="35">
        <f ca="1">'CDS from CapitalIQ'!T64</f>
        <v>-0.54330000000000211</v>
      </c>
      <c r="F23" s="35">
        <f ca="1">'CDS from CapitalIQ'!V64</f>
        <v>-0.20669999999999789</v>
      </c>
      <c r="G23" s="36">
        <f ca="1">'CDS from CapitalIQ'!X64</f>
        <v>-10.803599999999996</v>
      </c>
      <c r="H23" s="11" cm="1">
        <f t="array" aca="1" ref="H23" ca="1">(_xll.TR(N23,"TR.PriceClose")-_xll.TR(N23,"TR.PriceClose","SDate:"&amp;TEXT(WORKDAY(TODAY(),-5),"yyyy-mm-dd")))/_xll.TR(N23,"TR.PriceClose","SDate:"&amp;TEXT(WORKDAY(TODAY(),-5),"yyyy-mm-dd"))</f>
        <v>3.3106516618686146E-2</v>
      </c>
      <c r="I23" s="11" cm="1">
        <f t="array" aca="1" ref="I23" ca="1">(_xll.TR(N23,"TR.PriceClose")-_xll.TR(N23,"TR.PriceClose","SDate:"&amp;TEXT(WORKDAY(TODAY(),-10),"yyyy-mm-dd")))/_xll.TR(N23,"TR.PriceClose","SDate:"&amp;TEXT(WORKDAY(TODAY(),-10),"yyyy-mm-dd"))</f>
        <v>3.2701111837802485E-2</v>
      </c>
      <c r="J23" s="11" cm="1">
        <f t="array" aca="1" ref="J23" ca="1">(_xll.TR(N23,"TR.PriceClose")-_xll.TR(N23,"TR.PriceClose","SDate:"&amp;EDATE(TODAY(),-3)))/_xll.TR(N23,"TR.PriceClose","SDate:"&amp;EDATE(TODAY(),-3))</f>
        <v>0.16034685479129929</v>
      </c>
      <c r="K23" s="11" cm="1">
        <f t="array" aca="1" ref="K23" ca="1">(_xll.TR(N23,"TR.PriceClose")-_xll.TR(N23,"TR.PriceClose","SDate:"&amp;EDATE(TODAY(),-12)))/_xll.TR(N23,"TR.PriceClose","SDate:"&amp;EDATE(TODAY(),-12))</f>
        <v>0.63966770508826587</v>
      </c>
      <c r="M23" s="14" t="s">
        <v>25</v>
      </c>
      <c r="N23" s="15" t="s">
        <v>62</v>
      </c>
      <c r="O23" t="s">
        <v>94</v>
      </c>
      <c r="Q23" s="23"/>
    </row>
    <row r="24" spans="1:17">
      <c r="A24" s="8" t="s">
        <v>26</v>
      </c>
      <c r="B24" s="9" t="s">
        <v>214</v>
      </c>
      <c r="C24" s="10">
        <f ca="1">'CDS from CapitalIQ'!C65</f>
        <v>51.6462</v>
      </c>
      <c r="D24" s="35">
        <f ca="1">'CDS from CapitalIQ'!T65</f>
        <v>-0.58010000000000161</v>
      </c>
      <c r="E24" s="35">
        <f ca="1">'CDS from CapitalIQ'!T65</f>
        <v>-0.58010000000000161</v>
      </c>
      <c r="F24" s="35">
        <f ca="1">'CDS from CapitalIQ'!V65</f>
        <v>0.52089999999999748</v>
      </c>
      <c r="G24" s="36">
        <f ca="1">'CDS from CapitalIQ'!X65</f>
        <v>-6.4089000000000027</v>
      </c>
      <c r="H24" s="11" cm="1">
        <f t="array" aca="1" ref="H24" ca="1">(_xll.TR(N24,"TR.PriceClose")-_xll.TR(N24,"TR.PriceClose","SDate:"&amp;TEXT(WORKDAY(TODAY(),-5),"yyyy-mm-dd")))/_xll.TR(N24,"TR.PriceClose","SDate:"&amp;TEXT(WORKDAY(TODAY(),-5),"yyyy-mm-dd"))</f>
        <v>3.0320871357079809E-2</v>
      </c>
      <c r="I24" s="11" cm="1">
        <f t="array" aca="1" ref="I24" ca="1">(_xll.TR(N24,"TR.PriceClose")-_xll.TR(N24,"TR.PriceClose","SDate:"&amp;TEXT(WORKDAY(TODAY(),-10),"yyyy-mm-dd")))/_xll.TR(N24,"TR.PriceClose","SDate:"&amp;TEXT(WORKDAY(TODAY(),-10),"yyyy-mm-dd"))</f>
        <v>1.6260162601626084E-2</v>
      </c>
      <c r="J24" s="11" cm="1">
        <f t="array" aca="1" ref="J24" ca="1">(_xll.TR(N24,"TR.PriceClose")-_xll.TR(N24,"TR.PriceClose","SDate:"&amp;EDATE(TODAY(),-3)))/_xll.TR(N24,"TR.PriceClose","SDate:"&amp;EDATE(TODAY(),-3))</f>
        <v>0.17884809700235779</v>
      </c>
      <c r="K24" s="11" cm="1">
        <f t="array" aca="1" ref="K24" ca="1">(_xll.TR(N24,"TR.PriceClose")-_xll.TR(N24,"TR.PriceClose","SDate:"&amp;EDATE(TODAY(),-12)))/_xll.TR(N24,"TR.PriceClose","SDate:"&amp;EDATE(TODAY(),-12))</f>
        <v>0.38339920948616601</v>
      </c>
      <c r="M24" s="14" t="s">
        <v>26</v>
      </c>
      <c r="N24" s="15" t="s">
        <v>63</v>
      </c>
      <c r="O24" t="s">
        <v>95</v>
      </c>
    </row>
    <row r="25" spans="1:17">
      <c r="A25" s="12" t="s">
        <v>27</v>
      </c>
      <c r="B25" s="9" t="s">
        <v>214</v>
      </c>
      <c r="C25" s="10">
        <f ca="1">'CDS from CapitalIQ'!C66</f>
        <v>38.715200000000003</v>
      </c>
      <c r="D25" s="35">
        <f ca="1">'CDS from CapitalIQ'!T66</f>
        <v>-0.39819999999999567</v>
      </c>
      <c r="E25" s="35">
        <f ca="1">'CDS from CapitalIQ'!T66</f>
        <v>-0.39819999999999567</v>
      </c>
      <c r="F25" s="35">
        <f ca="1">'CDS from CapitalIQ'!V66</f>
        <v>0.25680000000000547</v>
      </c>
      <c r="G25" s="36">
        <f ca="1">'CDS from CapitalIQ'!X66</f>
        <v>-15.714099999999995</v>
      </c>
      <c r="H25" s="11" cm="1">
        <f t="array" aca="1" ref="H25" ca="1">(_xll.TR(N25,"TR.PriceClose")-_xll.TR(N25,"TR.PriceClose","SDate:"&amp;TEXT(WORKDAY(TODAY(),-5),"yyyy-mm-dd")))/_xll.TR(N25,"TR.PriceClose","SDate:"&amp;TEXT(WORKDAY(TODAY(),-5),"yyyy-mm-dd"))</f>
        <v>4.2259990813045475E-2</v>
      </c>
      <c r="I25" s="11" cm="1">
        <f t="array" aca="1" ref="I25" ca="1">(_xll.TR(N25,"TR.PriceClose")-_xll.TR(N25,"TR.PriceClose","SDate:"&amp;TEXT(WORKDAY(TODAY(),-10),"yyyy-mm-dd")))/_xll.TR(N25,"TR.PriceClose","SDate:"&amp;TEXT(WORKDAY(TODAY(),-10),"yyyy-mm-dd"))</f>
        <v>3.3712984054669701E-2</v>
      </c>
      <c r="J25" s="11" cm="1">
        <f t="array" aca="1" ref="J25" ca="1">(_xll.TR(N25,"TR.PriceClose")-_xll.TR(N25,"TR.PriceClose","SDate:"&amp;EDATE(TODAY(),-3)))/_xll.TR(N25,"TR.PriceClose","SDate:"&amp;EDATE(TODAY(),-3))</f>
        <v>0.17382307294361096</v>
      </c>
      <c r="K25" s="11" cm="1">
        <f t="array" aca="1" ref="K25" ca="1">(_xll.TR(N25,"TR.PriceClose")-_xll.TR(N25,"TR.PriceClose","SDate:"&amp;EDATE(TODAY(),-12)))/_xll.TR(N25,"TR.PriceClose","SDate:"&amp;EDATE(TODAY(),-12))</f>
        <v>0.66105417276720346</v>
      </c>
      <c r="M25" s="14" t="s">
        <v>27</v>
      </c>
      <c r="N25" s="15" t="s">
        <v>64</v>
      </c>
      <c r="O25" t="s">
        <v>93</v>
      </c>
      <c r="Q25" s="16"/>
    </row>
    <row r="26" spans="1:17">
      <c r="A26" s="18" t="s">
        <v>28</v>
      </c>
      <c r="B26" s="19"/>
      <c r="C26" s="22"/>
      <c r="D26" s="37"/>
      <c r="E26" s="37"/>
      <c r="F26" s="37"/>
      <c r="G26" s="38"/>
      <c r="H26" s="17"/>
      <c r="I26" s="17"/>
      <c r="J26" s="17"/>
      <c r="K26" s="17"/>
      <c r="Q26" s="23"/>
    </row>
    <row r="27" spans="1:17">
      <c r="A27" s="8" t="s">
        <v>29</v>
      </c>
      <c r="B27" s="9" t="s">
        <v>214</v>
      </c>
      <c r="C27" s="10">
        <f ca="1">'CDS from CapitalIQ'!C68</f>
        <v>43.9619</v>
      </c>
      <c r="D27" s="35">
        <f ca="1">'CDS from CapitalIQ'!T68</f>
        <v>-0.48810000000000286</v>
      </c>
      <c r="E27" s="35">
        <f ca="1">'CDS from CapitalIQ'!V68</f>
        <v>-0.1880999999999986</v>
      </c>
      <c r="F27" s="35">
        <f ca="1">'CDS from CapitalIQ'!W68</f>
        <v>-9.2047999999999988</v>
      </c>
      <c r="G27" s="36">
        <f ca="1">'CDS from CapitalIQ'!X68</f>
        <v>-10.679400000000001</v>
      </c>
      <c r="H27" s="11" cm="1">
        <f t="array" aca="1" ref="H27" ca="1">(_xll.TR(N27,"TR.PriceClose")-_xll.TR(N27,"TR.PriceClose","SDate:"&amp;TEXT(WORKDAY(TODAY(),-5),"yyyy-mm-dd")))/_xll.TR(N27,"TR.PriceClose","SDate:"&amp;TEXT(WORKDAY(TODAY(),-5),"yyyy-mm-dd"))</f>
        <v>2.4956722446624412E-2</v>
      </c>
      <c r="I27" s="11" cm="1">
        <f t="array" aca="1" ref="I27" ca="1">(_xll.TR(N27,"TR.PriceClose")-_xll.TR(N27,"TR.PriceClose","SDate:"&amp;TEXT(WORKDAY(TODAY(),-10),"yyyy-mm-dd")))/_xll.TR(N27,"TR.PriceClose","SDate:"&amp;TEXT(WORKDAY(TODAY(),-10),"yyyy-mm-dd"))</f>
        <v>7.4723944940251058E-2</v>
      </c>
      <c r="J27" s="11" cm="1">
        <f t="array" aca="1" ref="J27" ca="1">(_xll.TR(N27,"TR.PriceClose")-_xll.TR(N27,"TR.PriceClose","SDate:"&amp;EDATE(TODAY(),-3)))/_xll.TR(N27,"TR.PriceClose","SDate:"&amp;EDATE(TODAY(),-3))</f>
        <v>0.29041046131492904</v>
      </c>
      <c r="K27" s="11" cm="1">
        <f t="array" aca="1" ref="K27" ca="1">(_xll.TR(N27,"TR.PriceClose")-_xll.TR(N27,"TR.PriceClose","SDate:"&amp;EDATE(TODAY(),-12)))/_xll.TR(N27,"TR.PriceClose","SDate:"&amp;EDATE(TODAY(),-12))</f>
        <v>0.18932038834951448</v>
      </c>
      <c r="M27" s="14" t="s">
        <v>29</v>
      </c>
      <c r="N27" s="15" t="s">
        <v>65</v>
      </c>
      <c r="O27" t="s">
        <v>96</v>
      </c>
      <c r="Q27" s="16"/>
    </row>
    <row r="28" spans="1:17">
      <c r="A28" s="12" t="s">
        <v>30</v>
      </c>
      <c r="B28" s="9" t="s">
        <v>214</v>
      </c>
      <c r="C28" s="10">
        <f ca="1">'CDS from CapitalIQ'!C69</f>
        <v>33.049999999999997</v>
      </c>
      <c r="D28" s="35">
        <f ca="1">'CDS from CapitalIQ'!T69</f>
        <v>-0.36670000000000158</v>
      </c>
      <c r="E28" s="35">
        <f ca="1">'CDS from CapitalIQ'!V69</f>
        <v>-0.80000000000000426</v>
      </c>
      <c r="F28" s="35">
        <f ca="1">'CDS from CapitalIQ'!W69</f>
        <v>-7.75</v>
      </c>
      <c r="G28" s="36">
        <f ca="1">'CDS from CapitalIQ'!X69</f>
        <v>-11.0871</v>
      </c>
      <c r="H28" s="11" cm="1">
        <f t="array" aca="1" ref="H28" ca="1">(_xll.TR(N28,"TR.PriceClose")-_xll.TR(N28,"TR.PriceClose","SDate:"&amp;TEXT(WORKDAY(TODAY(),-5),"yyyy-mm-dd")))/_xll.TR(N28,"TR.PriceClose","SDate:"&amp;TEXT(WORKDAY(TODAY(),-5),"yyyy-mm-dd"))</f>
        <v>6.3697437173426283E-2</v>
      </c>
      <c r="I28" s="11" cm="1">
        <f t="array" aca="1" ref="I28" ca="1">(_xll.TR(N28,"TR.PriceClose")-_xll.TR(N28,"TR.PriceClose","SDate:"&amp;TEXT(WORKDAY(TODAY(),-10),"yyyy-mm-dd")))/_xll.TR(N28,"TR.PriceClose","SDate:"&amp;TEXT(WORKDAY(TODAY(),-10),"yyyy-mm-dd"))</f>
        <v>8.0910240202275677E-2</v>
      </c>
      <c r="J28" s="11" cm="1">
        <f t="array" aca="1" ref="J28" ca="1">(_xll.TR(N28,"TR.PriceClose")-_xll.TR(N28,"TR.PriceClose","SDate:"&amp;EDATE(TODAY(),-3)))/_xll.TR(N28,"TR.PriceClose","SDate:"&amp;EDATE(TODAY(),-3))</f>
        <v>0.15229110512129376</v>
      </c>
      <c r="K28" s="11" cm="1">
        <f t="array" aca="1" ref="K28" ca="1">(_xll.TR(N28,"TR.PriceClose")-_xll.TR(N28,"TR.PriceClose","SDate:"&amp;EDATE(TODAY(),-12)))/_xll.TR(N28,"TR.PriceClose","SDate:"&amp;EDATE(TODAY(),-12))</f>
        <v>0.31215469613259678</v>
      </c>
      <c r="M28" s="14" t="s">
        <v>30</v>
      </c>
      <c r="N28" s="15" t="s">
        <v>66</v>
      </c>
      <c r="O28" t="s">
        <v>97</v>
      </c>
      <c r="Q28" s="23"/>
    </row>
    <row r="29" spans="1:17">
      <c r="A29" s="18" t="s">
        <v>31</v>
      </c>
      <c r="B29" s="19"/>
      <c r="C29" s="22"/>
      <c r="D29" s="37"/>
      <c r="E29" s="37"/>
      <c r="F29" s="37"/>
      <c r="G29" s="38"/>
      <c r="H29" s="17"/>
      <c r="I29" s="17"/>
      <c r="J29" s="17"/>
      <c r="K29" s="17"/>
      <c r="M29" s="13"/>
      <c r="Q29" s="23"/>
    </row>
    <row r="30" spans="1:17">
      <c r="A30" s="8" t="s">
        <v>32</v>
      </c>
      <c r="B30" s="9" t="s">
        <v>266</v>
      </c>
      <c r="C30" s="10">
        <f ca="1">'CDS from CapitalIQ'!C71</f>
        <v>23.078700000000001</v>
      </c>
      <c r="D30" s="35">
        <f ca="1">'CDS from CapitalIQ'!T71</f>
        <v>-0.92839999999999989</v>
      </c>
      <c r="E30" s="35">
        <f ca="1">'CDS from CapitalIQ'!V71</f>
        <v>-0.43430000000000035</v>
      </c>
      <c r="F30" s="35">
        <f ca="1">'CDS from CapitalIQ'!W71</f>
        <v>-3.1712999999999987</v>
      </c>
      <c r="G30" s="36">
        <f ca="1">'CDS from CapitalIQ'!X71</f>
        <v>-12.212999999999997</v>
      </c>
      <c r="H30" s="11" cm="1">
        <f t="array" aca="1" ref="H30" ca="1">(_xll.TR(N30,"TR.PriceClose")-_xll.TR(N30,"TR.PriceClose","SDate:"&amp;TEXT(WORKDAY(TODAY(),-5),"yyyy-mm-dd")))/_xll.TR(N30,"TR.PriceClose","SDate:"&amp;TEXT(WORKDAY(TODAY(),-5),"yyyy-mm-dd"))</f>
        <v>0</v>
      </c>
      <c r="I30" s="11" cm="1">
        <f t="array" aca="1" ref="I30" ca="1">(_xll.TR(N30,"TR.PriceClose")-_xll.TR(N30,"TR.PriceClose","SDate:"&amp;TEXT(WORKDAY(TODAY(),-10),"yyyy-mm-dd")))/_xll.TR(N30,"TR.PriceClose","SDate:"&amp;TEXT(WORKDAY(TODAY(),-10),"yyyy-mm-dd"))</f>
        <v>6.2111801242236333E-3</v>
      </c>
      <c r="J30" s="11" cm="1">
        <f t="array" aca="1" ref="J30" ca="1">(_xll.TR(N30,"TR.PriceClose")-_xll.TR(N30,"TR.PriceClose","SDate:"&amp;EDATE(TODAY(),-3)))/_xll.TR(N30,"TR.PriceClose","SDate:"&amp;EDATE(TODAY(),-3))</f>
        <v>0.12874886398061192</v>
      </c>
      <c r="K30" s="11" cm="1">
        <f t="array" aca="1" ref="K30" ca="1">(_xll.TR(N30,"TR.PriceClose")-_xll.TR(N30,"TR.PriceClose","SDate:"&amp;EDATE(TODAY(),-12)))/_xll.TR(N30,"TR.PriceClose","SDate:"&amp;EDATE(TODAY(),-12))</f>
        <v>0.43916570104287389</v>
      </c>
      <c r="M30" t="s">
        <v>32</v>
      </c>
      <c r="N30" t="s">
        <v>67</v>
      </c>
      <c r="O30" t="s">
        <v>98</v>
      </c>
      <c r="Q30" s="24"/>
    </row>
    <row r="31" spans="1:17">
      <c r="A31" s="18" t="s">
        <v>33</v>
      </c>
      <c r="B31" s="18" t="s">
        <v>34</v>
      </c>
      <c r="C31" s="22"/>
      <c r="D31" s="37"/>
      <c r="E31" s="37"/>
      <c r="F31" s="37"/>
      <c r="G31" s="38"/>
      <c r="H31" s="17"/>
      <c r="I31" s="17"/>
      <c r="J31" s="17"/>
      <c r="K31" s="17"/>
      <c r="M31" s="14"/>
      <c r="N31" s="15"/>
    </row>
    <row r="32" spans="1:17">
      <c r="A32" s="12" t="s">
        <v>35</v>
      </c>
      <c r="B32" s="72" t="s">
        <v>265</v>
      </c>
      <c r="C32" s="10">
        <f ca="1">'CDS from CapitalIQ'!C73</f>
        <v>39.399700000000003</v>
      </c>
      <c r="D32" s="35">
        <f ca="1">'CDS from CapitalIQ'!T73</f>
        <v>0.62819999999999965</v>
      </c>
      <c r="E32" s="35">
        <f ca="1">'CDS from CapitalIQ'!V73</f>
        <v>-2.5819999999999936</v>
      </c>
      <c r="F32" s="35">
        <f ca="1">'CDS from CapitalIQ'!W73</f>
        <v>-0.34429999999999694</v>
      </c>
      <c r="G32" s="36">
        <f ca="1">'CDS from CapitalIQ'!X73</f>
        <v>5.3447000000000031</v>
      </c>
      <c r="H32" s="11" cm="1">
        <f t="array" aca="1" ref="H32" ca="1">(_xll.TR(N32,"TR.PriceClose")-_xll.TR(N32,"TR.PriceClose","SDate:"&amp;TEXT(WORKDAY(TODAY(),-5),"yyyy-mm-dd")))/_xll.TR(N32,"TR.PriceClose","SDate:"&amp;TEXT(WORKDAY(TODAY(),-5),"yyyy-mm-dd"))</f>
        <v>8.4239130434782608E-3</v>
      </c>
      <c r="I32" s="11" cm="1">
        <f t="array" aca="1" ref="I32" ca="1">(_xll.TR(N32,"TR.PriceClose")-_xll.TR(N32,"TR.PriceClose","SDate:"&amp;TEXT(WORKDAY(TODAY(),-10),"yyyy-mm-dd")))/_xll.TR(N32,"TR.PriceClose","SDate:"&amp;TEXT(WORKDAY(TODAY(),-10),"yyyy-mm-dd"))</f>
        <v>6.607296753806377E-2</v>
      </c>
      <c r="J32" s="11" cm="1">
        <f t="array" aca="1" ref="J32" ca="1">(_xll.TR(N32,"TR.PriceClose")-_xll.TR(N32,"TR.PriceClose","SDate:"&amp;EDATE(TODAY(),-3)))/_xll.TR(N32,"TR.PriceClose","SDate:"&amp;EDATE(TODAY(),-3))</f>
        <v>0.15284249767008387</v>
      </c>
      <c r="K32" s="11" cm="1">
        <f t="array" aca="1" ref="K32" ca="1">(_xll.TR(N32,"TR.PriceClose")-_xll.TR(N32,"TR.PriceClose","SDate:"&amp;EDATE(TODAY(),-12)))/_xll.TR(N32,"TR.PriceClose","SDate:"&amp;EDATE(TODAY(),-12))</f>
        <v>0.63588274189993388</v>
      </c>
      <c r="M32" s="14" t="s">
        <v>68</v>
      </c>
      <c r="N32" s="15" t="s">
        <v>69</v>
      </c>
      <c r="O32" t="s">
        <v>99</v>
      </c>
      <c r="Q32" s="16"/>
    </row>
    <row r="33" spans="1:17">
      <c r="A33" s="8" t="s">
        <v>36</v>
      </c>
      <c r="B33" s="72" t="s">
        <v>265</v>
      </c>
      <c r="C33" s="10">
        <f ca="1">'CDS from CapitalIQ'!C74</f>
        <v>40.6417</v>
      </c>
      <c r="D33" s="35">
        <f ca="1">'CDS from CapitalIQ'!T74</f>
        <v>3.119999999999834E-2</v>
      </c>
      <c r="E33" s="35">
        <f ca="1">'CDS from CapitalIQ'!V74</f>
        <v>-0.50900000000000034</v>
      </c>
      <c r="F33" s="35">
        <f ca="1">'CDS from CapitalIQ'!W74</f>
        <v>-0.98660000000000281</v>
      </c>
      <c r="G33" s="36">
        <f ca="1">'CDS from CapitalIQ'!X74</f>
        <v>11.8917</v>
      </c>
      <c r="H33" s="11" cm="1">
        <f t="array" aca="1" ref="H33" ca="1">(_xll.TR(N33,"TR.PriceClose")-_xll.TR(N33,"TR.PriceClose","SDate:"&amp;TEXT(WORKDAY(TODAY(),-5),"yyyy-mm-dd")))/_xll.TR(N33,"TR.PriceClose","SDate:"&amp;TEXT(WORKDAY(TODAY(),-5),"yyyy-mm-dd"))</f>
        <v>1.4336917562724014E-4</v>
      </c>
      <c r="I33" s="11" cm="1">
        <f t="array" aca="1" ref="I33" ca="1">(_xll.TR(N33,"TR.PriceClose")-_xll.TR(N33,"TR.PriceClose","SDate:"&amp;TEXT(WORKDAY(TODAY(),-10),"yyyy-mm-dd")))/_xll.TR(N33,"TR.PriceClose","SDate:"&amp;TEXT(WORKDAY(TODAY(),-10),"yyyy-mm-dd"))</f>
        <v>5.8091915668132869E-2</v>
      </c>
      <c r="J33" s="11" cm="1">
        <f t="array" aca="1" ref="J33" ca="1">(_xll.TR(N33,"TR.PriceClose")-_xll.TR(N33,"TR.PriceClose","SDate:"&amp;EDATE(TODAY(),-3)))/_xll.TR(N33,"TR.PriceClose","SDate:"&amp;EDATE(TODAY(),-3))</f>
        <v>0.11974317817014446</v>
      </c>
      <c r="K33" s="11" cm="1">
        <f t="array" aca="1" ref="K33" ca="1">(_xll.TR(N33,"TR.PriceClose")-_xll.TR(N33,"TR.PriceClose","SDate:"&amp;EDATE(TODAY(),-12)))/_xll.TR(N33,"TR.PriceClose","SDate:"&amp;EDATE(TODAY(),-12))</f>
        <v>0.70812928501469152</v>
      </c>
      <c r="M33" s="14" t="s">
        <v>36</v>
      </c>
      <c r="N33" s="15" t="s">
        <v>70</v>
      </c>
      <c r="O33" t="s">
        <v>100</v>
      </c>
      <c r="Q33" s="23"/>
    </row>
    <row r="34" spans="1:17">
      <c r="A34" s="12" t="s">
        <v>37</v>
      </c>
      <c r="B34" s="72" t="s">
        <v>265</v>
      </c>
      <c r="C34" s="10">
        <f ca="1">'CDS from CapitalIQ'!C75</f>
        <v>54.065899999999999</v>
      </c>
      <c r="D34" s="35">
        <f ca="1">'CDS from CapitalIQ'!T75</f>
        <v>0.14509999999999934</v>
      </c>
      <c r="E34" s="35">
        <f ca="1">'CDS from CapitalIQ'!V75</f>
        <v>13.552500000000002</v>
      </c>
      <c r="F34" s="35">
        <f ca="1">'CDS from CapitalIQ'!W75</f>
        <v>10.510399999999997</v>
      </c>
      <c r="G34" s="36">
        <f ca="1">'CDS from CapitalIQ'!X75</f>
        <v>-1.0360000000000014</v>
      </c>
      <c r="H34" s="11" cm="1">
        <f t="array" aca="1" ref="H34" ca="1">(_xll.TR(N34,"TR.PriceClose")-_xll.TR(N34,"TR.PriceClose","SDate:"&amp;TEXT(WORKDAY(TODAY(),-5),"yyyy-mm-dd")))/_xll.TR(N34,"TR.PriceClose","SDate:"&amp;TEXT(WORKDAY(TODAY(),-5),"yyyy-mm-dd"))</f>
        <v>1.0089296068653601E-2</v>
      </c>
      <c r="I34" s="11" cm="1">
        <f t="array" aca="1" ref="I34" ca="1">(_xll.TR(N34,"TR.PriceClose")-_xll.TR(N34,"TR.PriceClose","SDate:"&amp;TEXT(WORKDAY(TODAY(),-10),"yyyy-mm-dd")))/_xll.TR(N34,"TR.PriceClose","SDate:"&amp;TEXT(WORKDAY(TODAY(),-10),"yyyy-mm-dd"))</f>
        <v>7.4247656635421808E-2</v>
      </c>
      <c r="J34" s="11" cm="1">
        <f t="array" aca="1" ref="J34" ca="1">(_xll.TR(N34,"TR.PriceClose")-_xll.TR(N34,"TR.PriceClose","SDate:"&amp;EDATE(TODAY(),-3)))/_xll.TR(N34,"TR.PriceClose","SDate:"&amp;EDATE(TODAY(),-3))</f>
        <v>0.12882322446863659</v>
      </c>
      <c r="K34" s="11" cm="1">
        <f t="array" aca="1" ref="K34" ca="1">(_xll.TR(N34,"TR.PriceClose")-_xll.TR(N34,"TR.PriceClose","SDate:"&amp;EDATE(TODAY(),-12)))/_xll.TR(N34,"TR.PriceClose","SDate:"&amp;EDATE(TODAY(),-12))</f>
        <v>0.79254990738835152</v>
      </c>
      <c r="M34" s="14" t="s">
        <v>37</v>
      </c>
      <c r="N34" s="15" t="s">
        <v>71</v>
      </c>
      <c r="O34" t="s">
        <v>101</v>
      </c>
      <c r="Q34" s="23"/>
    </row>
    <row r="35" spans="1:17">
      <c r="A35" s="8" t="s">
        <v>38</v>
      </c>
      <c r="B35" s="72" t="s">
        <v>265</v>
      </c>
      <c r="C35" s="10">
        <f ca="1">'CDS from CapitalIQ'!C76</f>
        <v>62.069499999999998</v>
      </c>
      <c r="D35" s="35">
        <f ca="1">'CDS from CapitalIQ'!T76</f>
        <v>0.50430000000000064</v>
      </c>
      <c r="E35" s="35">
        <f ca="1">'CDS from CapitalIQ'!V76</f>
        <v>-1.7120000000000033</v>
      </c>
      <c r="F35" s="35">
        <f ca="1">'CDS from CapitalIQ'!W76</f>
        <v>-4.5072000000000045</v>
      </c>
      <c r="G35" s="36">
        <f ca="1">'CDS from CapitalIQ'!X76</f>
        <v>-6.8119000000000014</v>
      </c>
      <c r="H35" s="11" cm="1">
        <f t="array" aca="1" ref="H35" ca="1">(_xll.TR(N35,"TR.PriceClose")-_xll.TR(N35,"TR.PriceClose","SDate:"&amp;TEXT(WORKDAY(TODAY(),-5),"yyyy-mm-dd")))/_xll.TR(N35,"TR.PriceClose","SDate:"&amp;TEXT(WORKDAY(TODAY(),-5),"yyyy-mm-dd"))</f>
        <v>1.2476267968538107E-2</v>
      </c>
      <c r="I35" s="11" cm="1">
        <f t="array" aca="1" ref="I35" ca="1">(_xll.TR(N35,"TR.PriceClose")-_xll.TR(N35,"TR.PriceClose","SDate:"&amp;TEXT(WORKDAY(TODAY(),-10),"yyyy-mm-dd")))/_xll.TR(N35,"TR.PriceClose","SDate:"&amp;TEXT(WORKDAY(TODAY(),-10),"yyyy-mm-dd"))</f>
        <v>4.4780296669465439E-2</v>
      </c>
      <c r="J35" s="11" cm="1">
        <f t="array" aca="1" ref="J35" ca="1">(_xll.TR(N35,"TR.PriceClose")-_xll.TR(N35,"TR.PriceClose","SDate:"&amp;EDATE(TODAY(),-3)))/_xll.TR(N35,"TR.PriceClose","SDate:"&amp;EDATE(TODAY(),-3))</f>
        <v>0.19570787956438182</v>
      </c>
      <c r="K35" s="11" cm="1">
        <f t="array" aca="1" ref="K35" ca="1">(_xll.TR(N35,"TR.PriceClose")-_xll.TR(N35,"TR.PriceClose","SDate:"&amp;EDATE(TODAY(),-12)))/_xll.TR(N35,"TR.PriceClose","SDate:"&amp;EDATE(TODAY(),-12))</f>
        <v>0.60490111779879618</v>
      </c>
      <c r="M35" s="14" t="s">
        <v>38</v>
      </c>
      <c r="N35" s="15" t="s">
        <v>72</v>
      </c>
      <c r="O35" t="s">
        <v>102</v>
      </c>
    </row>
    <row r="36" spans="1:17">
      <c r="A36" s="12" t="s">
        <v>39</v>
      </c>
      <c r="B36" s="72" t="s">
        <v>265</v>
      </c>
      <c r="C36" s="10">
        <f ca="1">'CDS from CapitalIQ'!C77</f>
        <v>73.223600000000005</v>
      </c>
      <c r="D36" s="35">
        <f ca="1">'CDS from CapitalIQ'!T77</f>
        <v>-2.3325999999999993</v>
      </c>
      <c r="E36" s="35">
        <f ca="1">'CDS from CapitalIQ'!V77</f>
        <v>-2.3262</v>
      </c>
      <c r="F36" s="35">
        <f ca="1">'CDS from CapitalIQ'!W77</f>
        <v>-2.3207999999999913</v>
      </c>
      <c r="G36" s="36">
        <f ca="1">'CDS from CapitalIQ'!X77</f>
        <v>-0.62489999999999668</v>
      </c>
      <c r="H36" s="11" cm="1">
        <f t="array" aca="1" ref="H36" ca="1">(_xll.TR(N36,"TR.PriceClose")-_xll.TR(N36,"TR.PriceClose","SDate:"&amp;TEXT(WORKDAY(TODAY(),-5),"yyyy-mm-dd")))/_xll.TR(N36,"TR.PriceClose","SDate:"&amp;TEXT(WORKDAY(TODAY(),-5),"yyyy-mm-dd"))</f>
        <v>1.2534393151941303E-2</v>
      </c>
      <c r="I36" s="11" cm="1">
        <f t="array" aca="1" ref="I36" ca="1">(_xll.TR(N36,"TR.PriceClose")-_xll.TR(N36,"TR.PriceClose","SDate:"&amp;TEXT(WORKDAY(TODAY(),-10),"yyyy-mm-dd")))/_xll.TR(N36,"TR.PriceClose","SDate:"&amp;TEXT(WORKDAY(TODAY(),-10),"yyyy-mm-dd"))</f>
        <v>7.6023391812865493E-2</v>
      </c>
      <c r="J36" s="11" cm="1">
        <f t="array" aca="1" ref="J36" ca="1">(_xll.TR(N36,"TR.PriceClose")-_xll.TR(N36,"TR.PriceClose","SDate:"&amp;TEXT(WORKDAY(TODAY(),-65),"yyyy-mm-dd")))/_xll.TR(N36,"TR.PriceClose","SDate:"&amp;TEXT(WORKDAY(TODAY(),-65),"yyyy-mm-dd"))</f>
        <v>0.21809488782640676</v>
      </c>
      <c r="K36" s="11" cm="1">
        <f t="array" aca="1" ref="K36" ca="1">(_xll.TR(N36,"TR.PriceClose")-_xll.TR(N36,"TR.PriceClose","SDate:"&amp;EDATE(TODAY(),-12)))/_xll.TR(N36,"TR.PriceClose","SDate:"&amp;EDATE(TODAY(),-12))</f>
        <v>0.55639097744360899</v>
      </c>
      <c r="M36" s="14" t="s">
        <v>39</v>
      </c>
      <c r="N36" s="15" t="s">
        <v>73</v>
      </c>
      <c r="O36" t="s">
        <v>103</v>
      </c>
      <c r="Q36" s="16"/>
    </row>
    <row r="37" spans="1:17">
      <c r="A37" s="18" t="s">
        <v>40</v>
      </c>
      <c r="B37" s="18" t="s">
        <v>41</v>
      </c>
      <c r="C37" s="22"/>
      <c r="D37" s="37"/>
      <c r="E37" s="37"/>
      <c r="F37" s="37"/>
      <c r="G37" s="38"/>
      <c r="H37" s="17"/>
      <c r="I37" s="17"/>
      <c r="J37" s="17"/>
      <c r="K37" s="17"/>
      <c r="M37" s="13"/>
      <c r="N37" s="13"/>
      <c r="Q37" s="23"/>
    </row>
    <row r="38" spans="1:17">
      <c r="A38" s="8" t="s">
        <v>42</v>
      </c>
      <c r="B38" s="9" t="s">
        <v>263</v>
      </c>
      <c r="C38" s="10">
        <f ca="1">'CDS from CapitalIQ'!C79</f>
        <v>61.333300000000001</v>
      </c>
      <c r="D38" s="35">
        <f ca="1">'CDS from CapitalIQ'!T79</f>
        <v>-0.16669999999999874</v>
      </c>
      <c r="E38" s="35">
        <f ca="1">'CDS from CapitalIQ'!V79</f>
        <v>1.3333000000000013</v>
      </c>
      <c r="F38" s="35">
        <f ca="1">'CDS from CapitalIQ'!W79</f>
        <v>-3.4166999999999987</v>
      </c>
      <c r="G38" s="36">
        <f ca="1">'CDS from CapitalIQ'!X79</f>
        <v>19.456000000000003</v>
      </c>
      <c r="H38" s="11" cm="1">
        <f t="array" aca="1" ref="H38" ca="1">(_xll.TR(N38,"TR.PriceClose")-_xll.TR(N38,"TR.PriceClose","SDate:"&amp;TEXT(WORKDAY(TODAY(),-5),"yyyy-mm-dd")))/_xll.TR(N38,"TR.PriceClose","SDate:"&amp;TEXT(WORKDAY(TODAY(),-5),"yyyy-mm-dd"))</f>
        <v>2.1912193583983615E-2</v>
      </c>
      <c r="I38" s="11" cm="1">
        <f t="array" aca="1" ref="I38" ca="1">(_xll.TR(N38,"TR.PriceClose")-_xll.TR(N38,"TR.PriceClose","SDate:"&amp;TEXT(WORKDAY(TODAY(),-10),"yyyy-mm-dd")))/_xll.TR(N38,"TR.PriceClose","SDate:"&amp;TEXT(WORKDAY(TODAY(),-10),"yyyy-mm-dd"))</f>
        <v>7.7811954443428366E-2</v>
      </c>
      <c r="J38" s="11" cm="1">
        <f t="array" aca="1" ref="J38" ca="1">(_xll.TR(N38,"TR.PriceClose")-_xll.TR(N38,"TR.PriceClose","SDate:"&amp;TEXT(WORKDAY(TODAY(),-65),"yyyy-mm-dd")))/_xll.TR(N38,"TR.PriceClose","SDate:"&amp;TEXT(WORKDAY(TODAY(),-65),"yyyy-mm-dd"))</f>
        <v>0.14724360676046366</v>
      </c>
      <c r="K38" s="11" cm="1">
        <f t="array" aca="1" ref="K38" ca="1">(_xll.TR(N38,"TR.PriceClose")-_xll.TR(N38,"TR.PriceClose","SDate:"&amp;EDATE(TODAY(),-12)))/_xll.TR(N38,"TR.PriceClose","SDate:"&amp;EDATE(TODAY(),-12))</f>
        <v>0.47564306851809707</v>
      </c>
      <c r="M38" s="14" t="s">
        <v>42</v>
      </c>
      <c r="N38" s="15" t="s">
        <v>74</v>
      </c>
      <c r="O38" t="s">
        <v>104</v>
      </c>
      <c r="Q38" s="23"/>
    </row>
    <row r="39" spans="1:17">
      <c r="A39" s="12" t="s">
        <v>43</v>
      </c>
      <c r="B39" s="9" t="s">
        <v>263</v>
      </c>
      <c r="C39" s="10">
        <f ca="1">'CDS from CapitalIQ'!C80</f>
        <v>54.810600000000001</v>
      </c>
      <c r="D39" s="35">
        <f ca="1">'CDS from CapitalIQ'!T80</f>
        <v>-0.3340999999999994</v>
      </c>
      <c r="E39" s="35">
        <f ca="1">'CDS from CapitalIQ'!V80</f>
        <v>-2.0061999999999998</v>
      </c>
      <c r="F39" s="35">
        <f ca="1">'CDS from CapitalIQ'!W80</f>
        <v>-1.6893999999999991</v>
      </c>
      <c r="G39" s="36">
        <f ca="1">'CDS from CapitalIQ'!X80</f>
        <v>9.4363000000000028</v>
      </c>
      <c r="H39" s="11" cm="1">
        <f t="array" aca="1" ref="H39" ca="1">(_xll.TR(N39,"TR.PriceClose")-_xll.TR(N39,"TR.PriceClose","SDate:"&amp;TEXT(WORKDAY(TODAY(),-5),"yyyy-mm-dd")))/_xll.TR(N39,"TR.PriceClose","SDate:"&amp;TEXT(WORKDAY(TODAY(),-5),"yyyy-mm-dd"))</f>
        <v>2.7599051811716822E-2</v>
      </c>
      <c r="I39" s="11" cm="1">
        <f t="array" aca="1" ref="I39" ca="1">(_xll.TR(N39,"TR.PriceClose")-_xll.TR(N39,"TR.PriceClose","SDate:"&amp;TEXT(WORKDAY(TODAY(),-10),"yyyy-mm-dd")))/_xll.TR(N39,"TR.PriceClose","SDate:"&amp;TEXT(WORKDAY(TODAY(),-10),"yyyy-mm-dd"))</f>
        <v>1.730712819008505E-2</v>
      </c>
      <c r="J39" s="11" cm="1">
        <f t="array" aca="1" ref="J39" ca="1">(_xll.TR(N39,"TR.PriceClose")-_xll.TR(N39,"TR.PriceClose","SDate:"&amp;TEXT(WORKDAY(TODAY(),-65),"yyyy-mm-dd")))/_xll.TR(N39,"TR.PriceClose","SDate:"&amp;TEXT(WORKDAY(TODAY(),-65),"yyyy-mm-dd"))</f>
        <v>5.7086871325930696E-2</v>
      </c>
      <c r="K39" s="11" cm="1">
        <f t="array" aca="1" ref="K39" ca="1">(_xll.TR(N39,"TR.PriceClose")-_xll.TR(N39,"TR.PriceClose","SDate:"&amp;EDATE(TODAY(),-12)))/_xll.TR(N39,"TR.PriceClose","SDate:"&amp;EDATE(TODAY(),-12))</f>
        <v>0.38942307692307687</v>
      </c>
      <c r="M39" s="14" t="s">
        <v>43</v>
      </c>
      <c r="N39" s="15" t="s">
        <v>75</v>
      </c>
      <c r="O39" t="s">
        <v>108</v>
      </c>
      <c r="Q39" s="23"/>
    </row>
    <row r="40" spans="1:17">
      <c r="A40" s="8" t="s">
        <v>44</v>
      </c>
      <c r="B40" s="9" t="s">
        <v>263</v>
      </c>
      <c r="C40" s="10">
        <f ca="1">'CDS from CapitalIQ'!C81</f>
        <v>59.8992</v>
      </c>
      <c r="D40" s="35">
        <f ca="1">'CDS from CapitalIQ'!T81</f>
        <v>-0.43410000000000082</v>
      </c>
      <c r="E40" s="35">
        <f ca="1">'CDS from CapitalIQ'!V81</f>
        <v>-0.72939999999999827</v>
      </c>
      <c r="F40" s="35">
        <f ca="1">'CDS from CapitalIQ'!W81</f>
        <v>-2.0685999999999964</v>
      </c>
      <c r="G40" s="36">
        <f ca="1">'CDS from CapitalIQ'!X81</f>
        <v>15.770400000000002</v>
      </c>
      <c r="H40" s="11" cm="1">
        <f t="array" aca="1" ref="H40" ca="1">(_xll.TR(N40,"TR.PriceClose")-_xll.TR(N40,"TR.PriceClose","SDate:"&amp;TEXT(WORKDAY(TODAY(),-5),"yyyy-mm-dd")))/_xll.TR(N40,"TR.PriceClose","SDate:"&amp;TEXT(WORKDAY(TODAY(),-5),"yyyy-mm-dd"))</f>
        <v>3.4581399783866235E-2</v>
      </c>
      <c r="I40" s="11" cm="1">
        <f t="array" aca="1" ref="I40" ca="1">(_xll.TR(N40,"TR.PriceClose")-_xll.TR(N40,"TR.PriceClose","SDate:"&amp;TEXT(WORKDAY(TODAY(),-10),"yyyy-mm-dd")))/_xll.TR(N40,"TR.PriceClose","SDate:"&amp;TEXT(WORKDAY(TODAY(),-10),"yyyy-mm-dd"))</f>
        <v>2.1913851563481159E-2</v>
      </c>
      <c r="J40" s="11" cm="1">
        <f t="array" aca="1" ref="J40" ca="1">(_xll.TR(N40,"TR.PriceClose")-_xll.TR(N40,"TR.PriceClose","SDate:"&amp;TEXT(WORKDAY(TODAY(),-65),"yyyy-mm-dd")))/_xll.TR(N40,"TR.PriceClose","SDate:"&amp;TEXT(WORKDAY(TODAY(),-65),"yyyy-mm-dd"))</f>
        <v>6.4073226544622511E-2</v>
      </c>
      <c r="K40" s="11" cm="1">
        <f t="array" aca="1" ref="K40" ca="1">(_xll.TR(N40,"TR.PriceClose")-_xll.TR(N40,"TR.PriceClose","SDate:"&amp;EDATE(TODAY(),-12)))/_xll.TR(N40,"TR.PriceClose","SDate:"&amp;EDATE(TODAY(),-12))</f>
        <v>0.50110680686220255</v>
      </c>
      <c r="M40" s="14" t="s">
        <v>44</v>
      </c>
      <c r="N40" s="15" t="s">
        <v>76</v>
      </c>
      <c r="O40" t="s">
        <v>105</v>
      </c>
      <c r="Q40" s="23"/>
    </row>
    <row r="41" spans="1:17">
      <c r="A41" s="12" t="s">
        <v>45</v>
      </c>
      <c r="B41" s="9" t="s">
        <v>263</v>
      </c>
      <c r="C41" s="10">
        <f ca="1">'CDS from CapitalIQ'!C82</f>
        <v>57.494999999999997</v>
      </c>
      <c r="D41" s="35">
        <f ca="1">'CDS from CapitalIQ'!T82</f>
        <v>-5.000000000002558E-3</v>
      </c>
      <c r="E41" s="35">
        <f ca="1">'CDS from CapitalIQ'!V82</f>
        <v>1.4949999999999974</v>
      </c>
      <c r="F41" s="35">
        <f ca="1">'CDS from CapitalIQ'!W82</f>
        <v>0.49499999999999744</v>
      </c>
      <c r="G41" s="36">
        <f ca="1">'CDS from CapitalIQ'!X82</f>
        <v>12.517799999999994</v>
      </c>
      <c r="H41" s="11" cm="1">
        <f t="array" aca="1" ref="H41" ca="1">(_xll.TR(N41,"TR.PriceClose")-_xll.TR(N41,"TR.PriceClose","SDate:"&amp;TEXT(WORKDAY(TODAY(),-5),"yyyy-mm-dd")))/_xll.TR(N41,"TR.PriceClose","SDate:"&amp;TEXT(WORKDAY(TODAY(),-5),"yyyy-mm-dd"))</f>
        <v>3.3995348005011129E-3</v>
      </c>
      <c r="I41" s="11" cm="1">
        <f t="array" aca="1" ref="I41" ca="1">(_xll.TR(N41,"TR.PriceClose")-_xll.TR(N41,"TR.PriceClose","SDate:"&amp;TEXT(WORKDAY(TODAY(),-10),"yyyy-mm-dd")))/_xll.TR(N41,"TR.PriceClose","SDate:"&amp;TEXT(WORKDAY(TODAY(),-10),"yyyy-mm-dd"))</f>
        <v>4.2250030975096158E-2</v>
      </c>
      <c r="J41" s="11" cm="1">
        <f t="array" aca="1" ref="J41" ca="1">(_xll.TR(N41,"TR.PriceClose")-_xll.TR(N41,"TR.PriceClose","SDate:"&amp;TEXT(WORKDAY(TODAY(),-65),"yyyy-mm-dd")))/_xll.TR(N41,"TR.PriceClose","SDate:"&amp;TEXT(WORKDAY(TODAY(),-65),"yyyy-mm-dd"))</f>
        <v>5.4994669843857841E-2</v>
      </c>
      <c r="K41" s="11" cm="1">
        <f t="array" aca="1" ref="K41" ca="1">(_xll.TR(N41,"TR.PriceClose")-_xll.TR(N41,"TR.PriceClose","SDate:"&amp;EDATE(TODAY(),-12)))/_xll.TR(N41,"TR.PriceClose","SDate:"&amp;EDATE(TODAY(),-12))</f>
        <v>0.63086467623109743</v>
      </c>
      <c r="M41" s="14" t="s">
        <v>45</v>
      </c>
      <c r="N41" s="15" t="s">
        <v>77</v>
      </c>
      <c r="O41" t="s">
        <v>109</v>
      </c>
      <c r="Q41" s="23"/>
    </row>
    <row r="42" spans="1:17">
      <c r="A42" s="8" t="s">
        <v>46</v>
      </c>
      <c r="B42" s="9" t="s">
        <v>263</v>
      </c>
      <c r="C42" s="10">
        <f ca="1">'CDS from CapitalIQ'!C83</f>
        <v>60.158299999999997</v>
      </c>
      <c r="D42" s="35" cm="1">
        <f t="array" ref="D42">_xll.TR(O42,"MID_SPREAD")*_xll.TR(O42,"PCTCHG_1W")/(100+_xll.TR(O42,"PCTCHG_1W"))</f>
        <v>-1.2224444888977795E-2</v>
      </c>
      <c r="E42" s="35">
        <f ca="1">'CDS from CapitalIQ'!V83</f>
        <v>-0.28150000000000119</v>
      </c>
      <c r="F42" s="35">
        <f ca="1">'CDS from CapitalIQ'!W83</f>
        <v>1.7682000000000002</v>
      </c>
      <c r="G42" s="36">
        <f ca="1">'CDS from CapitalIQ'!X83</f>
        <v>8.908299999999997</v>
      </c>
      <c r="H42" s="11" cm="1">
        <f t="array" aca="1" ref="H42" ca="1">(_xll.TR(N42,"TR.PriceClose")-_xll.TR(N42,"TR.PriceClose","SDate:"&amp;TEXT(WORKDAY(TODAY(),-5),"yyyy-mm-dd")))/_xll.TR(N42,"TR.PriceClose","SDate:"&amp;TEXT(WORKDAY(TODAY(),-5),"yyyy-mm-dd"))</f>
        <v>2.8510938602681869E-2</v>
      </c>
      <c r="I42" s="11" cm="1">
        <f t="array" aca="1" ref="I42" ca="1">(_xll.TR(N42,"TR.PriceClose")-_xll.TR(N42,"TR.PriceClose","SDate:"&amp;TEXT(WORKDAY(TODAY(),-10),"yyyy-mm-dd")))/_xll.TR(N42,"TR.PriceClose","SDate:"&amp;TEXT(WORKDAY(TODAY(),-10),"yyyy-mm-dd"))</f>
        <v>3.134951525015927E-2</v>
      </c>
      <c r="J42" s="11" cm="1">
        <f t="array" aca="1" ref="J42" ca="1">(_xll.TR(N42,"TR.PriceClose")-_xll.TR(N42,"TR.PriceClose","SDate:"&amp;TEXT(WORKDAY(TODAY(),-65),"yyyy-mm-dd")))/_xll.TR(N42,"TR.PriceClose","SDate:"&amp;TEXT(WORKDAY(TODAY(),-65),"yyyy-mm-dd"))</f>
        <v>6.9141327073322906E-2</v>
      </c>
      <c r="K42" s="11" cm="1">
        <f t="array" aca="1" ref="K42" ca="1">(_xll.TR(N42,"TR.PriceClose")-_xll.TR(N42,"TR.PriceClose","SDate:"&amp;EDATE(TODAY(),-12)))/_xll.TR(N42,"TR.PriceClose","SDate:"&amp;EDATE(TODAY(),-12))</f>
        <v>0.45579862151633216</v>
      </c>
      <c r="M42" s="14" t="s">
        <v>46</v>
      </c>
      <c r="N42" s="15" t="s">
        <v>78</v>
      </c>
      <c r="O42" t="s">
        <v>106</v>
      </c>
      <c r="Q42" s="23"/>
    </row>
    <row r="43" spans="1:17">
      <c r="A43" s="12" t="s">
        <v>47</v>
      </c>
      <c r="B43" s="9" t="s">
        <v>263</v>
      </c>
      <c r="C43" s="10">
        <f ca="1">'CDS from CapitalIQ'!C84</f>
        <v>56.5289</v>
      </c>
      <c r="D43" s="35">
        <f ca="1">'CDS from CapitalIQ'!T84</f>
        <v>-1.033299999999997</v>
      </c>
      <c r="E43" s="35">
        <f ca="1">'CDS from CapitalIQ'!V84</f>
        <v>-2.9097999999999971</v>
      </c>
      <c r="F43" s="35">
        <f ca="1">'CDS from CapitalIQ'!W84</f>
        <v>1.0208999999999975</v>
      </c>
      <c r="G43" s="36">
        <f ca="1">'CDS from CapitalIQ'!X84</f>
        <v>5.8954999999999984</v>
      </c>
      <c r="H43" s="11" cm="1">
        <f t="array" aca="1" ref="H43" ca="1">(_xll.TR(N43,"TR.PriceClose")-_xll.TR(N43,"TR.PriceClose","SDate:"&amp;TEXT(WORKDAY(TODAY(),-5),"yyyy-mm-dd")))/_xll.TR(N43,"TR.PriceClose","SDate:"&amp;TEXT(WORKDAY(TODAY(),-5),"yyyy-mm-dd"))</f>
        <v>2.4639112239620113E-2</v>
      </c>
      <c r="I43" s="11" cm="1">
        <f t="array" aca="1" ref="I43" ca="1">(_xll.TR(N43,"TR.PriceClose")-_xll.TR(N43,"TR.PriceClose","SDate:"&amp;TEXT(WORKDAY(TODAY(),-10),"yyyy-mm-dd")))/_xll.TR(N43,"TR.PriceClose","SDate:"&amp;TEXT(WORKDAY(TODAY(),-10),"yyyy-mm-dd"))</f>
        <v>3.915967935133117E-3</v>
      </c>
      <c r="J43" s="11" cm="1">
        <f t="array" aca="1" ref="J43" ca="1">(_xll.TR(N43,"TR.PriceClose")-_xll.TR(N43,"TR.PriceClose","SDate:"&amp;TEXT(WORKDAY(TODAY(),-65),"yyyy-mm-dd")))/_xll.TR(N43,"TR.PriceClose","SDate:"&amp;TEXT(WORKDAY(TODAY(),-65),"yyyy-mm-dd"))</f>
        <v>6.6095890410958855E-2</v>
      </c>
      <c r="K43" s="11" cm="1">
        <f t="array" aca="1" ref="K43" ca="1">(_xll.TR(N43,"TR.PriceClose")-_xll.TR(N43,"TR.PriceClose","SDate:"&amp;EDATE(TODAY(),-12)))/_xll.TR(N43,"TR.PriceClose","SDate:"&amp;EDATE(TODAY(),-12))</f>
        <v>0.49345486944006578</v>
      </c>
      <c r="M43" s="14" t="s">
        <v>47</v>
      </c>
      <c r="N43" s="15" t="s">
        <v>79</v>
      </c>
      <c r="O43" t="s">
        <v>107</v>
      </c>
    </row>
    <row r="44" spans="1:17">
      <c r="A44" s="8" t="s">
        <v>48</v>
      </c>
      <c r="B44" s="9" t="s">
        <v>263</v>
      </c>
      <c r="C44" s="10" t="str" cm="1">
        <f t="array" ref="C44">_xll.TR(O44,"MID_SPREAD")</f>
        <v>The record could not be found (Error code: 0)</v>
      </c>
      <c r="D44" s="35" t="e" cm="1">
        <f t="array" ref="D44">_xll.TR(O44,"MID_SPREAD")*_xll.TR(O44,"PCTCHG_1W")/(100+_xll.TR(O44,"PCTCHG_1W"))</f>
        <v>#VALUE!</v>
      </c>
      <c r="E44" s="35">
        <f>'CDS from CapitalIQ'!V85</f>
        <v>0</v>
      </c>
      <c r="F44" s="35">
        <f>'CDS from CapitalIQ'!W85</f>
        <v>0</v>
      </c>
      <c r="G44" s="36">
        <f>'CDS from CapitalIQ'!X85</f>
        <v>0</v>
      </c>
      <c r="H44" s="11" cm="1">
        <f t="array" aca="1" ref="H44" ca="1">(_xll.TR(N44,"TR.PriceClose")-_xll.TR(N44,"TR.PriceClose","SDate:"&amp;TEXT(WORKDAY(TODAY(),-5),"yyyy-mm-dd")))/_xll.TR(N44,"TR.PriceClose","SDate:"&amp;TEXT(WORKDAY(TODAY(),-5),"yyyy-mm-dd"))</f>
        <v>4.926108374383256E-4</v>
      </c>
      <c r="I44" s="11" cm="1">
        <f t="array" aca="1" ref="I44" ca="1">(_xll.TR(N44,"TR.PriceClose")-_xll.TR(N44,"TR.PriceClose","SDate:"&amp;TEXT(WORKDAY(TODAY(),-10),"yyyy-mm-dd")))/_xll.TR(N44,"TR.PriceClose","SDate:"&amp;TEXT(WORKDAY(TODAY(),-10),"yyyy-mm-dd"))</f>
        <v>6.941001487357313E-3</v>
      </c>
      <c r="J44" s="11" cm="1">
        <f t="array" aca="1" ref="J44" ca="1">(_xll.TR(N44,"TR.PriceClose")-_xll.TR(N44,"TR.PriceClose","SDate:"&amp;TEXT(WORKDAY(TODAY(),-65),"yyyy-mm-dd")))/_xll.TR(N44,"TR.PriceClose","SDate:"&amp;TEXT(WORKDAY(TODAY(),-65),"yyyy-mm-dd"))</f>
        <v>6.941001487357313E-3</v>
      </c>
      <c r="K44" s="11" cm="1">
        <f t="array" aca="1" ref="K44" ca="1">(_xll.TR(N44,"TR.PriceClose")-_xll.TR(N44,"TR.PriceClose","SDate:"&amp;EDATE(TODAY(),-12)))/_xll.TR(N44,"TR.PriceClose","SDate:"&amp;EDATE(TODAY(),-12))</f>
        <v>0.2858499525166191</v>
      </c>
      <c r="M44" s="14" t="s">
        <v>48</v>
      </c>
      <c r="N44" s="15" t="s">
        <v>80</v>
      </c>
      <c r="O44" t="s">
        <v>110</v>
      </c>
      <c r="Q44" s="16"/>
    </row>
    <row r="45" spans="1:17">
      <c r="Q45" s="23"/>
    </row>
    <row r="46" spans="1:17">
      <c r="A46" t="s">
        <v>237</v>
      </c>
      <c r="F46" s="24"/>
      <c r="H46" s="52">
        <f ca="1">_xlfn.PERCENTILE.INC(H$8:H$44,0.2)</f>
        <v>7.0954039330522085E-3</v>
      </c>
      <c r="I46" s="52">
        <f ca="1">_xlfn.PERCENTILE.INC(I$8:I$44,0.2)</f>
        <v>6.0919988081868694E-3</v>
      </c>
      <c r="J46" s="53">
        <f ca="1">_xlfn.PERCENTILE.INC(J$8:J$44,0.2)</f>
        <v>6.2675955500884159E-2</v>
      </c>
      <c r="K46" s="53">
        <f ca="1">_xlfn.PERCENTILE.INC(K$8:K$44,0.2)</f>
        <v>0.30689374740940129</v>
      </c>
      <c r="M46" s="16"/>
      <c r="Q46" s="23"/>
    </row>
    <row r="47" spans="1:17">
      <c r="H47" s="51">
        <f ca="1">_xlfn.PERCENTILE.INC(H$8:H$44,0.8)</f>
        <v>3.3147291753310895E-2</v>
      </c>
      <c r="I47" s="51">
        <f ca="1">_xlfn.PERCENTILE.INC(I$8:I$44,0.8)</f>
        <v>6.2789664329142514E-2</v>
      </c>
      <c r="J47" s="54">
        <f ca="1">_xlfn.PERCENTILE.INC(J$8:J$44,0.8)</f>
        <v>0.17482779133389487</v>
      </c>
      <c r="K47" s="54">
        <f ca="1">_xlfn.PERCENTILE.INC(K$8:K$44,0.8)</f>
        <v>0.63186828936486472</v>
      </c>
      <c r="Q47" s="23"/>
    </row>
    <row r="48" spans="1:17">
      <c r="C48" s="41"/>
      <c r="D48" s="41"/>
      <c r="M48" s="13"/>
      <c r="N48" s="13"/>
      <c r="Q48" s="23"/>
    </row>
    <row r="49" spans="4:17">
      <c r="M49" s="14"/>
      <c r="N49" s="15"/>
      <c r="Q49" s="23"/>
    </row>
    <row r="50" spans="4:17">
      <c r="D50" s="41"/>
      <c r="M50" s="14"/>
      <c r="N50" s="15"/>
      <c r="Q50" s="23"/>
    </row>
    <row r="51" spans="4:17">
      <c r="M51" s="14"/>
      <c r="N51" s="15"/>
      <c r="Q51" s="23"/>
    </row>
    <row r="52" spans="4:17">
      <c r="M52" s="14"/>
      <c r="N52" s="15"/>
      <c r="Q52" s="23"/>
    </row>
    <row r="53" spans="4:17">
      <c r="M53" s="14"/>
      <c r="N53" s="15"/>
    </row>
    <row r="55" spans="4:17">
      <c r="M55" s="16"/>
    </row>
    <row r="57" spans="4:17">
      <c r="M57" s="13"/>
      <c r="N57" s="13"/>
    </row>
    <row r="58" spans="4:17">
      <c r="M58" s="14"/>
      <c r="N58" s="15"/>
    </row>
    <row r="59" spans="4:17">
      <c r="M59" s="14"/>
      <c r="N59" s="15"/>
    </row>
    <row r="60" spans="4:17">
      <c r="M60" s="14"/>
      <c r="N60" s="15"/>
    </row>
    <row r="61" spans="4:17">
      <c r="M61" s="14"/>
      <c r="N61" s="15"/>
    </row>
    <row r="62" spans="4:17">
      <c r="M62" s="14"/>
      <c r="N62" s="15"/>
    </row>
    <row r="63" spans="4:17">
      <c r="M63" s="14"/>
      <c r="N63" s="15"/>
    </row>
    <row r="64" spans="4:17">
      <c r="M64" s="14"/>
      <c r="N64" s="15"/>
    </row>
  </sheetData>
  <mergeCells count="4">
    <mergeCell ref="C1:G1"/>
    <mergeCell ref="C5:G5"/>
    <mergeCell ref="H1:K1"/>
    <mergeCell ref="H5:K5"/>
  </mergeCells>
  <conditionalFormatting sqref="D8:D43">
    <cfRule type="expression" dxfId="23" priority="15" stopIfTrue="1">
      <formula>D8&lt;=-3</formula>
    </cfRule>
    <cfRule type="expression" dxfId="22" priority="16" stopIfTrue="1">
      <formula>D8&gt;3</formula>
    </cfRule>
  </conditionalFormatting>
  <conditionalFormatting sqref="E8:E44">
    <cfRule type="expression" dxfId="21" priority="13" stopIfTrue="1">
      <formula>E8&lt;=-3</formula>
    </cfRule>
    <cfRule type="expression" dxfId="20" priority="14" stopIfTrue="1">
      <formula>E8&gt;3</formula>
    </cfRule>
  </conditionalFormatting>
  <conditionalFormatting sqref="F8:G44">
    <cfRule type="expression" dxfId="19" priority="9" stopIfTrue="1">
      <formula>F8&lt;=-20</formula>
    </cfRule>
    <cfRule type="expression" dxfId="18" priority="10" stopIfTrue="1">
      <formula>F8&gt;20</formula>
    </cfRule>
  </conditionalFormatting>
  <conditionalFormatting sqref="H8:H44 H46">
    <cfRule type="expression" dxfId="17" priority="7" stopIfTrue="1">
      <formula>H8&gt;=0.02</formula>
    </cfRule>
    <cfRule type="expression" dxfId="16" priority="8" stopIfTrue="1">
      <formula>H8&lt;=-0.03</formula>
    </cfRule>
  </conditionalFormatting>
  <conditionalFormatting sqref="I8:I44 I46">
    <cfRule type="expression" dxfId="15" priority="5" stopIfTrue="1">
      <formula>I8&gt;=0.1</formula>
    </cfRule>
    <cfRule type="expression" dxfId="14" priority="6" stopIfTrue="1">
      <formula>I8&lt;=-0.03</formula>
    </cfRule>
  </conditionalFormatting>
  <conditionalFormatting sqref="J8:J44">
    <cfRule type="expression" dxfId="13" priority="3" stopIfTrue="1">
      <formula>J8&gt;=0.3</formula>
    </cfRule>
    <cfRule type="expression" dxfId="12" priority="4" stopIfTrue="1">
      <formula>J8&lt;=-0.13</formula>
    </cfRule>
  </conditionalFormatting>
  <conditionalFormatting sqref="K8:K44">
    <cfRule type="expression" dxfId="11" priority="1" stopIfTrue="1">
      <formula>K8&gt;=0.7</formula>
    </cfRule>
    <cfRule type="expression" dxfId="10" priority="2" stopIfTrue="1">
      <formula>K8&lt;=-0.3</formula>
    </cfRule>
  </conditionalFormatting>
  <pageMargins left="0.7" right="0.7" top="0.75" bottom="0.75" header="0.3" footer="0.3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D83A-8344-46DF-9263-3D6EDECA8BF0}">
  <dimension ref="A1:K44"/>
  <sheetViews>
    <sheetView zoomScale="98" zoomScaleNormal="98" workbookViewId="0">
      <selection activeCell="F16" sqref="F16"/>
    </sheetView>
  </sheetViews>
  <sheetFormatPr defaultRowHeight="14"/>
  <cols>
    <col min="1" max="1" width="27.26953125" style="55" customWidth="1"/>
    <col min="2" max="3" width="15.26953125" style="55" customWidth="1"/>
    <col min="4" max="4" width="21.81640625" style="55" customWidth="1"/>
    <col min="5" max="5" width="19.6328125" style="55" customWidth="1"/>
    <col min="6" max="6" width="21.81640625" style="55" customWidth="1"/>
    <col min="7" max="7" width="20.7265625" style="55" customWidth="1"/>
    <col min="8" max="8" width="16.36328125" style="55" customWidth="1"/>
    <col min="9" max="9" width="8.7265625" style="55"/>
    <col min="10" max="10" width="19.6328125" style="55" customWidth="1"/>
    <col min="11" max="11" width="24" style="55" customWidth="1"/>
    <col min="12" max="16384" width="8.7265625" style="55"/>
  </cols>
  <sheetData>
    <row r="1" spans="1:11" ht="18" customHeight="1">
      <c r="A1" s="80" t="s">
        <v>262</v>
      </c>
      <c r="B1" s="80"/>
      <c r="C1" s="80"/>
      <c r="D1" s="80"/>
      <c r="E1" s="80"/>
      <c r="F1" s="80"/>
      <c r="G1" s="80"/>
      <c r="H1" s="80"/>
      <c r="J1" s="81" t="s">
        <v>261</v>
      </c>
      <c r="K1" s="81"/>
    </row>
    <row r="2" spans="1:11">
      <c r="J2" s="70" t="s">
        <v>260</v>
      </c>
      <c r="K2" s="71">
        <v>0.6</v>
      </c>
    </row>
    <row r="3" spans="1:11">
      <c r="J3" s="70" t="s">
        <v>259</v>
      </c>
      <c r="K3" s="71">
        <v>0.4</v>
      </c>
    </row>
    <row r="4" spans="1:11">
      <c r="J4" s="70" t="s">
        <v>258</v>
      </c>
      <c r="K4" s="69" t="s">
        <v>257</v>
      </c>
    </row>
    <row r="5" spans="1:11">
      <c r="J5" s="70" t="s">
        <v>256</v>
      </c>
      <c r="K5" s="69" t="s">
        <v>255</v>
      </c>
    </row>
    <row r="7" spans="1:11" ht="34.5" customHeight="1">
      <c r="A7" s="68" t="s">
        <v>2</v>
      </c>
      <c r="B7" s="68" t="s">
        <v>254</v>
      </c>
      <c r="C7" s="68" t="s">
        <v>253</v>
      </c>
      <c r="D7" s="68" t="s">
        <v>252</v>
      </c>
      <c r="E7" s="68" t="s">
        <v>251</v>
      </c>
      <c r="F7" s="68" t="s">
        <v>250</v>
      </c>
      <c r="G7" s="68" t="s">
        <v>249</v>
      </c>
      <c r="H7" s="68" t="s">
        <v>247</v>
      </c>
    </row>
    <row r="8" spans="1:11">
      <c r="A8" s="60" t="s">
        <v>10</v>
      </c>
      <c r="B8" s="60" t="s">
        <v>238</v>
      </c>
      <c r="C8" s="59">
        <f ca="1">Report!$C$8</f>
        <v>50.523499999999999</v>
      </c>
      <c r="D8" s="58">
        <f ca="1">Report!$I$8</f>
        <v>4.5551169146674765E-2</v>
      </c>
      <c r="E8" s="62">
        <f ca="1">_xlfn.PERCENTRANK.INC($C$8:$C$14,C8)*100</f>
        <v>33.300000000000004</v>
      </c>
      <c r="F8" s="62">
        <f ca="1">(1-_xlfn.PERCENTRANK.INC($D$8:$D$14,D8))*100</f>
        <v>16.700000000000003</v>
      </c>
      <c r="G8" s="62">
        <f t="shared" ref="G8:G14" ca="1" si="0">IF(OR(E8="",F8=""),"",$K$2*E8+$K$3*F8)</f>
        <v>26.660000000000004</v>
      </c>
      <c r="H8" s="61" t="str">
        <f t="shared" ref="H8:H14" ca="1" si="1">IF(G8="","",IF(G8&lt;=25,"Low",IF(G8&lt;=50,"Moderate",IF(G8&lt;=75,"Elevated","High"))))</f>
        <v>Moderate</v>
      </c>
      <c r="J8" s="67" t="s">
        <v>248</v>
      </c>
      <c r="K8" s="67" t="s">
        <v>247</v>
      </c>
    </row>
    <row r="9" spans="1:11">
      <c r="A9" s="60" t="s">
        <v>11</v>
      </c>
      <c r="B9" s="60" t="s">
        <v>238</v>
      </c>
      <c r="C9" s="59">
        <f ca="1">Report!$C$9</f>
        <v>52.115900000000003</v>
      </c>
      <c r="D9" s="58">
        <f ca="1">Report!$I$9</f>
        <v>5.6152735440398111E-3</v>
      </c>
      <c r="E9" s="62">
        <f t="shared" ref="E9:E14" ca="1" si="2">_xlfn.PERCENTRANK.INC($C$8:$C$14,C9)*100</f>
        <v>66.600000000000009</v>
      </c>
      <c r="F9" s="62">
        <f t="shared" ref="F9:F14" ca="1" si="3">(1-_xlfn.PERCENTRANK.INC($D$8:$D$14,D9))*100</f>
        <v>83.399999999999991</v>
      </c>
      <c r="G9" s="62">
        <f t="shared" ca="1" si="0"/>
        <v>73.319999999999993</v>
      </c>
      <c r="H9" s="61" t="str">
        <f t="shared" ca="1" si="1"/>
        <v>Elevated</v>
      </c>
      <c r="J9" s="66" t="s">
        <v>246</v>
      </c>
      <c r="K9" s="66" t="s">
        <v>245</v>
      </c>
    </row>
    <row r="10" spans="1:11">
      <c r="A10" s="60" t="s">
        <v>12</v>
      </c>
      <c r="B10" s="60" t="s">
        <v>238</v>
      </c>
      <c r="C10" s="59">
        <f ca="1">Report!$C$10</f>
        <v>37.396999999999998</v>
      </c>
      <c r="D10" s="58">
        <f ca="1">Report!$I$10</f>
        <v>6.3133084542214991E-3</v>
      </c>
      <c r="E10" s="62">
        <f t="shared" ca="1" si="2"/>
        <v>0</v>
      </c>
      <c r="F10" s="62">
        <f t="shared" ca="1" si="3"/>
        <v>66.7</v>
      </c>
      <c r="G10" s="62">
        <f t="shared" ca="1" si="0"/>
        <v>26.680000000000003</v>
      </c>
      <c r="H10" s="61" t="str">
        <f t="shared" ca="1" si="1"/>
        <v>Moderate</v>
      </c>
      <c r="J10" s="65" t="s">
        <v>244</v>
      </c>
      <c r="K10" s="65" t="s">
        <v>243</v>
      </c>
    </row>
    <row r="11" spans="1:11">
      <c r="A11" s="60" t="s">
        <v>13</v>
      </c>
      <c r="B11" s="60" t="s">
        <v>238</v>
      </c>
      <c r="C11" s="59">
        <f ca="1">Report!$C$11</f>
        <v>52.232799999999997</v>
      </c>
      <c r="D11" s="58">
        <f ca="1">Report!$I$11</f>
        <v>2.248427066043856E-3</v>
      </c>
      <c r="E11" s="62">
        <f t="shared" ca="1" si="2"/>
        <v>83.3</v>
      </c>
      <c r="F11" s="62">
        <f t="shared" ca="1" si="3"/>
        <v>100</v>
      </c>
      <c r="G11" s="62">
        <f t="shared" ca="1" si="0"/>
        <v>89.97999999999999</v>
      </c>
      <c r="H11" s="61" t="str">
        <f t="shared" ca="1" si="1"/>
        <v>High</v>
      </c>
      <c r="J11" s="64" t="s">
        <v>242</v>
      </c>
      <c r="K11" s="64" t="s">
        <v>241</v>
      </c>
    </row>
    <row r="12" spans="1:11">
      <c r="A12" s="60" t="s">
        <v>14</v>
      </c>
      <c r="B12" s="60" t="s">
        <v>238</v>
      </c>
      <c r="C12" s="59">
        <f ca="1">Report!$C$12</f>
        <v>54.651899999999998</v>
      </c>
      <c r="D12" s="58">
        <f ca="1">Report!$I$12</f>
        <v>1.7002989536621761E-2</v>
      </c>
      <c r="E12" s="62">
        <f t="shared" ca="1" si="2"/>
        <v>100</v>
      </c>
      <c r="F12" s="62">
        <f t="shared" ca="1" si="3"/>
        <v>50</v>
      </c>
      <c r="G12" s="62">
        <f t="shared" ca="1" si="0"/>
        <v>80</v>
      </c>
      <c r="H12" s="61" t="str">
        <f t="shared" ca="1" si="1"/>
        <v>High</v>
      </c>
      <c r="J12" s="63" t="s">
        <v>240</v>
      </c>
      <c r="K12" s="63" t="s">
        <v>239</v>
      </c>
    </row>
    <row r="13" spans="1:11">
      <c r="A13" s="60" t="s">
        <v>15</v>
      </c>
      <c r="B13" s="60" t="s">
        <v>238</v>
      </c>
      <c r="C13" s="59">
        <f ca="1">Report!$C$13</f>
        <v>45.815399999999997</v>
      </c>
      <c r="D13" s="58">
        <f ca="1">Report!$I$13</f>
        <v>6.1968838526912179E-2</v>
      </c>
      <c r="E13" s="62">
        <f t="shared" ca="1" si="2"/>
        <v>16.600000000000001</v>
      </c>
      <c r="F13" s="62">
        <f t="shared" ca="1" si="3"/>
        <v>0</v>
      </c>
      <c r="G13" s="62">
        <f t="shared" ca="1" si="0"/>
        <v>9.9600000000000009</v>
      </c>
      <c r="H13" s="61" t="str">
        <f t="shared" ca="1" si="1"/>
        <v>Low</v>
      </c>
    </row>
    <row r="14" spans="1:11">
      <c r="A14" s="60" t="s">
        <v>16</v>
      </c>
      <c r="B14" s="60" t="s">
        <v>238</v>
      </c>
      <c r="C14" s="59">
        <f ca="1">Report!$C$14</f>
        <v>50.992800000000003</v>
      </c>
      <c r="D14" s="58">
        <f ca="1">Report!$I$14</f>
        <v>1.7494238424471002E-2</v>
      </c>
      <c r="E14" s="62">
        <f t="shared" ca="1" si="2"/>
        <v>50</v>
      </c>
      <c r="F14" s="62">
        <f t="shared" ca="1" si="3"/>
        <v>33.4</v>
      </c>
      <c r="G14" s="62">
        <f t="shared" ca="1" si="0"/>
        <v>43.36</v>
      </c>
      <c r="H14" s="61" t="str">
        <f t="shared" ca="1" si="1"/>
        <v>Moderate</v>
      </c>
    </row>
    <row r="15" spans="1:11" ht="14.65" customHeight="1">
      <c r="A15" s="77" t="s">
        <v>17</v>
      </c>
      <c r="B15" s="77"/>
      <c r="C15" s="78"/>
      <c r="D15" s="79"/>
      <c r="E15" s="78"/>
      <c r="F15" s="78"/>
      <c r="G15" s="78"/>
      <c r="H15" s="77"/>
    </row>
    <row r="16" spans="1:11">
      <c r="A16" s="60" t="s">
        <v>18</v>
      </c>
      <c r="B16" s="60" t="s">
        <v>17</v>
      </c>
      <c r="C16" s="59">
        <f ca="1">Report!$C$16</f>
        <v>41.904000000000003</v>
      </c>
      <c r="D16" s="58">
        <f ca="1">Report!$I$16</f>
        <v>-2.1161048689138491E-2</v>
      </c>
      <c r="E16" s="62">
        <f ca="1">_xlfn.PERCENTRANK.INC($C$16:$C$18,C16)*100</f>
        <v>50</v>
      </c>
      <c r="F16" s="62">
        <f ca="1">(1-_xlfn.PERCENTRANK.INC($D$16:$D$18,D16))*100</f>
        <v>100</v>
      </c>
      <c r="G16" s="62" t="e">
        <f ca="1">IF(OR(#REF!="",F16=""),"",$K$2*#REF!+$K$3*F16)</f>
        <v>#REF!</v>
      </c>
      <c r="H16" s="61" t="e">
        <f ca="1">IF(G16="","",IF(G16&lt;=25,"Low",IF(G16&lt;=50,"Moderate",IF(G16&lt;=75,"Elevated","High"))))</f>
        <v>#REF!</v>
      </c>
    </row>
    <row r="17" spans="1:8">
      <c r="A17" s="60" t="s">
        <v>19</v>
      </c>
      <c r="B17" s="60" t="s">
        <v>17</v>
      </c>
      <c r="C17" s="59">
        <f ca="1">Report!$C$17</f>
        <v>36.717799999999997</v>
      </c>
      <c r="D17" s="58">
        <f ca="1">Report!$I$17</f>
        <v>-1.1527377521613959E-2</v>
      </c>
      <c r="E17" s="62">
        <f t="shared" ref="E17:E18" ca="1" si="4">_xlfn.PERCENTRANK.INC($C$16:$C$18,C17)*100</f>
        <v>0</v>
      </c>
      <c r="F17" s="62">
        <f t="shared" ref="F17:F18" ca="1" si="5">(1-_xlfn.PERCENTRANK.INC($D$16:$D$18,D17))*100</f>
        <v>50</v>
      </c>
      <c r="G17" s="62">
        <f ca="1">IF(OR(E16="",F17=""),"",$K$2*E16+$K$3*F17)</f>
        <v>50</v>
      </c>
      <c r="H17" s="61" t="str">
        <f ca="1">IF(G17="","",IF(G17&lt;=25,"Low",IF(G17&lt;=50,"Moderate",IF(G17&lt;=75,"Elevated","High"))))</f>
        <v>Moderate</v>
      </c>
    </row>
    <row r="18" spans="1:8">
      <c r="A18" s="60" t="s">
        <v>20</v>
      </c>
      <c r="B18" s="60" t="s">
        <v>17</v>
      </c>
      <c r="C18" s="59">
        <f ca="1">Report!$C$18</f>
        <v>44.103900000000003</v>
      </c>
      <c r="D18" s="58">
        <f ca="1">Report!$I$18</f>
        <v>-7.5356953992597488E-3</v>
      </c>
      <c r="E18" s="62">
        <f t="shared" ca="1" si="4"/>
        <v>100</v>
      </c>
      <c r="F18" s="62">
        <f t="shared" ca="1" si="5"/>
        <v>0</v>
      </c>
      <c r="G18" s="62">
        <f ca="1">IF(OR(E18="",F18=""),"",$K$2*E18+$K$3*F18)</f>
        <v>60</v>
      </c>
      <c r="H18" s="61" t="str">
        <f ca="1">IF(G18="","",IF(G18&lt;=25,"Low",IF(G18&lt;=50,"Moderate",IF(G18&lt;=75,"Elevated","High"))))</f>
        <v>Elevated</v>
      </c>
    </row>
    <row r="19" spans="1:8" ht="14.65" customHeight="1">
      <c r="A19" s="77" t="s">
        <v>21</v>
      </c>
      <c r="B19" s="77"/>
      <c r="C19" s="78"/>
      <c r="D19" s="79"/>
      <c r="E19" s="78"/>
      <c r="F19" s="78"/>
      <c r="G19" s="78"/>
      <c r="H19" s="77"/>
    </row>
    <row r="20" spans="1:8">
      <c r="A20" s="60" t="s">
        <v>22</v>
      </c>
      <c r="B20" s="60" t="s">
        <v>21</v>
      </c>
      <c r="C20" s="59">
        <f ca="1">Report!$C$20</f>
        <v>44.495199999999997</v>
      </c>
      <c r="D20" s="58">
        <f ca="1">Report!$I$20</f>
        <v>2.6851851851851773E-2</v>
      </c>
      <c r="E20" s="62" t="str">
        <f ca="1">IF(OR(C20="",COUNTIFS($B$8:$B$44,B20,$C$8:$C$44,"&lt;&gt;")&lt;2),"",100*(COUNTIFS($B$8:$B$44,B20,$C$8:$C$44,"&lt;"&amp;C20)+0.5*(COUNTIFS($B$8:$B$44,B20,$C$8:$C$44,"="&amp;C20)-1))/(COUNTIFS($B$8:$B$44,B20,$C$8:$C$44,"&lt;&gt;")-1))</f>
        <v/>
      </c>
      <c r="F20" s="62" t="str">
        <f ca="1">IF(OR(D20="",COUNTIFS($B$8:$B$44,B20,$D$8:$D$44,"&lt;&gt;")&lt;2),"",100*(COUNTIFS($B$8:$B$44,B20,$D$8:$D$44,"&gt;"&amp;D20)+0.5*(COUNTIFS($B$8:$B$44,B20,$D$8:$D$44,"="&amp;D20)-1))/(COUNTIFS($B$8:$B$44,B20,$D$8:$D$44,"&lt;&gt;")-1))</f>
        <v/>
      </c>
      <c r="G20" s="62" t="str">
        <f ca="1">IF(OR(E20="",F20=""),"",$K$2*E20+$K$3*F20)</f>
        <v/>
      </c>
      <c r="H20" s="61" t="str">
        <f ca="1">IF(G20="","",IF(G20&lt;=25,"Low",IF(G20&lt;=50,"Moderate",IF(G20&lt;=75,"Elevated","High"))))</f>
        <v/>
      </c>
    </row>
    <row r="21" spans="1:8" ht="14.65" customHeight="1">
      <c r="A21" s="77" t="s">
        <v>23</v>
      </c>
      <c r="B21" s="77"/>
      <c r="C21" s="78"/>
      <c r="D21" s="79"/>
      <c r="E21" s="78"/>
      <c r="F21" s="78"/>
      <c r="G21" s="78"/>
      <c r="H21" s="77"/>
    </row>
    <row r="22" spans="1:8">
      <c r="A22" s="60" t="s">
        <v>24</v>
      </c>
      <c r="B22" s="60" t="s">
        <v>23</v>
      </c>
      <c r="C22" s="59">
        <f ca="1">Report!$C$22</f>
        <v>53.640900000000002</v>
      </c>
      <c r="D22" s="58">
        <f ca="1">Report!$I$22</f>
        <v>8.6807307964064887E-3</v>
      </c>
      <c r="E22" s="62">
        <f ca="1">_xlfn.PERCENTRANK.INC($C$22:$C$25,C22)*100</f>
        <v>100</v>
      </c>
      <c r="F22" s="62">
        <f ca="1">(1-_xlfn.PERCENTRANK.INC($D$22:$D$25,D22))*100</f>
        <v>100</v>
      </c>
      <c r="G22" s="62">
        <f ca="1">IF(OR(E22="",F22=""),"",$K$2*E22+$K$3*F22)</f>
        <v>100</v>
      </c>
      <c r="H22" s="61" t="str">
        <f ca="1">IF(G22="","",IF(G22&lt;=25,"Low",IF(G22&lt;=50,"Moderate",IF(G22&lt;=75,"Elevated","High"))))</f>
        <v>High</v>
      </c>
    </row>
    <row r="23" spans="1:8">
      <c r="A23" s="60" t="s">
        <v>25</v>
      </c>
      <c r="B23" s="60" t="s">
        <v>23</v>
      </c>
      <c r="C23" s="59">
        <f ca="1">Report!$C$23</f>
        <v>35.656700000000001</v>
      </c>
      <c r="D23" s="58">
        <f ca="1">Report!$I$23</f>
        <v>3.2701111837802485E-2</v>
      </c>
      <c r="E23" s="62">
        <f t="shared" ref="E23:E25" ca="1" si="6">_xlfn.PERCENTRANK.INC($C$22:$C$25,C23)*100</f>
        <v>0</v>
      </c>
      <c r="F23" s="62">
        <f t="shared" ref="F23:F25" ca="1" si="7">(1-_xlfn.PERCENTRANK.INC($D$22:$D$25,D23))*100</f>
        <v>33.4</v>
      </c>
      <c r="G23" s="62">
        <f ca="1">IF(OR(E23="",F23=""),"",$K$2*E23+$K$3*F23)</f>
        <v>13.36</v>
      </c>
      <c r="H23" s="61" t="str">
        <f ca="1">IF(G23="","",IF(G23&lt;=25,"Low",IF(G23&lt;=50,"Moderate",IF(G23&lt;=75,"Elevated","High"))))</f>
        <v>Low</v>
      </c>
    </row>
    <row r="24" spans="1:8">
      <c r="A24" s="60" t="s">
        <v>26</v>
      </c>
      <c r="B24" s="60" t="s">
        <v>23</v>
      </c>
      <c r="C24" s="59">
        <f ca="1">Report!$C$24</f>
        <v>51.6462</v>
      </c>
      <c r="D24" s="58">
        <f ca="1">Report!$I$24</f>
        <v>1.6260162601626084E-2</v>
      </c>
      <c r="E24" s="62">
        <f t="shared" ca="1" si="6"/>
        <v>66.600000000000009</v>
      </c>
      <c r="F24" s="62">
        <f t="shared" ca="1" si="7"/>
        <v>66.7</v>
      </c>
      <c r="G24" s="62">
        <f ca="1">IF(OR(E24="",F24=""),"",$K$2*E24+$K$3*F24)</f>
        <v>66.64</v>
      </c>
      <c r="H24" s="61" t="str">
        <f ca="1">IF(G24="","",IF(G24&lt;=25,"Low",IF(G24&lt;=50,"Moderate",IF(G24&lt;=75,"Elevated","High"))))</f>
        <v>Elevated</v>
      </c>
    </row>
    <row r="25" spans="1:8">
      <c r="A25" s="60" t="s">
        <v>27</v>
      </c>
      <c r="B25" s="60" t="s">
        <v>23</v>
      </c>
      <c r="C25" s="59">
        <f ca="1">Report!$C$25</f>
        <v>38.715200000000003</v>
      </c>
      <c r="D25" s="58">
        <f ca="1">Report!$I$25</f>
        <v>3.3712984054669701E-2</v>
      </c>
      <c r="E25" s="62">
        <f t="shared" ca="1" si="6"/>
        <v>33.300000000000004</v>
      </c>
      <c r="F25" s="62">
        <f t="shared" ca="1" si="7"/>
        <v>0</v>
      </c>
      <c r="G25" s="62">
        <f ca="1">IF(OR(E25="",F25=""),"",$K$2*E25+$K$3*F25)</f>
        <v>19.98</v>
      </c>
      <c r="H25" s="61" t="str">
        <f ca="1">IF(G25="","",IF(G25&lt;=25,"Low",IF(G25&lt;=50,"Moderate",IF(G25&lt;=75,"Elevated","High"))))</f>
        <v>Low</v>
      </c>
    </row>
    <row r="26" spans="1:8" ht="14.65" customHeight="1">
      <c r="A26" s="77" t="s">
        <v>28</v>
      </c>
      <c r="B26" s="77"/>
      <c r="C26" s="78"/>
      <c r="D26" s="79"/>
      <c r="E26" s="78"/>
      <c r="F26" s="78"/>
      <c r="G26" s="78"/>
      <c r="H26" s="77"/>
    </row>
    <row r="27" spans="1:8">
      <c r="A27" s="60" t="s">
        <v>29</v>
      </c>
      <c r="B27" s="60" t="s">
        <v>28</v>
      </c>
      <c r="C27" s="59">
        <f ca="1">Report!$C$27</f>
        <v>43.9619</v>
      </c>
      <c r="D27" s="58">
        <f ca="1">Report!$I$27</f>
        <v>7.4723944940251058E-2</v>
      </c>
      <c r="E27" s="62">
        <f ca="1">_xlfn.PERCENTRANK.INC($C$27:$C$28,C27)*100</f>
        <v>100</v>
      </c>
      <c r="F27" s="62">
        <f ca="1">(1-_xlfn.PERCENTRANK.INC($D$27:$D$28,D27))*100</f>
        <v>100</v>
      </c>
      <c r="G27" s="62">
        <f ca="1">IF(OR(E27="",F27=""),"",$K$2*E27+$K$3*F27)</f>
        <v>100</v>
      </c>
      <c r="H27" s="61" t="str">
        <f ca="1">IF(G27="","",IF(G27&lt;=25,"Low",IF(G27&lt;=50,"Moderate",IF(G27&lt;=75,"Elevated","High"))))</f>
        <v>High</v>
      </c>
    </row>
    <row r="28" spans="1:8">
      <c r="A28" s="60" t="s">
        <v>30</v>
      </c>
      <c r="B28" s="60" t="s">
        <v>28</v>
      </c>
      <c r="C28" s="59">
        <f ca="1">Report!$C$28</f>
        <v>33.049999999999997</v>
      </c>
      <c r="D28" s="58">
        <f ca="1">Report!$I$28</f>
        <v>8.0910240202275677E-2</v>
      </c>
      <c r="E28" s="62">
        <f ca="1">_xlfn.PERCENTRANK.INC($C$27:$C$28,C28)*100</f>
        <v>0</v>
      </c>
      <c r="F28" s="62">
        <f ca="1">(1-_xlfn.PERCENTRANK.INC($D$27:$D$28,D28))*100</f>
        <v>0</v>
      </c>
      <c r="G28" s="62">
        <f ca="1">IF(OR(E28="",F28=""),"",$K$2*E28+$K$3*F28)</f>
        <v>0</v>
      </c>
      <c r="H28" s="61" t="str">
        <f ca="1">IF(G28="","",IF(G28&lt;=25,"Low",IF(G28&lt;=50,"Moderate",IF(G28&lt;=75,"Elevated","High"))))</f>
        <v>Low</v>
      </c>
    </row>
    <row r="29" spans="1:8" ht="14.65" customHeight="1">
      <c r="A29" s="77" t="s">
        <v>31</v>
      </c>
      <c r="B29" s="77"/>
      <c r="C29" s="78"/>
      <c r="D29" s="79"/>
      <c r="E29" s="78"/>
      <c r="F29" s="78"/>
      <c r="G29" s="78"/>
      <c r="H29" s="77"/>
    </row>
    <row r="30" spans="1:8">
      <c r="A30" s="60" t="s">
        <v>32</v>
      </c>
      <c r="B30" s="60" t="s">
        <v>31</v>
      </c>
      <c r="C30" s="59">
        <f ca="1">Report!$C$30</f>
        <v>23.078700000000001</v>
      </c>
      <c r="D30" s="58">
        <f ca="1">Report!$I$30</f>
        <v>6.2111801242236333E-3</v>
      </c>
      <c r="E30" s="62" t="str">
        <f ca="1">IF(OR(C30="",COUNTIFS($B$8:$B$44,B30,$C$8:$C$44,"&lt;&gt;")&lt;2),"",100*(COUNTIFS($B$8:$B$44,B30,$C$8:$C$44,"&lt;"&amp;C30)+0.5*(COUNTIFS($B$8:$B$44,B30,$C$8:$C$44,"="&amp;C30)-1))/(COUNTIFS($B$8:$B$44,B30,$C$8:$C$44,"&lt;&gt;")-1))</f>
        <v/>
      </c>
      <c r="F30" s="62" t="str">
        <f ca="1">IF(OR(D30="",COUNTIFS($B$8:$B$44,B30,$D$8:$D$44,"&lt;&gt;")&lt;2),"",100*(COUNTIFS($B$8:$B$44,B30,$D$8:$D$44,"&gt;"&amp;D30)+0.5*(COUNTIFS($B$8:$B$44,B30,$D$8:$D$44,"="&amp;D30)-1))/(COUNTIFS($B$8:$B$44,B30,$D$8:$D$44,"&lt;&gt;")-1))</f>
        <v/>
      </c>
      <c r="G30" s="62" t="str">
        <f ca="1">IF(OR(E30="",F30=""),"",$K$2*E30+$K$3*F30)</f>
        <v/>
      </c>
      <c r="H30" s="61" t="str">
        <f ca="1">IF(G30="","",IF(G30&lt;=25,"Low",IF(G30&lt;=50,"Moderate",IF(G30&lt;=75,"Elevated","High"))))</f>
        <v/>
      </c>
    </row>
    <row r="31" spans="1:8" ht="14.65" customHeight="1">
      <c r="A31" s="77" t="s">
        <v>33</v>
      </c>
      <c r="B31" s="77"/>
      <c r="C31" s="78"/>
      <c r="D31" s="79"/>
      <c r="E31" s="78"/>
      <c r="F31" s="78"/>
      <c r="G31" s="78"/>
      <c r="H31" s="77"/>
    </row>
    <row r="32" spans="1:8">
      <c r="A32" s="60" t="s">
        <v>35</v>
      </c>
      <c r="B32" s="60" t="s">
        <v>33</v>
      </c>
      <c r="C32" s="59">
        <f ca="1">Report!$C$32</f>
        <v>39.399700000000003</v>
      </c>
      <c r="D32" s="58">
        <f ca="1">Report!$I$32</f>
        <v>6.607296753806377E-2</v>
      </c>
      <c r="E32" s="62">
        <f ca="1">_xlfn.PERCENTRANK.INC($C$32:$C$36,C32)*100</f>
        <v>0</v>
      </c>
      <c r="F32" s="62">
        <f ca="1">(1-_xlfn.PERCENTRANK.INC($D$32:$D$36,D32))*100</f>
        <v>50</v>
      </c>
      <c r="G32" s="62">
        <f ca="1">IF(OR(E32="",F32=""),"",$K$2*E32+$K$3*F32)</f>
        <v>20</v>
      </c>
      <c r="H32" s="61" t="str">
        <f ca="1">IF(G32="","",IF(G32&lt;=25,"Low",IF(G32&lt;=50,"Moderate",IF(G32&lt;=75,"Elevated","High"))))</f>
        <v>Low</v>
      </c>
    </row>
    <row r="33" spans="1:8">
      <c r="A33" s="60" t="s">
        <v>36</v>
      </c>
      <c r="B33" s="60" t="s">
        <v>33</v>
      </c>
      <c r="C33" s="59">
        <f ca="1">Report!$C$33</f>
        <v>40.6417</v>
      </c>
      <c r="D33" s="58">
        <f ca="1">Report!$I$33</f>
        <v>5.8091915668132869E-2</v>
      </c>
      <c r="E33" s="62">
        <f t="shared" ref="E33:E36" ca="1" si="8">_xlfn.PERCENTRANK.INC($C$32:$C$36,C33)*100</f>
        <v>25</v>
      </c>
      <c r="F33" s="62">
        <f t="shared" ref="F33:F36" ca="1" si="9">(1-_xlfn.PERCENTRANK.INC($D$32:$D$36,D33))*100</f>
        <v>75</v>
      </c>
      <c r="G33" s="62">
        <f ca="1">IF(OR(E33="",F33=""),"",$K$2*E33+$K$3*F33)</f>
        <v>45</v>
      </c>
      <c r="H33" s="61" t="str">
        <f ca="1">IF(G33="","",IF(G33&lt;=25,"Low",IF(G33&lt;=50,"Moderate",IF(G33&lt;=75,"Elevated","High"))))</f>
        <v>Moderate</v>
      </c>
    </row>
    <row r="34" spans="1:8">
      <c r="A34" s="60" t="s">
        <v>37</v>
      </c>
      <c r="B34" s="60" t="s">
        <v>33</v>
      </c>
      <c r="C34" s="59">
        <f ca="1">Report!$C$34</f>
        <v>54.065899999999999</v>
      </c>
      <c r="D34" s="58">
        <f ca="1">Report!$I$34</f>
        <v>7.4247656635421808E-2</v>
      </c>
      <c r="E34" s="62">
        <f t="shared" ca="1" si="8"/>
        <v>50</v>
      </c>
      <c r="F34" s="62">
        <f t="shared" ca="1" si="9"/>
        <v>25</v>
      </c>
      <c r="G34" s="62">
        <f ca="1">IF(OR(E34="",F34=""),"",$K$2*E34+$K$3*F34)</f>
        <v>40</v>
      </c>
      <c r="H34" s="61" t="str">
        <f ca="1">IF(G34="","",IF(G34&lt;=25,"Low",IF(G34&lt;=50,"Moderate",IF(G34&lt;=75,"Elevated","High"))))</f>
        <v>Moderate</v>
      </c>
    </row>
    <row r="35" spans="1:8">
      <c r="A35" s="60" t="s">
        <v>38</v>
      </c>
      <c r="B35" s="60" t="s">
        <v>33</v>
      </c>
      <c r="C35" s="59">
        <f ca="1">Report!$C$35</f>
        <v>62.069499999999998</v>
      </c>
      <c r="D35" s="58">
        <f ca="1">Report!$I$35</f>
        <v>4.4780296669465439E-2</v>
      </c>
      <c r="E35" s="62">
        <f t="shared" ca="1" si="8"/>
        <v>75</v>
      </c>
      <c r="F35" s="62">
        <f t="shared" ca="1" si="9"/>
        <v>100</v>
      </c>
      <c r="G35" s="62">
        <f ca="1">IF(OR(E35="",F35=""),"",$K$2*E35+$K$3*F35)</f>
        <v>85</v>
      </c>
      <c r="H35" s="61" t="str">
        <f ca="1">IF(G35="","",IF(G35&lt;=25,"Low",IF(G35&lt;=50,"Moderate",IF(G35&lt;=75,"Elevated","High"))))</f>
        <v>High</v>
      </c>
    </row>
    <row r="36" spans="1:8">
      <c r="A36" s="60" t="s">
        <v>39</v>
      </c>
      <c r="B36" s="60" t="s">
        <v>33</v>
      </c>
      <c r="C36" s="59">
        <f ca="1">Report!$C$36</f>
        <v>73.223600000000005</v>
      </c>
      <c r="D36" s="58">
        <f ca="1">Report!$I$36</f>
        <v>7.6023391812865493E-2</v>
      </c>
      <c r="E36" s="62">
        <f t="shared" ca="1" si="8"/>
        <v>100</v>
      </c>
      <c r="F36" s="62">
        <f t="shared" ca="1" si="9"/>
        <v>0</v>
      </c>
      <c r="G36" s="62">
        <f ca="1">IF(OR(E36="",F36=""),"",$K$2*E36+$K$3*F36)</f>
        <v>60</v>
      </c>
      <c r="H36" s="61" t="str">
        <f ca="1">IF(G36="","",IF(G36&lt;=25,"Low",IF(G36&lt;=50,"Moderate",IF(G36&lt;=75,"Elevated","High"))))</f>
        <v>Elevated</v>
      </c>
    </row>
    <row r="37" spans="1:8" ht="14.65" customHeight="1">
      <c r="A37" s="77" t="s">
        <v>40</v>
      </c>
      <c r="B37" s="77"/>
      <c r="C37" s="78"/>
      <c r="D37" s="79"/>
      <c r="E37" s="78"/>
      <c r="F37" s="78"/>
      <c r="G37" s="78"/>
      <c r="H37" s="77"/>
    </row>
    <row r="38" spans="1:8">
      <c r="A38" s="60" t="s">
        <v>42</v>
      </c>
      <c r="B38" s="60" t="s">
        <v>40</v>
      </c>
      <c r="C38" s="59">
        <f ca="1">Report!$C$38</f>
        <v>61.333300000000001</v>
      </c>
      <c r="D38" s="58">
        <f ca="1">Report!$I$38</f>
        <v>7.7811954443428366E-2</v>
      </c>
      <c r="E38" s="62">
        <f ca="1">_xlfn.PERCENTRANK.INC($C$38:$C$43,C38)*100</f>
        <v>100</v>
      </c>
      <c r="F38" s="62">
        <f ca="1">(1-_xlfn.PERCENTRANK.INC($D$38:$D$43,D38))*100</f>
        <v>0</v>
      </c>
      <c r="G38" s="62">
        <f t="shared" ref="G38:G44" ca="1" si="10">IF(OR(E38="",F38=""),"",$K$2*E38+$K$3*F38)</f>
        <v>60</v>
      </c>
      <c r="H38" s="61" t="str">
        <f t="shared" ref="H38:H44" ca="1" si="11">IF(G38="","",IF(G38&lt;=25,"Low",IF(G38&lt;=50,"Moderate",IF(G38&lt;=75,"Elevated","High"))))</f>
        <v>Elevated</v>
      </c>
    </row>
    <row r="39" spans="1:8">
      <c r="A39" s="60" t="s">
        <v>43</v>
      </c>
      <c r="B39" s="60" t="s">
        <v>40</v>
      </c>
      <c r="C39" s="59">
        <f ca="1">Report!$C$39</f>
        <v>54.810600000000001</v>
      </c>
      <c r="D39" s="58">
        <f ca="1">Report!$I$39</f>
        <v>1.730712819008505E-2</v>
      </c>
      <c r="E39" s="62">
        <f t="shared" ref="E39:E43" ca="1" si="12">_xlfn.PERCENTRANK.INC($C$38:$C$43,C39)*100</f>
        <v>0</v>
      </c>
      <c r="F39" s="62">
        <f t="shared" ref="F39:F42" ca="1" si="13">(1-_xlfn.PERCENTRANK.INC($D$38:$D$43,D39))*100</f>
        <v>80</v>
      </c>
      <c r="G39" s="62">
        <f t="shared" ca="1" si="10"/>
        <v>32</v>
      </c>
      <c r="H39" s="61" t="str">
        <f t="shared" ca="1" si="11"/>
        <v>Moderate</v>
      </c>
    </row>
    <row r="40" spans="1:8">
      <c r="A40" s="60" t="s">
        <v>44</v>
      </c>
      <c r="B40" s="60" t="s">
        <v>40</v>
      </c>
      <c r="C40" s="59">
        <f ca="1">Report!$C$40</f>
        <v>59.8992</v>
      </c>
      <c r="D40" s="58">
        <f ca="1">Report!$I$40</f>
        <v>2.1913851563481159E-2</v>
      </c>
      <c r="E40" s="62">
        <f t="shared" ca="1" si="12"/>
        <v>60</v>
      </c>
      <c r="F40" s="62">
        <f t="shared" ca="1" si="13"/>
        <v>60</v>
      </c>
      <c r="G40" s="57">
        <f t="shared" ca="1" si="10"/>
        <v>60</v>
      </c>
      <c r="H40" s="56" t="str">
        <f t="shared" ca="1" si="11"/>
        <v>Elevated</v>
      </c>
    </row>
    <row r="41" spans="1:8">
      <c r="A41" s="60" t="s">
        <v>45</v>
      </c>
      <c r="B41" s="60" t="s">
        <v>40</v>
      </c>
      <c r="C41" s="59">
        <f ca="1">Report!$C$41</f>
        <v>57.494999999999997</v>
      </c>
      <c r="D41" s="58">
        <f ca="1">Report!$I$41</f>
        <v>4.2250030975096158E-2</v>
      </c>
      <c r="E41" s="62">
        <f t="shared" ca="1" si="12"/>
        <v>40</v>
      </c>
      <c r="F41" s="62">
        <f t="shared" ca="1" si="13"/>
        <v>19.999999999999996</v>
      </c>
      <c r="G41" s="57">
        <f t="shared" ca="1" si="10"/>
        <v>32</v>
      </c>
      <c r="H41" s="56" t="str">
        <f t="shared" ca="1" si="11"/>
        <v>Moderate</v>
      </c>
    </row>
    <row r="42" spans="1:8">
      <c r="A42" s="60" t="s">
        <v>46</v>
      </c>
      <c r="B42" s="60" t="s">
        <v>40</v>
      </c>
      <c r="C42" s="59">
        <f ca="1">Report!$C$42</f>
        <v>60.158299999999997</v>
      </c>
      <c r="D42" s="58">
        <f ca="1">Report!$I$42</f>
        <v>3.134951525015927E-2</v>
      </c>
      <c r="E42" s="62">
        <f t="shared" ca="1" si="12"/>
        <v>80</v>
      </c>
      <c r="F42" s="62">
        <f t="shared" ca="1" si="13"/>
        <v>40</v>
      </c>
      <c r="G42" s="57">
        <f t="shared" ca="1" si="10"/>
        <v>64</v>
      </c>
      <c r="H42" s="56" t="str">
        <f t="shared" ca="1" si="11"/>
        <v>Elevated</v>
      </c>
    </row>
    <row r="43" spans="1:8">
      <c r="A43" s="60" t="s">
        <v>47</v>
      </c>
      <c r="B43" s="60" t="s">
        <v>40</v>
      </c>
      <c r="C43" s="59">
        <f ca="1">Report!$C$43</f>
        <v>56.5289</v>
      </c>
      <c r="D43" s="58">
        <f ca="1">Report!$I$43</f>
        <v>3.915967935133117E-3</v>
      </c>
      <c r="E43" s="62">
        <f t="shared" ca="1" si="12"/>
        <v>20</v>
      </c>
      <c r="F43" s="57">
        <f t="shared" ref="F43" ca="1" si="14">IF(OR(D43="",COUNTIFS($B$8:$B$44,B43,$D$8:$D$44,"&lt;&gt;")&lt;2),"",100*(COUNTIFS($B$8:$B$44,B43,$D$8:$D$44,"&gt;"&amp;D43)+0.5*(COUNTIFS($B$8:$B$44,B43,$D$8:$D$44,"="&amp;D43)-1))/(COUNTIFS($B$8:$B$44,B43,$D$8:$D$44,"&lt;&gt;")-1))</f>
        <v>100</v>
      </c>
      <c r="G43" s="57">
        <f t="shared" ca="1" si="10"/>
        <v>52</v>
      </c>
      <c r="H43" s="56" t="str">
        <f t="shared" ca="1" si="11"/>
        <v>Elevated</v>
      </c>
    </row>
    <row r="44" spans="1:8">
      <c r="A44" s="60" t="s">
        <v>48</v>
      </c>
      <c r="B44" s="60" t="s">
        <v>40</v>
      </c>
      <c r="C44" s="59"/>
      <c r="D44" s="58"/>
      <c r="E44" s="57" t="str">
        <f t="shared" ref="E44" ca="1" si="15">IF(OR(C44="",COUNTIFS($B$8:$B$44,B44,$C$8:$C$44,"&lt;&gt;")&lt;2),"",100*(COUNTIFS($B$8:$B$44,B44,$C$8:$C$44,"&lt;"&amp;C44)+0.5*(COUNTIFS($B$8:$B$44,B44,$C$8:$C$44,"="&amp;C44)-1))/(COUNTIFS($B$8:$B$44,B44,$C$8:$C$44,"&lt;&gt;")-1))</f>
        <v/>
      </c>
      <c r="F44" s="57"/>
      <c r="G44" s="57" t="str">
        <f t="shared" ca="1" si="10"/>
        <v/>
      </c>
      <c r="H44" s="56" t="str">
        <f t="shared" ca="1" si="11"/>
        <v/>
      </c>
    </row>
  </sheetData>
  <mergeCells count="9">
    <mergeCell ref="A29:H29"/>
    <mergeCell ref="A31:H31"/>
    <mergeCell ref="A37:H37"/>
    <mergeCell ref="A1:H1"/>
    <mergeCell ref="J1:K1"/>
    <mergeCell ref="A15:H15"/>
    <mergeCell ref="A19:H19"/>
    <mergeCell ref="A21:H21"/>
    <mergeCell ref="A26:H26"/>
  </mergeCells>
  <conditionalFormatting sqref="G8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H39">
    <cfRule type="expression" dxfId="9" priority="2">
      <formula>H8="Low"</formula>
    </cfRule>
    <cfRule type="expression" dxfId="8" priority="3">
      <formula>H8="Moderate"</formula>
    </cfRule>
    <cfRule type="expression" dxfId="7" priority="4">
      <formula>H8="Elevated"</formula>
    </cfRule>
    <cfRule type="expression" dxfId="6" priority="5">
      <formula>H8="High"</formula>
    </cfRule>
  </conditionalFormatting>
  <conditionalFormatting sqref="H8:H44">
    <cfRule type="expression" dxfId="5" priority="7">
      <formula>H8="Low"</formula>
    </cfRule>
    <cfRule type="expression" dxfId="4" priority="8">
      <formula>H8="Moderate"</formula>
    </cfRule>
    <cfRule type="expression" dxfId="3" priority="9">
      <formula>H8="Elevated"</formula>
    </cfRule>
    <cfRule type="expression" dxfId="2" priority="10">
      <formula>H8="High"</formula>
    </cfRule>
  </conditionalFormatting>
  <dataValidations count="1">
    <dataValidation type="list" sqref="B8:B39" xr:uid="{00000000-0002-0000-0000-000000000000}">
      <formula1>"US,Canada,Europe,UK,Japan,Other"</formula1>
    </dataValidation>
  </dataValidations>
  <pageMargins left="0.7" right="0.7" top="0.75" bottom="0.75" header="0.3" footer="0.3"/>
  <headerFooter>
    <oddHeader>&amp;R&amp;"Aptos"&amp;10&amp;K000000 Category/Catégorie: Non-Sensitive/Non-Délicat&amp;1#_x000D_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6BCC-4358-41B8-AA3B-EAD66D71F3CC}">
  <dimension ref="A1:Z85"/>
  <sheetViews>
    <sheetView topLeftCell="A19" workbookViewId="0">
      <selection activeCell="B80" sqref="B80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6" t="s">
        <v>232</v>
      </c>
      <c r="B1" s="16" t="s">
        <v>231</v>
      </c>
    </row>
    <row r="2" spans="1:26">
      <c r="A2" s="16" t="s">
        <v>230</v>
      </c>
      <c r="C2" s="30">
        <f ca="1">TODAY()</f>
        <v>46272</v>
      </c>
      <c r="D2" s="30">
        <f ca="1">TODAY() - 1</f>
        <v>46271</v>
      </c>
      <c r="E2" s="30">
        <f ca="1">TODAY() - 2</f>
        <v>46270</v>
      </c>
      <c r="F2" s="30">
        <f ca="1">TODAY() - 3</f>
        <v>46269</v>
      </c>
      <c r="G2" s="30">
        <f ca="1">TODAY() - 4</f>
        <v>46268</v>
      </c>
      <c r="H2" s="30">
        <f ca="1">TODAY() - 5</f>
        <v>46267</v>
      </c>
      <c r="I2" s="30">
        <f ca="1">TODAY() - 6</f>
        <v>46266</v>
      </c>
      <c r="J2" s="30">
        <f ca="1">TODAY() - 7</f>
        <v>46265</v>
      </c>
      <c r="K2" s="30">
        <f ca="1">TODAY() - 8</f>
        <v>46264</v>
      </c>
      <c r="L2" s="30">
        <f ca="1">TODAY() - 9</f>
        <v>46263</v>
      </c>
      <c r="M2" s="30">
        <f ca="1">TODAY() - 10</f>
        <v>46262</v>
      </c>
      <c r="N2" s="30">
        <f ca="1">TODAY() - 11</f>
        <v>46261</v>
      </c>
      <c r="O2" s="30">
        <f ca="1">TODAY() - 12</f>
        <v>46260</v>
      </c>
      <c r="P2" s="30">
        <f ca="1">TODAY() - 13</f>
        <v>46259</v>
      </c>
      <c r="Q2" s="30">
        <f ca="1">TODAY() - 14</f>
        <v>46258</v>
      </c>
      <c r="R2" s="30">
        <f ca="1">EDATE(TODAY(), -3)</f>
        <v>46180</v>
      </c>
      <c r="S2" s="30">
        <f ca="1">EDATE(TODAY(), -12)</f>
        <v>45907</v>
      </c>
      <c r="T2" t="s">
        <v>229</v>
      </c>
      <c r="U2" t="s">
        <v>228</v>
      </c>
      <c r="V2" t="s">
        <v>227</v>
      </c>
      <c r="W2" t="s">
        <v>226</v>
      </c>
      <c r="X2" t="s">
        <v>225</v>
      </c>
      <c r="Y2" t="s">
        <v>224</v>
      </c>
    </row>
    <row r="3" spans="1:26">
      <c r="A3" t="s">
        <v>223</v>
      </c>
      <c r="B3" s="25" t="s">
        <v>222</v>
      </c>
      <c r="C3">
        <f ca="1">_xll.ciqfunctions.udf.CIQ($B3,"IQ_CDS_mid",C$2)</f>
        <v>114.7017</v>
      </c>
      <c r="D3">
        <f ca="1">_xll.ciqfunctions.udf.CIQ($B3,"IQ_CDS_mid",D$2)</f>
        <v>114.7017</v>
      </c>
      <c r="E3">
        <f ca="1">_xll.ciqfunctions.udf.CIQ($B3,"IQ_CDS_mid",E$2)</f>
        <v>114.7017</v>
      </c>
      <c r="F3">
        <f ca="1">_xll.ciqfunctions.udf.CIQ($B3,"IQ_CDS_mid",F$2)</f>
        <v>114.7017</v>
      </c>
      <c r="G3">
        <f ca="1">_xll.ciqfunctions.udf.CIQ($B3,"IQ_CDS_mid",G$2)</f>
        <v>115.4888</v>
      </c>
      <c r="H3">
        <f ca="1">_xll.ciqfunctions.udf.CIQ($B3,"IQ_CDS_mid",H$2)</f>
        <v>118.2302</v>
      </c>
      <c r="I3">
        <f ca="1">_xll.ciqfunctions.udf.CIQ($B3,"IQ_CDS_mid",I$2)</f>
        <v>120.9924</v>
      </c>
      <c r="J3">
        <f ca="1">_xll.ciqfunctions.udf.CIQ($B3,"IQ_CDS_mid",J$2)</f>
        <v>120.72199999999999</v>
      </c>
      <c r="K3">
        <f ca="1">_xll.ciqfunctions.udf.CIQ($B3,"IQ_CDS_mid",K$2)</f>
        <v>120.3986</v>
      </c>
      <c r="L3">
        <f ca="1">_xll.ciqfunctions.udf.CIQ($B3,"IQ_CDS_mid",L$2)</f>
        <v>120.3986</v>
      </c>
      <c r="M3">
        <f ca="1">_xll.ciqfunctions.udf.CIQ($B3,"IQ_CDS_mid",M$2)</f>
        <v>120.3986</v>
      </c>
      <c r="N3">
        <f ca="1">_xll.ciqfunctions.udf.CIQ($B3,"IQ_CDS_mid",N$2)</f>
        <v>118.7899</v>
      </c>
      <c r="O3">
        <f ca="1">_xll.ciqfunctions.udf.CIQ($B3,"IQ_CDS_mid",O$2)</f>
        <v>118.92440000000001</v>
      </c>
      <c r="P3">
        <f ca="1">_xll.ciqfunctions.udf.CIQ($B3,"IQ_CDS_mid",P$2)</f>
        <v>119.8075</v>
      </c>
      <c r="Q3">
        <f ca="1">_xll.ciqfunctions.udf.CIQ($B3,"IQ_CDS_mid",Q$2)</f>
        <v>122.8065</v>
      </c>
      <c r="R3">
        <f ca="1">_xll.ciqfunctions.udf.CIQ($B3,"IQ_CDS_mid",R$2)</f>
        <v>124.1611</v>
      </c>
      <c r="S3">
        <f ca="1">_xll.ciqfunctions.udf.CIQ($B3,"IQ_CDS_mid",S$2)</f>
        <v>136.49619999999999</v>
      </c>
      <c r="T3">
        <f ca="1">C3-H3</f>
        <v>-3.528499999999994</v>
      </c>
      <c r="U3">
        <f ca="1">C3-M3</f>
        <v>-5.6968999999999994</v>
      </c>
      <c r="V3">
        <f ca="1">C3-Q3</f>
        <v>-8.1047999999999973</v>
      </c>
      <c r="W3">
        <f ca="1">C3-R3</f>
        <v>-9.4594000000000023</v>
      </c>
      <c r="X3">
        <f t="shared" ref="X3:X40" ca="1" si="0">C3-S3</f>
        <v>-21.794499999999985</v>
      </c>
      <c r="Y3" t="s">
        <v>221</v>
      </c>
      <c r="Z3" t="s">
        <v>220</v>
      </c>
    </row>
    <row r="4" spans="1:26">
      <c r="A4" t="s">
        <v>40</v>
      </c>
      <c r="B4" s="25" t="s">
        <v>219</v>
      </c>
      <c r="C4">
        <f ca="1">_xll.ciqfunctions.udf.CIQ($B4,"IQ_CDS_mid",C$2)</f>
        <v>10.759</v>
      </c>
      <c r="D4">
        <f ca="1">_xll.ciqfunctions.udf.CIQ($B4,"IQ_CDS_mid",D$2)</f>
        <v>10.759</v>
      </c>
      <c r="E4">
        <f ca="1">_xll.ciqfunctions.udf.CIQ($B4,"IQ_CDS_mid",E$2)</f>
        <v>10.759</v>
      </c>
      <c r="F4">
        <f ca="1">_xll.ciqfunctions.udf.CIQ($B4,"IQ_CDS_mid",F$2)</f>
        <v>10.759</v>
      </c>
      <c r="G4">
        <f ca="1">_xll.ciqfunctions.udf.CIQ($B4,"IQ_CDS_mid",G$2)</f>
        <v>10.8386</v>
      </c>
      <c r="H4">
        <f ca="1">_xll.ciqfunctions.udf.CIQ($B4,"IQ_CDS_mid",H$2)</f>
        <v>10.8034</v>
      </c>
      <c r="I4">
        <f ca="1">_xll.ciqfunctions.udf.CIQ($B4,"IQ_CDS_mid",I$2)</f>
        <v>10.7296</v>
      </c>
      <c r="J4">
        <f ca="1">_xll.ciqfunctions.udf.CIQ($B4,"IQ_CDS_mid",J$2)</f>
        <v>10.7944</v>
      </c>
      <c r="K4">
        <f ca="1">_xll.ciqfunctions.udf.CIQ($B4,"IQ_CDS_mid",K$2)</f>
        <v>10.7416</v>
      </c>
      <c r="L4">
        <f ca="1">_xll.ciqfunctions.udf.CIQ($B4,"IQ_CDS_mid",L$2)</f>
        <v>10.7416</v>
      </c>
      <c r="M4">
        <f ca="1">_xll.ciqfunctions.udf.CIQ($B4,"IQ_CDS_mid",M$2)</f>
        <v>10.7416</v>
      </c>
      <c r="N4">
        <f ca="1">_xll.ciqfunctions.udf.CIQ($B4,"IQ_CDS_mid",N$2)</f>
        <v>10.844200000000001</v>
      </c>
      <c r="O4">
        <f ca="1">_xll.ciqfunctions.udf.CIQ($B4,"IQ_CDS_mid",O$2)</f>
        <v>10.8422</v>
      </c>
      <c r="P4">
        <f ca="1">_xll.ciqfunctions.udf.CIQ($B4,"IQ_CDS_mid",P$2)</f>
        <v>10.898899999999999</v>
      </c>
      <c r="Q4">
        <f ca="1">_xll.ciqfunctions.udf.CIQ($B4,"IQ_CDS_mid",Q$2)</f>
        <v>10.824</v>
      </c>
      <c r="R4">
        <f ca="1">_xll.ciqfunctions.udf.CIQ($B4,"IQ_CDS_mid",R$2)</f>
        <v>11.7668</v>
      </c>
      <c r="S4">
        <f ca="1">_xll.ciqfunctions.udf.CIQ($B4,"IQ_CDS_mid",S$2)</f>
        <v>15.7333</v>
      </c>
      <c r="T4">
        <f ca="1">C4-H4</f>
        <v>-4.4399999999999551E-2</v>
      </c>
      <c r="U4">
        <f ca="1">C4-M4</f>
        <v>1.7400000000000304E-2</v>
      </c>
      <c r="V4">
        <f ca="1">C4-Q4</f>
        <v>-6.4999999999999503E-2</v>
      </c>
      <c r="W4">
        <f ca="1">C4-R4</f>
        <v>-1.0077999999999996</v>
      </c>
      <c r="X4">
        <f t="shared" ca="1" si="0"/>
        <v>-4.9742999999999995</v>
      </c>
      <c r="Y4">
        <v>150</v>
      </c>
      <c r="Z4">
        <v>10</v>
      </c>
    </row>
    <row r="5" spans="1:26">
      <c r="A5" t="s">
        <v>218</v>
      </c>
      <c r="B5" s="25" t="s">
        <v>217</v>
      </c>
      <c r="C5">
        <f ca="1">_xll.ciqfunctions.udf.CIQ($B5,"IQ_CDS_mid",C$2)</f>
        <v>79.179299999999998</v>
      </c>
      <c r="D5">
        <f ca="1">_xll.ciqfunctions.udf.CIQ($B5,"IQ_CDS_mid",D$2)</f>
        <v>79.179299999999998</v>
      </c>
      <c r="E5">
        <f ca="1">_xll.ciqfunctions.udf.CIQ($B5,"IQ_CDS_mid",E$2)</f>
        <v>79.179299999999998</v>
      </c>
      <c r="F5">
        <f ca="1">_xll.ciqfunctions.udf.CIQ($B5,"IQ_CDS_mid",F$2)</f>
        <v>79.179299999999998</v>
      </c>
      <c r="G5">
        <f ca="1">_xll.ciqfunctions.udf.CIQ($B5,"IQ_CDS_mid",G$2)</f>
        <v>79.224299999999999</v>
      </c>
      <c r="H5">
        <f ca="1">_xll.ciqfunctions.udf.CIQ($B5,"IQ_CDS_mid",H$2)</f>
        <v>79.893600000000006</v>
      </c>
      <c r="I5">
        <f ca="1">_xll.ciqfunctions.udf.CIQ($B5,"IQ_CDS_mid",I$2)</f>
        <v>79.872799999999998</v>
      </c>
      <c r="J5">
        <f ca="1">_xll.ciqfunctions.udf.CIQ($B5,"IQ_CDS_mid",J$2)</f>
        <v>78.350200000000001</v>
      </c>
      <c r="K5">
        <f ca="1">_xll.ciqfunctions.udf.CIQ($B5,"IQ_CDS_mid",K$2)</f>
        <v>77.992000000000004</v>
      </c>
      <c r="L5">
        <f ca="1">_xll.ciqfunctions.udf.CIQ($B5,"IQ_CDS_mid",L$2)</f>
        <v>77.992000000000004</v>
      </c>
      <c r="M5">
        <f ca="1">_xll.ciqfunctions.udf.CIQ($B5,"IQ_CDS_mid",M$2)</f>
        <v>77.992000000000004</v>
      </c>
      <c r="N5">
        <f ca="1">_xll.ciqfunctions.udf.CIQ($B5,"IQ_CDS_mid",N$2)</f>
        <v>77.201599999999999</v>
      </c>
      <c r="O5">
        <f ca="1">_xll.ciqfunctions.udf.CIQ($B5,"IQ_CDS_mid",O$2)</f>
        <v>77.781999999999996</v>
      </c>
      <c r="P5">
        <f ca="1">_xll.ciqfunctions.udf.CIQ($B5,"IQ_CDS_mid",P$2)</f>
        <v>78.901600000000002</v>
      </c>
      <c r="Q5">
        <f ca="1">_xll.ciqfunctions.udf.CIQ($B5,"IQ_CDS_mid",Q$2)</f>
        <v>79.851699999999994</v>
      </c>
      <c r="R5">
        <f ca="1">_xll.ciqfunctions.udf.CIQ($B5,"IQ_CDS_mid",R$2)</f>
        <v>85.192899999999995</v>
      </c>
      <c r="S5">
        <f ca="1">_xll.ciqfunctions.udf.CIQ($B5,"IQ_CDS_mid",S$2)</f>
        <v>95.011099999999999</v>
      </c>
      <c r="T5">
        <f ca="1">C5-H5</f>
        <v>-0.71430000000000859</v>
      </c>
      <c r="U5">
        <f ca="1">C5-M5</f>
        <v>1.1872999999999934</v>
      </c>
      <c r="V5">
        <f ca="1">C5-Q5</f>
        <v>-0.67239999999999611</v>
      </c>
      <c r="W5">
        <f ca="1">C5-R5</f>
        <v>-6.0135999999999967</v>
      </c>
      <c r="X5">
        <f t="shared" ca="1" si="0"/>
        <v>-15.831800000000001</v>
      </c>
    </row>
    <row r="6" spans="1:26">
      <c r="A6" t="s">
        <v>216</v>
      </c>
      <c r="B6" s="25" t="s">
        <v>215</v>
      </c>
      <c r="C6">
        <f ca="1">_xll.ciqfunctions.udf.CIQ($B6,"IQ_CDS_mid",C$2)</f>
        <v>34.941400000000002</v>
      </c>
      <c r="D6">
        <f ca="1">_xll.ciqfunctions.udf.CIQ($B6,"IQ_CDS_mid",D$2)</f>
        <v>34.941400000000002</v>
      </c>
      <c r="E6">
        <f ca="1">_xll.ciqfunctions.udf.CIQ($B6,"IQ_CDS_mid",E$2)</f>
        <v>34.941400000000002</v>
      </c>
      <c r="F6">
        <f ca="1">_xll.ciqfunctions.udf.CIQ($B6,"IQ_CDS_mid",F$2)</f>
        <v>34.941400000000002</v>
      </c>
      <c r="G6">
        <f ca="1">_xll.ciqfunctions.udf.CIQ($B6,"IQ_CDS_mid",G$2)</f>
        <v>35.297499999999999</v>
      </c>
      <c r="H6">
        <f ca="1">_xll.ciqfunctions.udf.CIQ($B6,"IQ_CDS_mid",H$2)</f>
        <v>35.617100000000001</v>
      </c>
      <c r="I6">
        <f ca="1">_xll.ciqfunctions.udf.CIQ($B6,"IQ_CDS_mid",I$2)</f>
        <v>35.945700000000002</v>
      </c>
      <c r="J6">
        <f ca="1">_xll.ciqfunctions.udf.CIQ($B6,"IQ_CDS_mid",J$2)</f>
        <v>36.641199999999998</v>
      </c>
      <c r="K6">
        <f ca="1">_xll.ciqfunctions.udf.CIQ($B6,"IQ_CDS_mid",K$2)</f>
        <v>36.530900000000003</v>
      </c>
      <c r="L6">
        <f ca="1">_xll.ciqfunctions.udf.CIQ($B6,"IQ_CDS_mid",L$2)</f>
        <v>36.530900000000003</v>
      </c>
      <c r="M6">
        <f ca="1">_xll.ciqfunctions.udf.CIQ($B6,"IQ_CDS_mid",M$2)</f>
        <v>36.530900000000003</v>
      </c>
      <c r="N6">
        <f ca="1">_xll.ciqfunctions.udf.CIQ($B6,"IQ_CDS_mid",N$2)</f>
        <v>36.730699999999999</v>
      </c>
      <c r="O6">
        <f ca="1">_xll.ciqfunctions.udf.CIQ($B6,"IQ_CDS_mid",O$2)</f>
        <v>37.026000000000003</v>
      </c>
      <c r="P6">
        <f ca="1">_xll.ciqfunctions.udf.CIQ($B6,"IQ_CDS_mid",P$2)</f>
        <v>37.421799999999998</v>
      </c>
      <c r="Q6">
        <f ca="1">_xll.ciqfunctions.udf.CIQ($B6,"IQ_CDS_mid",Q$2)</f>
        <v>37.631500000000003</v>
      </c>
      <c r="R6">
        <f ca="1">_xll.ciqfunctions.udf.CIQ($B6,"IQ_CDS_mid",R$2)</f>
        <v>42.503500000000003</v>
      </c>
      <c r="S6">
        <f ca="1">_xll.ciqfunctions.udf.CIQ($B6,"IQ_CDS_mid",S$2)</f>
        <v>40</v>
      </c>
      <c r="T6">
        <f ca="1">C6-H6</f>
        <v>-0.67569999999999908</v>
      </c>
      <c r="U6">
        <f ca="1">C6-M6</f>
        <v>-1.589500000000001</v>
      </c>
      <c r="V6">
        <f ca="1">C6-Q6</f>
        <v>-2.690100000000001</v>
      </c>
      <c r="W6">
        <f ca="1">C6-R6</f>
        <v>-7.5621000000000009</v>
      </c>
      <c r="X6">
        <f t="shared" ca="1" si="0"/>
        <v>-5.0585999999999984</v>
      </c>
    </row>
    <row r="7" spans="1:26">
      <c r="A7" s="16" t="s">
        <v>214</v>
      </c>
      <c r="X7">
        <f t="shared" si="0"/>
        <v>0</v>
      </c>
    </row>
    <row r="8" spans="1:26">
      <c r="A8" t="s">
        <v>213</v>
      </c>
      <c r="B8" s="25" t="s">
        <v>212</v>
      </c>
      <c r="C8">
        <f ca="1">_xll.ciqfunctions.udf.CIQ($B8,"IQ_CDS_mid",C$2)</f>
        <v>11.168799999999999</v>
      </c>
      <c r="D8">
        <f ca="1">_xll.ciqfunctions.udf.CIQ($B8,"IQ_CDS_mid",D$2)</f>
        <v>11.168799999999999</v>
      </c>
      <c r="E8">
        <f ca="1">_xll.ciqfunctions.udf.CIQ($B8,"IQ_CDS_mid",E$2)</f>
        <v>11.168799999999999</v>
      </c>
      <c r="F8">
        <f ca="1">_xll.ciqfunctions.udf.CIQ($B8,"IQ_CDS_mid",F$2)</f>
        <v>11.168799999999999</v>
      </c>
      <c r="G8">
        <f ca="1">_xll.ciqfunctions.udf.CIQ($B8,"IQ_CDS_mid",G$2)</f>
        <v>11.1747</v>
      </c>
      <c r="H8">
        <f ca="1">_xll.ciqfunctions.udf.CIQ($B8,"IQ_CDS_mid",H$2)</f>
        <v>11.1958</v>
      </c>
      <c r="I8">
        <f ca="1">_xll.ciqfunctions.udf.CIQ($B8,"IQ_CDS_mid",I$2)</f>
        <v>11.1189</v>
      </c>
      <c r="J8">
        <f ca="1">_xll.ciqfunctions.udf.CIQ($B8,"IQ_CDS_mid",J$2)</f>
        <v>11.2257</v>
      </c>
      <c r="K8">
        <f ca="1">_xll.ciqfunctions.udf.CIQ($B8,"IQ_CDS_mid",K$2)</f>
        <v>11.153700000000001</v>
      </c>
      <c r="L8">
        <f ca="1">_xll.ciqfunctions.udf.CIQ($B8,"IQ_CDS_mid",L$2)</f>
        <v>11.153700000000001</v>
      </c>
      <c r="M8">
        <f ca="1">_xll.ciqfunctions.udf.CIQ($B8,"IQ_CDS_mid",M$2)</f>
        <v>11.153700000000001</v>
      </c>
      <c r="N8">
        <f ca="1">_xll.ciqfunctions.udf.CIQ($B8,"IQ_CDS_mid",N$2)</f>
        <v>11.1698</v>
      </c>
      <c r="O8">
        <f ca="1">_xll.ciqfunctions.udf.CIQ($B8,"IQ_CDS_mid",O$2)</f>
        <v>11.1541</v>
      </c>
      <c r="P8">
        <f ca="1">_xll.ciqfunctions.udf.CIQ($B8,"IQ_CDS_mid",P$2)</f>
        <v>11.155200000000001</v>
      </c>
      <c r="Q8">
        <f ca="1">_xll.ciqfunctions.udf.CIQ($B8,"IQ_CDS_mid",Q$2)</f>
        <v>11.018599999999999</v>
      </c>
      <c r="R8">
        <f ca="1">_xll.ciqfunctions.udf.CIQ($B8,"IQ_CDS_mid",R$2)</f>
        <v>11.3355</v>
      </c>
      <c r="S8">
        <f ca="1">_xll.ciqfunctions.udf.CIQ($B8,"IQ_CDS_mid",S$2)</f>
        <v>15.2788</v>
      </c>
      <c r="T8">
        <f t="shared" ref="T8:T20" ca="1" si="1">C8-H8</f>
        <v>-2.7000000000001023E-2</v>
      </c>
      <c r="U8">
        <f t="shared" ref="U8:U20" ca="1" si="2">C8-M8</f>
        <v>1.5099999999998559E-2</v>
      </c>
      <c r="V8">
        <f t="shared" ref="V8:V20" ca="1" si="3">C8-Q8</f>
        <v>0.15019999999999989</v>
      </c>
      <c r="W8">
        <f t="shared" ref="W8:W20" ca="1" si="4">C8-R8</f>
        <v>-0.16670000000000051</v>
      </c>
      <c r="X8">
        <f t="shared" ca="1" si="0"/>
        <v>-4.1100000000000012</v>
      </c>
    </row>
    <row r="9" spans="1:26">
      <c r="A9" t="s">
        <v>211</v>
      </c>
      <c r="B9" s="25" t="s">
        <v>210</v>
      </c>
      <c r="C9">
        <f ca="1">_xll.ciqfunctions.udf.CIQ($B9,"IQ_CDS_mid",C$2)</f>
        <v>17.375</v>
      </c>
      <c r="D9">
        <f ca="1">_xll.ciqfunctions.udf.CIQ($B9,"IQ_CDS_mid",D$2)</f>
        <v>17.375</v>
      </c>
      <c r="E9">
        <f ca="1">_xll.ciqfunctions.udf.CIQ($B9,"IQ_CDS_mid",E$2)</f>
        <v>17.375</v>
      </c>
      <c r="F9">
        <f ca="1">_xll.ciqfunctions.udf.CIQ($B9,"IQ_CDS_mid",F$2)</f>
        <v>17.375</v>
      </c>
      <c r="G9">
        <f ca="1">_xll.ciqfunctions.udf.CIQ($B9,"IQ_CDS_mid",G$2)</f>
        <v>17.5</v>
      </c>
      <c r="H9">
        <f ca="1">_xll.ciqfunctions.udf.CIQ($B9,"IQ_CDS_mid",H$2)</f>
        <v>17.5</v>
      </c>
      <c r="I9">
        <f ca="1">_xll.ciqfunctions.udf.CIQ($B9,"IQ_CDS_mid",I$2)</f>
        <v>17.5</v>
      </c>
      <c r="J9">
        <f ca="1">_xll.ciqfunctions.udf.CIQ($B9,"IQ_CDS_mid",J$2)</f>
        <v>17.4605</v>
      </c>
      <c r="K9">
        <f ca="1">_xll.ciqfunctions.udf.CIQ($B9,"IQ_CDS_mid",K$2)</f>
        <v>17.438800000000001</v>
      </c>
      <c r="L9">
        <f ca="1">_xll.ciqfunctions.udf.CIQ($B9,"IQ_CDS_mid",L$2)</f>
        <v>17.438800000000001</v>
      </c>
      <c r="M9">
        <f ca="1">_xll.ciqfunctions.udf.CIQ($B9,"IQ_CDS_mid",M$2)</f>
        <v>17.438800000000001</v>
      </c>
      <c r="N9">
        <f ca="1">_xll.ciqfunctions.udf.CIQ($B9,"IQ_CDS_mid",N$2)</f>
        <v>17.416699999999999</v>
      </c>
      <c r="O9">
        <f ca="1">_xll.ciqfunctions.udf.CIQ($B9,"IQ_CDS_mid",O$2)</f>
        <v>17.3125</v>
      </c>
      <c r="P9">
        <f ca="1">_xll.ciqfunctions.udf.CIQ($B9,"IQ_CDS_mid",P$2)</f>
        <v>17.427099999999999</v>
      </c>
      <c r="Q9">
        <f ca="1">_xll.ciqfunctions.udf.CIQ($B9,"IQ_CDS_mid",Q$2)</f>
        <v>17.25</v>
      </c>
      <c r="R9">
        <f ca="1">_xll.ciqfunctions.udf.CIQ($B9,"IQ_CDS_mid",R$2)</f>
        <v>17.75</v>
      </c>
      <c r="S9">
        <f ca="1">_xll.ciqfunctions.udf.CIQ($B9,"IQ_CDS_mid",S$2)</f>
        <v>22.5</v>
      </c>
      <c r="T9">
        <f t="shared" ca="1" si="1"/>
        <v>-0.125</v>
      </c>
      <c r="U9">
        <f t="shared" ca="1" si="2"/>
        <v>-6.3800000000000523E-2</v>
      </c>
      <c r="V9">
        <f t="shared" ca="1" si="3"/>
        <v>0.125</v>
      </c>
      <c r="W9">
        <f t="shared" ca="1" si="4"/>
        <v>-0.375</v>
      </c>
      <c r="X9">
        <f t="shared" ca="1" si="0"/>
        <v>-5.125</v>
      </c>
    </row>
    <row r="10" spans="1:26">
      <c r="A10" t="s">
        <v>209</v>
      </c>
      <c r="B10" s="25" t="s">
        <v>208</v>
      </c>
      <c r="C10">
        <f ca="1">_xll.ciqfunctions.udf.CIQ($B10,"IQ_CDS_mid",C$2)</f>
        <v>10.5</v>
      </c>
      <c r="D10">
        <f ca="1">_xll.ciqfunctions.udf.CIQ($B10,"IQ_CDS_mid",D$2)</f>
        <v>10.5</v>
      </c>
      <c r="E10">
        <f ca="1">_xll.ciqfunctions.udf.CIQ($B10,"IQ_CDS_mid",E$2)</f>
        <v>10.5</v>
      </c>
      <c r="F10">
        <f ca="1">_xll.ciqfunctions.udf.CIQ($B10,"IQ_CDS_mid",F$2)</f>
        <v>10.5</v>
      </c>
      <c r="G10">
        <f ca="1">_xll.ciqfunctions.udf.CIQ($B10,"IQ_CDS_mid",G$2)</f>
        <v>10.5</v>
      </c>
      <c r="H10">
        <f ca="1">_xll.ciqfunctions.udf.CIQ($B10,"IQ_CDS_mid",H$2)</f>
        <v>10.5</v>
      </c>
      <c r="I10">
        <f ca="1">_xll.ciqfunctions.udf.CIQ($B10,"IQ_CDS_mid",I$2)</f>
        <v>10.5</v>
      </c>
      <c r="J10">
        <f ca="1">_xll.ciqfunctions.udf.CIQ($B10,"IQ_CDS_mid",J$2)</f>
        <v>10.851800000000001</v>
      </c>
      <c r="K10">
        <f ca="1">_xll.ciqfunctions.udf.CIQ($B10,"IQ_CDS_mid",K$2)</f>
        <v>10.750400000000001</v>
      </c>
      <c r="L10">
        <f ca="1">_xll.ciqfunctions.udf.CIQ($B10,"IQ_CDS_mid",L$2)</f>
        <v>10.750400000000001</v>
      </c>
      <c r="M10">
        <f ca="1">_xll.ciqfunctions.udf.CIQ($B10,"IQ_CDS_mid",M$2)</f>
        <v>10.750400000000001</v>
      </c>
      <c r="N10">
        <f ca="1">_xll.ciqfunctions.udf.CIQ($B10,"IQ_CDS_mid",N$2)</f>
        <v>10.7524</v>
      </c>
      <c r="O10">
        <f ca="1">_xll.ciqfunctions.udf.CIQ($B10,"IQ_CDS_mid",O$2)</f>
        <v>10.8089</v>
      </c>
      <c r="P10">
        <f ca="1">_xll.ciqfunctions.udf.CIQ($B10,"IQ_CDS_mid",P$2)</f>
        <v>10.835000000000001</v>
      </c>
      <c r="Q10">
        <f ca="1">_xll.ciqfunctions.udf.CIQ($B10,"IQ_CDS_mid",Q$2)</f>
        <v>10.5</v>
      </c>
      <c r="R10">
        <f ca="1">_xll.ciqfunctions.udf.CIQ($B10,"IQ_CDS_mid",R$2)</f>
        <v>11.5</v>
      </c>
      <c r="S10">
        <f ca="1">_xll.ciqfunctions.udf.CIQ($B10,"IQ_CDS_mid",S$2)</f>
        <v>14.142099999999999</v>
      </c>
      <c r="T10">
        <f t="shared" ca="1" si="1"/>
        <v>0</v>
      </c>
      <c r="U10">
        <f t="shared" ca="1" si="2"/>
        <v>-0.25040000000000084</v>
      </c>
      <c r="V10">
        <f t="shared" ca="1" si="3"/>
        <v>0</v>
      </c>
      <c r="W10">
        <f t="shared" ca="1" si="4"/>
        <v>-1</v>
      </c>
      <c r="X10">
        <f t="shared" ca="1" si="0"/>
        <v>-3.6420999999999992</v>
      </c>
    </row>
    <row r="11" spans="1:26">
      <c r="A11" t="s">
        <v>17</v>
      </c>
      <c r="B11" s="25" t="s">
        <v>207</v>
      </c>
      <c r="C11">
        <f ca="1">_xll.ciqfunctions.udf.CIQ($B11,"IQ_CDS_mid",C$2)</f>
        <v>34.194099999999999</v>
      </c>
      <c r="D11">
        <f ca="1">_xll.ciqfunctions.udf.CIQ($B11,"IQ_CDS_mid",D$2)</f>
        <v>34.194099999999999</v>
      </c>
      <c r="E11">
        <f ca="1">_xll.ciqfunctions.udf.CIQ($B11,"IQ_CDS_mid",E$2)</f>
        <v>34.194099999999999</v>
      </c>
      <c r="F11">
        <f ca="1">_xll.ciqfunctions.udf.CIQ($B11,"IQ_CDS_mid",F$2)</f>
        <v>34.194099999999999</v>
      </c>
      <c r="G11">
        <f ca="1">_xll.ciqfunctions.udf.CIQ($B11,"IQ_CDS_mid",G$2)</f>
        <v>33.820900000000002</v>
      </c>
      <c r="H11">
        <f ca="1">_xll.ciqfunctions.udf.CIQ($B11,"IQ_CDS_mid",H$2)</f>
        <v>33.502099999999999</v>
      </c>
      <c r="I11">
        <f ca="1">_xll.ciqfunctions.udf.CIQ($B11,"IQ_CDS_mid",I$2)</f>
        <v>33</v>
      </c>
      <c r="J11">
        <f ca="1">_xll.ciqfunctions.udf.CIQ($B11,"IQ_CDS_mid",J$2)</f>
        <v>32.826900000000002</v>
      </c>
      <c r="K11">
        <f ca="1">_xll.ciqfunctions.udf.CIQ($B11,"IQ_CDS_mid",K$2)</f>
        <v>32.666699999999999</v>
      </c>
      <c r="L11">
        <f ca="1">_xll.ciqfunctions.udf.CIQ($B11,"IQ_CDS_mid",L$2)</f>
        <v>32.666699999999999</v>
      </c>
      <c r="M11">
        <f ca="1">_xll.ciqfunctions.udf.CIQ($B11,"IQ_CDS_mid",M$2)</f>
        <v>32.666699999999999</v>
      </c>
      <c r="N11">
        <f ca="1">_xll.ciqfunctions.udf.CIQ($B11,"IQ_CDS_mid",N$2)</f>
        <v>32.75</v>
      </c>
      <c r="O11">
        <f ca="1">_xll.ciqfunctions.udf.CIQ($B11,"IQ_CDS_mid",O$2)</f>
        <v>32.833300000000001</v>
      </c>
      <c r="P11">
        <f ca="1">_xll.ciqfunctions.udf.CIQ($B11,"IQ_CDS_mid",P$2)</f>
        <v>32.833300000000001</v>
      </c>
      <c r="Q11">
        <f ca="1">_xll.ciqfunctions.udf.CIQ($B11,"IQ_CDS_mid",Q$2)</f>
        <v>32.833300000000001</v>
      </c>
      <c r="R11">
        <f ca="1">_xll.ciqfunctions.udf.CIQ($B11,"IQ_CDS_mid",R$2)</f>
        <v>28.500800000000002</v>
      </c>
      <c r="S11">
        <f ca="1">_xll.ciqfunctions.udf.CIQ($B11,"IQ_CDS_mid",S$2)</f>
        <v>36.490299999999998</v>
      </c>
      <c r="T11">
        <f t="shared" ca="1" si="1"/>
        <v>0.69200000000000017</v>
      </c>
      <c r="U11">
        <f t="shared" ca="1" si="2"/>
        <v>1.5274000000000001</v>
      </c>
      <c r="V11">
        <f t="shared" ca="1" si="3"/>
        <v>1.3607999999999976</v>
      </c>
      <c r="W11">
        <f t="shared" ca="1" si="4"/>
        <v>5.6932999999999971</v>
      </c>
      <c r="X11">
        <f t="shared" ca="1" si="0"/>
        <v>-2.2961999999999989</v>
      </c>
    </row>
    <row r="12" spans="1:26">
      <c r="A12" t="s">
        <v>28</v>
      </c>
      <c r="B12" s="25" t="s">
        <v>206</v>
      </c>
      <c r="C12">
        <f ca="1">_xll.ciqfunctions.udf.CIQ($B12,"IQ_CDS_mid",C$2)</f>
        <v>6.75</v>
      </c>
      <c r="D12">
        <f ca="1">_xll.ciqfunctions.udf.CIQ($B12,"IQ_CDS_mid",D$2)</f>
        <v>6.75</v>
      </c>
      <c r="E12">
        <f ca="1">_xll.ciqfunctions.udf.CIQ($B12,"IQ_CDS_mid",E$2)</f>
        <v>6.75</v>
      </c>
      <c r="F12">
        <f ca="1">_xll.ciqfunctions.udf.CIQ($B12,"IQ_CDS_mid",F$2)</f>
        <v>6.75</v>
      </c>
      <c r="G12">
        <f ca="1">_xll.ciqfunctions.udf.CIQ($B12,"IQ_CDS_mid",G$2)</f>
        <v>6.5</v>
      </c>
      <c r="H12">
        <f ca="1">_xll.ciqfunctions.udf.CIQ($B12,"IQ_CDS_mid",H$2)</f>
        <v>7.125</v>
      </c>
      <c r="I12">
        <f ca="1">_xll.ciqfunctions.udf.CIQ($B12,"IQ_CDS_mid",I$2)</f>
        <v>7</v>
      </c>
      <c r="J12">
        <f ca="1">_xll.ciqfunctions.udf.CIQ($B12,"IQ_CDS_mid",J$2)</f>
        <v>7.4748999999999999</v>
      </c>
      <c r="K12">
        <f ca="1">_xll.ciqfunctions.udf.CIQ($B12,"IQ_CDS_mid",K$2)</f>
        <v>7.4962999999999997</v>
      </c>
      <c r="L12">
        <f ca="1">_xll.ciqfunctions.udf.CIQ($B12,"IQ_CDS_mid",L$2)</f>
        <v>7.4962999999999997</v>
      </c>
      <c r="M12">
        <f ca="1">_xll.ciqfunctions.udf.CIQ($B12,"IQ_CDS_mid",M$2)</f>
        <v>7.4962999999999997</v>
      </c>
      <c r="N12">
        <f ca="1">_xll.ciqfunctions.udf.CIQ($B12,"IQ_CDS_mid",N$2)</f>
        <v>7.4889000000000001</v>
      </c>
      <c r="O12">
        <f ca="1">_xll.ciqfunctions.udf.CIQ($B12,"IQ_CDS_mid",O$2)</f>
        <v>7.4759000000000002</v>
      </c>
      <c r="P12">
        <f ca="1">_xll.ciqfunctions.udf.CIQ($B12,"IQ_CDS_mid",P$2)</f>
        <v>7.4329000000000001</v>
      </c>
      <c r="Q12">
        <f ca="1">_xll.ciqfunctions.udf.CIQ($B12,"IQ_CDS_mid",Q$2)</f>
        <v>7.0937000000000001</v>
      </c>
      <c r="R12">
        <f ca="1">_xll.ciqfunctions.udf.CIQ($B12,"IQ_CDS_mid",R$2)</f>
        <v>7.7249999999999996</v>
      </c>
      <c r="S12">
        <f ca="1">_xll.ciqfunctions.udf.CIQ($B12,"IQ_CDS_mid",S$2)</f>
        <v>8.3026999999999997</v>
      </c>
      <c r="T12">
        <f t="shared" ca="1" si="1"/>
        <v>-0.375</v>
      </c>
      <c r="U12">
        <f t="shared" ca="1" si="2"/>
        <v>-0.74629999999999974</v>
      </c>
      <c r="V12">
        <f t="shared" ca="1" si="3"/>
        <v>-0.34370000000000012</v>
      </c>
      <c r="W12">
        <f t="shared" ca="1" si="4"/>
        <v>-0.97499999999999964</v>
      </c>
      <c r="X12">
        <f t="shared" ca="1" si="0"/>
        <v>-1.5526999999999997</v>
      </c>
    </row>
    <row r="13" spans="1:26">
      <c r="A13" t="s">
        <v>205</v>
      </c>
      <c r="B13" s="25" t="s">
        <v>204</v>
      </c>
      <c r="C13">
        <f ca="1">_xll.ciqfunctions.udf.CIQ($B13,"IQ_CDS_mid",C$2)</f>
        <v>29.05</v>
      </c>
      <c r="D13">
        <f ca="1">_xll.ciqfunctions.udf.CIQ($B13,"IQ_CDS_mid",D$2)</f>
        <v>29.05</v>
      </c>
      <c r="E13">
        <f ca="1">_xll.ciqfunctions.udf.CIQ($B13,"IQ_CDS_mid",E$2)</f>
        <v>29.05</v>
      </c>
      <c r="F13">
        <f ca="1">_xll.ciqfunctions.udf.CIQ($B13,"IQ_CDS_mid",F$2)</f>
        <v>29.05</v>
      </c>
      <c r="G13">
        <f ca="1">_xll.ciqfunctions.udf.CIQ($B13,"IQ_CDS_mid",G$2)</f>
        <v>28.880800000000001</v>
      </c>
      <c r="H13">
        <f ca="1">_xll.ciqfunctions.udf.CIQ($B13,"IQ_CDS_mid",H$2)</f>
        <v>29.1267</v>
      </c>
      <c r="I13">
        <f ca="1">_xll.ciqfunctions.udf.CIQ($B13,"IQ_CDS_mid",I$2)</f>
        <v>29.1875</v>
      </c>
      <c r="J13">
        <f ca="1">_xll.ciqfunctions.udf.CIQ($B13,"IQ_CDS_mid",J$2)</f>
        <v>29.0943</v>
      </c>
      <c r="K13">
        <f ca="1">_xll.ciqfunctions.udf.CIQ($B13,"IQ_CDS_mid",K$2)</f>
        <v>28.916699999999999</v>
      </c>
      <c r="L13">
        <f ca="1">_xll.ciqfunctions.udf.CIQ($B13,"IQ_CDS_mid",L$2)</f>
        <v>28.916699999999999</v>
      </c>
      <c r="M13">
        <f ca="1">_xll.ciqfunctions.udf.CIQ($B13,"IQ_CDS_mid",M$2)</f>
        <v>28.916699999999999</v>
      </c>
      <c r="N13">
        <f ca="1">_xll.ciqfunctions.udf.CIQ($B13,"IQ_CDS_mid",N$2)</f>
        <v>28.903700000000001</v>
      </c>
      <c r="O13">
        <f ca="1">_xll.ciqfunctions.udf.CIQ($B13,"IQ_CDS_mid",O$2)</f>
        <v>29.0045</v>
      </c>
      <c r="P13">
        <f ca="1">_xll.ciqfunctions.udf.CIQ($B13,"IQ_CDS_mid",P$2)</f>
        <v>29.166699999999999</v>
      </c>
      <c r="Q13">
        <f ca="1">_xll.ciqfunctions.udf.CIQ($B13,"IQ_CDS_mid",Q$2)</f>
        <v>29.583300000000001</v>
      </c>
      <c r="R13">
        <f ca="1">_xll.ciqfunctions.udf.CIQ($B13,"IQ_CDS_mid",R$2)</f>
        <v>28.2517</v>
      </c>
      <c r="S13">
        <f ca="1">_xll.ciqfunctions.udf.CIQ($B13,"IQ_CDS_mid",S$2)</f>
        <v>42.018099999999997</v>
      </c>
      <c r="T13">
        <f t="shared" ca="1" si="1"/>
        <v>-7.669999999999888E-2</v>
      </c>
      <c r="U13">
        <f t="shared" ca="1" si="2"/>
        <v>0.13330000000000197</v>
      </c>
      <c r="V13">
        <f t="shared" ca="1" si="3"/>
        <v>-0.53330000000000055</v>
      </c>
      <c r="W13">
        <f t="shared" ca="1" si="4"/>
        <v>0.79830000000000112</v>
      </c>
      <c r="X13">
        <f t="shared" ca="1" si="0"/>
        <v>-12.968099999999996</v>
      </c>
    </row>
    <row r="14" spans="1:26">
      <c r="A14" t="s">
        <v>203</v>
      </c>
      <c r="B14" s="25" t="s">
        <v>202</v>
      </c>
      <c r="C14">
        <f ca="1">_xll.ciqfunctions.udf.CIQ($B14,"IQ_CDS_mid",C$2)</f>
        <v>14</v>
      </c>
      <c r="D14">
        <f ca="1">_xll.ciqfunctions.udf.CIQ($B14,"IQ_CDS_mid",D$2)</f>
        <v>14</v>
      </c>
      <c r="E14">
        <f ca="1">_xll.ciqfunctions.udf.CIQ($B14,"IQ_CDS_mid",E$2)</f>
        <v>14</v>
      </c>
      <c r="F14">
        <f ca="1">_xll.ciqfunctions.udf.CIQ($B14,"IQ_CDS_mid",F$2)</f>
        <v>14</v>
      </c>
      <c r="G14">
        <f ca="1">_xll.ciqfunctions.udf.CIQ($B14,"IQ_CDS_mid",G$2)</f>
        <v>14.166700000000001</v>
      </c>
      <c r="H14">
        <f ca="1">_xll.ciqfunctions.udf.CIQ($B14,"IQ_CDS_mid",H$2)</f>
        <v>14.166700000000001</v>
      </c>
      <c r="I14">
        <f ca="1">_xll.ciqfunctions.udf.CIQ($B14,"IQ_CDS_mid",I$2)</f>
        <v>14.166700000000001</v>
      </c>
      <c r="J14">
        <f ca="1">_xll.ciqfunctions.udf.CIQ($B14,"IQ_CDS_mid",J$2)</f>
        <v>14.39</v>
      </c>
      <c r="K14">
        <f ca="1">_xll.ciqfunctions.udf.CIQ($B14,"IQ_CDS_mid",K$2)</f>
        <v>14.314</v>
      </c>
      <c r="L14">
        <f ca="1">_xll.ciqfunctions.udf.CIQ($B14,"IQ_CDS_mid",L$2)</f>
        <v>14.314</v>
      </c>
      <c r="M14">
        <f ca="1">_xll.ciqfunctions.udf.CIQ($B14,"IQ_CDS_mid",M$2)</f>
        <v>14.314</v>
      </c>
      <c r="N14">
        <f ca="1">_xll.ciqfunctions.udf.CIQ($B14,"IQ_CDS_mid",N$2)</f>
        <v>14.32</v>
      </c>
      <c r="O14">
        <f ca="1">_xll.ciqfunctions.udf.CIQ($B14,"IQ_CDS_mid",O$2)</f>
        <v>14.3543</v>
      </c>
      <c r="P14">
        <f ca="1">_xll.ciqfunctions.udf.CIQ($B14,"IQ_CDS_mid",P$2)</f>
        <v>14.349299999999999</v>
      </c>
      <c r="Q14">
        <f ca="1">_xll.ciqfunctions.udf.CIQ($B14,"IQ_CDS_mid",Q$2)</f>
        <v>14.25</v>
      </c>
      <c r="R14">
        <f ca="1">_xll.ciqfunctions.udf.CIQ($B14,"IQ_CDS_mid",R$2)</f>
        <v>13.75</v>
      </c>
      <c r="S14">
        <f ca="1">_xll.ciqfunctions.udf.CIQ($B14,"IQ_CDS_mid",S$2)</f>
        <v>17.375</v>
      </c>
      <c r="T14">
        <f t="shared" ca="1" si="1"/>
        <v>-0.16670000000000051</v>
      </c>
      <c r="U14">
        <f t="shared" ca="1" si="2"/>
        <v>-0.31400000000000006</v>
      </c>
      <c r="V14">
        <f t="shared" ca="1" si="3"/>
        <v>-0.25</v>
      </c>
      <c r="W14">
        <f t="shared" ca="1" si="4"/>
        <v>0.25</v>
      </c>
      <c r="X14">
        <f t="shared" ca="1" si="0"/>
        <v>-3.375</v>
      </c>
    </row>
    <row r="15" spans="1:26">
      <c r="A15" t="s">
        <v>201</v>
      </c>
      <c r="B15" s="25" t="s">
        <v>200</v>
      </c>
      <c r="C15">
        <f ca="1">_xll.ciqfunctions.udf.CIQ($B15,"IQ_CDS_mid",C$2)</f>
        <v>31.35</v>
      </c>
      <c r="D15">
        <f ca="1">_xll.ciqfunctions.udf.CIQ($B15,"IQ_CDS_mid",D$2)</f>
        <v>31.35</v>
      </c>
      <c r="E15">
        <f ca="1">_xll.ciqfunctions.udf.CIQ($B15,"IQ_CDS_mid",E$2)</f>
        <v>31.35</v>
      </c>
      <c r="F15">
        <f ca="1">_xll.ciqfunctions.udf.CIQ($B15,"IQ_CDS_mid",F$2)</f>
        <v>31.35</v>
      </c>
      <c r="G15">
        <f ca="1">_xll.ciqfunctions.udf.CIQ($B15,"IQ_CDS_mid",G$2)</f>
        <v>31.292300000000001</v>
      </c>
      <c r="H15">
        <f ca="1">_xll.ciqfunctions.udf.CIQ($B15,"IQ_CDS_mid",H$2)</f>
        <v>31.208300000000001</v>
      </c>
      <c r="I15">
        <f ca="1">_xll.ciqfunctions.udf.CIQ($B15,"IQ_CDS_mid",I$2)</f>
        <v>30.881599999999999</v>
      </c>
      <c r="J15">
        <f ca="1">_xll.ciqfunctions.udf.CIQ($B15,"IQ_CDS_mid",J$2)</f>
        <v>30.693999999999999</v>
      </c>
      <c r="K15">
        <f ca="1">_xll.ciqfunctions.udf.CIQ($B15,"IQ_CDS_mid",K$2)</f>
        <v>30.75</v>
      </c>
      <c r="L15">
        <f ca="1">_xll.ciqfunctions.udf.CIQ($B15,"IQ_CDS_mid",L$2)</f>
        <v>30.75</v>
      </c>
      <c r="M15">
        <f ca="1">_xll.ciqfunctions.udf.CIQ($B15,"IQ_CDS_mid",M$2)</f>
        <v>30.75</v>
      </c>
      <c r="N15">
        <f ca="1">_xll.ciqfunctions.udf.CIQ($B15,"IQ_CDS_mid",N$2)</f>
        <v>30.5</v>
      </c>
      <c r="O15">
        <f ca="1">_xll.ciqfunctions.udf.CIQ($B15,"IQ_CDS_mid",O$2)</f>
        <v>30.5625</v>
      </c>
      <c r="P15">
        <f ca="1">_xll.ciqfunctions.udf.CIQ($B15,"IQ_CDS_mid",P$2)</f>
        <v>30.625</v>
      </c>
      <c r="Q15">
        <f ca="1">_xll.ciqfunctions.udf.CIQ($B15,"IQ_CDS_mid",Q$2)</f>
        <v>30.625</v>
      </c>
      <c r="R15">
        <f ca="1">_xll.ciqfunctions.udf.CIQ($B15,"IQ_CDS_mid",R$2)</f>
        <v>29.166699999999999</v>
      </c>
      <c r="S15">
        <f ca="1">_xll.ciqfunctions.udf.CIQ($B15,"IQ_CDS_mid",S$2)</f>
        <v>39.655700000000003</v>
      </c>
      <c r="T15">
        <f t="shared" ca="1" si="1"/>
        <v>0.14170000000000016</v>
      </c>
      <c r="U15">
        <f t="shared" ca="1" si="2"/>
        <v>0.60000000000000142</v>
      </c>
      <c r="V15">
        <f t="shared" ca="1" si="3"/>
        <v>0.72500000000000142</v>
      </c>
      <c r="W15">
        <f t="shared" ca="1" si="4"/>
        <v>2.1833000000000027</v>
      </c>
      <c r="X15">
        <f t="shared" ca="1" si="0"/>
        <v>-8.3057000000000016</v>
      </c>
    </row>
    <row r="16" spans="1:26">
      <c r="A16" t="s">
        <v>199</v>
      </c>
      <c r="B16" s="25" t="s">
        <v>198</v>
      </c>
      <c r="C16">
        <f ca="1">_xll.ciqfunctions.udf.CIQ($B16,"IQ_CDS_mid",C$2)</f>
        <v>10.2447</v>
      </c>
      <c r="D16">
        <f ca="1">_xll.ciqfunctions.udf.CIQ($B16,"IQ_CDS_mid",D$2)</f>
        <v>10.2447</v>
      </c>
      <c r="E16">
        <f ca="1">_xll.ciqfunctions.udf.CIQ($B16,"IQ_CDS_mid",E$2)</f>
        <v>10.2447</v>
      </c>
      <c r="F16">
        <f ca="1">_xll.ciqfunctions.udf.CIQ($B16,"IQ_CDS_mid",F$2)</f>
        <v>10.2447</v>
      </c>
      <c r="G16">
        <f ca="1">_xll.ciqfunctions.udf.CIQ($B16,"IQ_CDS_mid",G$2)</f>
        <v>10.0207</v>
      </c>
      <c r="H16">
        <f ca="1">_xll.ciqfunctions.udf.CIQ($B16,"IQ_CDS_mid",H$2)</f>
        <v>10.011799999999999</v>
      </c>
      <c r="I16">
        <f ca="1">_xll.ciqfunctions.udf.CIQ($B16,"IQ_CDS_mid",I$2)</f>
        <v>9.6563999999999997</v>
      </c>
      <c r="J16">
        <f ca="1">_xll.ciqfunctions.udf.CIQ($B16,"IQ_CDS_mid",J$2)</f>
        <v>9.8163999999999998</v>
      </c>
      <c r="K16">
        <f ca="1">_xll.ciqfunctions.udf.CIQ($B16,"IQ_CDS_mid",K$2)</f>
        <v>9.8336000000000006</v>
      </c>
      <c r="L16">
        <f ca="1">_xll.ciqfunctions.udf.CIQ($B16,"IQ_CDS_mid",L$2)</f>
        <v>9.8336000000000006</v>
      </c>
      <c r="M16">
        <f ca="1">_xll.ciqfunctions.udf.CIQ($B16,"IQ_CDS_mid",M$2)</f>
        <v>9.8336000000000006</v>
      </c>
      <c r="N16">
        <f ca="1">_xll.ciqfunctions.udf.CIQ($B16,"IQ_CDS_mid",N$2)</f>
        <v>9.8987999999999996</v>
      </c>
      <c r="O16">
        <f ca="1">_xll.ciqfunctions.udf.CIQ($B16,"IQ_CDS_mid",O$2)</f>
        <v>10.0223</v>
      </c>
      <c r="P16">
        <f ca="1">_xll.ciqfunctions.udf.CIQ($B16,"IQ_CDS_mid",P$2)</f>
        <v>10.012</v>
      </c>
      <c r="Q16">
        <f ca="1">_xll.ciqfunctions.udf.CIQ($B16,"IQ_CDS_mid",Q$2)</f>
        <v>10.069800000000001</v>
      </c>
      <c r="R16">
        <f ca="1">_xll.ciqfunctions.udf.CIQ($B16,"IQ_CDS_mid",R$2)</f>
        <v>10.1264</v>
      </c>
      <c r="S16">
        <f ca="1">_xll.ciqfunctions.udf.CIQ($B16,"IQ_CDS_mid",S$2)</f>
        <v>12.602</v>
      </c>
      <c r="T16">
        <f t="shared" ca="1" si="1"/>
        <v>0.23290000000000077</v>
      </c>
      <c r="U16">
        <f t="shared" ca="1" si="2"/>
        <v>0.41109999999999935</v>
      </c>
      <c r="V16">
        <f t="shared" ca="1" si="3"/>
        <v>0.17489999999999917</v>
      </c>
      <c r="W16">
        <f t="shared" ca="1" si="4"/>
        <v>0.11829999999999963</v>
      </c>
      <c r="X16">
        <f t="shared" ca="1" si="0"/>
        <v>-2.3573000000000004</v>
      </c>
    </row>
    <row r="17" spans="1:24">
      <c r="A17" t="s">
        <v>197</v>
      </c>
      <c r="B17" s="25" t="s">
        <v>196</v>
      </c>
      <c r="C17">
        <f ca="1">_xll.ciqfunctions.udf.CIQ($B17,"IQ_CDS_mid",C$2)</f>
        <v>7.9290000000000003</v>
      </c>
      <c r="D17">
        <f ca="1">_xll.ciqfunctions.udf.CIQ($B17,"IQ_CDS_mid",D$2)</f>
        <v>7.9290000000000003</v>
      </c>
      <c r="E17">
        <f ca="1">_xll.ciqfunctions.udf.CIQ($B17,"IQ_CDS_mid",E$2)</f>
        <v>7.9290000000000003</v>
      </c>
      <c r="F17">
        <f ca="1">_xll.ciqfunctions.udf.CIQ($B17,"IQ_CDS_mid",F$2)</f>
        <v>7.9290000000000003</v>
      </c>
      <c r="G17">
        <f ca="1">_xll.ciqfunctions.udf.CIQ($B17,"IQ_CDS_mid",G$2)</f>
        <v>8</v>
      </c>
      <c r="H17">
        <f ca="1">_xll.ciqfunctions.udf.CIQ($B17,"IQ_CDS_mid",H$2)</f>
        <v>7.9169</v>
      </c>
      <c r="I17">
        <f ca="1">_xll.ciqfunctions.udf.CIQ($B17,"IQ_CDS_mid",I$2)</f>
        <v>7.8333000000000004</v>
      </c>
      <c r="J17">
        <f ca="1">_xll.ciqfunctions.udf.CIQ($B17,"IQ_CDS_mid",J$2)</f>
        <v>7.9157000000000002</v>
      </c>
      <c r="K17">
        <f ca="1">_xll.ciqfunctions.udf.CIQ($B17,"IQ_CDS_mid",K$2)</f>
        <v>7.8472999999999997</v>
      </c>
      <c r="L17">
        <f ca="1">_xll.ciqfunctions.udf.CIQ($B17,"IQ_CDS_mid",L$2)</f>
        <v>7.8472999999999997</v>
      </c>
      <c r="M17">
        <f ca="1">_xll.ciqfunctions.udf.CIQ($B17,"IQ_CDS_mid",M$2)</f>
        <v>7.8472999999999997</v>
      </c>
      <c r="N17">
        <f ca="1">_xll.ciqfunctions.udf.CIQ($B17,"IQ_CDS_mid",N$2)</f>
        <v>7.8456999999999999</v>
      </c>
      <c r="O17">
        <f ca="1">_xll.ciqfunctions.udf.CIQ($B17,"IQ_CDS_mid",O$2)</f>
        <v>7.8456000000000001</v>
      </c>
      <c r="P17">
        <f ca="1">_xll.ciqfunctions.udf.CIQ($B17,"IQ_CDS_mid",P$2)</f>
        <v>7.8240999999999996</v>
      </c>
      <c r="Q17">
        <f ca="1">_xll.ciqfunctions.udf.CIQ($B17,"IQ_CDS_mid",Q$2)</f>
        <v>7.75</v>
      </c>
      <c r="R17">
        <f ca="1">_xll.ciqfunctions.udf.CIQ($B17,"IQ_CDS_mid",R$2)</f>
        <v>7.8333000000000004</v>
      </c>
      <c r="S17">
        <f ca="1">_xll.ciqfunctions.udf.CIQ($B17,"IQ_CDS_mid",S$2)</f>
        <v>10.1275</v>
      </c>
      <c r="T17">
        <f t="shared" ca="1" si="1"/>
        <v>1.2100000000000222E-2</v>
      </c>
      <c r="U17">
        <f t="shared" ca="1" si="2"/>
        <v>8.170000000000055E-2</v>
      </c>
      <c r="V17">
        <f t="shared" ca="1" si="3"/>
        <v>0.17900000000000027</v>
      </c>
      <c r="W17">
        <f t="shared" ca="1" si="4"/>
        <v>9.5699999999999896E-2</v>
      </c>
      <c r="X17">
        <f t="shared" ca="1" si="0"/>
        <v>-2.1984999999999992</v>
      </c>
    </row>
    <row r="18" spans="1:24">
      <c r="A18" t="s">
        <v>195</v>
      </c>
      <c r="B18" s="25" t="s">
        <v>194</v>
      </c>
      <c r="C18">
        <f ca="1">_xll.ciqfunctions.udf.CIQ($B18,"IQ_CDS_mid",C$2)</f>
        <v>14.1563</v>
      </c>
      <c r="D18">
        <f ca="1">_xll.ciqfunctions.udf.CIQ($B18,"IQ_CDS_mid",D$2)</f>
        <v>14.1563</v>
      </c>
      <c r="E18">
        <f ca="1">_xll.ciqfunctions.udf.CIQ($B18,"IQ_CDS_mid",E$2)</f>
        <v>14.1563</v>
      </c>
      <c r="F18">
        <f ca="1">_xll.ciqfunctions.udf.CIQ($B18,"IQ_CDS_mid",F$2)</f>
        <v>14.1563</v>
      </c>
      <c r="G18">
        <f ca="1">_xll.ciqfunctions.udf.CIQ($B18,"IQ_CDS_mid",G$2)</f>
        <v>14.125</v>
      </c>
      <c r="H18">
        <f ca="1">_xll.ciqfunctions.udf.CIQ($B18,"IQ_CDS_mid",H$2)</f>
        <v>14.1021</v>
      </c>
      <c r="I18">
        <f ca="1">_xll.ciqfunctions.udf.CIQ($B18,"IQ_CDS_mid",I$2)</f>
        <v>14.208299999999999</v>
      </c>
      <c r="J18">
        <f ca="1">_xll.ciqfunctions.udf.CIQ($B18,"IQ_CDS_mid",J$2)</f>
        <v>13.133800000000001</v>
      </c>
      <c r="K18">
        <f ca="1">_xll.ciqfunctions.udf.CIQ($B18,"IQ_CDS_mid",K$2)</f>
        <v>14.041700000000001</v>
      </c>
      <c r="L18">
        <f ca="1">_xll.ciqfunctions.udf.CIQ($B18,"IQ_CDS_mid",L$2)</f>
        <v>14.041700000000001</v>
      </c>
      <c r="M18">
        <f ca="1">_xll.ciqfunctions.udf.CIQ($B18,"IQ_CDS_mid",M$2)</f>
        <v>14.041700000000001</v>
      </c>
      <c r="N18">
        <f ca="1">_xll.ciqfunctions.udf.CIQ($B18,"IQ_CDS_mid",N$2)</f>
        <v>14.083299999999999</v>
      </c>
      <c r="O18">
        <f ca="1">_xll.ciqfunctions.udf.CIQ($B18,"IQ_CDS_mid",O$2)</f>
        <v>14.0747</v>
      </c>
      <c r="P18">
        <f ca="1">_xll.ciqfunctions.udf.CIQ($B18,"IQ_CDS_mid",P$2)</f>
        <v>14.25</v>
      </c>
      <c r="Q18">
        <f ca="1">_xll.ciqfunctions.udf.CIQ($B18,"IQ_CDS_mid",Q$2)</f>
        <v>14.333299999999999</v>
      </c>
      <c r="R18">
        <f ca="1">_xll.ciqfunctions.udf.CIQ($B18,"IQ_CDS_mid",R$2)</f>
        <v>14.875</v>
      </c>
      <c r="S18">
        <f ca="1">_xll.ciqfunctions.udf.CIQ($B18,"IQ_CDS_mid",S$2)</f>
        <v>22.203199999999999</v>
      </c>
      <c r="T18">
        <f t="shared" ca="1" si="1"/>
        <v>5.4199999999999804E-2</v>
      </c>
      <c r="U18">
        <f t="shared" ca="1" si="2"/>
        <v>0.11459999999999937</v>
      </c>
      <c r="V18">
        <f t="shared" ca="1" si="3"/>
        <v>-0.1769999999999996</v>
      </c>
      <c r="W18">
        <f t="shared" ca="1" si="4"/>
        <v>-0.71870000000000012</v>
      </c>
      <c r="X18">
        <f t="shared" ca="1" si="0"/>
        <v>-8.0468999999999991</v>
      </c>
    </row>
    <row r="19" spans="1:24">
      <c r="A19" t="s">
        <v>193</v>
      </c>
      <c r="B19" s="25" t="s">
        <v>192</v>
      </c>
      <c r="C19">
        <f ca="1">_xll.ciqfunctions.udf.CIQ($B19,"IQ_CDS_mid",C$2)</f>
        <v>35.946800000000003</v>
      </c>
      <c r="D19">
        <f ca="1">_xll.ciqfunctions.udf.CIQ($B19,"IQ_CDS_mid",D$2)</f>
        <v>35.946800000000003</v>
      </c>
      <c r="E19">
        <f ca="1">_xll.ciqfunctions.udf.CIQ($B19,"IQ_CDS_mid",E$2)</f>
        <v>35.946800000000003</v>
      </c>
      <c r="F19">
        <f ca="1">_xll.ciqfunctions.udf.CIQ($B19,"IQ_CDS_mid",F$2)</f>
        <v>35.946800000000003</v>
      </c>
      <c r="G19">
        <f ca="1">_xll.ciqfunctions.udf.CIQ($B19,"IQ_CDS_mid",G$2)</f>
        <v>35.310400000000001</v>
      </c>
      <c r="H19">
        <f ca="1">_xll.ciqfunctions.udf.CIQ($B19,"IQ_CDS_mid",H$2)</f>
        <v>35.915700000000001</v>
      </c>
      <c r="I19">
        <f ca="1">_xll.ciqfunctions.udf.CIQ($B19,"IQ_CDS_mid",I$2)</f>
        <v>35.451799999999999</v>
      </c>
      <c r="J19">
        <f ca="1">_xll.ciqfunctions.udf.CIQ($B19,"IQ_CDS_mid",J$2)</f>
        <v>35.499699999999997</v>
      </c>
      <c r="K19">
        <f ca="1">_xll.ciqfunctions.udf.CIQ($B19,"IQ_CDS_mid",K$2)</f>
        <v>36.020600000000002</v>
      </c>
      <c r="L19">
        <f ca="1">_xll.ciqfunctions.udf.CIQ($B19,"IQ_CDS_mid",L$2)</f>
        <v>36.020600000000002</v>
      </c>
      <c r="M19">
        <f ca="1">_xll.ciqfunctions.udf.CIQ($B19,"IQ_CDS_mid",M$2)</f>
        <v>36.020600000000002</v>
      </c>
      <c r="N19">
        <f ca="1">_xll.ciqfunctions.udf.CIQ($B19,"IQ_CDS_mid",N$2)</f>
        <v>35.450200000000002</v>
      </c>
      <c r="O19">
        <f ca="1">_xll.ciqfunctions.udf.CIQ($B19,"IQ_CDS_mid",O$2)</f>
        <v>35.948599999999999</v>
      </c>
      <c r="P19">
        <f ca="1">_xll.ciqfunctions.udf.CIQ($B19,"IQ_CDS_mid",P$2)</f>
        <v>35.456000000000003</v>
      </c>
      <c r="Q19">
        <f ca="1">_xll.ciqfunctions.udf.CIQ($B19,"IQ_CDS_mid",Q$2)</f>
        <v>35.705599999999997</v>
      </c>
      <c r="R19">
        <f ca="1">_xll.ciqfunctions.udf.CIQ($B19,"IQ_CDS_mid",R$2)</f>
        <v>35.3538</v>
      </c>
      <c r="S19">
        <f ca="1">_xll.ciqfunctions.udf.CIQ($B19,"IQ_CDS_mid",S$2)</f>
        <v>33.209400000000002</v>
      </c>
      <c r="T19">
        <f t="shared" ca="1" si="1"/>
        <v>3.1100000000002126E-2</v>
      </c>
      <c r="U19">
        <f t="shared" ca="1" si="2"/>
        <v>-7.3799999999998533E-2</v>
      </c>
      <c r="V19">
        <f t="shared" ca="1" si="3"/>
        <v>0.2412000000000063</v>
      </c>
      <c r="W19">
        <f t="shared" ca="1" si="4"/>
        <v>0.59300000000000352</v>
      </c>
      <c r="X19">
        <f t="shared" ca="1" si="0"/>
        <v>2.7374000000000009</v>
      </c>
    </row>
    <row r="20" spans="1:24">
      <c r="A20" t="s">
        <v>191</v>
      </c>
      <c r="B20" s="25" t="s">
        <v>190</v>
      </c>
      <c r="C20">
        <f ca="1">_xll.ciqfunctions.udf.CIQ($B20,"IQ_CDS_mid",C$2)</f>
        <v>15.4375</v>
      </c>
      <c r="D20">
        <f ca="1">_xll.ciqfunctions.udf.CIQ($B20,"IQ_CDS_mid",D$2)</f>
        <v>15.4375</v>
      </c>
      <c r="E20">
        <f ca="1">_xll.ciqfunctions.udf.CIQ($B20,"IQ_CDS_mid",E$2)</f>
        <v>15.4375</v>
      </c>
      <c r="F20">
        <f ca="1">_xll.ciqfunctions.udf.CIQ($B20,"IQ_CDS_mid",F$2)</f>
        <v>15.4375</v>
      </c>
      <c r="G20">
        <f ca="1">_xll.ciqfunctions.udf.CIQ($B20,"IQ_CDS_mid",G$2)</f>
        <v>15.5</v>
      </c>
      <c r="H20">
        <f ca="1">_xll.ciqfunctions.udf.CIQ($B20,"IQ_CDS_mid",H$2)</f>
        <v>15.5625</v>
      </c>
      <c r="I20">
        <f ca="1">_xll.ciqfunctions.udf.CIQ($B20,"IQ_CDS_mid",I$2)</f>
        <v>15.5</v>
      </c>
      <c r="J20">
        <f ca="1">_xll.ciqfunctions.udf.CIQ($B20,"IQ_CDS_mid",J$2)</f>
        <v>15.6976</v>
      </c>
      <c r="K20">
        <f ca="1">_xll.ciqfunctions.udf.CIQ($B20,"IQ_CDS_mid",K$2)</f>
        <v>15.733700000000001</v>
      </c>
      <c r="L20">
        <f ca="1">_xll.ciqfunctions.udf.CIQ($B20,"IQ_CDS_mid",L$2)</f>
        <v>15.733700000000001</v>
      </c>
      <c r="M20">
        <f ca="1">_xll.ciqfunctions.udf.CIQ($B20,"IQ_CDS_mid",M$2)</f>
        <v>15.733700000000001</v>
      </c>
      <c r="N20">
        <f ca="1">_xll.ciqfunctions.udf.CIQ($B20,"IQ_CDS_mid",N$2)</f>
        <v>15.701000000000001</v>
      </c>
      <c r="O20">
        <f ca="1">_xll.ciqfunctions.udf.CIQ($B20,"IQ_CDS_mid",O$2)</f>
        <v>15.6073</v>
      </c>
      <c r="P20">
        <f ca="1">_xll.ciqfunctions.udf.CIQ($B20,"IQ_CDS_mid",P$2)</f>
        <v>15.589700000000001</v>
      </c>
      <c r="Q20">
        <f ca="1">_xll.ciqfunctions.udf.CIQ($B20,"IQ_CDS_mid",Q$2)</f>
        <v>15.291700000000001</v>
      </c>
      <c r="R20">
        <f ca="1">_xll.ciqfunctions.udf.CIQ($B20,"IQ_CDS_mid",R$2)</f>
        <v>15.833299999999999</v>
      </c>
      <c r="S20">
        <f ca="1">_xll.ciqfunctions.udf.CIQ($B20,"IQ_CDS_mid",S$2)</f>
        <v>26.223800000000001</v>
      </c>
      <c r="T20">
        <f t="shared" ca="1" si="1"/>
        <v>-0.125</v>
      </c>
      <c r="U20">
        <f t="shared" ca="1" si="2"/>
        <v>-0.29620000000000068</v>
      </c>
      <c r="V20">
        <f t="shared" ca="1" si="3"/>
        <v>0.14579999999999949</v>
      </c>
      <c r="W20">
        <f t="shared" ca="1" si="4"/>
        <v>-0.39579999999999949</v>
      </c>
      <c r="X20">
        <f t="shared" ca="1" si="0"/>
        <v>-10.786300000000001</v>
      </c>
    </row>
    <row r="21" spans="1:24">
      <c r="A21" s="16" t="s">
        <v>189</v>
      </c>
      <c r="X21">
        <f t="shared" si="0"/>
        <v>0</v>
      </c>
    </row>
    <row r="22" spans="1:24">
      <c r="A22" t="s">
        <v>188</v>
      </c>
      <c r="B22" s="25" t="s">
        <v>187</v>
      </c>
      <c r="C22">
        <f ca="1">_xll.ciqfunctions.udf.CIQ($B22,"IQ_CDS_mid",C$2)</f>
        <v>17.899999999999999</v>
      </c>
      <c r="D22">
        <f ca="1">_xll.ciqfunctions.udf.CIQ($B22,"IQ_CDS_mid",D$2)</f>
        <v>17.899999999999999</v>
      </c>
      <c r="E22">
        <f ca="1">_xll.ciqfunctions.udf.CIQ($B22,"IQ_CDS_mid",E$2)</f>
        <v>17.899999999999999</v>
      </c>
      <c r="F22">
        <f ca="1">_xll.ciqfunctions.udf.CIQ($B22,"IQ_CDS_mid",F$2)</f>
        <v>17.899999999999999</v>
      </c>
      <c r="G22">
        <f ca="1">_xll.ciqfunctions.udf.CIQ($B22,"IQ_CDS_mid",G$2)</f>
        <v>18</v>
      </c>
      <c r="H22">
        <f ca="1">_xll.ciqfunctions.udf.CIQ($B22,"IQ_CDS_mid",H$2)</f>
        <v>18</v>
      </c>
      <c r="I22">
        <f ca="1">_xll.ciqfunctions.udf.CIQ($B22,"IQ_CDS_mid",I$2)</f>
        <v>17.968800000000002</v>
      </c>
      <c r="J22">
        <f ca="1">_xll.ciqfunctions.udf.CIQ($B22,"IQ_CDS_mid",J$2)</f>
        <v>17.9575</v>
      </c>
      <c r="K22">
        <f ca="1">_xll.ciqfunctions.udf.CIQ($B22,"IQ_CDS_mid",K$2)</f>
        <v>18.042300000000001</v>
      </c>
      <c r="L22">
        <f ca="1">_xll.ciqfunctions.udf.CIQ($B22,"IQ_CDS_mid",L$2)</f>
        <v>18.042300000000001</v>
      </c>
      <c r="M22">
        <f ca="1">_xll.ciqfunctions.udf.CIQ($B22,"IQ_CDS_mid",M$2)</f>
        <v>18.042300000000001</v>
      </c>
      <c r="N22">
        <f ca="1">_xll.ciqfunctions.udf.CIQ($B22,"IQ_CDS_mid",N$2)</f>
        <v>18.036000000000001</v>
      </c>
      <c r="O22">
        <f ca="1">_xll.ciqfunctions.udf.CIQ($B22,"IQ_CDS_mid",O$2)</f>
        <v>18.25</v>
      </c>
      <c r="P22">
        <f ca="1">_xll.ciqfunctions.udf.CIQ($B22,"IQ_CDS_mid",P$2)</f>
        <v>17.927199999999999</v>
      </c>
      <c r="Q22">
        <f ca="1">_xll.ciqfunctions.udf.CIQ($B22,"IQ_CDS_mid",Q$2)</f>
        <v>17.666699999999999</v>
      </c>
      <c r="R22">
        <f ca="1">_xll.ciqfunctions.udf.CIQ($B22,"IQ_CDS_mid",R$2)</f>
        <v>18.916699999999999</v>
      </c>
      <c r="S22">
        <f ca="1">_xll.ciqfunctions.udf.CIQ($B22,"IQ_CDS_mid",S$2)</f>
        <v>19.079799999999999</v>
      </c>
      <c r="T22">
        <f t="shared" ref="T22:T29" ca="1" si="5">C22-H22</f>
        <v>-0.10000000000000142</v>
      </c>
      <c r="U22">
        <f t="shared" ref="U22:U29" ca="1" si="6">C22-M22</f>
        <v>-0.14230000000000231</v>
      </c>
      <c r="V22">
        <f t="shared" ref="V22:V29" ca="1" si="7">C22-Q22</f>
        <v>0.23329999999999984</v>
      </c>
      <c r="W22">
        <f t="shared" ref="W22:W29" ca="1" si="8">C22-R22</f>
        <v>-1.0167000000000002</v>
      </c>
      <c r="X22">
        <f t="shared" ca="1" si="0"/>
        <v>-1.1798000000000002</v>
      </c>
    </row>
    <row r="23" spans="1:24">
      <c r="A23" t="s">
        <v>186</v>
      </c>
      <c r="B23" s="25" t="s">
        <v>185</v>
      </c>
      <c r="C23">
        <f ca="1">_xll.ciqfunctions.udf.CIQ($B23,"IQ_CDS_mid",C$2)</f>
        <v>29.595099999999999</v>
      </c>
      <c r="D23">
        <f ca="1">_xll.ciqfunctions.udf.CIQ($B23,"IQ_CDS_mid",D$2)</f>
        <v>29.595099999999999</v>
      </c>
      <c r="E23">
        <f ca="1">_xll.ciqfunctions.udf.CIQ($B23,"IQ_CDS_mid",E$2)</f>
        <v>29.595099999999999</v>
      </c>
      <c r="F23">
        <f ca="1">_xll.ciqfunctions.udf.CIQ($B23,"IQ_CDS_mid",F$2)</f>
        <v>29.595099999999999</v>
      </c>
      <c r="G23">
        <f ca="1">_xll.ciqfunctions.udf.CIQ($B23,"IQ_CDS_mid",G$2)</f>
        <v>29.575199999999999</v>
      </c>
      <c r="H23">
        <f ca="1">_xll.ciqfunctions.udf.CIQ($B23,"IQ_CDS_mid",H$2)</f>
        <v>29.598400000000002</v>
      </c>
      <c r="I23">
        <f ca="1">_xll.ciqfunctions.udf.CIQ($B23,"IQ_CDS_mid",I$2)</f>
        <v>30</v>
      </c>
      <c r="J23">
        <f ca="1">_xll.ciqfunctions.udf.CIQ($B23,"IQ_CDS_mid",J$2)</f>
        <v>19.702400000000001</v>
      </c>
      <c r="K23">
        <f ca="1">_xll.ciqfunctions.udf.CIQ($B23,"IQ_CDS_mid",K$2)</f>
        <v>19.751999999999999</v>
      </c>
      <c r="L23">
        <f ca="1">_xll.ciqfunctions.udf.CIQ($B23,"IQ_CDS_mid",L$2)</f>
        <v>19.751999999999999</v>
      </c>
      <c r="M23">
        <f ca="1">_xll.ciqfunctions.udf.CIQ($B23,"IQ_CDS_mid",M$2)</f>
        <v>19.751999999999999</v>
      </c>
      <c r="N23">
        <f ca="1">_xll.ciqfunctions.udf.CIQ($B23,"IQ_CDS_mid",N$2)</f>
        <v>19.875800000000002</v>
      </c>
      <c r="O23">
        <f ca="1">_xll.ciqfunctions.udf.CIQ($B23,"IQ_CDS_mid",O$2)</f>
        <v>19.963899999999999</v>
      </c>
      <c r="P23">
        <f ca="1">_xll.ciqfunctions.udf.CIQ($B23,"IQ_CDS_mid",P$2)</f>
        <v>20.2012</v>
      </c>
      <c r="Q23">
        <f ca="1">_xll.ciqfunctions.udf.CIQ($B23,"IQ_CDS_mid",Q$2)</f>
        <v>20.4268</v>
      </c>
      <c r="R23">
        <f ca="1">_xll.ciqfunctions.udf.CIQ($B23,"IQ_CDS_mid",R$2)</f>
        <v>25.128</v>
      </c>
      <c r="S23">
        <f ca="1">_xll.ciqfunctions.udf.CIQ($B23,"IQ_CDS_mid",S$2)</f>
        <v>24.580200000000001</v>
      </c>
      <c r="T23">
        <f t="shared" ca="1" si="5"/>
        <v>-3.3000000000029672E-3</v>
      </c>
      <c r="U23">
        <f t="shared" ca="1" si="6"/>
        <v>9.8430999999999997</v>
      </c>
      <c r="V23">
        <f t="shared" ca="1" si="7"/>
        <v>9.1682999999999986</v>
      </c>
      <c r="W23">
        <f t="shared" ca="1" si="8"/>
        <v>4.4670999999999985</v>
      </c>
      <c r="X23">
        <f t="shared" ca="1" si="0"/>
        <v>5.0148999999999972</v>
      </c>
    </row>
    <row r="24" spans="1:24">
      <c r="A24" t="s">
        <v>31</v>
      </c>
      <c r="B24" s="25" t="s">
        <v>184</v>
      </c>
      <c r="C24">
        <f ca="1">_xll.ciqfunctions.udf.CIQ($B24,"IQ_CDS_mid",C$2)</f>
        <v>8.125</v>
      </c>
      <c r="D24">
        <f ca="1">_xll.ciqfunctions.udf.CIQ($B24,"IQ_CDS_mid",D$2)</f>
        <v>8.125</v>
      </c>
      <c r="E24">
        <f ca="1">_xll.ciqfunctions.udf.CIQ($B24,"IQ_CDS_mid",E$2)</f>
        <v>8.125</v>
      </c>
      <c r="F24">
        <f ca="1">_xll.ciqfunctions.udf.CIQ($B24,"IQ_CDS_mid",F$2)</f>
        <v>8.125</v>
      </c>
      <c r="G24">
        <f ca="1">_xll.ciqfunctions.udf.CIQ($B24,"IQ_CDS_mid",G$2)</f>
        <v>8.0091999999999999</v>
      </c>
      <c r="H24">
        <f ca="1">_xll.ciqfunctions.udf.CIQ($B24,"IQ_CDS_mid",H$2)</f>
        <v>7.9047999999999998</v>
      </c>
      <c r="I24">
        <f ca="1">_xll.ciqfunctions.udf.CIQ($B24,"IQ_CDS_mid",I$2)</f>
        <v>7.9177999999999997</v>
      </c>
      <c r="J24">
        <f ca="1">_xll.ciqfunctions.udf.CIQ($B24,"IQ_CDS_mid",J$2)</f>
        <v>8.0139999999999993</v>
      </c>
      <c r="K24">
        <f ca="1">_xll.ciqfunctions.udf.CIQ($B24,"IQ_CDS_mid",K$2)</f>
        <v>8.0053000000000001</v>
      </c>
      <c r="L24">
        <f ca="1">_xll.ciqfunctions.udf.CIQ($B24,"IQ_CDS_mid",L$2)</f>
        <v>8.0053000000000001</v>
      </c>
      <c r="M24">
        <f ca="1">_xll.ciqfunctions.udf.CIQ($B24,"IQ_CDS_mid",M$2)</f>
        <v>8.0053000000000001</v>
      </c>
      <c r="N24">
        <f ca="1">_xll.ciqfunctions.udf.CIQ($B24,"IQ_CDS_mid",N$2)</f>
        <v>8.0132999999999992</v>
      </c>
      <c r="O24">
        <f ca="1">_xll.ciqfunctions.udf.CIQ($B24,"IQ_CDS_mid",O$2)</f>
        <v>8.0173000000000005</v>
      </c>
      <c r="P24">
        <f ca="1">_xll.ciqfunctions.udf.CIQ($B24,"IQ_CDS_mid",P$2)</f>
        <v>8.0253999999999994</v>
      </c>
      <c r="Q24">
        <f ca="1">_xll.ciqfunctions.udf.CIQ($B24,"IQ_CDS_mid",Q$2)</f>
        <v>8.0221</v>
      </c>
      <c r="R24">
        <f ca="1">_xll.ciqfunctions.udf.CIQ($B24,"IQ_CDS_mid",R$2)</f>
        <v>8.5</v>
      </c>
      <c r="S24">
        <f ca="1">_xll.ciqfunctions.udf.CIQ($B24,"IQ_CDS_mid",S$2)</f>
        <v>9.41</v>
      </c>
      <c r="T24">
        <f t="shared" ca="1" si="5"/>
        <v>0.22020000000000017</v>
      </c>
      <c r="U24">
        <f t="shared" ca="1" si="6"/>
        <v>0.11969999999999992</v>
      </c>
      <c r="V24">
        <f t="shared" ca="1" si="7"/>
        <v>0.10289999999999999</v>
      </c>
      <c r="W24">
        <f t="shared" ca="1" si="8"/>
        <v>-0.375</v>
      </c>
      <c r="X24">
        <f t="shared" ca="1" si="0"/>
        <v>-1.2850000000000001</v>
      </c>
    </row>
    <row r="25" spans="1:24">
      <c r="A25" t="s">
        <v>183</v>
      </c>
      <c r="B25" s="25" t="s">
        <v>182</v>
      </c>
      <c r="C25">
        <f ca="1">_xll.ciqfunctions.udf.CIQ($B25,"IQ_CDS_mid",C$2)</f>
        <v>4.6558000000000002</v>
      </c>
      <c r="D25">
        <f ca="1">_xll.ciqfunctions.udf.CIQ($B25,"IQ_CDS_mid",D$2)</f>
        <v>4.6558000000000002</v>
      </c>
      <c r="E25">
        <f ca="1">_xll.ciqfunctions.udf.CIQ($B25,"IQ_CDS_mid",E$2)</f>
        <v>4.6558000000000002</v>
      </c>
      <c r="F25">
        <f ca="1">_xll.ciqfunctions.udf.CIQ($B25,"IQ_CDS_mid",F$2)</f>
        <v>4.6558000000000002</v>
      </c>
      <c r="G25">
        <f ca="1">_xll.ciqfunctions.udf.CIQ($B25,"IQ_CDS_mid",G$2)</f>
        <v>4.67</v>
      </c>
      <c r="H25">
        <f ca="1">_xll.ciqfunctions.udf.CIQ($B25,"IQ_CDS_mid",H$2)</f>
        <v>4.6374000000000004</v>
      </c>
      <c r="I25">
        <f ca="1">_xll.ciqfunctions.udf.CIQ($B25,"IQ_CDS_mid",I$2)</f>
        <v>4.6590999999999996</v>
      </c>
      <c r="J25">
        <f ca="1">_xll.ciqfunctions.udf.CIQ($B25,"IQ_CDS_mid",J$2)</f>
        <v>4.8375000000000004</v>
      </c>
      <c r="K25">
        <f ca="1">_xll.ciqfunctions.udf.CIQ($B25,"IQ_CDS_mid",K$2)</f>
        <v>4.8212000000000002</v>
      </c>
      <c r="L25">
        <f ca="1">_xll.ciqfunctions.udf.CIQ($B25,"IQ_CDS_mid",L$2)</f>
        <v>4.8212000000000002</v>
      </c>
      <c r="M25">
        <f ca="1">_xll.ciqfunctions.udf.CIQ($B25,"IQ_CDS_mid",M$2)</f>
        <v>4.8212000000000002</v>
      </c>
      <c r="N25">
        <f ca="1">_xll.ciqfunctions.udf.CIQ($B25,"IQ_CDS_mid",N$2)</f>
        <v>4.8167</v>
      </c>
      <c r="O25">
        <f ca="1">_xll.ciqfunctions.udf.CIQ($B25,"IQ_CDS_mid",O$2)</f>
        <v>4.8141999999999996</v>
      </c>
      <c r="P25">
        <f ca="1">_xll.ciqfunctions.udf.CIQ($B25,"IQ_CDS_mid",P$2)</f>
        <v>4.7453000000000003</v>
      </c>
      <c r="Q25">
        <f ca="1">_xll.ciqfunctions.udf.CIQ($B25,"IQ_CDS_mid",Q$2)</f>
        <v>4.5307000000000004</v>
      </c>
      <c r="R25">
        <f ca="1">_xll.ciqfunctions.udf.CIQ($B25,"IQ_CDS_mid",R$2)</f>
        <v>4.8570000000000002</v>
      </c>
      <c r="S25">
        <f ca="1">_xll.ciqfunctions.udf.CIQ($B25,"IQ_CDS_mid",S$2)</f>
        <v>7.7057000000000002</v>
      </c>
      <c r="T25">
        <f t="shared" ca="1" si="5"/>
        <v>1.839999999999975E-2</v>
      </c>
      <c r="U25">
        <f t="shared" ca="1" si="6"/>
        <v>-0.16539999999999999</v>
      </c>
      <c r="V25">
        <f t="shared" ca="1" si="7"/>
        <v>0.12509999999999977</v>
      </c>
      <c r="W25">
        <f t="shared" ca="1" si="8"/>
        <v>-0.20120000000000005</v>
      </c>
      <c r="X25">
        <f t="shared" ca="1" si="0"/>
        <v>-3.0499000000000001</v>
      </c>
    </row>
    <row r="26" spans="1:24">
      <c r="A26" t="s">
        <v>181</v>
      </c>
      <c r="B26" s="25" t="s">
        <v>180</v>
      </c>
      <c r="C26">
        <f ca="1">_xll.ciqfunctions.udf.CIQ($B26,"IQ_CDS_mid",C$2)</f>
        <v>50.789400000000001</v>
      </c>
      <c r="D26">
        <f ca="1">_xll.ciqfunctions.udf.CIQ($B26,"IQ_CDS_mid",D$2)</f>
        <v>50.789400000000001</v>
      </c>
      <c r="E26">
        <f ca="1">_xll.ciqfunctions.udf.CIQ($B26,"IQ_CDS_mid",E$2)</f>
        <v>50.789400000000001</v>
      </c>
      <c r="F26">
        <f ca="1">_xll.ciqfunctions.udf.CIQ($B26,"IQ_CDS_mid",F$2)</f>
        <v>50.789400000000001</v>
      </c>
      <c r="G26">
        <f ca="1">_xll.ciqfunctions.udf.CIQ($B26,"IQ_CDS_mid",G$2)</f>
        <v>50.417900000000003</v>
      </c>
      <c r="H26">
        <f ca="1">_xll.ciqfunctions.udf.CIQ($B26,"IQ_CDS_mid",H$2)</f>
        <v>50.444800000000001</v>
      </c>
      <c r="I26">
        <f ca="1">_xll.ciqfunctions.udf.CIQ($B26,"IQ_CDS_mid",I$2)</f>
        <v>50.25</v>
      </c>
      <c r="J26">
        <f ca="1">_xll.ciqfunctions.udf.CIQ($B26,"IQ_CDS_mid",J$2)</f>
        <v>49.7622</v>
      </c>
      <c r="K26">
        <f ca="1">_xll.ciqfunctions.udf.CIQ($B26,"IQ_CDS_mid",K$2)</f>
        <v>49.882100000000001</v>
      </c>
      <c r="L26">
        <f ca="1">_xll.ciqfunctions.udf.CIQ($B26,"IQ_CDS_mid",L$2)</f>
        <v>49.882100000000001</v>
      </c>
      <c r="M26">
        <f ca="1">_xll.ciqfunctions.udf.CIQ($B26,"IQ_CDS_mid",M$2)</f>
        <v>49.882100000000001</v>
      </c>
      <c r="N26">
        <f ca="1">_xll.ciqfunctions.udf.CIQ($B26,"IQ_CDS_mid",N$2)</f>
        <v>49.877699999999997</v>
      </c>
      <c r="O26">
        <f ca="1">_xll.ciqfunctions.udf.CIQ($B26,"IQ_CDS_mid",O$2)</f>
        <v>49.879600000000003</v>
      </c>
      <c r="P26">
        <f ca="1">_xll.ciqfunctions.udf.CIQ($B26,"IQ_CDS_mid",P$2)</f>
        <v>49.867400000000004</v>
      </c>
      <c r="Q26">
        <f ca="1">_xll.ciqfunctions.udf.CIQ($B26,"IQ_CDS_mid",Q$2)</f>
        <v>49.970300000000002</v>
      </c>
      <c r="R26">
        <f ca="1">_xll.ciqfunctions.udf.CIQ($B26,"IQ_CDS_mid",R$2)</f>
        <v>51.29</v>
      </c>
      <c r="S26">
        <f ca="1">_xll.ciqfunctions.udf.CIQ($B26,"IQ_CDS_mid",S$2)</f>
        <v>59.649000000000001</v>
      </c>
      <c r="T26">
        <f t="shared" ca="1" si="5"/>
        <v>0.3445999999999998</v>
      </c>
      <c r="U26">
        <f t="shared" ca="1" si="6"/>
        <v>0.90729999999999933</v>
      </c>
      <c r="V26">
        <f t="shared" ca="1" si="7"/>
        <v>0.81909999999999883</v>
      </c>
      <c r="W26">
        <f t="shared" ca="1" si="8"/>
        <v>-0.5005999999999986</v>
      </c>
      <c r="X26">
        <f t="shared" ca="1" si="0"/>
        <v>-8.8596000000000004</v>
      </c>
    </row>
    <row r="27" spans="1:24">
      <c r="A27" t="s">
        <v>179</v>
      </c>
      <c r="B27" s="25" t="s">
        <v>178</v>
      </c>
      <c r="C27">
        <f ca="1">_xll.ciqfunctions.udf.CIQ($B27,"IQ_CDS_mid",C$2)</f>
        <v>5.8817000000000004</v>
      </c>
      <c r="D27">
        <f ca="1">_xll.ciqfunctions.udf.CIQ($B27,"IQ_CDS_mid",D$2)</f>
        <v>5.8817000000000004</v>
      </c>
      <c r="E27">
        <f ca="1">_xll.ciqfunctions.udf.CIQ($B27,"IQ_CDS_mid",E$2)</f>
        <v>5.8817000000000004</v>
      </c>
      <c r="F27">
        <f ca="1">_xll.ciqfunctions.udf.CIQ($B27,"IQ_CDS_mid",F$2)</f>
        <v>5.8817000000000004</v>
      </c>
      <c r="G27">
        <f ca="1">_xll.ciqfunctions.udf.CIQ($B27,"IQ_CDS_mid",G$2)</f>
        <v>6.0545999999999998</v>
      </c>
      <c r="H27">
        <f ca="1">_xll.ciqfunctions.udf.CIQ($B27,"IQ_CDS_mid",H$2)</f>
        <v>5.7965</v>
      </c>
      <c r="I27">
        <f ca="1">_xll.ciqfunctions.udf.CIQ($B27,"IQ_CDS_mid",I$2)</f>
        <v>5.7370999999999999</v>
      </c>
      <c r="J27">
        <f ca="1">_xll.ciqfunctions.udf.CIQ($B27,"IQ_CDS_mid",J$2)</f>
        <v>5.4920999999999998</v>
      </c>
      <c r="K27">
        <f ca="1">_xll.ciqfunctions.udf.CIQ($B27,"IQ_CDS_mid",K$2)</f>
        <v>5.4888000000000003</v>
      </c>
      <c r="L27">
        <f ca="1">_xll.ciqfunctions.udf.CIQ($B27,"IQ_CDS_mid",L$2)</f>
        <v>5.4888000000000003</v>
      </c>
      <c r="M27">
        <f ca="1">_xll.ciqfunctions.udf.CIQ($B27,"IQ_CDS_mid",M$2)</f>
        <v>5.4888000000000003</v>
      </c>
      <c r="N27">
        <f ca="1">_xll.ciqfunctions.udf.CIQ($B27,"IQ_CDS_mid",N$2)</f>
        <v>5.5057999999999998</v>
      </c>
      <c r="O27">
        <f ca="1">_xll.ciqfunctions.udf.CIQ($B27,"IQ_CDS_mid",O$2)</f>
        <v>5.5206999999999997</v>
      </c>
      <c r="P27">
        <f ca="1">_xll.ciqfunctions.udf.CIQ($B27,"IQ_CDS_mid",P$2)</f>
        <v>5.5387000000000004</v>
      </c>
      <c r="Q27">
        <f ca="1">_xll.ciqfunctions.udf.CIQ($B27,"IQ_CDS_mid",Q$2)</f>
        <v>5.5678000000000001</v>
      </c>
      <c r="R27">
        <f ca="1">_xll.ciqfunctions.udf.CIQ($B27,"IQ_CDS_mid",R$2)</f>
        <v>7.8333000000000004</v>
      </c>
      <c r="S27">
        <f ca="1">_xll.ciqfunctions.udf.CIQ($B27,"IQ_CDS_mid",S$2)</f>
        <v>9.1667000000000005</v>
      </c>
      <c r="T27">
        <f t="shared" ca="1" si="5"/>
        <v>8.5200000000000387E-2</v>
      </c>
      <c r="U27">
        <f t="shared" ca="1" si="6"/>
        <v>0.39290000000000003</v>
      </c>
      <c r="V27">
        <f t="shared" ca="1" si="7"/>
        <v>0.31390000000000029</v>
      </c>
      <c r="W27">
        <f t="shared" ca="1" si="8"/>
        <v>-1.9516</v>
      </c>
      <c r="X27">
        <f t="shared" ca="1" si="0"/>
        <v>-3.2850000000000001</v>
      </c>
    </row>
    <row r="28" spans="1:24">
      <c r="A28" t="s">
        <v>21</v>
      </c>
      <c r="B28" s="25" t="s">
        <v>177</v>
      </c>
      <c r="C28">
        <f ca="1">_xll.ciqfunctions.udf.CIQ($B28,"IQ_CDS_mid",C$2)</f>
        <v>7.2289000000000003</v>
      </c>
      <c r="D28">
        <f ca="1">_xll.ciqfunctions.udf.CIQ($B28,"IQ_CDS_mid",D$2)</f>
        <v>7.2289000000000003</v>
      </c>
      <c r="E28">
        <f ca="1">_xll.ciqfunctions.udf.CIQ($B28,"IQ_CDS_mid",E$2)</f>
        <v>7.2289000000000003</v>
      </c>
      <c r="F28">
        <f ca="1">_xll.ciqfunctions.udf.CIQ($B28,"IQ_CDS_mid",F$2)</f>
        <v>7.2289000000000003</v>
      </c>
      <c r="G28">
        <f ca="1">_xll.ciqfunctions.udf.CIQ($B28,"IQ_CDS_mid",G$2)</f>
        <v>7.2206000000000001</v>
      </c>
      <c r="H28">
        <f ca="1">_xll.ciqfunctions.udf.CIQ($B28,"IQ_CDS_mid",H$2)</f>
        <v>7.1622000000000003</v>
      </c>
      <c r="I28">
        <f ca="1">_xll.ciqfunctions.udf.CIQ($B28,"IQ_CDS_mid",I$2)</f>
        <v>7.1593</v>
      </c>
      <c r="J28">
        <f ca="1">_xll.ciqfunctions.udf.CIQ($B28,"IQ_CDS_mid",J$2)</f>
        <v>7.1638999999999999</v>
      </c>
      <c r="K28">
        <f ca="1">_xll.ciqfunctions.udf.CIQ($B28,"IQ_CDS_mid",K$2)</f>
        <v>7.1544999999999996</v>
      </c>
      <c r="L28">
        <f ca="1">_xll.ciqfunctions.udf.CIQ($B28,"IQ_CDS_mid",L$2)</f>
        <v>7.1544999999999996</v>
      </c>
      <c r="M28">
        <f ca="1">_xll.ciqfunctions.udf.CIQ($B28,"IQ_CDS_mid",M$2)</f>
        <v>7.1544999999999996</v>
      </c>
      <c r="N28">
        <f ca="1">_xll.ciqfunctions.udf.CIQ($B28,"IQ_CDS_mid",N$2)</f>
        <v>7.1624999999999996</v>
      </c>
      <c r="O28">
        <f ca="1">_xll.ciqfunctions.udf.CIQ($B28,"IQ_CDS_mid",O$2)</f>
        <v>7.1631</v>
      </c>
      <c r="P28">
        <f ca="1">_xll.ciqfunctions.udf.CIQ($B28,"IQ_CDS_mid",P$2)</f>
        <v>7.1680999999999999</v>
      </c>
      <c r="Q28">
        <f ca="1">_xll.ciqfunctions.udf.CIQ($B28,"IQ_CDS_mid",Q$2)</f>
        <v>7.1620999999999997</v>
      </c>
      <c r="R28">
        <f ca="1">_xll.ciqfunctions.udf.CIQ($B28,"IQ_CDS_mid",R$2)</f>
        <v>7.0613000000000001</v>
      </c>
      <c r="S28">
        <f ca="1">_xll.ciqfunctions.udf.CIQ($B28,"IQ_CDS_mid",S$2)</f>
        <v>8.1221999999999994</v>
      </c>
      <c r="T28">
        <f t="shared" ca="1" si="5"/>
        <v>6.6699999999999982E-2</v>
      </c>
      <c r="U28">
        <f t="shared" ca="1" si="6"/>
        <v>7.4400000000000688E-2</v>
      </c>
      <c r="V28">
        <f t="shared" ca="1" si="7"/>
        <v>6.6800000000000637E-2</v>
      </c>
      <c r="W28">
        <f t="shared" ca="1" si="8"/>
        <v>0.16760000000000019</v>
      </c>
      <c r="X28">
        <f t="shared" ca="1" si="0"/>
        <v>-0.89329999999999909</v>
      </c>
    </row>
    <row r="29" spans="1:24">
      <c r="A29" t="s">
        <v>176</v>
      </c>
      <c r="B29" s="25" t="s">
        <v>175</v>
      </c>
      <c r="C29">
        <f ca="1">_xll.ciqfunctions.udf.CIQ($B29,"IQ_CDS_mid",C$2)</f>
        <v>768.76509999999996</v>
      </c>
      <c r="D29">
        <f ca="1">_xll.ciqfunctions.udf.CIQ($B29,"IQ_CDS_mid",D$2)</f>
        <v>768.76509999999996</v>
      </c>
      <c r="E29">
        <f ca="1">_xll.ciqfunctions.udf.CIQ($B29,"IQ_CDS_mid",E$2)</f>
        <v>768.76509999999996</v>
      </c>
      <c r="F29">
        <f ca="1">_xll.ciqfunctions.udf.CIQ($B29,"IQ_CDS_mid",F$2)</f>
        <v>768.76509999999996</v>
      </c>
      <c r="G29">
        <f ca="1">_xll.ciqfunctions.udf.CIQ($B29,"IQ_CDS_mid",G$2)</f>
        <v>769.07</v>
      </c>
      <c r="H29">
        <f ca="1">_xll.ciqfunctions.udf.CIQ($B29,"IQ_CDS_mid",H$2)</f>
        <v>769.02239999999995</v>
      </c>
      <c r="I29">
        <f ca="1">_xll.ciqfunctions.udf.CIQ($B29,"IQ_CDS_mid",I$2)</f>
        <v>768.23140000000001</v>
      </c>
      <c r="J29">
        <f ca="1">_xll.ciqfunctions.udf.CIQ($B29,"IQ_CDS_mid",J$2)</f>
        <v>768.23329999999999</v>
      </c>
      <c r="K29">
        <f ca="1">_xll.ciqfunctions.udf.CIQ($B29,"IQ_CDS_mid",K$2)</f>
        <v>766.40740000000005</v>
      </c>
      <c r="L29">
        <f ca="1">_xll.ciqfunctions.udf.CIQ($B29,"IQ_CDS_mid",L$2)</f>
        <v>766.40740000000005</v>
      </c>
      <c r="M29">
        <f ca="1">_xll.ciqfunctions.udf.CIQ($B29,"IQ_CDS_mid",M$2)</f>
        <v>766.40740000000005</v>
      </c>
      <c r="N29">
        <f ca="1">_xll.ciqfunctions.udf.CIQ($B29,"IQ_CDS_mid",N$2)</f>
        <v>766.55100000000004</v>
      </c>
      <c r="O29">
        <f ca="1">_xll.ciqfunctions.udf.CIQ($B29,"IQ_CDS_mid",O$2)</f>
        <v>766.00109999999995</v>
      </c>
      <c r="P29">
        <f ca="1">_xll.ciqfunctions.udf.CIQ($B29,"IQ_CDS_mid",P$2)</f>
        <v>766.87570000000005</v>
      </c>
      <c r="Q29">
        <f ca="1">_xll.ciqfunctions.udf.CIQ($B29,"IQ_CDS_mid",Q$2)</f>
        <v>766.54330000000004</v>
      </c>
      <c r="R29">
        <f ca="1">_xll.ciqfunctions.udf.CIQ($B29,"IQ_CDS_mid",R$2)</f>
        <v>754.27660000000003</v>
      </c>
      <c r="S29">
        <f ca="1">_xll.ciqfunctions.udf.CIQ($B29,"IQ_CDS_mid",S$2)</f>
        <v>14787.329299999999</v>
      </c>
      <c r="T29">
        <f t="shared" ca="1" si="5"/>
        <v>-0.25729999999998654</v>
      </c>
      <c r="U29">
        <f t="shared" ca="1" si="6"/>
        <v>2.3576999999999089</v>
      </c>
      <c r="V29">
        <f t="shared" ca="1" si="7"/>
        <v>2.2217999999999165</v>
      </c>
      <c r="W29">
        <f t="shared" ca="1" si="8"/>
        <v>14.488499999999931</v>
      </c>
      <c r="X29">
        <f t="shared" ca="1" si="0"/>
        <v>-14018.564199999999</v>
      </c>
    </row>
    <row r="30" spans="1:24">
      <c r="A30" s="16" t="s">
        <v>174</v>
      </c>
      <c r="X30">
        <f t="shared" si="0"/>
        <v>0</v>
      </c>
    </row>
    <row r="31" spans="1:24">
      <c r="A31" t="s">
        <v>173</v>
      </c>
      <c r="B31" s="25" t="s">
        <v>172</v>
      </c>
      <c r="C31">
        <f ca="1">_xll.ciqfunctions.udf.CIQ($B31,"IQ_CDS_mid",C$2)</f>
        <v>13.9536</v>
      </c>
      <c r="D31">
        <f ca="1">_xll.ciqfunctions.udf.CIQ($B31,"IQ_CDS_mid",D$2)</f>
        <v>13.9536</v>
      </c>
      <c r="E31">
        <f ca="1">_xll.ciqfunctions.udf.CIQ($B31,"IQ_CDS_mid",E$2)</f>
        <v>13.9536</v>
      </c>
      <c r="F31">
        <f ca="1">_xll.ciqfunctions.udf.CIQ($B31,"IQ_CDS_mid",F$2)</f>
        <v>13.9536</v>
      </c>
      <c r="G31">
        <f ca="1">_xll.ciqfunctions.udf.CIQ($B31,"IQ_CDS_mid",G$2)</f>
        <v>14.05</v>
      </c>
      <c r="H31">
        <f ca="1">_xll.ciqfunctions.udf.CIQ($B31,"IQ_CDS_mid",H$2)</f>
        <v>14.1974</v>
      </c>
      <c r="I31">
        <f ca="1">_xll.ciqfunctions.udf.CIQ($B31,"IQ_CDS_mid",I$2)</f>
        <v>14.1875</v>
      </c>
      <c r="J31">
        <f ca="1">_xll.ciqfunctions.udf.CIQ($B31,"IQ_CDS_mid",J$2)</f>
        <v>14.1884</v>
      </c>
      <c r="K31">
        <f ca="1">_xll.ciqfunctions.udf.CIQ($B31,"IQ_CDS_mid",K$2)</f>
        <v>14.1317</v>
      </c>
      <c r="L31">
        <f ca="1">_xll.ciqfunctions.udf.CIQ($B31,"IQ_CDS_mid",L$2)</f>
        <v>14.1317</v>
      </c>
      <c r="M31">
        <f ca="1">_xll.ciqfunctions.udf.CIQ($B31,"IQ_CDS_mid",M$2)</f>
        <v>14.1317</v>
      </c>
      <c r="N31">
        <f ca="1">_xll.ciqfunctions.udf.CIQ($B31,"IQ_CDS_mid",N$2)</f>
        <v>14.2728</v>
      </c>
      <c r="O31">
        <f ca="1">_xll.ciqfunctions.udf.CIQ($B31,"IQ_CDS_mid",O$2)</f>
        <v>14.352399999999999</v>
      </c>
      <c r="P31">
        <f ca="1">_xll.ciqfunctions.udf.CIQ($B31,"IQ_CDS_mid",P$2)</f>
        <v>14.3917</v>
      </c>
      <c r="Q31">
        <f ca="1">_xll.ciqfunctions.udf.CIQ($B31,"IQ_CDS_mid",Q$2)</f>
        <v>14.525499999999999</v>
      </c>
      <c r="R31">
        <f ca="1">_xll.ciqfunctions.udf.CIQ($B31,"IQ_CDS_mid",R$2)</f>
        <v>14.0867</v>
      </c>
      <c r="S31">
        <f ca="1">_xll.ciqfunctions.udf.CIQ($B31,"IQ_CDS_mid",S$2)</f>
        <v>10.916399999999999</v>
      </c>
      <c r="T31">
        <f t="shared" ref="T31:T40" ca="1" si="9">C31-H31</f>
        <v>-0.24380000000000024</v>
      </c>
      <c r="U31">
        <f t="shared" ref="U31:U40" ca="1" si="10">C31-M31</f>
        <v>-0.17810000000000059</v>
      </c>
      <c r="V31">
        <f t="shared" ref="V31:V40" ca="1" si="11">C31-Q31</f>
        <v>-0.57189999999999941</v>
      </c>
      <c r="W31">
        <f t="shared" ref="W31:W40" ca="1" si="12">C31-R31</f>
        <v>-0.13310000000000066</v>
      </c>
      <c r="X31">
        <f t="shared" ca="1" si="0"/>
        <v>3.0372000000000003</v>
      </c>
    </row>
    <row r="32" spans="1:24">
      <c r="A32" t="s">
        <v>171</v>
      </c>
      <c r="B32" s="25" t="s">
        <v>170</v>
      </c>
      <c r="C32">
        <f ca="1">_xll.ciqfunctions.udf.CIQ($B32,"IQ_CDS_mid",C$2)</f>
        <v>34.8934</v>
      </c>
      <c r="D32">
        <f ca="1">_xll.ciqfunctions.udf.CIQ($B32,"IQ_CDS_mid",D$2)</f>
        <v>34.8934</v>
      </c>
      <c r="E32">
        <f ca="1">_xll.ciqfunctions.udf.CIQ($B32,"IQ_CDS_mid",E$2)</f>
        <v>34.8934</v>
      </c>
      <c r="F32">
        <f ca="1">_xll.ciqfunctions.udf.CIQ($B32,"IQ_CDS_mid",F$2)</f>
        <v>34.8934</v>
      </c>
      <c r="G32">
        <f ca="1">_xll.ciqfunctions.udf.CIQ($B32,"IQ_CDS_mid",G$2)</f>
        <v>34.9634</v>
      </c>
      <c r="H32">
        <f ca="1">_xll.ciqfunctions.udf.CIQ($B32,"IQ_CDS_mid",H$2)</f>
        <v>35.142499999999998</v>
      </c>
      <c r="I32">
        <f ca="1">_xll.ciqfunctions.udf.CIQ($B32,"IQ_CDS_mid",I$2)</f>
        <v>35.156300000000002</v>
      </c>
      <c r="J32">
        <f ca="1">_xll.ciqfunctions.udf.CIQ($B32,"IQ_CDS_mid",J$2)</f>
        <v>35.193899999999999</v>
      </c>
      <c r="K32">
        <f ca="1">_xll.ciqfunctions.udf.CIQ($B32,"IQ_CDS_mid",K$2)</f>
        <v>35.107799999999997</v>
      </c>
      <c r="L32">
        <f ca="1">_xll.ciqfunctions.udf.CIQ($B32,"IQ_CDS_mid",L$2)</f>
        <v>35.107799999999997</v>
      </c>
      <c r="M32">
        <f ca="1">_xll.ciqfunctions.udf.CIQ($B32,"IQ_CDS_mid",M$2)</f>
        <v>35.107799999999997</v>
      </c>
      <c r="N32">
        <f ca="1">_xll.ciqfunctions.udf.CIQ($B32,"IQ_CDS_mid",N$2)</f>
        <v>34.970500000000001</v>
      </c>
      <c r="O32">
        <f ca="1">_xll.ciqfunctions.udf.CIQ($B32,"IQ_CDS_mid",O$2)</f>
        <v>35.165700000000001</v>
      </c>
      <c r="P32">
        <f ca="1">_xll.ciqfunctions.udf.CIQ($B32,"IQ_CDS_mid",P$2)</f>
        <v>34.886699999999998</v>
      </c>
      <c r="Q32">
        <f ca="1">_xll.ciqfunctions.udf.CIQ($B32,"IQ_CDS_mid",Q$2)</f>
        <v>34.912599999999998</v>
      </c>
      <c r="R32">
        <f ca="1">_xll.ciqfunctions.udf.CIQ($B32,"IQ_CDS_mid",R$2)</f>
        <v>40.838900000000002</v>
      </c>
      <c r="S32">
        <f ca="1">_xll.ciqfunctions.udf.CIQ($B32,"IQ_CDS_mid",S$2)</f>
        <v>41.032600000000002</v>
      </c>
      <c r="T32">
        <f t="shared" ca="1" si="9"/>
        <v>-0.24909999999999854</v>
      </c>
      <c r="U32">
        <f t="shared" ca="1" si="10"/>
        <v>-0.2143999999999977</v>
      </c>
      <c r="V32">
        <f t="shared" ca="1" si="11"/>
        <v>-1.9199999999997885E-2</v>
      </c>
      <c r="W32">
        <f t="shared" ca="1" si="12"/>
        <v>-5.9455000000000027</v>
      </c>
      <c r="X32">
        <f t="shared" ca="1" si="0"/>
        <v>-6.1392000000000024</v>
      </c>
    </row>
    <row r="33" spans="1:24">
      <c r="A33" t="s">
        <v>169</v>
      </c>
      <c r="B33" s="25" t="s">
        <v>168</v>
      </c>
      <c r="C33">
        <f ca="1">_xll.ciqfunctions.udf.CIQ($B33,"IQ_CDS_mid",C$2)</f>
        <v>19.985399999999998</v>
      </c>
      <c r="D33">
        <f ca="1">_xll.ciqfunctions.udf.CIQ($B33,"IQ_CDS_mid",D$2)</f>
        <v>19.985399999999998</v>
      </c>
      <c r="E33">
        <f ca="1">_xll.ciqfunctions.udf.CIQ($B33,"IQ_CDS_mid",E$2)</f>
        <v>19.985399999999998</v>
      </c>
      <c r="F33">
        <f ca="1">_xll.ciqfunctions.udf.CIQ($B33,"IQ_CDS_mid",F$2)</f>
        <v>19.985399999999998</v>
      </c>
      <c r="G33">
        <f ca="1">_xll.ciqfunctions.udf.CIQ($B33,"IQ_CDS_mid",G$2)</f>
        <v>20.003</v>
      </c>
      <c r="H33">
        <f ca="1">_xll.ciqfunctions.udf.CIQ($B33,"IQ_CDS_mid",H$2)</f>
        <v>19.987200000000001</v>
      </c>
      <c r="I33">
        <f ca="1">_xll.ciqfunctions.udf.CIQ($B33,"IQ_CDS_mid",I$2)</f>
        <v>19.9834</v>
      </c>
      <c r="J33">
        <f ca="1">_xll.ciqfunctions.udf.CIQ($B33,"IQ_CDS_mid",J$2)</f>
        <v>19.982299999999999</v>
      </c>
      <c r="K33">
        <f ca="1">_xll.ciqfunctions.udf.CIQ($B33,"IQ_CDS_mid",K$2)</f>
        <v>19.9893</v>
      </c>
      <c r="L33">
        <f ca="1">_xll.ciqfunctions.udf.CIQ($B33,"IQ_CDS_mid",L$2)</f>
        <v>19.9893</v>
      </c>
      <c r="M33">
        <f ca="1">_xll.ciqfunctions.udf.CIQ($B33,"IQ_CDS_mid",M$2)</f>
        <v>19.9893</v>
      </c>
      <c r="N33">
        <f ca="1">_xll.ciqfunctions.udf.CIQ($B33,"IQ_CDS_mid",N$2)</f>
        <v>19.994499999999999</v>
      </c>
      <c r="O33">
        <f ca="1">_xll.ciqfunctions.udf.CIQ($B33,"IQ_CDS_mid",O$2)</f>
        <v>20.026399999999999</v>
      </c>
      <c r="P33">
        <f ca="1">_xll.ciqfunctions.udf.CIQ($B33,"IQ_CDS_mid",P$2)</f>
        <v>19.992899999999999</v>
      </c>
      <c r="Q33">
        <f ca="1">_xll.ciqfunctions.udf.CIQ($B33,"IQ_CDS_mid",Q$2)</f>
        <v>20</v>
      </c>
      <c r="R33">
        <f ca="1">_xll.ciqfunctions.udf.CIQ($B33,"IQ_CDS_mid",R$2)</f>
        <v>25.000900000000001</v>
      </c>
      <c r="S33">
        <f ca="1">_xll.ciqfunctions.udf.CIQ($B33,"IQ_CDS_mid",S$2)</f>
        <v>32.950000000000003</v>
      </c>
      <c r="T33">
        <f t="shared" ca="1" si="9"/>
        <v>-1.8000000000029104E-3</v>
      </c>
      <c r="U33">
        <f t="shared" ca="1" si="10"/>
        <v>-3.9000000000015689E-3</v>
      </c>
      <c r="V33">
        <f t="shared" ca="1" si="11"/>
        <v>-1.4600000000001501E-2</v>
      </c>
      <c r="W33">
        <f t="shared" ca="1" si="12"/>
        <v>-5.015500000000003</v>
      </c>
      <c r="X33">
        <f t="shared" ca="1" si="0"/>
        <v>-12.964600000000004</v>
      </c>
    </row>
    <row r="34" spans="1:24">
      <c r="A34" t="s">
        <v>167</v>
      </c>
      <c r="B34" s="25" t="s">
        <v>166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42.777200000000001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-42.777200000000001</v>
      </c>
    </row>
    <row r="35" spans="1:24">
      <c r="A35" t="s">
        <v>33</v>
      </c>
      <c r="B35" s="25" t="s">
        <v>165</v>
      </c>
      <c r="C35">
        <f ca="1">_xll.ciqfunctions.udf.CIQ($B35,"IQ_CDS_mid",C$2)</f>
        <v>23.4254</v>
      </c>
      <c r="D35">
        <f ca="1">_xll.ciqfunctions.udf.CIQ($B35,"IQ_CDS_mid",D$2)</f>
        <v>23.4254</v>
      </c>
      <c r="E35">
        <f ca="1">_xll.ciqfunctions.udf.CIQ($B35,"IQ_CDS_mid",E$2)</f>
        <v>23.4254</v>
      </c>
      <c r="F35">
        <f ca="1">_xll.ciqfunctions.udf.CIQ($B35,"IQ_CDS_mid",F$2)</f>
        <v>23.4254</v>
      </c>
      <c r="G35">
        <f ca="1">_xll.ciqfunctions.udf.CIQ($B35,"IQ_CDS_mid",G$2)</f>
        <v>23.9389</v>
      </c>
      <c r="H35">
        <f ca="1">_xll.ciqfunctions.udf.CIQ($B35,"IQ_CDS_mid",H$2)</f>
        <v>25.663900000000002</v>
      </c>
      <c r="I35">
        <f ca="1">_xll.ciqfunctions.udf.CIQ($B35,"IQ_CDS_mid",I$2)</f>
        <v>25.520299999999999</v>
      </c>
      <c r="J35">
        <f ca="1">_xll.ciqfunctions.udf.CIQ($B35,"IQ_CDS_mid",J$2)</f>
        <v>25.6052</v>
      </c>
      <c r="K35">
        <f ca="1">_xll.ciqfunctions.udf.CIQ($B35,"IQ_CDS_mid",K$2)</f>
        <v>25.261500000000002</v>
      </c>
      <c r="L35">
        <f ca="1">_xll.ciqfunctions.udf.CIQ($B35,"IQ_CDS_mid",L$2)</f>
        <v>25.261500000000002</v>
      </c>
      <c r="M35">
        <f ca="1">_xll.ciqfunctions.udf.CIQ($B35,"IQ_CDS_mid",M$2)</f>
        <v>25.261500000000002</v>
      </c>
      <c r="N35">
        <f ca="1">_xll.ciqfunctions.udf.CIQ($B35,"IQ_CDS_mid",N$2)</f>
        <v>25.428999999999998</v>
      </c>
      <c r="O35">
        <f ca="1">_xll.ciqfunctions.udf.CIQ($B35,"IQ_CDS_mid",O$2)</f>
        <v>26.388100000000001</v>
      </c>
      <c r="P35">
        <f ca="1">_xll.ciqfunctions.udf.CIQ($B35,"IQ_CDS_mid",P$2)</f>
        <v>26.4587</v>
      </c>
      <c r="Q35">
        <f ca="1">_xll.ciqfunctions.udf.CIQ($B35,"IQ_CDS_mid",Q$2)</f>
        <v>26.1706</v>
      </c>
      <c r="R35">
        <f ca="1">_xll.ciqfunctions.udf.CIQ($B35,"IQ_CDS_mid",R$2)</f>
        <v>27.306699999999999</v>
      </c>
      <c r="S35">
        <f ca="1">_xll.ciqfunctions.udf.CIQ($B35,"IQ_CDS_mid",S$2)</f>
        <v>19.180099999999999</v>
      </c>
      <c r="T35">
        <f t="shared" ca="1" si="9"/>
        <v>-2.2385000000000019</v>
      </c>
      <c r="U35">
        <f t="shared" ca="1" si="10"/>
        <v>-1.8361000000000018</v>
      </c>
      <c r="V35">
        <f t="shared" ca="1" si="11"/>
        <v>-2.7452000000000005</v>
      </c>
      <c r="W35">
        <f t="shared" ca="1" si="12"/>
        <v>-3.8812999999999995</v>
      </c>
      <c r="X35">
        <f t="shared" ca="1" si="0"/>
        <v>4.2453000000000003</v>
      </c>
    </row>
    <row r="36" spans="1:24">
      <c r="A36" t="s">
        <v>164</v>
      </c>
      <c r="B36" s="25" t="s">
        <v>163</v>
      </c>
      <c r="C36">
        <f ca="1">_xll.ciqfunctions.udf.CIQ($B36,"IQ_CDS_mid",C$2)</f>
        <v>33.333300000000001</v>
      </c>
      <c r="D36">
        <f ca="1">_xll.ciqfunctions.udf.CIQ($B36,"IQ_CDS_mid",D$2)</f>
        <v>33.333300000000001</v>
      </c>
      <c r="E36">
        <f ca="1">_xll.ciqfunctions.udf.CIQ($B36,"IQ_CDS_mid",E$2)</f>
        <v>33.333300000000001</v>
      </c>
      <c r="F36">
        <f ca="1">_xll.ciqfunctions.udf.CIQ($B36,"IQ_CDS_mid",F$2)</f>
        <v>33.333300000000001</v>
      </c>
      <c r="G36">
        <f ca="1">_xll.ciqfunctions.udf.CIQ($B36,"IQ_CDS_mid",G$2)</f>
        <v>33.237499999999997</v>
      </c>
      <c r="H36">
        <f ca="1">_xll.ciqfunctions.udf.CIQ($B36,"IQ_CDS_mid",H$2)</f>
        <v>33.4375</v>
      </c>
      <c r="I36">
        <f ca="1">_xll.ciqfunctions.udf.CIQ($B36,"IQ_CDS_mid",I$2)</f>
        <v>33.450000000000003</v>
      </c>
      <c r="J36">
        <f ca="1">_xll.ciqfunctions.udf.CIQ($B36,"IQ_CDS_mid",J$2)</f>
        <v>33.439500000000002</v>
      </c>
      <c r="K36">
        <f ca="1">_xll.ciqfunctions.udf.CIQ($B36,"IQ_CDS_mid",K$2)</f>
        <v>33.35</v>
      </c>
      <c r="L36">
        <f ca="1">_xll.ciqfunctions.udf.CIQ($B36,"IQ_CDS_mid",L$2)</f>
        <v>33.35</v>
      </c>
      <c r="M36">
        <f ca="1">_xll.ciqfunctions.udf.CIQ($B36,"IQ_CDS_mid",M$2)</f>
        <v>33.35</v>
      </c>
      <c r="N36">
        <f ca="1">_xll.ciqfunctions.udf.CIQ($B36,"IQ_CDS_mid",N$2)</f>
        <v>33.380000000000003</v>
      </c>
      <c r="O36">
        <f ca="1">_xll.ciqfunctions.udf.CIQ($B36,"IQ_CDS_mid",O$2)</f>
        <v>33.43</v>
      </c>
      <c r="P36">
        <f ca="1">_xll.ciqfunctions.udf.CIQ($B36,"IQ_CDS_mid",P$2)</f>
        <v>33.25</v>
      </c>
      <c r="Q36">
        <f ca="1">_xll.ciqfunctions.udf.CIQ($B36,"IQ_CDS_mid",Q$2)</f>
        <v>33.4</v>
      </c>
      <c r="R36">
        <f ca="1">_xll.ciqfunctions.udf.CIQ($B36,"IQ_CDS_mid",R$2)</f>
        <v>35.155000000000001</v>
      </c>
      <c r="S36">
        <f ca="1">_xll.ciqfunctions.udf.CIQ($B36,"IQ_CDS_mid",S$2)</f>
        <v>38.583399999999997</v>
      </c>
      <c r="T36">
        <f t="shared" ca="1" si="9"/>
        <v>-0.10419999999999874</v>
      </c>
      <c r="U36">
        <f t="shared" ca="1" si="10"/>
        <v>-1.6700000000000159E-2</v>
      </c>
      <c r="V36">
        <f t="shared" ca="1" si="11"/>
        <v>-6.6699999999997317E-2</v>
      </c>
      <c r="W36">
        <f t="shared" ca="1" si="12"/>
        <v>-1.8216999999999999</v>
      </c>
      <c r="X36">
        <f t="shared" ca="1" si="0"/>
        <v>-5.2500999999999962</v>
      </c>
    </row>
    <row r="37" spans="1:24">
      <c r="A37" t="s">
        <v>162</v>
      </c>
      <c r="B37" s="25" t="s">
        <v>161</v>
      </c>
      <c r="C37">
        <f ca="1">_xll.ciqfunctions.udf.CIQ($B37,"IQ_CDS_mid",C$2)</f>
        <v>15.025</v>
      </c>
      <c r="D37">
        <f ca="1">_xll.ciqfunctions.udf.CIQ($B37,"IQ_CDS_mid",D$2)</f>
        <v>15.025</v>
      </c>
      <c r="E37">
        <f ca="1">_xll.ciqfunctions.udf.CIQ($B37,"IQ_CDS_mid",E$2)</f>
        <v>15.025</v>
      </c>
      <c r="F37">
        <f ca="1">_xll.ciqfunctions.udf.CIQ($B37,"IQ_CDS_mid",F$2)</f>
        <v>15.025</v>
      </c>
      <c r="G37">
        <f ca="1">_xll.ciqfunctions.udf.CIQ($B37,"IQ_CDS_mid",G$2)</f>
        <v>15.0985</v>
      </c>
      <c r="H37">
        <f ca="1">_xll.ciqfunctions.udf.CIQ($B37,"IQ_CDS_mid",H$2)</f>
        <v>15.093999999999999</v>
      </c>
      <c r="I37">
        <f ca="1">_xll.ciqfunctions.udf.CIQ($B37,"IQ_CDS_mid",I$2)</f>
        <v>15.093999999999999</v>
      </c>
      <c r="J37">
        <f ca="1">_xll.ciqfunctions.udf.CIQ($B37,"IQ_CDS_mid",J$2)</f>
        <v>15.066000000000001</v>
      </c>
      <c r="K37">
        <f ca="1">_xll.ciqfunctions.udf.CIQ($B37,"IQ_CDS_mid",K$2)</f>
        <v>15.5</v>
      </c>
      <c r="L37">
        <f ca="1">_xll.ciqfunctions.udf.CIQ($B37,"IQ_CDS_mid",L$2)</f>
        <v>15.5</v>
      </c>
      <c r="M37">
        <f ca="1">_xll.ciqfunctions.udf.CIQ($B37,"IQ_CDS_mid",M$2)</f>
        <v>15.5</v>
      </c>
      <c r="N37">
        <f ca="1">_xll.ciqfunctions.udf.CIQ($B37,"IQ_CDS_mid",N$2)</f>
        <v>15.176</v>
      </c>
      <c r="O37">
        <f ca="1">_xll.ciqfunctions.udf.CIQ($B37,"IQ_CDS_mid",O$2)</f>
        <v>15.196</v>
      </c>
      <c r="P37">
        <f ca="1">_xll.ciqfunctions.udf.CIQ($B37,"IQ_CDS_mid",P$2)</f>
        <v>15.262499999999999</v>
      </c>
      <c r="Q37">
        <f ca="1">_xll.ciqfunctions.udf.CIQ($B37,"IQ_CDS_mid",Q$2)</f>
        <v>15.411</v>
      </c>
      <c r="R37">
        <f ca="1">_xll.ciqfunctions.udf.CIQ($B37,"IQ_CDS_mid",R$2)</f>
        <v>15.288</v>
      </c>
      <c r="S37">
        <f ca="1">_xll.ciqfunctions.udf.CIQ($B37,"IQ_CDS_mid",S$2)</f>
        <v>13.744999999999999</v>
      </c>
      <c r="T37">
        <f t="shared" ca="1" si="9"/>
        <v>-6.8999999999999062E-2</v>
      </c>
      <c r="U37">
        <f t="shared" ca="1" si="10"/>
        <v>-0.47499999999999964</v>
      </c>
      <c r="V37">
        <f t="shared" ca="1" si="11"/>
        <v>-0.38599999999999923</v>
      </c>
      <c r="W37">
        <f t="shared" ca="1" si="12"/>
        <v>-0.2629999999999999</v>
      </c>
      <c r="X37">
        <f t="shared" ca="1" si="0"/>
        <v>1.2800000000000011</v>
      </c>
    </row>
    <row r="38" spans="1:24">
      <c r="A38" t="s">
        <v>160</v>
      </c>
      <c r="B38" s="25" t="s">
        <v>159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158</v>
      </c>
      <c r="B39" s="25" t="s">
        <v>157</v>
      </c>
      <c r="C39">
        <f ca="1">_xll.ciqfunctions.udf.CIQ($B39,"IQ_CDS_mid",C$2)</f>
        <v>2.2938999999999998</v>
      </c>
      <c r="D39">
        <f ca="1">_xll.ciqfunctions.udf.CIQ($B39,"IQ_CDS_mid",D$2)</f>
        <v>2.2938999999999998</v>
      </c>
      <c r="E39">
        <f ca="1">_xll.ciqfunctions.udf.CIQ($B39,"IQ_CDS_mid",E$2)</f>
        <v>2.2938999999999998</v>
      </c>
      <c r="F39">
        <f ca="1">_xll.ciqfunctions.udf.CIQ($B39,"IQ_CDS_mid",F$2)</f>
        <v>2.2938999999999998</v>
      </c>
      <c r="G39">
        <f ca="1">_xll.ciqfunctions.udf.CIQ($B39,"IQ_CDS_mid",G$2)</f>
        <v>2.2938999999999998</v>
      </c>
      <c r="H39">
        <f ca="1">_xll.ciqfunctions.udf.CIQ($B39,"IQ_CDS_mid",H$2)</f>
        <v>2.2938999999999998</v>
      </c>
      <c r="I39">
        <f ca="1">_xll.ciqfunctions.udf.CIQ($B39,"IQ_CDS_mid",I$2)</f>
        <v>2.2938999999999998</v>
      </c>
      <c r="J39">
        <f ca="1">_xll.ciqfunctions.udf.CIQ($B39,"IQ_CDS_mid",J$2)</f>
        <v>2.2938999999999998</v>
      </c>
      <c r="K39">
        <f ca="1">_xll.ciqfunctions.udf.CIQ($B39,"IQ_CDS_mid",K$2)</f>
        <v>2.2938999999999998</v>
      </c>
      <c r="L39">
        <f ca="1">_xll.ciqfunctions.udf.CIQ($B39,"IQ_CDS_mid",L$2)</f>
        <v>2.2938999999999998</v>
      </c>
      <c r="M39">
        <f ca="1">_xll.ciqfunctions.udf.CIQ($B39,"IQ_CDS_mid",M$2)</f>
        <v>2.2938999999999998</v>
      </c>
      <c r="N39">
        <f ca="1">_xll.ciqfunctions.udf.CIQ($B39,"IQ_CDS_mid",N$2)</f>
        <v>2.2938999999999998</v>
      </c>
      <c r="O39">
        <f ca="1">_xll.ciqfunctions.udf.CIQ($B39,"IQ_CDS_mid",O$2)</f>
        <v>2.2938999999999998</v>
      </c>
      <c r="P39">
        <f ca="1">_xll.ciqfunctions.udf.CIQ($B39,"IQ_CDS_mid",P$2)</f>
        <v>2.2938999999999998</v>
      </c>
      <c r="Q39">
        <f ca="1">_xll.ciqfunctions.udf.CIQ($B39,"IQ_CDS_mid",Q$2)</f>
        <v>2.2938999999999998</v>
      </c>
      <c r="R39">
        <f ca="1">_xll.ciqfunctions.udf.CIQ($B39,"IQ_CDS_mid",R$2)</f>
        <v>2.3334000000000001</v>
      </c>
      <c r="S39">
        <f ca="1">_xll.ciqfunctions.udf.CIQ($B39,"IQ_CDS_mid",S$2)</f>
        <v>3.2726000000000002</v>
      </c>
      <c r="T39">
        <f t="shared" ca="1" si="9"/>
        <v>0</v>
      </c>
      <c r="U39">
        <f t="shared" ca="1" si="10"/>
        <v>0</v>
      </c>
      <c r="V39">
        <f t="shared" ca="1" si="11"/>
        <v>0</v>
      </c>
      <c r="W39">
        <f t="shared" ca="1" si="12"/>
        <v>-3.9500000000000313E-2</v>
      </c>
      <c r="X39">
        <f t="shared" ca="1" si="0"/>
        <v>-0.97870000000000035</v>
      </c>
    </row>
    <row r="40" spans="1:24">
      <c r="A40" t="s">
        <v>156</v>
      </c>
      <c r="B40" s="25" t="s">
        <v>155</v>
      </c>
      <c r="C40">
        <f ca="1">_xll.ciqfunctions.udf.CIQ($B40,"IQ_CDS_mid",C$2)</f>
        <v>21.528500000000001</v>
      </c>
      <c r="D40">
        <f ca="1">_xll.ciqfunctions.udf.CIQ($B40,"IQ_CDS_mid",D$2)</f>
        <v>21.528500000000001</v>
      </c>
      <c r="E40">
        <f ca="1">_xll.ciqfunctions.udf.CIQ($B40,"IQ_CDS_mid",E$2)</f>
        <v>21.528500000000001</v>
      </c>
      <c r="F40">
        <f ca="1">_xll.ciqfunctions.udf.CIQ($B40,"IQ_CDS_mid",F$2)</f>
        <v>21.528500000000001</v>
      </c>
      <c r="G40">
        <f ca="1">_xll.ciqfunctions.udf.CIQ($B40,"IQ_CDS_mid",G$2)</f>
        <v>21.625</v>
      </c>
      <c r="H40">
        <f ca="1">_xll.ciqfunctions.udf.CIQ($B40,"IQ_CDS_mid",H$2)</f>
        <v>21.713000000000001</v>
      </c>
      <c r="I40">
        <f ca="1">_xll.ciqfunctions.udf.CIQ($B40,"IQ_CDS_mid",I$2)</f>
        <v>21.708300000000001</v>
      </c>
      <c r="J40">
        <f ca="1">_xll.ciqfunctions.udf.CIQ($B40,"IQ_CDS_mid",J$2)</f>
        <v>21.675000000000001</v>
      </c>
      <c r="K40">
        <f ca="1">_xll.ciqfunctions.udf.CIQ($B40,"IQ_CDS_mid",K$2)</f>
        <v>21.708300000000001</v>
      </c>
      <c r="L40">
        <f ca="1">_xll.ciqfunctions.udf.CIQ($B40,"IQ_CDS_mid",L$2)</f>
        <v>21.708300000000001</v>
      </c>
      <c r="M40">
        <f ca="1">_xll.ciqfunctions.udf.CIQ($B40,"IQ_CDS_mid",M$2)</f>
        <v>21.708300000000001</v>
      </c>
      <c r="N40">
        <f ca="1">_xll.ciqfunctions.udf.CIQ($B40,"IQ_CDS_mid",N$2)</f>
        <v>21.6172</v>
      </c>
      <c r="O40">
        <f ca="1">_xll.ciqfunctions.udf.CIQ($B40,"IQ_CDS_mid",O$2)</f>
        <v>21.845400000000001</v>
      </c>
      <c r="P40">
        <f ca="1">_xll.ciqfunctions.udf.CIQ($B40,"IQ_CDS_mid",P$2)</f>
        <v>21.793299999999999</v>
      </c>
      <c r="Q40">
        <f ca="1">_xll.ciqfunctions.udf.CIQ($B40,"IQ_CDS_mid",Q$2)</f>
        <v>21.75</v>
      </c>
      <c r="R40">
        <f ca="1">_xll.ciqfunctions.udf.CIQ($B40,"IQ_CDS_mid",R$2)</f>
        <v>23.0001</v>
      </c>
      <c r="S40">
        <f ca="1">_xll.ciqfunctions.udf.CIQ($B40,"IQ_CDS_mid",S$2)</f>
        <v>18.851800000000001</v>
      </c>
      <c r="T40">
        <f t="shared" ca="1" si="9"/>
        <v>-0.18449999999999989</v>
      </c>
      <c r="U40">
        <f t="shared" ca="1" si="10"/>
        <v>-0.17980000000000018</v>
      </c>
      <c r="V40">
        <f t="shared" ca="1" si="11"/>
        <v>-0.22149999999999892</v>
      </c>
      <c r="W40">
        <f t="shared" ca="1" si="12"/>
        <v>-1.4715999999999987</v>
      </c>
      <c r="X40">
        <f t="shared" ca="1" si="0"/>
        <v>2.6767000000000003</v>
      </c>
    </row>
    <row r="41" spans="1:24">
      <c r="A41" t="s">
        <v>154</v>
      </c>
      <c r="B41" s="25"/>
    </row>
    <row r="42" spans="1:24">
      <c r="A42" t="s">
        <v>153</v>
      </c>
      <c r="B42" s="25" t="s">
        <v>152</v>
      </c>
      <c r="C42">
        <f ca="1">_xll.ciqfunctions.udf.CIQ($B42,"IQ_CDS_mid",C$2)</f>
        <v>40.375</v>
      </c>
      <c r="D42">
        <f ca="1">_xll.ciqfunctions.udf.CIQ($B42,"IQ_CDS_mid",D$2)</f>
        <v>40.375</v>
      </c>
      <c r="E42">
        <f ca="1">_xll.ciqfunctions.udf.CIQ($B42,"IQ_CDS_mid",E$2)</f>
        <v>40.375</v>
      </c>
      <c r="F42">
        <f ca="1">_xll.ciqfunctions.udf.CIQ($B42,"IQ_CDS_mid",F$2)</f>
        <v>40.375</v>
      </c>
      <c r="G42">
        <f ca="1">_xll.ciqfunctions.udf.CIQ($B42,"IQ_CDS_mid",G$2)</f>
        <v>40.417499999999997</v>
      </c>
      <c r="H42">
        <f ca="1">_xll.ciqfunctions.udf.CIQ($B42,"IQ_CDS_mid",H$2)</f>
        <v>40.825600000000001</v>
      </c>
      <c r="I42">
        <f ca="1">_xll.ciqfunctions.udf.CIQ($B42,"IQ_CDS_mid",I$2)</f>
        <v>40.333300000000001</v>
      </c>
      <c r="J42">
        <f ca="1">_xll.ciqfunctions.udf.CIQ($B42,"IQ_CDS_mid",J$2)</f>
        <v>40.056699999999999</v>
      </c>
      <c r="K42">
        <f ca="1">_xll.ciqfunctions.udf.CIQ($B42,"IQ_CDS_mid",K$2)</f>
        <v>40.166699999999999</v>
      </c>
      <c r="L42">
        <f ca="1">_xll.ciqfunctions.udf.CIQ($B42,"IQ_CDS_mid",L$2)</f>
        <v>40.166699999999999</v>
      </c>
      <c r="M42">
        <f ca="1">_xll.ciqfunctions.udf.CIQ($B42,"IQ_CDS_mid",M$2)</f>
        <v>40.166699999999999</v>
      </c>
      <c r="N42">
        <f ca="1">_xll.ciqfunctions.udf.CIQ($B42,"IQ_CDS_mid",N$2)</f>
        <v>40.166699999999999</v>
      </c>
      <c r="O42">
        <f ca="1">_xll.ciqfunctions.udf.CIQ($B42,"IQ_CDS_mid",O$2)</f>
        <v>40.166699999999999</v>
      </c>
      <c r="P42">
        <f ca="1">_xll.ciqfunctions.udf.CIQ($B42,"IQ_CDS_mid",P$2)</f>
        <v>40</v>
      </c>
      <c r="Q42">
        <f ca="1">_xll.ciqfunctions.udf.CIQ($B42,"IQ_CDS_mid",Q$2)</f>
        <v>40.381999999999998</v>
      </c>
      <c r="R42">
        <f ca="1">_xll.ciqfunctions.udf.CIQ($B42,"IQ_CDS_mid",R$2)</f>
        <v>48.4557</v>
      </c>
      <c r="S42">
        <f ca="1">_xll.ciqfunctions.udf.CIQ($B42,"IQ_CDS_mid",S$2)</f>
        <v>37.842799999999997</v>
      </c>
      <c r="T42">
        <f ca="1">C42-H42</f>
        <v>-0.45060000000000144</v>
      </c>
      <c r="U42">
        <f ca="1">C42-M42</f>
        <v>0.20830000000000126</v>
      </c>
      <c r="V42">
        <f ca="1">C42-Q42</f>
        <v>-6.9999999999978968E-3</v>
      </c>
      <c r="W42">
        <f ca="1">C42-R42</f>
        <v>-8.0807000000000002</v>
      </c>
      <c r="X42">
        <f t="shared" ref="X42:X84" ca="1" si="13">C42-S42</f>
        <v>2.5322000000000031</v>
      </c>
    </row>
    <row r="43" spans="1:24">
      <c r="A43" s="16" t="s">
        <v>151</v>
      </c>
      <c r="X43">
        <f t="shared" si="13"/>
        <v>0</v>
      </c>
    </row>
    <row r="44" spans="1:24">
      <c r="A44" t="s">
        <v>150</v>
      </c>
      <c r="B44" t="s">
        <v>149</v>
      </c>
      <c r="C44">
        <f ca="1">_xll.ciqfunctions.udf.CIQ($B44,"IQ_CDS_mid",C$2)</f>
        <v>114.72110000000001</v>
      </c>
      <c r="D44">
        <f ca="1">_xll.ciqfunctions.udf.CIQ($B44,"IQ_CDS_mid",D$2)</f>
        <v>114.72110000000001</v>
      </c>
      <c r="E44">
        <f ca="1">_xll.ciqfunctions.udf.CIQ($B44,"IQ_CDS_mid",E$2)</f>
        <v>114.72110000000001</v>
      </c>
      <c r="F44">
        <f ca="1">_xll.ciqfunctions.udf.CIQ($B44,"IQ_CDS_mid",F$2)</f>
        <v>114.72110000000001</v>
      </c>
      <c r="G44">
        <f ca="1">_xll.ciqfunctions.udf.CIQ($B44,"IQ_CDS_mid",G$2)</f>
        <v>115.6433</v>
      </c>
      <c r="H44">
        <f ca="1">_xll.ciqfunctions.udf.CIQ($B44,"IQ_CDS_mid",H$2)</f>
        <v>116.1845</v>
      </c>
      <c r="I44">
        <f ca="1">_xll.ciqfunctions.udf.CIQ($B44,"IQ_CDS_mid",I$2)</f>
        <v>116.0081</v>
      </c>
      <c r="J44">
        <f ca="1">_xll.ciqfunctions.udf.CIQ($B44,"IQ_CDS_mid",J$2)</f>
        <v>114.5703</v>
      </c>
      <c r="K44">
        <f ca="1">_xll.ciqfunctions.udf.CIQ($B44,"IQ_CDS_mid",K$2)</f>
        <v>114.80929999999999</v>
      </c>
      <c r="L44">
        <f ca="1">_xll.ciqfunctions.udf.CIQ($B44,"IQ_CDS_mid",L$2)</f>
        <v>114.80929999999999</v>
      </c>
      <c r="M44">
        <f ca="1">_xll.ciqfunctions.udf.CIQ($B44,"IQ_CDS_mid",M$2)</f>
        <v>114.80929999999999</v>
      </c>
      <c r="N44">
        <f ca="1">_xll.ciqfunctions.udf.CIQ($B44,"IQ_CDS_mid",N$2)</f>
        <v>115.8913</v>
      </c>
      <c r="O44">
        <f ca="1">_xll.ciqfunctions.udf.CIQ($B44,"IQ_CDS_mid",O$2)</f>
        <v>117.1808</v>
      </c>
      <c r="P44">
        <f ca="1">_xll.ciqfunctions.udf.CIQ($B44,"IQ_CDS_mid",P$2)</f>
        <v>118.3082</v>
      </c>
      <c r="Q44">
        <f ca="1">_xll.ciqfunctions.udf.CIQ($B44,"IQ_CDS_mid",Q$2)</f>
        <v>119.5292</v>
      </c>
      <c r="R44">
        <f ca="1">_xll.ciqfunctions.udf.CIQ($B44,"IQ_CDS_mid",R$2)</f>
        <v>130.87119999999999</v>
      </c>
      <c r="S44">
        <f ca="1">_xll.ciqfunctions.udf.CIQ($B44,"IQ_CDS_mid",S$2)</f>
        <v>169.63939999999999</v>
      </c>
      <c r="T44">
        <f ca="1">C44-H44</f>
        <v>-1.4633999999999929</v>
      </c>
      <c r="U44">
        <f ca="1">C44-M44</f>
        <v>-8.8199999999986289E-2</v>
      </c>
      <c r="V44">
        <f ca="1">C44-Q44</f>
        <v>-4.808099999999996</v>
      </c>
      <c r="W44">
        <f ca="1">C44-R44</f>
        <v>-16.150099999999981</v>
      </c>
      <c r="X44">
        <f t="shared" ca="1" si="13"/>
        <v>-54.918299999999988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8" t="s">
        <v>8</v>
      </c>
      <c r="X47">
        <f t="shared" si="13"/>
        <v>0</v>
      </c>
    </row>
    <row r="48" spans="1:24" ht="15.5">
      <c r="A48" s="27" t="s">
        <v>10</v>
      </c>
      <c r="B48" s="25" t="s">
        <v>148</v>
      </c>
      <c r="C48">
        <f ca="1">_xll.ciqfunctions.udf.CIQ($B48,"IQ_CDS_mid",C$2)</f>
        <v>50.523499999999999</v>
      </c>
      <c r="D48">
        <f ca="1">_xll.ciqfunctions.udf.CIQ($B48,"IQ_CDS_mid",D$2)</f>
        <v>50.523499999999999</v>
      </c>
      <c r="E48">
        <f ca="1">_xll.ciqfunctions.udf.CIQ($B48,"IQ_CDS_mid",E$2)</f>
        <v>50.523499999999999</v>
      </c>
      <c r="F48">
        <f ca="1">_xll.ciqfunctions.udf.CIQ($B48,"IQ_CDS_mid",F$2)</f>
        <v>50.523499999999999</v>
      </c>
      <c r="G48">
        <f ca="1">_xll.ciqfunctions.udf.CIQ($B48,"IQ_CDS_mid",G$2)</f>
        <v>51.122199999999999</v>
      </c>
      <c r="H48">
        <f ca="1">_xll.ciqfunctions.udf.CIQ($B48,"IQ_CDS_mid",H$2)</f>
        <v>51.578400000000002</v>
      </c>
      <c r="I48">
        <f ca="1">_xll.ciqfunctions.udf.CIQ($B48,"IQ_CDS_mid",I$2)</f>
        <v>51.9818</v>
      </c>
      <c r="J48">
        <f ca="1">_xll.ciqfunctions.udf.CIQ($B48,"IQ_CDS_mid",J$2)</f>
        <v>51.680700000000002</v>
      </c>
      <c r="K48">
        <f ca="1">_xll.ciqfunctions.udf.CIQ($B48,"IQ_CDS_mid",K$2)</f>
        <v>51.0261</v>
      </c>
      <c r="L48">
        <f ca="1">_xll.ciqfunctions.udf.CIQ($B48,"IQ_CDS_mid",L$2)</f>
        <v>51.0261</v>
      </c>
      <c r="M48">
        <f ca="1">_xll.ciqfunctions.udf.CIQ($B48,"IQ_CDS_mid",M$2)</f>
        <v>51.0261</v>
      </c>
      <c r="N48">
        <f ca="1">_xll.ciqfunctions.udf.CIQ($B48,"IQ_CDS_mid",N$2)</f>
        <v>51.063699999999997</v>
      </c>
      <c r="O48">
        <f ca="1">_xll.ciqfunctions.udf.CIQ($B48,"IQ_CDS_mid",O$2)</f>
        <v>51.0366</v>
      </c>
      <c r="P48">
        <f ca="1">_xll.ciqfunctions.udf.CIQ($B48,"IQ_CDS_mid",P$2)</f>
        <v>51.028700000000001</v>
      </c>
      <c r="Q48">
        <f ca="1">_xll.ciqfunctions.udf.CIQ($B48,"IQ_CDS_mid",Q$2)</f>
        <v>51.830100000000002</v>
      </c>
      <c r="R48">
        <f ca="1">_xll.ciqfunctions.udf.CIQ($B48,"IQ_CDS_mid",R$2)</f>
        <v>55.086599999999997</v>
      </c>
      <c r="S48">
        <f ca="1">_xll.ciqfunctions.udf.CIQ($B48,"IQ_CDS_mid",S$2)</f>
        <v>52.511000000000003</v>
      </c>
      <c r="T48">
        <f t="shared" ref="T48:T54" ca="1" si="14">C48-H48</f>
        <v>-1.0549000000000035</v>
      </c>
      <c r="U48">
        <f t="shared" ref="U48:U54" ca="1" si="15">C48-M48</f>
        <v>-0.50260000000000105</v>
      </c>
      <c r="V48">
        <f t="shared" ref="V48:V54" ca="1" si="16">C48-Q48</f>
        <v>-1.3066000000000031</v>
      </c>
      <c r="W48">
        <f t="shared" ref="W48:W54" ca="1" si="17">C48-R48</f>
        <v>-4.5630999999999986</v>
      </c>
      <c r="X48">
        <f t="shared" ca="1" si="13"/>
        <v>-1.9875000000000043</v>
      </c>
    </row>
    <row r="49" spans="1:24" ht="15.5">
      <c r="A49" s="27" t="s">
        <v>11</v>
      </c>
      <c r="B49" s="25" t="s">
        <v>147</v>
      </c>
      <c r="C49">
        <f ca="1">_xll.ciqfunctions.udf.CIQ($B49,"IQ_CDS_mid",C$2)</f>
        <v>52.115900000000003</v>
      </c>
      <c r="D49">
        <f ca="1">_xll.ciqfunctions.udf.CIQ($B49,"IQ_CDS_mid",D$2)</f>
        <v>52.115900000000003</v>
      </c>
      <c r="E49">
        <f ca="1">_xll.ciqfunctions.udf.CIQ($B49,"IQ_CDS_mid",E$2)</f>
        <v>52.115900000000003</v>
      </c>
      <c r="F49">
        <f ca="1">_xll.ciqfunctions.udf.CIQ($B49,"IQ_CDS_mid",F$2)</f>
        <v>52.115900000000003</v>
      </c>
      <c r="G49">
        <f ca="1">_xll.ciqfunctions.udf.CIQ($B49,"IQ_CDS_mid",G$2)</f>
        <v>52.223999999999997</v>
      </c>
      <c r="H49">
        <f ca="1">_xll.ciqfunctions.udf.CIQ($B49,"IQ_CDS_mid",H$2)</f>
        <v>53.031399999999998</v>
      </c>
      <c r="I49">
        <f ca="1">_xll.ciqfunctions.udf.CIQ($B49,"IQ_CDS_mid",I$2)</f>
        <v>53.4617</v>
      </c>
      <c r="J49">
        <f ca="1">_xll.ciqfunctions.udf.CIQ($B49,"IQ_CDS_mid",J$2)</f>
        <v>53.153199999999998</v>
      </c>
      <c r="K49">
        <f ca="1">_xll.ciqfunctions.udf.CIQ($B49,"IQ_CDS_mid",K$2)</f>
        <v>53.0747</v>
      </c>
      <c r="L49">
        <f ca="1">_xll.ciqfunctions.udf.CIQ($B49,"IQ_CDS_mid",L$2)</f>
        <v>53.0747</v>
      </c>
      <c r="M49">
        <f ca="1">_xll.ciqfunctions.udf.CIQ($B49,"IQ_CDS_mid",M$2)</f>
        <v>53.0747</v>
      </c>
      <c r="N49">
        <f ca="1">_xll.ciqfunctions.udf.CIQ($B49,"IQ_CDS_mid",N$2)</f>
        <v>53.291200000000003</v>
      </c>
      <c r="O49">
        <f ca="1">_xll.ciqfunctions.udf.CIQ($B49,"IQ_CDS_mid",O$2)</f>
        <v>53.244700000000002</v>
      </c>
      <c r="P49">
        <f ca="1">_xll.ciqfunctions.udf.CIQ($B49,"IQ_CDS_mid",P$2)</f>
        <v>53.355699999999999</v>
      </c>
      <c r="Q49">
        <f ca="1">_xll.ciqfunctions.udf.CIQ($B49,"IQ_CDS_mid",Q$2)</f>
        <v>54.302999999999997</v>
      </c>
      <c r="R49">
        <f ca="1">_xll.ciqfunctions.udf.CIQ($B49,"IQ_CDS_mid",R$2)</f>
        <v>55.544499999999999</v>
      </c>
      <c r="S49">
        <f ca="1">_xll.ciqfunctions.udf.CIQ($B49,"IQ_CDS_mid",S$2)</f>
        <v>53.013100000000001</v>
      </c>
      <c r="T49">
        <f t="shared" ca="1" si="14"/>
        <v>-0.91549999999999443</v>
      </c>
      <c r="U49">
        <f t="shared" ca="1" si="15"/>
        <v>-0.95879999999999654</v>
      </c>
      <c r="V49">
        <f t="shared" ca="1" si="16"/>
        <v>-2.1870999999999938</v>
      </c>
      <c r="W49">
        <f t="shared" ca="1" si="17"/>
        <v>-3.4285999999999959</v>
      </c>
      <c r="X49">
        <f t="shared" ca="1" si="13"/>
        <v>-0.897199999999998</v>
      </c>
    </row>
    <row r="50" spans="1:24" ht="15.5">
      <c r="A50" s="27" t="s">
        <v>146</v>
      </c>
      <c r="B50" s="25" t="s">
        <v>145</v>
      </c>
      <c r="C50">
        <f ca="1">_xll.ciqfunctions.udf.CIQ($B50,"IQ_CDS_mid",C$2)</f>
        <v>37.396999999999998</v>
      </c>
      <c r="D50">
        <f ca="1">_xll.ciqfunctions.udf.CIQ($B50,"IQ_CDS_mid",D$2)</f>
        <v>37.396999999999998</v>
      </c>
      <c r="E50">
        <f ca="1">_xll.ciqfunctions.udf.CIQ($B50,"IQ_CDS_mid",E$2)</f>
        <v>37.396999999999998</v>
      </c>
      <c r="F50">
        <f ca="1">_xll.ciqfunctions.udf.CIQ($B50,"IQ_CDS_mid",F$2)</f>
        <v>37.396999999999998</v>
      </c>
      <c r="G50">
        <f ca="1">_xll.ciqfunctions.udf.CIQ($B50,"IQ_CDS_mid",G$2)</f>
        <v>36.908799999999999</v>
      </c>
      <c r="H50">
        <f ca="1">_xll.ciqfunctions.udf.CIQ($B50,"IQ_CDS_mid",H$2)</f>
        <v>37.886600000000001</v>
      </c>
      <c r="I50">
        <f ca="1">_xll.ciqfunctions.udf.CIQ($B50,"IQ_CDS_mid",I$2)</f>
        <v>37.864400000000003</v>
      </c>
      <c r="J50">
        <f ca="1">_xll.ciqfunctions.udf.CIQ($B50,"IQ_CDS_mid",J$2)</f>
        <v>37.75</v>
      </c>
      <c r="K50">
        <f ca="1">_xll.ciqfunctions.udf.CIQ($B50,"IQ_CDS_mid",K$2)</f>
        <v>37.892200000000003</v>
      </c>
      <c r="L50">
        <f ca="1">_xll.ciqfunctions.udf.CIQ($B50,"IQ_CDS_mid",L$2)</f>
        <v>37.892200000000003</v>
      </c>
      <c r="M50">
        <f ca="1">_xll.ciqfunctions.udf.CIQ($B50,"IQ_CDS_mid",M$2)</f>
        <v>37.892200000000003</v>
      </c>
      <c r="N50">
        <f ca="1">_xll.ciqfunctions.udf.CIQ($B50,"IQ_CDS_mid",N$2)</f>
        <v>37.713700000000003</v>
      </c>
      <c r="O50">
        <f ca="1">_xll.ciqfunctions.udf.CIQ($B50,"IQ_CDS_mid",O$2)</f>
        <v>37.864199999999997</v>
      </c>
      <c r="P50">
        <f ca="1">_xll.ciqfunctions.udf.CIQ($B50,"IQ_CDS_mid",P$2)</f>
        <v>38.1004</v>
      </c>
      <c r="Q50">
        <f ca="1">_xll.ciqfunctions.udf.CIQ($B50,"IQ_CDS_mid",Q$2)</f>
        <v>38.5488</v>
      </c>
      <c r="R50">
        <f ca="1">_xll.ciqfunctions.udf.CIQ($B50,"IQ_CDS_mid",R$2)</f>
        <v>42.005699999999997</v>
      </c>
      <c r="S50">
        <f ca="1">_xll.ciqfunctions.udf.CIQ($B50,"IQ_CDS_mid",S$2)</f>
        <v>38.392800000000001</v>
      </c>
      <c r="T50">
        <f t="shared" ca="1" si="14"/>
        <v>-0.48960000000000292</v>
      </c>
      <c r="U50">
        <f t="shared" ca="1" si="15"/>
        <v>-0.49520000000000408</v>
      </c>
      <c r="V50">
        <f t="shared" ca="1" si="16"/>
        <v>-1.1518000000000015</v>
      </c>
      <c r="W50">
        <f t="shared" ca="1" si="17"/>
        <v>-4.6086999999999989</v>
      </c>
      <c r="X50">
        <f t="shared" ca="1" si="13"/>
        <v>-0.99580000000000268</v>
      </c>
    </row>
    <row r="51" spans="1:24" ht="15.5">
      <c r="A51" s="27" t="s">
        <v>144</v>
      </c>
      <c r="B51" s="25" t="s">
        <v>143</v>
      </c>
      <c r="C51">
        <f ca="1">_xll.ciqfunctions.udf.CIQ($B51,"IQ_CDS_mid",C$2)</f>
        <v>52.232799999999997</v>
      </c>
      <c r="D51">
        <f ca="1">_xll.ciqfunctions.udf.CIQ($B51,"IQ_CDS_mid",D$2)</f>
        <v>52.232799999999997</v>
      </c>
      <c r="E51">
        <f ca="1">_xll.ciqfunctions.udf.CIQ($B51,"IQ_CDS_mid",E$2)</f>
        <v>52.232799999999997</v>
      </c>
      <c r="F51">
        <f ca="1">_xll.ciqfunctions.udf.CIQ($B51,"IQ_CDS_mid",F$2)</f>
        <v>52.232799999999997</v>
      </c>
      <c r="G51">
        <f ca="1">_xll.ciqfunctions.udf.CIQ($B51,"IQ_CDS_mid",G$2)</f>
        <v>52.510100000000001</v>
      </c>
      <c r="H51">
        <f ca="1">_xll.ciqfunctions.udf.CIQ($B51,"IQ_CDS_mid",H$2)</f>
        <v>52.664400000000001</v>
      </c>
      <c r="I51">
        <f ca="1">_xll.ciqfunctions.udf.CIQ($B51,"IQ_CDS_mid",I$2)</f>
        <v>53.048099999999998</v>
      </c>
      <c r="J51">
        <f ca="1">_xll.ciqfunctions.udf.CIQ($B51,"IQ_CDS_mid",J$2)</f>
        <v>52.8</v>
      </c>
      <c r="K51">
        <f ca="1">_xll.ciqfunctions.udf.CIQ($B51,"IQ_CDS_mid",K$2)</f>
        <v>52.763199999999998</v>
      </c>
      <c r="L51">
        <f ca="1">_xll.ciqfunctions.udf.CIQ($B51,"IQ_CDS_mid",L$2)</f>
        <v>52.763199999999998</v>
      </c>
      <c r="M51">
        <f ca="1">_xll.ciqfunctions.udf.CIQ($B51,"IQ_CDS_mid",M$2)</f>
        <v>52.763199999999998</v>
      </c>
      <c r="N51">
        <f ca="1">_xll.ciqfunctions.udf.CIQ($B51,"IQ_CDS_mid",N$2)</f>
        <v>52.759300000000003</v>
      </c>
      <c r="O51">
        <f ca="1">_xll.ciqfunctions.udf.CIQ($B51,"IQ_CDS_mid",O$2)</f>
        <v>53.195799999999998</v>
      </c>
      <c r="P51">
        <f ca="1">_xll.ciqfunctions.udf.CIQ($B51,"IQ_CDS_mid",P$2)</f>
        <v>53.422199999999997</v>
      </c>
      <c r="Q51">
        <f ca="1">_xll.ciqfunctions.udf.CIQ($B51,"IQ_CDS_mid",Q$2)</f>
        <v>54.285699999999999</v>
      </c>
      <c r="R51">
        <f ca="1">_xll.ciqfunctions.udf.CIQ($B51,"IQ_CDS_mid",R$2)</f>
        <v>54.6616</v>
      </c>
      <c r="S51">
        <f ca="1">_xll.ciqfunctions.udf.CIQ($B51,"IQ_CDS_mid",S$2)</f>
        <v>54.8889</v>
      </c>
      <c r="T51">
        <f t="shared" ca="1" si="14"/>
        <v>-0.43160000000000309</v>
      </c>
      <c r="U51">
        <f t="shared" ca="1" si="15"/>
        <v>-0.5304000000000002</v>
      </c>
      <c r="V51">
        <f t="shared" ca="1" si="16"/>
        <v>-2.0529000000000011</v>
      </c>
      <c r="W51">
        <f t="shared" ca="1" si="17"/>
        <v>-2.4288000000000025</v>
      </c>
      <c r="X51">
        <f t="shared" ca="1" si="13"/>
        <v>-2.6561000000000021</v>
      </c>
    </row>
    <row r="52" spans="1:24" ht="15.5">
      <c r="A52" s="27" t="s">
        <v>14</v>
      </c>
      <c r="B52" s="25" t="s">
        <v>142</v>
      </c>
      <c r="C52">
        <f ca="1">_xll.ciqfunctions.udf.CIQ($B52,"IQ_CDS_mid",C$2)</f>
        <v>54.651899999999998</v>
      </c>
      <c r="D52">
        <f ca="1">_xll.ciqfunctions.udf.CIQ($B52,"IQ_CDS_mid",D$2)</f>
        <v>54.651899999999998</v>
      </c>
      <c r="E52">
        <f ca="1">_xll.ciqfunctions.udf.CIQ($B52,"IQ_CDS_mid",E$2)</f>
        <v>54.651899999999998</v>
      </c>
      <c r="F52">
        <f ca="1">_xll.ciqfunctions.udf.CIQ($B52,"IQ_CDS_mid",F$2)</f>
        <v>54.651899999999998</v>
      </c>
      <c r="G52">
        <f ca="1">_xll.ciqfunctions.udf.CIQ($B52,"IQ_CDS_mid",G$2)</f>
        <v>54.9602</v>
      </c>
      <c r="H52">
        <f ca="1">_xll.ciqfunctions.udf.CIQ($B52,"IQ_CDS_mid",H$2)</f>
        <v>55.272399999999998</v>
      </c>
      <c r="I52">
        <f ca="1">_xll.ciqfunctions.udf.CIQ($B52,"IQ_CDS_mid",I$2)</f>
        <v>55.602200000000003</v>
      </c>
      <c r="J52">
        <f ca="1">_xll.ciqfunctions.udf.CIQ($B52,"IQ_CDS_mid",J$2)</f>
        <v>55.666699999999999</v>
      </c>
      <c r="K52">
        <f ca="1">_xll.ciqfunctions.udf.CIQ($B52,"IQ_CDS_mid",K$2)</f>
        <v>54.839300000000001</v>
      </c>
      <c r="L52">
        <f ca="1">_xll.ciqfunctions.udf.CIQ($B52,"IQ_CDS_mid",L$2)</f>
        <v>54.839300000000001</v>
      </c>
      <c r="M52">
        <f ca="1">_xll.ciqfunctions.udf.CIQ($B52,"IQ_CDS_mid",M$2)</f>
        <v>54.839300000000001</v>
      </c>
      <c r="N52">
        <f ca="1">_xll.ciqfunctions.udf.CIQ($B52,"IQ_CDS_mid",N$2)</f>
        <v>54.8797</v>
      </c>
      <c r="O52">
        <f ca="1">_xll.ciqfunctions.udf.CIQ($B52,"IQ_CDS_mid",O$2)</f>
        <v>54.931699999999999</v>
      </c>
      <c r="P52">
        <f ca="1">_xll.ciqfunctions.udf.CIQ($B52,"IQ_CDS_mid",P$2)</f>
        <v>55.304099999999998</v>
      </c>
      <c r="Q52">
        <f ca="1">_xll.ciqfunctions.udf.CIQ($B52,"IQ_CDS_mid",Q$2)</f>
        <v>56.265300000000003</v>
      </c>
      <c r="R52">
        <f ca="1">_xll.ciqfunctions.udf.CIQ($B52,"IQ_CDS_mid",R$2)</f>
        <v>57.4803</v>
      </c>
      <c r="S52">
        <f ca="1">_xll.ciqfunctions.udf.CIQ($B52,"IQ_CDS_mid",S$2)</f>
        <v>51.837800000000001</v>
      </c>
      <c r="T52">
        <f t="shared" ca="1" si="14"/>
        <v>-0.62049999999999983</v>
      </c>
      <c r="U52">
        <f t="shared" ca="1" si="15"/>
        <v>-0.18740000000000379</v>
      </c>
      <c r="V52">
        <f t="shared" ca="1" si="16"/>
        <v>-1.6134000000000057</v>
      </c>
      <c r="W52">
        <f t="shared" ca="1" si="17"/>
        <v>-2.828400000000002</v>
      </c>
      <c r="X52">
        <f t="shared" ca="1" si="13"/>
        <v>2.8140999999999963</v>
      </c>
    </row>
    <row r="53" spans="1:24" ht="15.5">
      <c r="A53" s="27" t="s">
        <v>15</v>
      </c>
      <c r="B53" s="25" t="s">
        <v>141</v>
      </c>
      <c r="C53">
        <f ca="1">_xll.ciqfunctions.udf.CIQ($B53,"IQ_CDS_mid",C$2)</f>
        <v>45.815399999999997</v>
      </c>
      <c r="D53">
        <f ca="1">_xll.ciqfunctions.udf.CIQ($B53,"IQ_CDS_mid",D$2)</f>
        <v>45.815399999999997</v>
      </c>
      <c r="E53">
        <f ca="1">_xll.ciqfunctions.udf.CIQ($B53,"IQ_CDS_mid",E$2)</f>
        <v>45.815399999999997</v>
      </c>
      <c r="F53">
        <f ca="1">_xll.ciqfunctions.udf.CIQ($B53,"IQ_CDS_mid",F$2)</f>
        <v>45.815399999999997</v>
      </c>
      <c r="G53">
        <f ca="1">_xll.ciqfunctions.udf.CIQ($B53,"IQ_CDS_mid",G$2)</f>
        <v>45.8232</v>
      </c>
      <c r="H53">
        <f ca="1">_xll.ciqfunctions.udf.CIQ($B53,"IQ_CDS_mid",H$2)</f>
        <v>46.593499999999999</v>
      </c>
      <c r="I53">
        <f ca="1">_xll.ciqfunctions.udf.CIQ($B53,"IQ_CDS_mid",I$2)</f>
        <v>46.737099999999998</v>
      </c>
      <c r="J53">
        <f ca="1">_xll.ciqfunctions.udf.CIQ($B53,"IQ_CDS_mid",J$2)</f>
        <v>46.317799999999998</v>
      </c>
      <c r="K53">
        <f ca="1">_xll.ciqfunctions.udf.CIQ($B53,"IQ_CDS_mid",K$2)</f>
        <v>46.095700000000001</v>
      </c>
      <c r="L53">
        <f ca="1">_xll.ciqfunctions.udf.CIQ($B53,"IQ_CDS_mid",L$2)</f>
        <v>46.095700000000001</v>
      </c>
      <c r="M53">
        <f ca="1">_xll.ciqfunctions.udf.CIQ($B53,"IQ_CDS_mid",M$2)</f>
        <v>46.095700000000001</v>
      </c>
      <c r="N53">
        <f ca="1">_xll.ciqfunctions.udf.CIQ($B53,"IQ_CDS_mid",N$2)</f>
        <v>46.037999999999997</v>
      </c>
      <c r="O53">
        <f ca="1">_xll.ciqfunctions.udf.CIQ($B53,"IQ_CDS_mid",O$2)</f>
        <v>46.4086</v>
      </c>
      <c r="P53">
        <f ca="1">_xll.ciqfunctions.udf.CIQ($B53,"IQ_CDS_mid",P$2)</f>
        <v>46.840699999999998</v>
      </c>
      <c r="Q53">
        <f ca="1">_xll.ciqfunctions.udf.CIQ($B53,"IQ_CDS_mid",Q$2)</f>
        <v>47.502499999999998</v>
      </c>
      <c r="R53">
        <f ca="1">_xll.ciqfunctions.udf.CIQ($B53,"IQ_CDS_mid",R$2)</f>
        <v>51.561999999999998</v>
      </c>
      <c r="S53">
        <f ca="1">_xll.ciqfunctions.udf.CIQ($B53,"IQ_CDS_mid",S$2)</f>
        <v>45.861199999999997</v>
      </c>
      <c r="T53">
        <f t="shared" ca="1" si="14"/>
        <v>-0.77810000000000201</v>
      </c>
      <c r="U53">
        <f t="shared" ca="1" si="15"/>
        <v>-0.28030000000000399</v>
      </c>
      <c r="V53">
        <f t="shared" ca="1" si="16"/>
        <v>-1.6871000000000009</v>
      </c>
      <c r="W53">
        <f t="shared" ca="1" si="17"/>
        <v>-5.7466000000000008</v>
      </c>
      <c r="X53">
        <f t="shared" ca="1" si="13"/>
        <v>-4.5799999999999841E-2</v>
      </c>
    </row>
    <row r="54" spans="1:24" ht="15.5">
      <c r="A54" s="27" t="s">
        <v>140</v>
      </c>
      <c r="B54" s="25" t="s">
        <v>139</v>
      </c>
      <c r="C54">
        <f ca="1">_xll.ciqfunctions.udf.CIQ($B54,"IQ_CDS_mid",C$2)</f>
        <v>50.992800000000003</v>
      </c>
      <c r="D54">
        <f ca="1">_xll.ciqfunctions.udf.CIQ($B54,"IQ_CDS_mid",D$2)</f>
        <v>50.992800000000003</v>
      </c>
      <c r="E54">
        <f ca="1">_xll.ciqfunctions.udf.CIQ($B54,"IQ_CDS_mid",E$2)</f>
        <v>50.992800000000003</v>
      </c>
      <c r="F54">
        <f ca="1">_xll.ciqfunctions.udf.CIQ($B54,"IQ_CDS_mid",F$2)</f>
        <v>50.992800000000003</v>
      </c>
      <c r="G54">
        <f ca="1">_xll.ciqfunctions.udf.CIQ($B54,"IQ_CDS_mid",G$2)</f>
        <v>50.570900000000002</v>
      </c>
      <c r="H54">
        <f ca="1">_xll.ciqfunctions.udf.CIQ($B54,"IQ_CDS_mid",H$2)</f>
        <v>50.506900000000002</v>
      </c>
      <c r="I54">
        <f ca="1">_xll.ciqfunctions.udf.CIQ($B54,"IQ_CDS_mid",I$2)</f>
        <v>50.547800000000002</v>
      </c>
      <c r="J54">
        <f ca="1">_xll.ciqfunctions.udf.CIQ($B54,"IQ_CDS_mid",J$2)</f>
        <v>49.454900000000002</v>
      </c>
      <c r="K54">
        <f ca="1">_xll.ciqfunctions.udf.CIQ($B54,"IQ_CDS_mid",K$2)</f>
        <v>48.829300000000003</v>
      </c>
      <c r="L54">
        <f ca="1">_xll.ciqfunctions.udf.CIQ($B54,"IQ_CDS_mid",L$2)</f>
        <v>48.829300000000003</v>
      </c>
      <c r="M54">
        <f ca="1">_xll.ciqfunctions.udf.CIQ($B54,"IQ_CDS_mid",M$2)</f>
        <v>48.829300000000003</v>
      </c>
      <c r="N54">
        <f ca="1">_xll.ciqfunctions.udf.CIQ($B54,"IQ_CDS_mid",N$2)</f>
        <v>48.907600000000002</v>
      </c>
      <c r="O54">
        <f ca="1">_xll.ciqfunctions.udf.CIQ($B54,"IQ_CDS_mid",O$2)</f>
        <v>49.022399999999998</v>
      </c>
      <c r="P54">
        <f ca="1">_xll.ciqfunctions.udf.CIQ($B54,"IQ_CDS_mid",P$2)</f>
        <v>49.099800000000002</v>
      </c>
      <c r="Q54">
        <f ca="1">_xll.ciqfunctions.udf.CIQ($B54,"IQ_CDS_mid",Q$2)</f>
        <v>49.553899999999999</v>
      </c>
      <c r="R54">
        <f ca="1">_xll.ciqfunctions.udf.CIQ($B54,"IQ_CDS_mid",R$2)</f>
        <v>53.222700000000003</v>
      </c>
      <c r="S54">
        <f ca="1">_xll.ciqfunctions.udf.CIQ($B54,"IQ_CDS_mid",S$2)</f>
        <v>47.966099999999997</v>
      </c>
      <c r="T54">
        <f t="shared" ca="1" si="14"/>
        <v>0.48590000000000089</v>
      </c>
      <c r="U54">
        <f t="shared" ca="1" si="15"/>
        <v>2.1634999999999991</v>
      </c>
      <c r="V54">
        <f t="shared" ca="1" si="16"/>
        <v>1.4389000000000038</v>
      </c>
      <c r="W54">
        <f t="shared" ca="1" si="17"/>
        <v>-2.2299000000000007</v>
      </c>
      <c r="X54">
        <f t="shared" ca="1" si="13"/>
        <v>3.0267000000000053</v>
      </c>
    </row>
    <row r="55" spans="1:24" ht="15.5">
      <c r="A55" s="28" t="s">
        <v>17</v>
      </c>
      <c r="X55">
        <f t="shared" si="13"/>
        <v>0</v>
      </c>
    </row>
    <row r="56" spans="1:24" ht="15.5">
      <c r="A56" s="27" t="s">
        <v>18</v>
      </c>
      <c r="B56" s="25" t="s">
        <v>138</v>
      </c>
      <c r="C56">
        <f ca="1">_xll.ciqfunctions.udf.CIQ($B56,"IQ_CDS_mid",C$2)</f>
        <v>41.904000000000003</v>
      </c>
      <c r="D56">
        <f ca="1">_xll.ciqfunctions.udf.CIQ($B56,"IQ_CDS_mid",D$2)</f>
        <v>41.904000000000003</v>
      </c>
      <c r="E56">
        <f ca="1">_xll.ciqfunctions.udf.CIQ($B56,"IQ_CDS_mid",E$2)</f>
        <v>41.904000000000003</v>
      </c>
      <c r="F56">
        <f ca="1">_xll.ciqfunctions.udf.CIQ($B56,"IQ_CDS_mid",F$2)</f>
        <v>41.904000000000003</v>
      </c>
      <c r="G56">
        <f ca="1">_xll.ciqfunctions.udf.CIQ($B56,"IQ_CDS_mid",G$2)</f>
        <v>42.080199999999998</v>
      </c>
      <c r="H56">
        <f ca="1">_xll.ciqfunctions.udf.CIQ($B56,"IQ_CDS_mid",H$2)</f>
        <v>42.424300000000002</v>
      </c>
      <c r="I56">
        <f ca="1">_xll.ciqfunctions.udf.CIQ($B56,"IQ_CDS_mid",I$2)</f>
        <v>42.239899999999999</v>
      </c>
      <c r="J56">
        <f ca="1">_xll.ciqfunctions.udf.CIQ($B56,"IQ_CDS_mid",J$2)</f>
        <v>41.2562</v>
      </c>
      <c r="K56">
        <f ca="1">_xll.ciqfunctions.udf.CIQ($B56,"IQ_CDS_mid",K$2)</f>
        <v>41.58</v>
      </c>
      <c r="L56">
        <f ca="1">_xll.ciqfunctions.udf.CIQ($B56,"IQ_CDS_mid",L$2)</f>
        <v>41.58</v>
      </c>
      <c r="M56">
        <f ca="1">_xll.ciqfunctions.udf.CIQ($B56,"IQ_CDS_mid",M$2)</f>
        <v>41.58</v>
      </c>
      <c r="N56">
        <f ca="1">_xll.ciqfunctions.udf.CIQ($B56,"IQ_CDS_mid",N$2)</f>
        <v>40.711100000000002</v>
      </c>
      <c r="O56">
        <f ca="1">_xll.ciqfunctions.udf.CIQ($B56,"IQ_CDS_mid",O$2)</f>
        <v>40.86</v>
      </c>
      <c r="P56">
        <f ca="1">_xll.ciqfunctions.udf.CIQ($B56,"IQ_CDS_mid",P$2)</f>
        <v>40.450000000000003</v>
      </c>
      <c r="Q56">
        <f ca="1">_xll.ciqfunctions.udf.CIQ($B56,"IQ_CDS_mid",Q$2)</f>
        <v>40.708399999999997</v>
      </c>
      <c r="R56">
        <f ca="1">_xll.ciqfunctions.udf.CIQ($B56,"IQ_CDS_mid",R$2)</f>
        <v>38.508299999999998</v>
      </c>
      <c r="S56">
        <f ca="1">_xll.ciqfunctions.udf.CIQ($B56,"IQ_CDS_mid",S$2)</f>
        <v>43.262900000000002</v>
      </c>
      <c r="T56">
        <f ca="1">C56-H56</f>
        <v>-0.52029999999999887</v>
      </c>
      <c r="U56">
        <f ca="1">C56-M56</f>
        <v>0.32400000000000517</v>
      </c>
      <c r="V56">
        <f ca="1">C56-Q56</f>
        <v>1.195600000000006</v>
      </c>
      <c r="W56">
        <f ca="1">C56-R56</f>
        <v>3.395700000000005</v>
      </c>
      <c r="X56">
        <f t="shared" ca="1" si="13"/>
        <v>-1.3588999999999984</v>
      </c>
    </row>
    <row r="57" spans="1:24" ht="15.5">
      <c r="A57" s="27" t="s">
        <v>19</v>
      </c>
      <c r="B57" s="25" t="s">
        <v>137</v>
      </c>
      <c r="C57">
        <f ca="1">_xll.ciqfunctions.udf.CIQ($B57,"IQ_CDS_mid",C$2)</f>
        <v>36.717799999999997</v>
      </c>
      <c r="D57">
        <f ca="1">_xll.ciqfunctions.udf.CIQ($B57,"IQ_CDS_mid",D$2)</f>
        <v>36.717799999999997</v>
      </c>
      <c r="E57">
        <f ca="1">_xll.ciqfunctions.udf.CIQ($B57,"IQ_CDS_mid",E$2)</f>
        <v>36.717799999999997</v>
      </c>
      <c r="F57">
        <f ca="1">_xll.ciqfunctions.udf.CIQ($B57,"IQ_CDS_mid",F$2)</f>
        <v>36.717799999999997</v>
      </c>
      <c r="G57">
        <f ca="1">_xll.ciqfunctions.udf.CIQ($B57,"IQ_CDS_mid",G$2)</f>
        <v>36.858499999999999</v>
      </c>
      <c r="H57">
        <f ca="1">_xll.ciqfunctions.udf.CIQ($B57,"IQ_CDS_mid",H$2)</f>
        <v>36.7684</v>
      </c>
      <c r="I57">
        <f ca="1">_xll.ciqfunctions.udf.CIQ($B57,"IQ_CDS_mid",I$2)</f>
        <v>36.564</v>
      </c>
      <c r="J57">
        <f ca="1">_xll.ciqfunctions.udf.CIQ($B57,"IQ_CDS_mid",J$2)</f>
        <v>35.976900000000001</v>
      </c>
      <c r="K57">
        <f ca="1">_xll.ciqfunctions.udf.CIQ($B57,"IQ_CDS_mid",K$2)</f>
        <v>35.892899999999997</v>
      </c>
      <c r="L57">
        <f ca="1">_xll.ciqfunctions.udf.CIQ($B57,"IQ_CDS_mid",L$2)</f>
        <v>35.892899999999997</v>
      </c>
      <c r="M57">
        <f ca="1">_xll.ciqfunctions.udf.CIQ($B57,"IQ_CDS_mid",M$2)</f>
        <v>35.892899999999997</v>
      </c>
      <c r="N57">
        <f ca="1">_xll.ciqfunctions.udf.CIQ($B57,"IQ_CDS_mid",N$2)</f>
        <v>35.112900000000003</v>
      </c>
      <c r="O57">
        <f ca="1">_xll.ciqfunctions.udf.CIQ($B57,"IQ_CDS_mid",O$2)</f>
        <v>35.137500000000003</v>
      </c>
      <c r="P57">
        <f ca="1">_xll.ciqfunctions.udf.CIQ($B57,"IQ_CDS_mid",P$2)</f>
        <v>35.75</v>
      </c>
      <c r="Q57">
        <f ca="1">_xll.ciqfunctions.udf.CIQ($B57,"IQ_CDS_mid",Q$2)</f>
        <v>35.440100000000001</v>
      </c>
      <c r="R57">
        <f ca="1">_xll.ciqfunctions.udf.CIQ($B57,"IQ_CDS_mid",R$2)</f>
        <v>32.642899999999997</v>
      </c>
      <c r="S57">
        <f ca="1">_xll.ciqfunctions.udf.CIQ($B57,"IQ_CDS_mid",S$2)</f>
        <v>40.3157</v>
      </c>
      <c r="T57">
        <f ca="1">C57-H57</f>
        <v>-5.0600000000002865E-2</v>
      </c>
      <c r="U57">
        <f ca="1">C57-M57</f>
        <v>0.82489999999999952</v>
      </c>
      <c r="V57">
        <f ca="1">C57-Q57</f>
        <v>1.2776999999999958</v>
      </c>
      <c r="W57">
        <f ca="1">C57-R57</f>
        <v>4.0748999999999995</v>
      </c>
      <c r="X57">
        <f t="shared" ca="1" si="13"/>
        <v>-3.5979000000000028</v>
      </c>
    </row>
    <row r="58" spans="1:24" ht="15.5">
      <c r="A58" s="27" t="s">
        <v>136</v>
      </c>
      <c r="B58" s="25" t="s">
        <v>135</v>
      </c>
      <c r="C58">
        <f ca="1">_xll.ciqfunctions.udf.CIQ($B58,"IQ_CDS_mid",C$2)</f>
        <v>44.103900000000003</v>
      </c>
      <c r="D58">
        <f ca="1">_xll.ciqfunctions.udf.CIQ($B58,"IQ_CDS_mid",D$2)</f>
        <v>44.103900000000003</v>
      </c>
      <c r="E58">
        <f ca="1">_xll.ciqfunctions.udf.CIQ($B58,"IQ_CDS_mid",E$2)</f>
        <v>44.103900000000003</v>
      </c>
      <c r="F58">
        <f ca="1">_xll.ciqfunctions.udf.CIQ($B58,"IQ_CDS_mid",F$2)</f>
        <v>44.103900000000003</v>
      </c>
      <c r="G58">
        <f ca="1">_xll.ciqfunctions.udf.CIQ($B58,"IQ_CDS_mid",G$2)</f>
        <v>44.336100000000002</v>
      </c>
      <c r="H58">
        <f ca="1">_xll.ciqfunctions.udf.CIQ($B58,"IQ_CDS_mid",H$2)</f>
        <v>44.561300000000003</v>
      </c>
      <c r="I58">
        <f ca="1">_xll.ciqfunctions.udf.CIQ($B58,"IQ_CDS_mid",I$2)</f>
        <v>44.215400000000002</v>
      </c>
      <c r="J58">
        <f ca="1">_xll.ciqfunctions.udf.CIQ($B58,"IQ_CDS_mid",J$2)</f>
        <v>43.421700000000001</v>
      </c>
      <c r="K58">
        <f ca="1">_xll.ciqfunctions.udf.CIQ($B58,"IQ_CDS_mid",K$2)</f>
        <v>43.607100000000003</v>
      </c>
      <c r="L58">
        <f ca="1">_xll.ciqfunctions.udf.CIQ($B58,"IQ_CDS_mid",L$2)</f>
        <v>43.607100000000003</v>
      </c>
      <c r="M58">
        <f ca="1">_xll.ciqfunctions.udf.CIQ($B58,"IQ_CDS_mid",M$2)</f>
        <v>43.607100000000003</v>
      </c>
      <c r="N58">
        <f ca="1">_xll.ciqfunctions.udf.CIQ($B58,"IQ_CDS_mid",N$2)</f>
        <v>43.193899999999999</v>
      </c>
      <c r="O58">
        <f ca="1">_xll.ciqfunctions.udf.CIQ($B58,"IQ_CDS_mid",O$2)</f>
        <v>43</v>
      </c>
      <c r="P58">
        <f ca="1">_xll.ciqfunctions.udf.CIQ($B58,"IQ_CDS_mid",P$2)</f>
        <v>42.911700000000003</v>
      </c>
      <c r="Q58">
        <f ca="1">_xll.ciqfunctions.udf.CIQ($B58,"IQ_CDS_mid",Q$2)</f>
        <v>43.063600000000001</v>
      </c>
      <c r="R58">
        <f ca="1">_xll.ciqfunctions.udf.CIQ($B58,"IQ_CDS_mid",R$2)</f>
        <v>40.895299999999999</v>
      </c>
      <c r="S58">
        <f ca="1">_xll.ciqfunctions.udf.CIQ($B58,"IQ_CDS_mid",S$2)</f>
        <v>49.694400000000002</v>
      </c>
      <c r="T58">
        <f ca="1">C58-H58</f>
        <v>-0.45739999999999981</v>
      </c>
      <c r="U58">
        <f ca="1">C58-M58</f>
        <v>0.49680000000000035</v>
      </c>
      <c r="V58">
        <f ca="1">C58-Q58</f>
        <v>1.040300000000002</v>
      </c>
      <c r="W58">
        <f ca="1">C58-R58</f>
        <v>3.2086000000000041</v>
      </c>
      <c r="X58">
        <f t="shared" ca="1" si="13"/>
        <v>-5.5904999999999987</v>
      </c>
    </row>
    <row r="59" spans="1:24" ht="15.5">
      <c r="A59" s="28" t="s">
        <v>21</v>
      </c>
      <c r="X59">
        <f t="shared" si="13"/>
        <v>0</v>
      </c>
    </row>
    <row r="60" spans="1:24" ht="15.5">
      <c r="A60" s="27" t="s">
        <v>134</v>
      </c>
      <c r="B60" s="25" t="s">
        <v>133</v>
      </c>
      <c r="C60">
        <f ca="1">_xll.ciqfunctions.udf.CIQ($B60,"IQ_CDS_mid",C$2)</f>
        <v>44.495199999999997</v>
      </c>
      <c r="D60">
        <f ca="1">_xll.ciqfunctions.udf.CIQ($B60,"IQ_CDS_mid",D$2)</f>
        <v>44.495199999999997</v>
      </c>
      <c r="E60">
        <f ca="1">_xll.ciqfunctions.udf.CIQ($B60,"IQ_CDS_mid",E$2)</f>
        <v>44.495199999999997</v>
      </c>
      <c r="F60">
        <f ca="1">_xll.ciqfunctions.udf.CIQ($B60,"IQ_CDS_mid",F$2)</f>
        <v>44.495199999999997</v>
      </c>
      <c r="G60">
        <f ca="1">_xll.ciqfunctions.udf.CIQ($B60,"IQ_CDS_mid",G$2)</f>
        <v>44.533099999999997</v>
      </c>
      <c r="H60">
        <f ca="1">_xll.ciqfunctions.udf.CIQ($B60,"IQ_CDS_mid",H$2)</f>
        <v>44.659500000000001</v>
      </c>
      <c r="I60">
        <f ca="1">_xll.ciqfunctions.udf.CIQ($B60,"IQ_CDS_mid",I$2)</f>
        <v>44.510899999999999</v>
      </c>
      <c r="J60">
        <f ca="1">_xll.ciqfunctions.udf.CIQ($B60,"IQ_CDS_mid",J$2)</f>
        <v>44.359499999999997</v>
      </c>
      <c r="K60">
        <f ca="1">_xll.ciqfunctions.udf.CIQ($B60,"IQ_CDS_mid",K$2)</f>
        <v>44.140999999999998</v>
      </c>
      <c r="L60">
        <f ca="1">_xll.ciqfunctions.udf.CIQ($B60,"IQ_CDS_mid",L$2)</f>
        <v>44.140999999999998</v>
      </c>
      <c r="M60">
        <f ca="1">_xll.ciqfunctions.udf.CIQ($B60,"IQ_CDS_mid",M$2)</f>
        <v>44.140999999999998</v>
      </c>
      <c r="N60">
        <f ca="1">_xll.ciqfunctions.udf.CIQ($B60,"IQ_CDS_mid",N$2)</f>
        <v>44.1098</v>
      </c>
      <c r="O60">
        <f ca="1">_xll.ciqfunctions.udf.CIQ($B60,"IQ_CDS_mid",O$2)</f>
        <v>43.959000000000003</v>
      </c>
      <c r="P60">
        <f ca="1">_xll.ciqfunctions.udf.CIQ($B60,"IQ_CDS_mid",P$2)</f>
        <v>44.442900000000002</v>
      </c>
      <c r="Q60">
        <f ca="1">_xll.ciqfunctions.udf.CIQ($B60,"IQ_CDS_mid",Q$2)</f>
        <v>45.041600000000003</v>
      </c>
      <c r="R60">
        <f ca="1">_xll.ciqfunctions.udf.CIQ($B60,"IQ_CDS_mid",R$2)</f>
        <v>49.625</v>
      </c>
      <c r="S60">
        <f ca="1">_xll.ciqfunctions.udf.CIQ($B60,"IQ_CDS_mid",S$2)</f>
        <v>46.166699999999999</v>
      </c>
      <c r="T60">
        <f ca="1">C60-H60</f>
        <v>-0.16430000000000433</v>
      </c>
      <c r="U60">
        <f ca="1">C60-M60</f>
        <v>0.35419999999999874</v>
      </c>
      <c r="V60">
        <f ca="1">C60-Q60</f>
        <v>-0.54640000000000555</v>
      </c>
      <c r="W60">
        <f ca="1">C60-R60</f>
        <v>-5.129800000000003</v>
      </c>
      <c r="X60">
        <f t="shared" ca="1" si="13"/>
        <v>-1.6715000000000018</v>
      </c>
    </row>
    <row r="61" spans="1:24" ht="15.5">
      <c r="A61" s="27" t="s">
        <v>132</v>
      </c>
      <c r="B61" s="25" t="s">
        <v>131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8" t="s">
        <v>23</v>
      </c>
      <c r="X62">
        <f t="shared" si="13"/>
        <v>0</v>
      </c>
    </row>
    <row r="63" spans="1:24" ht="15.5">
      <c r="A63" s="27" t="s">
        <v>24</v>
      </c>
      <c r="B63" s="25" t="s">
        <v>130</v>
      </c>
      <c r="C63">
        <f ca="1">_xll.ciqfunctions.udf.CIQ($B63,"IQ_CDS_mid",C$2)</f>
        <v>53.640900000000002</v>
      </c>
      <c r="D63">
        <f ca="1">_xll.ciqfunctions.udf.CIQ($B63,"IQ_CDS_mid",D$2)</f>
        <v>53.640900000000002</v>
      </c>
      <c r="E63">
        <f ca="1">_xll.ciqfunctions.udf.CIQ($B63,"IQ_CDS_mid",E$2)</f>
        <v>53.640900000000002</v>
      </c>
      <c r="F63">
        <f ca="1">_xll.ciqfunctions.udf.CIQ($B63,"IQ_CDS_mid",F$2)</f>
        <v>53.640900000000002</v>
      </c>
      <c r="G63">
        <f ca="1">_xll.ciqfunctions.udf.CIQ($B63,"IQ_CDS_mid",G$2)</f>
        <v>53.862200000000001</v>
      </c>
      <c r="H63">
        <f ca="1">_xll.ciqfunctions.udf.CIQ($B63,"IQ_CDS_mid",H$2)</f>
        <v>53.958399999999997</v>
      </c>
      <c r="I63">
        <f ca="1">_xll.ciqfunctions.udf.CIQ($B63,"IQ_CDS_mid",I$2)</f>
        <v>53.508099999999999</v>
      </c>
      <c r="J63">
        <f ca="1">_xll.ciqfunctions.udf.CIQ($B63,"IQ_CDS_mid",J$2)</f>
        <v>52.88</v>
      </c>
      <c r="K63">
        <f ca="1">_xll.ciqfunctions.udf.CIQ($B63,"IQ_CDS_mid",K$2)</f>
        <v>52.75</v>
      </c>
      <c r="L63">
        <f ca="1">_xll.ciqfunctions.udf.CIQ($B63,"IQ_CDS_mid",L$2)</f>
        <v>52.75</v>
      </c>
      <c r="M63">
        <f ca="1">_xll.ciqfunctions.udf.CIQ($B63,"IQ_CDS_mid",M$2)</f>
        <v>52.75</v>
      </c>
      <c r="N63">
        <f ca="1">_xll.ciqfunctions.udf.CIQ($B63,"IQ_CDS_mid",N$2)</f>
        <v>53.081800000000001</v>
      </c>
      <c r="O63">
        <f ca="1">_xll.ciqfunctions.udf.CIQ($B63,"IQ_CDS_mid",O$2)</f>
        <v>53.1</v>
      </c>
      <c r="P63">
        <f ca="1">_xll.ciqfunctions.udf.CIQ($B63,"IQ_CDS_mid",P$2)</f>
        <v>52.796799999999998</v>
      </c>
      <c r="Q63">
        <f ca="1">_xll.ciqfunctions.udf.CIQ($B63,"IQ_CDS_mid",Q$2)</f>
        <v>53.282400000000003</v>
      </c>
      <c r="R63">
        <f ca="1">_xll.ciqfunctions.udf.CIQ($B63,"IQ_CDS_mid",R$2)</f>
        <v>65</v>
      </c>
      <c r="S63">
        <f ca="1">_xll.ciqfunctions.udf.CIQ($B63,"IQ_CDS_mid",S$2)</f>
        <v>65.518900000000002</v>
      </c>
      <c r="T63">
        <f ca="1">C63-H63</f>
        <v>-0.31749999999999545</v>
      </c>
      <c r="U63">
        <f ca="1">C63-M63</f>
        <v>0.89090000000000202</v>
      </c>
      <c r="V63">
        <f ca="1">C63-Q63</f>
        <v>0.35849999999999937</v>
      </c>
      <c r="W63">
        <f ca="1">C63-R63</f>
        <v>-11.359099999999998</v>
      </c>
      <c r="X63">
        <f t="shared" ca="1" si="13"/>
        <v>-11.878</v>
      </c>
    </row>
    <row r="64" spans="1:24" ht="15.5">
      <c r="A64" s="27" t="s">
        <v>25</v>
      </c>
      <c r="B64" s="25" t="s">
        <v>129</v>
      </c>
      <c r="C64">
        <f ca="1">_xll.ciqfunctions.udf.CIQ($B64,"IQ_CDS_mid",C$2)</f>
        <v>35.656700000000001</v>
      </c>
      <c r="D64">
        <f ca="1">_xll.ciqfunctions.udf.CIQ($B64,"IQ_CDS_mid",D$2)</f>
        <v>35.656700000000001</v>
      </c>
      <c r="E64">
        <f ca="1">_xll.ciqfunctions.udf.CIQ($B64,"IQ_CDS_mid",E$2)</f>
        <v>35.656700000000001</v>
      </c>
      <c r="F64">
        <f ca="1">_xll.ciqfunctions.udf.CIQ($B64,"IQ_CDS_mid",F$2)</f>
        <v>35.656700000000001</v>
      </c>
      <c r="G64">
        <f ca="1">_xll.ciqfunctions.udf.CIQ($B64,"IQ_CDS_mid",G$2)</f>
        <v>36.068100000000001</v>
      </c>
      <c r="H64">
        <f ca="1">_xll.ciqfunctions.udf.CIQ($B64,"IQ_CDS_mid",H$2)</f>
        <v>36.200000000000003</v>
      </c>
      <c r="I64">
        <f ca="1">_xll.ciqfunctions.udf.CIQ($B64,"IQ_CDS_mid",I$2)</f>
        <v>36.014299999999999</v>
      </c>
      <c r="J64">
        <f ca="1">_xll.ciqfunctions.udf.CIQ($B64,"IQ_CDS_mid",J$2)</f>
        <v>35.332500000000003</v>
      </c>
      <c r="K64">
        <f ca="1">_xll.ciqfunctions.udf.CIQ($B64,"IQ_CDS_mid",K$2)</f>
        <v>35.108800000000002</v>
      </c>
      <c r="L64">
        <f ca="1">_xll.ciqfunctions.udf.CIQ($B64,"IQ_CDS_mid",L$2)</f>
        <v>35.108800000000002</v>
      </c>
      <c r="M64">
        <f ca="1">_xll.ciqfunctions.udf.CIQ($B64,"IQ_CDS_mid",M$2)</f>
        <v>35.108800000000002</v>
      </c>
      <c r="N64">
        <f ca="1">_xll.ciqfunctions.udf.CIQ($B64,"IQ_CDS_mid",N$2)</f>
        <v>35.654600000000002</v>
      </c>
      <c r="O64">
        <f ca="1">_xll.ciqfunctions.udf.CIQ($B64,"IQ_CDS_mid",O$2)</f>
        <v>35.460999999999999</v>
      </c>
      <c r="P64">
        <f ca="1">_xll.ciqfunctions.udf.CIQ($B64,"IQ_CDS_mid",P$2)</f>
        <v>35.397799999999997</v>
      </c>
      <c r="Q64">
        <f ca="1">_xll.ciqfunctions.udf.CIQ($B64,"IQ_CDS_mid",Q$2)</f>
        <v>35.863399999999999</v>
      </c>
      <c r="R64">
        <f ca="1">_xll.ciqfunctions.udf.CIQ($B64,"IQ_CDS_mid",R$2)</f>
        <v>40.8386</v>
      </c>
      <c r="S64">
        <f ca="1">_xll.ciqfunctions.udf.CIQ($B64,"IQ_CDS_mid",S$2)</f>
        <v>46.460299999999997</v>
      </c>
      <c r="T64">
        <f ca="1">C64-H64</f>
        <v>-0.54330000000000211</v>
      </c>
      <c r="U64">
        <f ca="1">C64-M64</f>
        <v>0.5478999999999985</v>
      </c>
      <c r="V64">
        <f ca="1">C64-Q64</f>
        <v>-0.20669999999999789</v>
      </c>
      <c r="W64">
        <f ca="1">C64-R64</f>
        <v>-5.1818999999999988</v>
      </c>
      <c r="X64">
        <f t="shared" ca="1" si="13"/>
        <v>-10.803599999999996</v>
      </c>
    </row>
    <row r="65" spans="1:24" ht="15.5">
      <c r="A65" s="27" t="s">
        <v>26</v>
      </c>
      <c r="B65" s="25" t="s">
        <v>128</v>
      </c>
      <c r="C65">
        <f ca="1">_xll.ciqfunctions.udf.CIQ($B65,"IQ_CDS_mid",C$2)</f>
        <v>51.6462</v>
      </c>
      <c r="D65">
        <f ca="1">_xll.ciqfunctions.udf.CIQ($B65,"IQ_CDS_mid",D$2)</f>
        <v>51.6462</v>
      </c>
      <c r="E65">
        <f ca="1">_xll.ciqfunctions.udf.CIQ($B65,"IQ_CDS_mid",E$2)</f>
        <v>51.6462</v>
      </c>
      <c r="F65">
        <f ca="1">_xll.ciqfunctions.udf.CIQ($B65,"IQ_CDS_mid",F$2)</f>
        <v>51.6462</v>
      </c>
      <c r="G65">
        <f ca="1">_xll.ciqfunctions.udf.CIQ($B65,"IQ_CDS_mid",G$2)</f>
        <v>51.848399999999998</v>
      </c>
      <c r="H65">
        <f ca="1">_xll.ciqfunctions.udf.CIQ($B65,"IQ_CDS_mid",H$2)</f>
        <v>52.226300000000002</v>
      </c>
      <c r="I65">
        <f ca="1">_xll.ciqfunctions.udf.CIQ($B65,"IQ_CDS_mid",I$2)</f>
        <v>51.746600000000001</v>
      </c>
      <c r="J65">
        <f ca="1">_xll.ciqfunctions.udf.CIQ($B65,"IQ_CDS_mid",J$2)</f>
        <v>50.981099999999998</v>
      </c>
      <c r="K65">
        <f ca="1">_xll.ciqfunctions.udf.CIQ($B65,"IQ_CDS_mid",K$2)</f>
        <v>51</v>
      </c>
      <c r="L65">
        <f ca="1">_xll.ciqfunctions.udf.CIQ($B65,"IQ_CDS_mid",L$2)</f>
        <v>51</v>
      </c>
      <c r="M65">
        <f ca="1">_xll.ciqfunctions.udf.CIQ($B65,"IQ_CDS_mid",M$2)</f>
        <v>51</v>
      </c>
      <c r="N65">
        <f ca="1">_xll.ciqfunctions.udf.CIQ($B65,"IQ_CDS_mid",N$2)</f>
        <v>50.931100000000001</v>
      </c>
      <c r="O65">
        <f ca="1">_xll.ciqfunctions.udf.CIQ($B65,"IQ_CDS_mid",O$2)</f>
        <v>50.8125</v>
      </c>
      <c r="P65">
        <f ca="1">_xll.ciqfunctions.udf.CIQ($B65,"IQ_CDS_mid",P$2)</f>
        <v>50.931100000000001</v>
      </c>
      <c r="Q65">
        <f ca="1">_xll.ciqfunctions.udf.CIQ($B65,"IQ_CDS_mid",Q$2)</f>
        <v>51.125300000000003</v>
      </c>
      <c r="R65">
        <f ca="1">_xll.ciqfunctions.udf.CIQ($B65,"IQ_CDS_mid",R$2)</f>
        <v>57.6875</v>
      </c>
      <c r="S65">
        <f ca="1">_xll.ciqfunctions.udf.CIQ($B65,"IQ_CDS_mid",S$2)</f>
        <v>58.055100000000003</v>
      </c>
      <c r="T65">
        <f ca="1">C65-H65</f>
        <v>-0.58010000000000161</v>
      </c>
      <c r="U65">
        <f ca="1">C65-M65</f>
        <v>0.64620000000000033</v>
      </c>
      <c r="V65">
        <f ca="1">C65-Q65</f>
        <v>0.52089999999999748</v>
      </c>
      <c r="W65">
        <f ca="1">C65-R65</f>
        <v>-6.0412999999999997</v>
      </c>
      <c r="X65">
        <f t="shared" ca="1" si="13"/>
        <v>-6.4089000000000027</v>
      </c>
    </row>
    <row r="66" spans="1:24" ht="15.5">
      <c r="A66" s="27" t="s">
        <v>127</v>
      </c>
      <c r="B66" s="25" t="s">
        <v>126</v>
      </c>
      <c r="C66">
        <f ca="1">_xll.ciqfunctions.udf.CIQ($B66,"IQ_CDS_mid",C$2)</f>
        <v>38.715200000000003</v>
      </c>
      <c r="D66">
        <f ca="1">_xll.ciqfunctions.udf.CIQ($B66,"IQ_CDS_mid",D$2)</f>
        <v>38.715200000000003</v>
      </c>
      <c r="E66">
        <f ca="1">_xll.ciqfunctions.udf.CIQ($B66,"IQ_CDS_mid",E$2)</f>
        <v>38.715200000000003</v>
      </c>
      <c r="F66">
        <f ca="1">_xll.ciqfunctions.udf.CIQ($B66,"IQ_CDS_mid",F$2)</f>
        <v>38.715200000000003</v>
      </c>
      <c r="G66">
        <f ca="1">_xll.ciqfunctions.udf.CIQ($B66,"IQ_CDS_mid",G$2)</f>
        <v>38.8598</v>
      </c>
      <c r="H66">
        <f ca="1">_xll.ciqfunctions.udf.CIQ($B66,"IQ_CDS_mid",H$2)</f>
        <v>39.113399999999999</v>
      </c>
      <c r="I66">
        <f ca="1">_xll.ciqfunctions.udf.CIQ($B66,"IQ_CDS_mid",I$2)</f>
        <v>38.820300000000003</v>
      </c>
      <c r="J66">
        <f ca="1">_xll.ciqfunctions.udf.CIQ($B66,"IQ_CDS_mid",J$2)</f>
        <v>38.234099999999998</v>
      </c>
      <c r="K66">
        <f ca="1">_xll.ciqfunctions.udf.CIQ($B66,"IQ_CDS_mid",K$2)</f>
        <v>38.245899999999999</v>
      </c>
      <c r="L66">
        <f ca="1">_xll.ciqfunctions.udf.CIQ($B66,"IQ_CDS_mid",L$2)</f>
        <v>38.245899999999999</v>
      </c>
      <c r="M66">
        <f ca="1">_xll.ciqfunctions.udf.CIQ($B66,"IQ_CDS_mid",M$2)</f>
        <v>38.245899999999999</v>
      </c>
      <c r="N66">
        <f ca="1">_xll.ciqfunctions.udf.CIQ($B66,"IQ_CDS_mid",N$2)</f>
        <v>38.139499999999998</v>
      </c>
      <c r="O66">
        <f ca="1">_xll.ciqfunctions.udf.CIQ($B66,"IQ_CDS_mid",O$2)</f>
        <v>37.7455</v>
      </c>
      <c r="P66">
        <f ca="1">_xll.ciqfunctions.udf.CIQ($B66,"IQ_CDS_mid",P$2)</f>
        <v>38.036299999999997</v>
      </c>
      <c r="Q66">
        <f ca="1">_xll.ciqfunctions.udf.CIQ($B66,"IQ_CDS_mid",Q$2)</f>
        <v>38.458399999999997</v>
      </c>
      <c r="R66">
        <f ca="1">_xll.ciqfunctions.udf.CIQ($B66,"IQ_CDS_mid",R$2)</f>
        <v>46.857100000000003</v>
      </c>
      <c r="S66">
        <f ca="1">_xll.ciqfunctions.udf.CIQ($B66,"IQ_CDS_mid",S$2)</f>
        <v>54.429299999999998</v>
      </c>
      <c r="T66">
        <f ca="1">C66-H66</f>
        <v>-0.39819999999999567</v>
      </c>
      <c r="U66">
        <f ca="1">C66-M66</f>
        <v>0.46930000000000405</v>
      </c>
      <c r="V66">
        <f ca="1">C66-Q66</f>
        <v>0.25680000000000547</v>
      </c>
      <c r="W66">
        <f ca="1">C66-R66</f>
        <v>-8.1418999999999997</v>
      </c>
      <c r="X66">
        <f t="shared" ca="1" si="13"/>
        <v>-15.714099999999995</v>
      </c>
    </row>
    <row r="67" spans="1:24" ht="15.5">
      <c r="A67" s="28" t="s">
        <v>28</v>
      </c>
      <c r="X67">
        <f t="shared" si="13"/>
        <v>0</v>
      </c>
    </row>
    <row r="68" spans="1:24" ht="15.5">
      <c r="A68" s="27" t="s">
        <v>125</v>
      </c>
      <c r="B68" s="25" t="s">
        <v>124</v>
      </c>
      <c r="C68">
        <f ca="1">_xll.ciqfunctions.udf.CIQ($B68,"IQ_CDS_mid",C$2)</f>
        <v>43.9619</v>
      </c>
      <c r="D68">
        <f ca="1">_xll.ciqfunctions.udf.CIQ($B68,"IQ_CDS_mid",D$2)</f>
        <v>43.9619</v>
      </c>
      <c r="E68">
        <f ca="1">_xll.ciqfunctions.udf.CIQ($B68,"IQ_CDS_mid",E$2)</f>
        <v>43.9619</v>
      </c>
      <c r="F68">
        <f ca="1">_xll.ciqfunctions.udf.CIQ($B68,"IQ_CDS_mid",F$2)</f>
        <v>43.9619</v>
      </c>
      <c r="G68">
        <f ca="1">_xll.ciqfunctions.udf.CIQ($B68,"IQ_CDS_mid",G$2)</f>
        <v>44.1</v>
      </c>
      <c r="H68">
        <f ca="1">_xll.ciqfunctions.udf.CIQ($B68,"IQ_CDS_mid",H$2)</f>
        <v>44.45</v>
      </c>
      <c r="I68">
        <f ca="1">_xll.ciqfunctions.udf.CIQ($B68,"IQ_CDS_mid",I$2)</f>
        <v>44.398899999999998</v>
      </c>
      <c r="J68">
        <f ca="1">_xll.ciqfunctions.udf.CIQ($B68,"IQ_CDS_mid",J$2)</f>
        <v>43.842199999999998</v>
      </c>
      <c r="K68">
        <f ca="1">_xll.ciqfunctions.udf.CIQ($B68,"IQ_CDS_mid",K$2)</f>
        <v>43.8</v>
      </c>
      <c r="L68">
        <f ca="1">_xll.ciqfunctions.udf.CIQ($B68,"IQ_CDS_mid",L$2)</f>
        <v>43.8</v>
      </c>
      <c r="M68">
        <f ca="1">_xll.ciqfunctions.udf.CIQ($B68,"IQ_CDS_mid",M$2)</f>
        <v>43.8</v>
      </c>
      <c r="N68">
        <f ca="1">_xll.ciqfunctions.udf.CIQ($B68,"IQ_CDS_mid",N$2)</f>
        <v>43.8</v>
      </c>
      <c r="O68">
        <f ca="1">_xll.ciqfunctions.udf.CIQ($B68,"IQ_CDS_mid",O$2)</f>
        <v>43.624400000000001</v>
      </c>
      <c r="P68">
        <f ca="1">_xll.ciqfunctions.udf.CIQ($B68,"IQ_CDS_mid",P$2)</f>
        <v>43.85</v>
      </c>
      <c r="Q68">
        <f ca="1">_xll.ciqfunctions.udf.CIQ($B68,"IQ_CDS_mid",Q$2)</f>
        <v>44.15</v>
      </c>
      <c r="R68">
        <f ca="1">_xll.ciqfunctions.udf.CIQ($B68,"IQ_CDS_mid",R$2)</f>
        <v>53.166699999999999</v>
      </c>
      <c r="S68">
        <f ca="1">_xll.ciqfunctions.udf.CIQ($B68,"IQ_CDS_mid",S$2)</f>
        <v>54.641300000000001</v>
      </c>
      <c r="T68">
        <f ca="1">C68-H68</f>
        <v>-0.48810000000000286</v>
      </c>
      <c r="U68">
        <f ca="1">C68-M68</f>
        <v>0.16190000000000282</v>
      </c>
      <c r="V68">
        <f ca="1">C68-Q68</f>
        <v>-0.1880999999999986</v>
      </c>
      <c r="W68">
        <f ca="1">C68-R68</f>
        <v>-9.2047999999999988</v>
      </c>
      <c r="X68">
        <f t="shared" ca="1" si="13"/>
        <v>-10.679400000000001</v>
      </c>
    </row>
    <row r="69" spans="1:24" ht="15.5">
      <c r="A69" s="29" t="s">
        <v>30</v>
      </c>
      <c r="B69" s="25" t="s">
        <v>123</v>
      </c>
      <c r="C69">
        <f ca="1">_xll.ciqfunctions.udf.CIQ($B69,"IQ_CDS_mid",C$2)</f>
        <v>33.049999999999997</v>
      </c>
      <c r="D69">
        <f ca="1">_xll.ciqfunctions.udf.CIQ($B69,"IQ_CDS_mid",D$2)</f>
        <v>33.049999999999997</v>
      </c>
      <c r="E69">
        <f ca="1">_xll.ciqfunctions.udf.CIQ($B69,"IQ_CDS_mid",E$2)</f>
        <v>33.049999999999997</v>
      </c>
      <c r="F69">
        <f ca="1">_xll.ciqfunctions.udf.CIQ($B69,"IQ_CDS_mid",F$2)</f>
        <v>33.049999999999997</v>
      </c>
      <c r="G69">
        <f ca="1">_xll.ciqfunctions.udf.CIQ($B69,"IQ_CDS_mid",G$2)</f>
        <v>32.950000000000003</v>
      </c>
      <c r="H69">
        <f ca="1">_xll.ciqfunctions.udf.CIQ($B69,"IQ_CDS_mid",H$2)</f>
        <v>33.416699999999999</v>
      </c>
      <c r="I69">
        <f ca="1">_xll.ciqfunctions.udf.CIQ($B69,"IQ_CDS_mid",I$2)</f>
        <v>33.416699999999999</v>
      </c>
      <c r="J69">
        <f ca="1">_xll.ciqfunctions.udf.CIQ($B69,"IQ_CDS_mid",J$2)</f>
        <v>33.486899999999999</v>
      </c>
      <c r="K69">
        <f ca="1">_xll.ciqfunctions.udf.CIQ($B69,"IQ_CDS_mid",K$2)</f>
        <v>33.083300000000001</v>
      </c>
      <c r="L69">
        <f ca="1">_xll.ciqfunctions.udf.CIQ($B69,"IQ_CDS_mid",L$2)</f>
        <v>33.083300000000001</v>
      </c>
      <c r="M69">
        <f ca="1">_xll.ciqfunctions.udf.CIQ($B69,"IQ_CDS_mid",M$2)</f>
        <v>33.083300000000001</v>
      </c>
      <c r="N69">
        <f ca="1">_xll.ciqfunctions.udf.CIQ($B69,"IQ_CDS_mid",N$2)</f>
        <v>33.375</v>
      </c>
      <c r="O69">
        <f ca="1">_xll.ciqfunctions.udf.CIQ($B69,"IQ_CDS_mid",O$2)</f>
        <v>32.8125</v>
      </c>
      <c r="P69">
        <f ca="1">_xll.ciqfunctions.udf.CIQ($B69,"IQ_CDS_mid",P$2)</f>
        <v>33.25</v>
      </c>
      <c r="Q69">
        <f ca="1">_xll.ciqfunctions.udf.CIQ($B69,"IQ_CDS_mid",Q$2)</f>
        <v>33.85</v>
      </c>
      <c r="R69">
        <f ca="1">_xll.ciqfunctions.udf.CIQ($B69,"IQ_CDS_mid",R$2)</f>
        <v>40.799999999999997</v>
      </c>
      <c r="S69">
        <f ca="1">_xll.ciqfunctions.udf.CIQ($B69,"IQ_CDS_mid",S$2)</f>
        <v>44.137099999999997</v>
      </c>
      <c r="T69">
        <f ca="1">C69-H69</f>
        <v>-0.36670000000000158</v>
      </c>
      <c r="U69">
        <f ca="1">C69-M69</f>
        <v>-3.3300000000004104E-2</v>
      </c>
      <c r="V69">
        <f ca="1">C69-Q69</f>
        <v>-0.80000000000000426</v>
      </c>
      <c r="W69">
        <f ca="1">C69-R69</f>
        <v>-7.75</v>
      </c>
      <c r="X69">
        <f t="shared" ca="1" si="13"/>
        <v>-11.0871</v>
      </c>
    </row>
    <row r="70" spans="1:24" ht="15.5">
      <c r="A70" s="28" t="s">
        <v>31</v>
      </c>
      <c r="B70" s="25"/>
      <c r="X70">
        <f t="shared" si="13"/>
        <v>0</v>
      </c>
    </row>
    <row r="71" spans="1:24" ht="15.5">
      <c r="A71" s="29" t="s">
        <v>32</v>
      </c>
      <c r="B71" s="25" t="s">
        <v>122</v>
      </c>
      <c r="C71">
        <f ca="1">_xll.ciqfunctions.udf.CIQ($B71,"IQ_CDS_mid",C$2)</f>
        <v>23.078700000000001</v>
      </c>
      <c r="D71">
        <f ca="1">_xll.ciqfunctions.udf.CIQ($B71,"IQ_CDS_mid",D$2)</f>
        <v>23.078700000000001</v>
      </c>
      <c r="E71">
        <f ca="1">_xll.ciqfunctions.udf.CIQ($B71,"IQ_CDS_mid",E$2)</f>
        <v>23.078700000000001</v>
      </c>
      <c r="F71">
        <f ca="1">_xll.ciqfunctions.udf.CIQ($B71,"IQ_CDS_mid",F$2)</f>
        <v>23.078700000000001</v>
      </c>
      <c r="G71">
        <f ca="1">_xll.ciqfunctions.udf.CIQ($B71,"IQ_CDS_mid",G$2)</f>
        <v>23.7</v>
      </c>
      <c r="H71">
        <f ca="1">_xll.ciqfunctions.udf.CIQ($B71,"IQ_CDS_mid",H$2)</f>
        <v>24.007100000000001</v>
      </c>
      <c r="I71">
        <f ca="1">_xll.ciqfunctions.udf.CIQ($B71,"IQ_CDS_mid",I$2)</f>
        <v>23.47</v>
      </c>
      <c r="J71">
        <f ca="1">_xll.ciqfunctions.udf.CIQ($B71,"IQ_CDS_mid",J$2)</f>
        <v>23.620899999999999</v>
      </c>
      <c r="K71">
        <f ca="1">_xll.ciqfunctions.udf.CIQ($B71,"IQ_CDS_mid",K$2)</f>
        <v>23.324999999999999</v>
      </c>
      <c r="L71">
        <f ca="1">_xll.ciqfunctions.udf.CIQ($B71,"IQ_CDS_mid",L$2)</f>
        <v>23.324999999999999</v>
      </c>
      <c r="M71">
        <f ca="1">_xll.ciqfunctions.udf.CIQ($B71,"IQ_CDS_mid",M$2)</f>
        <v>23.324999999999999</v>
      </c>
      <c r="N71">
        <f ca="1">_xll.ciqfunctions.udf.CIQ($B71,"IQ_CDS_mid",N$2)</f>
        <v>23.433299999999999</v>
      </c>
      <c r="O71">
        <f ca="1">_xll.ciqfunctions.udf.CIQ($B71,"IQ_CDS_mid",O$2)</f>
        <v>23.324300000000001</v>
      </c>
      <c r="P71">
        <f ca="1">_xll.ciqfunctions.udf.CIQ($B71,"IQ_CDS_mid",P$2)</f>
        <v>23.45</v>
      </c>
      <c r="Q71">
        <f ca="1">_xll.ciqfunctions.udf.CIQ($B71,"IQ_CDS_mid",Q$2)</f>
        <v>23.513000000000002</v>
      </c>
      <c r="R71">
        <f ca="1">_xll.ciqfunctions.udf.CIQ($B71,"IQ_CDS_mid",R$2)</f>
        <v>26.25</v>
      </c>
      <c r="S71">
        <f ca="1">_xll.ciqfunctions.udf.CIQ($B71,"IQ_CDS_mid",S$2)</f>
        <v>35.291699999999999</v>
      </c>
      <c r="T71">
        <f ca="1">C71-H71</f>
        <v>-0.92839999999999989</v>
      </c>
      <c r="U71">
        <f ca="1">C71-M71</f>
        <v>-0.24629999999999797</v>
      </c>
      <c r="V71">
        <f ca="1">C71-Q71</f>
        <v>-0.43430000000000035</v>
      </c>
      <c r="W71">
        <f ca="1">C71-R71</f>
        <v>-3.1712999999999987</v>
      </c>
      <c r="X71">
        <f t="shared" ca="1" si="13"/>
        <v>-12.212999999999997</v>
      </c>
    </row>
    <row r="72" spans="1:24" ht="15.5">
      <c r="A72" s="28" t="s">
        <v>33</v>
      </c>
      <c r="X72">
        <f t="shared" si="13"/>
        <v>0</v>
      </c>
    </row>
    <row r="73" spans="1:24" ht="15.5">
      <c r="A73" s="27" t="s">
        <v>35</v>
      </c>
      <c r="B73" s="25" t="s">
        <v>121</v>
      </c>
      <c r="C73">
        <f ca="1">_xll.ciqfunctions.udf.CIQ($B73,"IQ_CDS_mid",C$2)</f>
        <v>39.399700000000003</v>
      </c>
      <c r="D73">
        <f ca="1">_xll.ciqfunctions.udf.CIQ($B73,"IQ_CDS_mid",D$2)</f>
        <v>39.399700000000003</v>
      </c>
      <c r="E73">
        <f ca="1">_xll.ciqfunctions.udf.CIQ($B73,"IQ_CDS_mid",E$2)</f>
        <v>39.399700000000003</v>
      </c>
      <c r="F73">
        <f ca="1">_xll.ciqfunctions.udf.CIQ($B73,"IQ_CDS_mid",F$2)</f>
        <v>39.399700000000003</v>
      </c>
      <c r="G73">
        <f ca="1">_xll.ciqfunctions.udf.CIQ($B73,"IQ_CDS_mid",G$2)</f>
        <v>39.1999</v>
      </c>
      <c r="H73">
        <f ca="1">_xll.ciqfunctions.udf.CIQ($B73,"IQ_CDS_mid",H$2)</f>
        <v>38.771500000000003</v>
      </c>
      <c r="I73">
        <f ca="1">_xll.ciqfunctions.udf.CIQ($B73,"IQ_CDS_mid",I$2)</f>
        <v>39.015799999999999</v>
      </c>
      <c r="J73">
        <f ca="1">_xll.ciqfunctions.udf.CIQ($B73,"IQ_CDS_mid",J$2)</f>
        <v>39.427</v>
      </c>
      <c r="K73">
        <f ca="1">_xll.ciqfunctions.udf.CIQ($B73,"IQ_CDS_mid",K$2)</f>
        <v>39.293900000000001</v>
      </c>
      <c r="L73">
        <f ca="1">_xll.ciqfunctions.udf.CIQ($B73,"IQ_CDS_mid",L$2)</f>
        <v>39.293900000000001</v>
      </c>
      <c r="M73">
        <f ca="1">_xll.ciqfunctions.udf.CIQ($B73,"IQ_CDS_mid",M$2)</f>
        <v>39.293900000000001</v>
      </c>
      <c r="N73">
        <f ca="1">_xll.ciqfunctions.udf.CIQ($B73,"IQ_CDS_mid",N$2)</f>
        <v>39.775300000000001</v>
      </c>
      <c r="O73">
        <f ca="1">_xll.ciqfunctions.udf.CIQ($B73,"IQ_CDS_mid",O$2)</f>
        <v>40.444000000000003</v>
      </c>
      <c r="P73">
        <f ca="1">_xll.ciqfunctions.udf.CIQ($B73,"IQ_CDS_mid",P$2)</f>
        <v>41.154699999999998</v>
      </c>
      <c r="Q73">
        <f ca="1">_xll.ciqfunctions.udf.CIQ($B73,"IQ_CDS_mid",Q$2)</f>
        <v>41.981699999999996</v>
      </c>
      <c r="R73">
        <f ca="1">_xll.ciqfunctions.udf.CIQ($B73,"IQ_CDS_mid",R$2)</f>
        <v>39.744</v>
      </c>
      <c r="S73">
        <f ca="1">_xll.ciqfunctions.udf.CIQ($B73,"IQ_CDS_mid",S$2)</f>
        <v>34.055</v>
      </c>
      <c r="T73">
        <f ca="1">C73-H73</f>
        <v>0.62819999999999965</v>
      </c>
      <c r="U73">
        <f ca="1">C73-M73</f>
        <v>0.10580000000000211</v>
      </c>
      <c r="V73">
        <f ca="1">C73-Q73</f>
        <v>-2.5819999999999936</v>
      </c>
      <c r="W73">
        <f ca="1">C73-R73</f>
        <v>-0.34429999999999694</v>
      </c>
      <c r="X73">
        <f t="shared" ca="1" si="13"/>
        <v>5.3447000000000031</v>
      </c>
    </row>
    <row r="74" spans="1:24" ht="15.5">
      <c r="A74" s="27" t="s">
        <v>36</v>
      </c>
      <c r="B74" s="25" t="s">
        <v>120</v>
      </c>
      <c r="C74">
        <f ca="1">_xll.ciqfunctions.udf.CIQ($B74,"IQ_CDS_mid",C$2)</f>
        <v>40.6417</v>
      </c>
      <c r="D74">
        <f ca="1">_xll.ciqfunctions.udf.CIQ($B74,"IQ_CDS_mid",D$2)</f>
        <v>40.6417</v>
      </c>
      <c r="E74">
        <f ca="1">_xll.ciqfunctions.udf.CIQ($B74,"IQ_CDS_mid",E$2)</f>
        <v>40.6417</v>
      </c>
      <c r="F74">
        <f ca="1">_xll.ciqfunctions.udf.CIQ($B74,"IQ_CDS_mid",F$2)</f>
        <v>40.6417</v>
      </c>
      <c r="G74">
        <f ca="1">_xll.ciqfunctions.udf.CIQ($B74,"IQ_CDS_mid",G$2)</f>
        <v>40.654299999999999</v>
      </c>
      <c r="H74">
        <f ca="1">_xll.ciqfunctions.udf.CIQ($B74,"IQ_CDS_mid",H$2)</f>
        <v>40.610500000000002</v>
      </c>
      <c r="I74">
        <f ca="1">_xll.ciqfunctions.udf.CIQ($B74,"IQ_CDS_mid",I$2)</f>
        <v>40.592700000000001</v>
      </c>
      <c r="J74">
        <f ca="1">_xll.ciqfunctions.udf.CIQ($B74,"IQ_CDS_mid",J$2)</f>
        <v>40.298499999999997</v>
      </c>
      <c r="K74">
        <f ca="1">_xll.ciqfunctions.udf.CIQ($B74,"IQ_CDS_mid",K$2)</f>
        <v>41.637599999999999</v>
      </c>
      <c r="L74">
        <f ca="1">_xll.ciqfunctions.udf.CIQ($B74,"IQ_CDS_mid",L$2)</f>
        <v>41.637599999999999</v>
      </c>
      <c r="M74">
        <f ca="1">_xll.ciqfunctions.udf.CIQ($B74,"IQ_CDS_mid",M$2)</f>
        <v>41.637599999999999</v>
      </c>
      <c r="N74">
        <f ca="1">_xll.ciqfunctions.udf.CIQ($B74,"IQ_CDS_mid",N$2)</f>
        <v>41.443300000000001</v>
      </c>
      <c r="O74">
        <f ca="1">_xll.ciqfunctions.udf.CIQ($B74,"IQ_CDS_mid",O$2)</f>
        <v>41.639600000000002</v>
      </c>
      <c r="P74">
        <f ca="1">_xll.ciqfunctions.udf.CIQ($B74,"IQ_CDS_mid",P$2)</f>
        <v>41.65</v>
      </c>
      <c r="Q74">
        <f ca="1">_xll.ciqfunctions.udf.CIQ($B74,"IQ_CDS_mid",Q$2)</f>
        <v>41.150700000000001</v>
      </c>
      <c r="R74">
        <f ca="1">_xll.ciqfunctions.udf.CIQ($B74,"IQ_CDS_mid",R$2)</f>
        <v>41.628300000000003</v>
      </c>
      <c r="S74">
        <f ca="1">_xll.ciqfunctions.udf.CIQ($B74,"IQ_CDS_mid",S$2)</f>
        <v>28.75</v>
      </c>
      <c r="T74">
        <f ca="1">C74-H74</f>
        <v>3.119999999999834E-2</v>
      </c>
      <c r="U74">
        <f ca="1">C74-M74</f>
        <v>-0.9958999999999989</v>
      </c>
      <c r="V74">
        <f ca="1">C74-Q74</f>
        <v>-0.50900000000000034</v>
      </c>
      <c r="W74">
        <f ca="1">C74-R74</f>
        <v>-0.98660000000000281</v>
      </c>
      <c r="X74">
        <f t="shared" ca="1" si="13"/>
        <v>11.8917</v>
      </c>
    </row>
    <row r="75" spans="1:24" ht="15.5">
      <c r="A75" s="27" t="s">
        <v>37</v>
      </c>
      <c r="B75" s="25" t="s">
        <v>119</v>
      </c>
      <c r="C75">
        <f ca="1">_xll.ciqfunctions.udf.CIQ($B75,"IQ_CDS_mid",C$2)</f>
        <v>54.065899999999999</v>
      </c>
      <c r="D75">
        <f ca="1">_xll.ciqfunctions.udf.CIQ($B75,"IQ_CDS_mid",D$2)</f>
        <v>54.065899999999999</v>
      </c>
      <c r="E75">
        <f ca="1">_xll.ciqfunctions.udf.CIQ($B75,"IQ_CDS_mid",E$2)</f>
        <v>54.065899999999999</v>
      </c>
      <c r="F75">
        <f ca="1">_xll.ciqfunctions.udf.CIQ($B75,"IQ_CDS_mid",F$2)</f>
        <v>54.065899999999999</v>
      </c>
      <c r="G75">
        <f ca="1">_xll.ciqfunctions.udf.CIQ($B75,"IQ_CDS_mid",G$2)</f>
        <v>54.035600000000002</v>
      </c>
      <c r="H75">
        <f ca="1">_xll.ciqfunctions.udf.CIQ($B75,"IQ_CDS_mid",H$2)</f>
        <v>53.9208</v>
      </c>
      <c r="I75">
        <f ca="1">_xll.ciqfunctions.udf.CIQ($B75,"IQ_CDS_mid",I$2)</f>
        <v>53.9328</v>
      </c>
      <c r="J75">
        <f ca="1">_xll.ciqfunctions.udf.CIQ($B75,"IQ_CDS_mid",J$2)</f>
        <v>53.968400000000003</v>
      </c>
      <c r="K75">
        <f ca="1">_xll.ciqfunctions.udf.CIQ($B75,"IQ_CDS_mid",K$2)</f>
        <v>53.971899999999998</v>
      </c>
      <c r="L75">
        <f ca="1">_xll.ciqfunctions.udf.CIQ($B75,"IQ_CDS_mid",L$2)</f>
        <v>53.971899999999998</v>
      </c>
      <c r="M75">
        <f ca="1">_xll.ciqfunctions.udf.CIQ($B75,"IQ_CDS_mid",M$2)</f>
        <v>53.971899999999998</v>
      </c>
      <c r="N75">
        <f ca="1">_xll.ciqfunctions.udf.CIQ($B75,"IQ_CDS_mid",N$2)</f>
        <v>53.980699999999999</v>
      </c>
      <c r="O75">
        <f ca="1">_xll.ciqfunctions.udf.CIQ($B75,"IQ_CDS_mid",O$2)</f>
        <v>53.9968</v>
      </c>
      <c r="P75">
        <f ca="1">_xll.ciqfunctions.udf.CIQ($B75,"IQ_CDS_mid",P$2)</f>
        <v>54.031300000000002</v>
      </c>
      <c r="Q75">
        <f ca="1">_xll.ciqfunctions.udf.CIQ($B75,"IQ_CDS_mid",Q$2)</f>
        <v>40.513399999999997</v>
      </c>
      <c r="R75">
        <f ca="1">_xll.ciqfunctions.udf.CIQ($B75,"IQ_CDS_mid",R$2)</f>
        <v>43.555500000000002</v>
      </c>
      <c r="S75">
        <f ca="1">_xll.ciqfunctions.udf.CIQ($B75,"IQ_CDS_mid",S$2)</f>
        <v>55.101900000000001</v>
      </c>
      <c r="T75">
        <f ca="1">C75-H75</f>
        <v>0.14509999999999934</v>
      </c>
      <c r="U75">
        <f ca="1">C75-M75</f>
        <v>9.4000000000001194E-2</v>
      </c>
      <c r="V75">
        <f ca="1">C75-Q75</f>
        <v>13.552500000000002</v>
      </c>
      <c r="W75">
        <f ca="1">C75-R75</f>
        <v>10.510399999999997</v>
      </c>
      <c r="X75">
        <f t="shared" ca="1" si="13"/>
        <v>-1.0360000000000014</v>
      </c>
    </row>
    <row r="76" spans="1:24" ht="15.5">
      <c r="A76" s="29" t="s">
        <v>38</v>
      </c>
      <c r="B76" s="25" t="s">
        <v>118</v>
      </c>
      <c r="C76">
        <f ca="1">_xll.ciqfunctions.udf.CIQ($B76,"IQ_CDS_mid",C$2)</f>
        <v>62.069499999999998</v>
      </c>
      <c r="D76">
        <f ca="1">_xll.ciqfunctions.udf.CIQ($B76,"IQ_CDS_mid",D$2)</f>
        <v>62.069499999999998</v>
      </c>
      <c r="E76">
        <f ca="1">_xll.ciqfunctions.udf.CIQ($B76,"IQ_CDS_mid",E$2)</f>
        <v>62.069499999999998</v>
      </c>
      <c r="F76">
        <f ca="1">_xll.ciqfunctions.udf.CIQ($B76,"IQ_CDS_mid",F$2)</f>
        <v>62.069499999999998</v>
      </c>
      <c r="G76">
        <f ca="1">_xll.ciqfunctions.udf.CIQ($B76,"IQ_CDS_mid",G$2)</f>
        <v>62.328099999999999</v>
      </c>
      <c r="H76">
        <f ca="1">_xll.ciqfunctions.udf.CIQ($B76,"IQ_CDS_mid",H$2)</f>
        <v>61.565199999999997</v>
      </c>
      <c r="I76">
        <f ca="1">_xll.ciqfunctions.udf.CIQ($B76,"IQ_CDS_mid",I$2)</f>
        <v>62.872199999999999</v>
      </c>
      <c r="J76">
        <f ca="1">_xll.ciqfunctions.udf.CIQ($B76,"IQ_CDS_mid",J$2)</f>
        <v>62.991500000000002</v>
      </c>
      <c r="K76">
        <f ca="1">_xll.ciqfunctions.udf.CIQ($B76,"IQ_CDS_mid",K$2)</f>
        <v>63.020299999999999</v>
      </c>
      <c r="L76">
        <f ca="1">_xll.ciqfunctions.udf.CIQ($B76,"IQ_CDS_mid",L$2)</f>
        <v>63.020299999999999</v>
      </c>
      <c r="M76">
        <f ca="1">_xll.ciqfunctions.udf.CIQ($B76,"IQ_CDS_mid",M$2)</f>
        <v>63.020299999999999</v>
      </c>
      <c r="N76">
        <f ca="1">_xll.ciqfunctions.udf.CIQ($B76,"IQ_CDS_mid",N$2)</f>
        <v>63.078400000000002</v>
      </c>
      <c r="O76">
        <f ca="1">_xll.ciqfunctions.udf.CIQ($B76,"IQ_CDS_mid",O$2)</f>
        <v>63.551099999999998</v>
      </c>
      <c r="P76">
        <f ca="1">_xll.ciqfunctions.udf.CIQ($B76,"IQ_CDS_mid",P$2)</f>
        <v>64.347999999999999</v>
      </c>
      <c r="Q76">
        <f ca="1">_xll.ciqfunctions.udf.CIQ($B76,"IQ_CDS_mid",Q$2)</f>
        <v>63.781500000000001</v>
      </c>
      <c r="R76">
        <f ca="1">_xll.ciqfunctions.udf.CIQ($B76,"IQ_CDS_mid",R$2)</f>
        <v>66.576700000000002</v>
      </c>
      <c r="S76">
        <f ca="1">_xll.ciqfunctions.udf.CIQ($B76,"IQ_CDS_mid",S$2)</f>
        <v>68.881399999999999</v>
      </c>
      <c r="T76">
        <f ca="1">C76-H76</f>
        <v>0.50430000000000064</v>
      </c>
      <c r="U76">
        <f ca="1">C76-M76</f>
        <v>-0.95080000000000098</v>
      </c>
      <c r="V76">
        <f ca="1">C76-Q76</f>
        <v>-1.7120000000000033</v>
      </c>
      <c r="W76">
        <f ca="1">C76-R76</f>
        <v>-4.5072000000000045</v>
      </c>
      <c r="X76">
        <f t="shared" ca="1" si="13"/>
        <v>-6.8119000000000014</v>
      </c>
    </row>
    <row r="77" spans="1:24" ht="15.5">
      <c r="A77" s="29" t="s">
        <v>39</v>
      </c>
      <c r="B77" s="25" t="s">
        <v>117</v>
      </c>
      <c r="C77">
        <f ca="1">_xll.ciqfunctions.udf.CIQ($B77,"IQ_CDS_mid",C$2)</f>
        <v>73.223600000000005</v>
      </c>
      <c r="D77">
        <f ca="1">_xll.ciqfunctions.udf.CIQ($B77,"IQ_CDS_mid",D$2)</f>
        <v>73.223600000000005</v>
      </c>
      <c r="E77">
        <f ca="1">_xll.ciqfunctions.udf.CIQ($B77,"IQ_CDS_mid",E$2)</f>
        <v>73.223600000000005</v>
      </c>
      <c r="F77">
        <f ca="1">_xll.ciqfunctions.udf.CIQ($B77,"IQ_CDS_mid",F$2)</f>
        <v>73.223600000000005</v>
      </c>
      <c r="G77">
        <f ca="1">_xll.ciqfunctions.udf.CIQ($B77,"IQ_CDS_mid",G$2)</f>
        <v>73.8767</v>
      </c>
      <c r="H77">
        <f ca="1">_xll.ciqfunctions.udf.CIQ($B77,"IQ_CDS_mid",H$2)</f>
        <v>75.556200000000004</v>
      </c>
      <c r="I77">
        <f ca="1">_xll.ciqfunctions.udf.CIQ($B77,"IQ_CDS_mid",I$2)</f>
        <v>75.540499999999994</v>
      </c>
      <c r="J77">
        <f ca="1">_xll.ciqfunctions.udf.CIQ($B77,"IQ_CDS_mid",J$2)</f>
        <v>75.542599999999993</v>
      </c>
      <c r="K77">
        <f ca="1">_xll.ciqfunctions.udf.CIQ($B77,"IQ_CDS_mid",K$2)</f>
        <v>75.538399999999996</v>
      </c>
      <c r="L77">
        <f ca="1">_xll.ciqfunctions.udf.CIQ($B77,"IQ_CDS_mid",L$2)</f>
        <v>75.538399999999996</v>
      </c>
      <c r="M77">
        <f ca="1">_xll.ciqfunctions.udf.CIQ($B77,"IQ_CDS_mid",M$2)</f>
        <v>75.538399999999996</v>
      </c>
      <c r="N77">
        <f ca="1">_xll.ciqfunctions.udf.CIQ($B77,"IQ_CDS_mid",N$2)</f>
        <v>75.552000000000007</v>
      </c>
      <c r="O77">
        <f ca="1">_xll.ciqfunctions.udf.CIQ($B77,"IQ_CDS_mid",O$2)</f>
        <v>75.546199999999999</v>
      </c>
      <c r="P77">
        <f ca="1">_xll.ciqfunctions.udf.CIQ($B77,"IQ_CDS_mid",P$2)</f>
        <v>75.546099999999996</v>
      </c>
      <c r="Q77">
        <f ca="1">_xll.ciqfunctions.udf.CIQ($B77,"IQ_CDS_mid",Q$2)</f>
        <v>75.549800000000005</v>
      </c>
      <c r="R77">
        <f ca="1">_xll.ciqfunctions.udf.CIQ($B77,"IQ_CDS_mid",R$2)</f>
        <v>75.544399999999996</v>
      </c>
      <c r="S77">
        <f ca="1">_xll.ciqfunctions.udf.CIQ($B77,"IQ_CDS_mid",S$2)</f>
        <v>73.848500000000001</v>
      </c>
      <c r="T77">
        <f ca="1">C77-H77</f>
        <v>-2.3325999999999993</v>
      </c>
      <c r="U77">
        <f ca="1">C77-M77</f>
        <v>-2.3147999999999911</v>
      </c>
      <c r="V77">
        <f ca="1">C77-Q77</f>
        <v>-2.3262</v>
      </c>
      <c r="W77">
        <f ca="1">C77-R77</f>
        <v>-2.3207999999999913</v>
      </c>
      <c r="X77">
        <f t="shared" ca="1" si="13"/>
        <v>-0.62489999999999668</v>
      </c>
    </row>
    <row r="78" spans="1:24" ht="15.5">
      <c r="A78" s="28" t="s">
        <v>40</v>
      </c>
      <c r="X78">
        <f t="shared" si="13"/>
        <v>0</v>
      </c>
    </row>
    <row r="79" spans="1:24" ht="15.5">
      <c r="A79" s="27" t="s">
        <v>42</v>
      </c>
      <c r="B79" s="25" t="s">
        <v>116</v>
      </c>
      <c r="C79">
        <f ca="1">_xll.ciqfunctions.udf.CIQ($B79,"IQ_CDS_mid",C$2)</f>
        <v>61.333300000000001</v>
      </c>
      <c r="D79">
        <f ca="1">_xll.ciqfunctions.udf.CIQ($B79,"IQ_CDS_mid",D$2)</f>
        <v>61.333300000000001</v>
      </c>
      <c r="E79">
        <f ca="1">_xll.ciqfunctions.udf.CIQ($B79,"IQ_CDS_mid",E$2)</f>
        <v>61.333300000000001</v>
      </c>
      <c r="F79">
        <f ca="1">_xll.ciqfunctions.udf.CIQ($B79,"IQ_CDS_mid",F$2)</f>
        <v>61.333300000000001</v>
      </c>
      <c r="G79">
        <f ca="1">_xll.ciqfunctions.udf.CIQ($B79,"IQ_CDS_mid",G$2)</f>
        <v>61.333300000000001</v>
      </c>
      <c r="H79">
        <f ca="1">_xll.ciqfunctions.udf.CIQ($B79,"IQ_CDS_mid",H$2)</f>
        <v>61.5</v>
      </c>
      <c r="I79">
        <f ca="1">_xll.ciqfunctions.udf.CIQ($B79,"IQ_CDS_mid",I$2)</f>
        <v>61.333300000000001</v>
      </c>
      <c r="J79">
        <f ca="1">_xll.ciqfunctions.udf.CIQ($B79,"IQ_CDS_mid",J$2)</f>
        <v>59.5</v>
      </c>
      <c r="K79">
        <f ca="1">_xll.ciqfunctions.udf.CIQ($B79,"IQ_CDS_mid",K$2)</f>
        <v>59.833300000000001</v>
      </c>
      <c r="L79">
        <f ca="1">_xll.ciqfunctions.udf.CIQ($B79,"IQ_CDS_mid",L$2)</f>
        <v>59.833300000000001</v>
      </c>
      <c r="M79">
        <f ca="1">_xll.ciqfunctions.udf.CIQ($B79,"IQ_CDS_mid",M$2)</f>
        <v>59.833300000000001</v>
      </c>
      <c r="N79">
        <f ca="1">_xll.ciqfunctions.udf.CIQ($B79,"IQ_CDS_mid",N$2)</f>
        <v>59.833300000000001</v>
      </c>
      <c r="O79">
        <f ca="1">_xll.ciqfunctions.udf.CIQ($B79,"IQ_CDS_mid",O$2)</f>
        <v>59.833300000000001</v>
      </c>
      <c r="P79">
        <f ca="1">_xll.ciqfunctions.udf.CIQ($B79,"IQ_CDS_mid",P$2)</f>
        <v>59.833300000000001</v>
      </c>
      <c r="Q79">
        <f ca="1">_xll.ciqfunctions.udf.CIQ($B79,"IQ_CDS_mid",Q$2)</f>
        <v>60</v>
      </c>
      <c r="R79">
        <f ca="1">_xll.ciqfunctions.udf.CIQ($B79,"IQ_CDS_mid",R$2)</f>
        <v>64.75</v>
      </c>
      <c r="S79">
        <f ca="1">_xll.ciqfunctions.udf.CIQ($B79,"IQ_CDS_mid",S$2)</f>
        <v>41.877299999999998</v>
      </c>
      <c r="T79">
        <f t="shared" ref="T79:T84" ca="1" si="18">C79-H79</f>
        <v>-0.16669999999999874</v>
      </c>
      <c r="U79">
        <f t="shared" ref="U79:U84" ca="1" si="19">C79-M79</f>
        <v>1.5</v>
      </c>
      <c r="V79">
        <f t="shared" ref="V79:V84" ca="1" si="20">C79-Q79</f>
        <v>1.3333000000000013</v>
      </c>
      <c r="W79">
        <f t="shared" ref="W79:W84" ca="1" si="21">C79-R79</f>
        <v>-3.4166999999999987</v>
      </c>
      <c r="X79">
        <f t="shared" ca="1" si="13"/>
        <v>19.456000000000003</v>
      </c>
    </row>
    <row r="80" spans="1:24" ht="15.5">
      <c r="A80" s="27" t="s">
        <v>43</v>
      </c>
      <c r="B80" s="25" t="s">
        <v>115</v>
      </c>
      <c r="C80">
        <f ca="1">_xll.ciqfunctions.udf.CIQ($B80,"IQ_CDS_mid",C$2)</f>
        <v>54.810600000000001</v>
      </c>
      <c r="D80">
        <f ca="1">_xll.ciqfunctions.udf.CIQ($B80,"IQ_CDS_mid",D$2)</f>
        <v>54.810600000000001</v>
      </c>
      <c r="E80">
        <f ca="1">_xll.ciqfunctions.udf.CIQ($B80,"IQ_CDS_mid",E$2)</f>
        <v>54.810600000000001</v>
      </c>
      <c r="F80">
        <f ca="1">_xll.ciqfunctions.udf.CIQ($B80,"IQ_CDS_mid",F$2)</f>
        <v>54.810600000000001</v>
      </c>
      <c r="G80">
        <f ca="1">_xll.ciqfunctions.udf.CIQ($B80,"IQ_CDS_mid",G$2)</f>
        <v>54.811</v>
      </c>
      <c r="H80">
        <f ca="1">_xll.ciqfunctions.udf.CIQ($B80,"IQ_CDS_mid",H$2)</f>
        <v>55.1447</v>
      </c>
      <c r="I80">
        <f ca="1">_xll.ciqfunctions.udf.CIQ($B80,"IQ_CDS_mid",I$2)</f>
        <v>55.478900000000003</v>
      </c>
      <c r="J80">
        <f ca="1">_xll.ciqfunctions.udf.CIQ($B80,"IQ_CDS_mid",J$2)</f>
        <v>56.479399999999998</v>
      </c>
      <c r="K80">
        <f ca="1">_xll.ciqfunctions.udf.CIQ($B80,"IQ_CDS_mid",K$2)</f>
        <v>56.814900000000002</v>
      </c>
      <c r="L80">
        <f ca="1">_xll.ciqfunctions.udf.CIQ($B80,"IQ_CDS_mid",L$2)</f>
        <v>56.814900000000002</v>
      </c>
      <c r="M80">
        <f ca="1">_xll.ciqfunctions.udf.CIQ($B80,"IQ_CDS_mid",M$2)</f>
        <v>56.814900000000002</v>
      </c>
      <c r="N80">
        <f ca="1">_xll.ciqfunctions.udf.CIQ($B80,"IQ_CDS_mid",N$2)</f>
        <v>56.8155</v>
      </c>
      <c r="O80">
        <f ca="1">_xll.ciqfunctions.udf.CIQ($B80,"IQ_CDS_mid",O$2)</f>
        <v>56.816299999999998</v>
      </c>
      <c r="P80">
        <f ca="1">_xll.ciqfunctions.udf.CIQ($B80,"IQ_CDS_mid",P$2)</f>
        <v>56.816299999999998</v>
      </c>
      <c r="Q80">
        <f ca="1">_xll.ciqfunctions.udf.CIQ($B80,"IQ_CDS_mid",Q$2)</f>
        <v>56.816800000000001</v>
      </c>
      <c r="R80">
        <f ca="1">_xll.ciqfunctions.udf.CIQ($B80,"IQ_CDS_mid",R$2)</f>
        <v>56.5</v>
      </c>
      <c r="S80">
        <f ca="1">_xll.ciqfunctions.udf.CIQ($B80,"IQ_CDS_mid",S$2)</f>
        <v>45.374299999999998</v>
      </c>
      <c r="T80">
        <f t="shared" ca="1" si="18"/>
        <v>-0.3340999999999994</v>
      </c>
      <c r="U80">
        <f t="shared" ca="1" si="19"/>
        <v>-2.0043000000000006</v>
      </c>
      <c r="V80">
        <f t="shared" ca="1" si="20"/>
        <v>-2.0061999999999998</v>
      </c>
      <c r="W80">
        <f t="shared" ca="1" si="21"/>
        <v>-1.6893999999999991</v>
      </c>
      <c r="X80">
        <f t="shared" ca="1" si="13"/>
        <v>9.4363000000000028</v>
      </c>
    </row>
    <row r="81" spans="1:24" ht="15.5">
      <c r="A81" s="27" t="s">
        <v>44</v>
      </c>
      <c r="B81" t="s">
        <v>114</v>
      </c>
      <c r="C81">
        <f ca="1">_xll.ciqfunctions.udf.CIQ($B81,"IQ_CDS_mid",C$2)</f>
        <v>59.8992</v>
      </c>
      <c r="D81">
        <f ca="1">_xll.ciqfunctions.udf.CIQ($B81,"IQ_CDS_mid",D$2)</f>
        <v>59.8992</v>
      </c>
      <c r="E81">
        <f ca="1">_xll.ciqfunctions.udf.CIQ($B81,"IQ_CDS_mid",E$2)</f>
        <v>59.8992</v>
      </c>
      <c r="F81">
        <f ca="1">_xll.ciqfunctions.udf.CIQ($B81,"IQ_CDS_mid",F$2)</f>
        <v>59.8992</v>
      </c>
      <c r="G81">
        <f ca="1">_xll.ciqfunctions.udf.CIQ($B81,"IQ_CDS_mid",G$2)</f>
        <v>59.862099999999998</v>
      </c>
      <c r="H81">
        <f ca="1">_xll.ciqfunctions.udf.CIQ($B81,"IQ_CDS_mid",H$2)</f>
        <v>60.333300000000001</v>
      </c>
      <c r="I81">
        <f ca="1">_xll.ciqfunctions.udf.CIQ($B81,"IQ_CDS_mid",I$2)</f>
        <v>60.197000000000003</v>
      </c>
      <c r="J81">
        <f ca="1">_xll.ciqfunctions.udf.CIQ($B81,"IQ_CDS_mid",J$2)</f>
        <v>59.863599999999998</v>
      </c>
      <c r="K81">
        <f ca="1">_xll.ciqfunctions.udf.CIQ($B81,"IQ_CDS_mid",K$2)</f>
        <v>60.380200000000002</v>
      </c>
      <c r="L81">
        <f ca="1">_xll.ciqfunctions.udf.CIQ($B81,"IQ_CDS_mid",L$2)</f>
        <v>60.380200000000002</v>
      </c>
      <c r="M81">
        <f ca="1">_xll.ciqfunctions.udf.CIQ($B81,"IQ_CDS_mid",M$2)</f>
        <v>60.380200000000002</v>
      </c>
      <c r="N81">
        <f ca="1">_xll.ciqfunctions.udf.CIQ($B81,"IQ_CDS_mid",N$2)</f>
        <v>60.3812</v>
      </c>
      <c r="O81">
        <f ca="1">_xll.ciqfunctions.udf.CIQ($B81,"IQ_CDS_mid",O$2)</f>
        <v>60.3842</v>
      </c>
      <c r="P81">
        <f ca="1">_xll.ciqfunctions.udf.CIQ($B81,"IQ_CDS_mid",P$2)</f>
        <v>60.377800000000001</v>
      </c>
      <c r="Q81">
        <f ca="1">_xll.ciqfunctions.udf.CIQ($B81,"IQ_CDS_mid",Q$2)</f>
        <v>60.628599999999999</v>
      </c>
      <c r="R81">
        <f ca="1">_xll.ciqfunctions.udf.CIQ($B81,"IQ_CDS_mid",R$2)</f>
        <v>61.967799999999997</v>
      </c>
      <c r="S81">
        <f ca="1">_xll.ciqfunctions.udf.CIQ($B81,"IQ_CDS_mid",S$2)</f>
        <v>44.128799999999998</v>
      </c>
      <c r="T81">
        <f t="shared" ca="1" si="18"/>
        <v>-0.43410000000000082</v>
      </c>
      <c r="U81">
        <f t="shared" ca="1" si="19"/>
        <v>-0.48100000000000165</v>
      </c>
      <c r="V81">
        <f t="shared" ca="1" si="20"/>
        <v>-0.72939999999999827</v>
      </c>
      <c r="W81">
        <f t="shared" ca="1" si="21"/>
        <v>-2.0685999999999964</v>
      </c>
      <c r="X81">
        <f t="shared" ca="1" si="13"/>
        <v>15.770400000000002</v>
      </c>
    </row>
    <row r="82" spans="1:24" ht="15.5">
      <c r="A82" s="27" t="s">
        <v>45</v>
      </c>
      <c r="B82" s="25" t="s">
        <v>113</v>
      </c>
      <c r="C82">
        <f ca="1">_xll.ciqfunctions.udf.CIQ($B82,"IQ_CDS_mid",C$2)</f>
        <v>57.494999999999997</v>
      </c>
      <c r="D82">
        <f ca="1">_xll.ciqfunctions.udf.CIQ($B82,"IQ_CDS_mid",D$2)</f>
        <v>57.494999999999997</v>
      </c>
      <c r="E82">
        <f ca="1">_xll.ciqfunctions.udf.CIQ($B82,"IQ_CDS_mid",E$2)</f>
        <v>57.494999999999997</v>
      </c>
      <c r="F82">
        <f ca="1">_xll.ciqfunctions.udf.CIQ($B82,"IQ_CDS_mid",F$2)</f>
        <v>57.494999999999997</v>
      </c>
      <c r="G82">
        <f ca="1">_xll.ciqfunctions.udf.CIQ($B82,"IQ_CDS_mid",G$2)</f>
        <v>57.333300000000001</v>
      </c>
      <c r="H82">
        <f ca="1">_xll.ciqfunctions.udf.CIQ($B82,"IQ_CDS_mid",H$2)</f>
        <v>57.5</v>
      </c>
      <c r="I82">
        <f ca="1">_xll.ciqfunctions.udf.CIQ($B82,"IQ_CDS_mid",I$2)</f>
        <v>57.333300000000001</v>
      </c>
      <c r="J82">
        <f ca="1">_xll.ciqfunctions.udf.CIQ($B82,"IQ_CDS_mid",J$2)</f>
        <v>56.666699999999999</v>
      </c>
      <c r="K82">
        <f ca="1">_xll.ciqfunctions.udf.CIQ($B82,"IQ_CDS_mid",K$2)</f>
        <v>57</v>
      </c>
      <c r="L82">
        <f ca="1">_xll.ciqfunctions.udf.CIQ($B82,"IQ_CDS_mid",L$2)</f>
        <v>57</v>
      </c>
      <c r="M82">
        <f ca="1">_xll.ciqfunctions.udf.CIQ($B82,"IQ_CDS_mid",M$2)</f>
        <v>57</v>
      </c>
      <c r="N82">
        <f ca="1">_xll.ciqfunctions.udf.CIQ($B82,"IQ_CDS_mid",N$2)</f>
        <v>55.666699999999999</v>
      </c>
      <c r="O82">
        <f ca="1">_xll.ciqfunctions.udf.CIQ($B82,"IQ_CDS_mid",O$2)</f>
        <v>56</v>
      </c>
      <c r="P82">
        <f ca="1">_xll.ciqfunctions.udf.CIQ($B82,"IQ_CDS_mid",P$2)</f>
        <v>56</v>
      </c>
      <c r="Q82">
        <f ca="1">_xll.ciqfunctions.udf.CIQ($B82,"IQ_CDS_mid",Q$2)</f>
        <v>56</v>
      </c>
      <c r="R82">
        <f ca="1">_xll.ciqfunctions.udf.CIQ($B82,"IQ_CDS_mid",R$2)</f>
        <v>57</v>
      </c>
      <c r="S82">
        <f ca="1">_xll.ciqfunctions.udf.CIQ($B82,"IQ_CDS_mid",S$2)</f>
        <v>44.977200000000003</v>
      </c>
      <c r="T82">
        <f t="shared" ca="1" si="18"/>
        <v>-5.000000000002558E-3</v>
      </c>
      <c r="U82">
        <f t="shared" ca="1" si="19"/>
        <v>0.49499999999999744</v>
      </c>
      <c r="V82">
        <f t="shared" ca="1" si="20"/>
        <v>1.4949999999999974</v>
      </c>
      <c r="W82">
        <f t="shared" ca="1" si="21"/>
        <v>0.49499999999999744</v>
      </c>
      <c r="X82">
        <f t="shared" ca="1" si="13"/>
        <v>12.517799999999994</v>
      </c>
    </row>
    <row r="83" spans="1:24" ht="15.5">
      <c r="A83" s="27" t="s">
        <v>46</v>
      </c>
      <c r="B83" s="25" t="s">
        <v>112</v>
      </c>
      <c r="C83">
        <f ca="1">_xll.ciqfunctions.udf.CIQ($B83,"IQ_CDS_mid",C$2)</f>
        <v>60.158299999999997</v>
      </c>
      <c r="D83">
        <f ca="1">_xll.ciqfunctions.udf.CIQ($B83,"IQ_CDS_mid",D$2)</f>
        <v>60.158299999999997</v>
      </c>
      <c r="E83">
        <f ca="1">_xll.ciqfunctions.udf.CIQ($B83,"IQ_CDS_mid",E$2)</f>
        <v>60.158299999999997</v>
      </c>
      <c r="F83">
        <f ca="1">_xll.ciqfunctions.udf.CIQ($B83,"IQ_CDS_mid",F$2)</f>
        <v>60.158299999999997</v>
      </c>
      <c r="G83">
        <f ca="1">_xll.ciqfunctions.udf.CIQ($B83,"IQ_CDS_mid",G$2)</f>
        <v>60.255899999999997</v>
      </c>
      <c r="H83">
        <f ca="1">_xll.ciqfunctions.udf.CIQ($B83,"IQ_CDS_mid",H$2)</f>
        <v>60.462800000000001</v>
      </c>
      <c r="I83">
        <f ca="1">_xll.ciqfunctions.udf.CIQ($B83,"IQ_CDS_mid",I$2)</f>
        <v>60.408200000000001</v>
      </c>
      <c r="J83">
        <f ca="1">_xll.ciqfunctions.udf.CIQ($B83,"IQ_CDS_mid",J$2)</f>
        <v>60.269599999999997</v>
      </c>
      <c r="K83">
        <f ca="1">_xll.ciqfunctions.udf.CIQ($B83,"IQ_CDS_mid",K$2)</f>
        <v>60.515900000000002</v>
      </c>
      <c r="L83">
        <f ca="1">_xll.ciqfunctions.udf.CIQ($B83,"IQ_CDS_mid",L$2)</f>
        <v>60.515900000000002</v>
      </c>
      <c r="M83">
        <f ca="1">_xll.ciqfunctions.udf.CIQ($B83,"IQ_CDS_mid",M$2)</f>
        <v>60.515900000000002</v>
      </c>
      <c r="N83">
        <f ca="1">_xll.ciqfunctions.udf.CIQ($B83,"IQ_CDS_mid",N$2)</f>
        <v>60.505000000000003</v>
      </c>
      <c r="O83">
        <f ca="1">_xll.ciqfunctions.udf.CIQ($B83,"IQ_CDS_mid",O$2)</f>
        <v>60.490099999999998</v>
      </c>
      <c r="P83">
        <f ca="1">_xll.ciqfunctions.udf.CIQ($B83,"IQ_CDS_mid",P$2)</f>
        <v>60.457599999999999</v>
      </c>
      <c r="Q83">
        <f ca="1">_xll.ciqfunctions.udf.CIQ($B83,"IQ_CDS_mid",Q$2)</f>
        <v>60.439799999999998</v>
      </c>
      <c r="R83">
        <f ca="1">_xll.ciqfunctions.udf.CIQ($B83,"IQ_CDS_mid",R$2)</f>
        <v>58.390099999999997</v>
      </c>
      <c r="S83">
        <f ca="1">_xll.ciqfunctions.udf.CIQ($B83,"IQ_CDS_mid",S$2)</f>
        <v>51.25</v>
      </c>
      <c r="T83">
        <f t="shared" ca="1" si="18"/>
        <v>-0.30450000000000443</v>
      </c>
      <c r="U83">
        <f t="shared" ca="1" si="19"/>
        <v>-0.35760000000000502</v>
      </c>
      <c r="V83">
        <f t="shared" ca="1" si="20"/>
        <v>-0.28150000000000119</v>
      </c>
      <c r="W83">
        <f t="shared" ca="1" si="21"/>
        <v>1.7682000000000002</v>
      </c>
      <c r="X83">
        <f t="shared" ca="1" si="13"/>
        <v>8.908299999999997</v>
      </c>
    </row>
    <row r="84" spans="1:24" ht="15.5">
      <c r="A84" s="27" t="s">
        <v>47</v>
      </c>
      <c r="B84" t="s">
        <v>111</v>
      </c>
      <c r="C84">
        <f ca="1">_xll.ciqfunctions.udf.CIQ($B84,"IQ_CDS_mid",C$2)</f>
        <v>56.5289</v>
      </c>
      <c r="D84">
        <f ca="1">_xll.ciqfunctions.udf.CIQ($B84,"IQ_CDS_mid",D$2)</f>
        <v>56.5289</v>
      </c>
      <c r="E84">
        <f ca="1">_xll.ciqfunctions.udf.CIQ($B84,"IQ_CDS_mid",E$2)</f>
        <v>56.5289</v>
      </c>
      <c r="F84">
        <f ca="1">_xll.ciqfunctions.udf.CIQ($B84,"IQ_CDS_mid",F$2)</f>
        <v>56.5289</v>
      </c>
      <c r="G84">
        <f ca="1">_xll.ciqfunctions.udf.CIQ($B84,"IQ_CDS_mid",G$2)</f>
        <v>56.932499999999997</v>
      </c>
      <c r="H84">
        <f ca="1">_xll.ciqfunctions.udf.CIQ($B84,"IQ_CDS_mid",H$2)</f>
        <v>57.562199999999997</v>
      </c>
      <c r="I84">
        <f ca="1">_xll.ciqfunctions.udf.CIQ($B84,"IQ_CDS_mid",I$2)</f>
        <v>57.907699999999998</v>
      </c>
      <c r="J84">
        <f ca="1">_xll.ciqfunctions.udf.CIQ($B84,"IQ_CDS_mid",J$2)</f>
        <v>58.928199999999997</v>
      </c>
      <c r="K84">
        <f ca="1">_xll.ciqfunctions.udf.CIQ($B84,"IQ_CDS_mid",K$2)</f>
        <v>59.395600000000002</v>
      </c>
      <c r="L84">
        <f ca="1">_xll.ciqfunctions.udf.CIQ($B84,"IQ_CDS_mid",L$2)</f>
        <v>59.395600000000002</v>
      </c>
      <c r="M84">
        <f ca="1">_xll.ciqfunctions.udf.CIQ($B84,"IQ_CDS_mid",M$2)</f>
        <v>59.395600000000002</v>
      </c>
      <c r="N84">
        <f ca="1">_xll.ciqfunctions.udf.CIQ($B84,"IQ_CDS_mid",N$2)</f>
        <v>59.441800000000001</v>
      </c>
      <c r="O84">
        <f ca="1">_xll.ciqfunctions.udf.CIQ($B84,"IQ_CDS_mid",O$2)</f>
        <v>59.4574</v>
      </c>
      <c r="P84">
        <f ca="1">_xll.ciqfunctions.udf.CIQ($B84,"IQ_CDS_mid",P$2)</f>
        <v>59.487099999999998</v>
      </c>
      <c r="Q84">
        <f ca="1">_xll.ciqfunctions.udf.CIQ($B84,"IQ_CDS_mid",Q$2)</f>
        <v>59.438699999999997</v>
      </c>
      <c r="R84">
        <f ca="1">_xll.ciqfunctions.udf.CIQ($B84,"IQ_CDS_mid",R$2)</f>
        <v>55.508000000000003</v>
      </c>
      <c r="S84">
        <f ca="1">_xll.ciqfunctions.udf.CIQ($B84,"IQ_CDS_mid",S$2)</f>
        <v>50.633400000000002</v>
      </c>
      <c r="T84">
        <f t="shared" ca="1" si="18"/>
        <v>-1.033299999999997</v>
      </c>
      <c r="U84">
        <f t="shared" ca="1" si="19"/>
        <v>-2.8667000000000016</v>
      </c>
      <c r="V84">
        <f t="shared" ca="1" si="20"/>
        <v>-2.9097999999999971</v>
      </c>
      <c r="W84">
        <f t="shared" ca="1" si="21"/>
        <v>1.0208999999999975</v>
      </c>
      <c r="X84">
        <f t="shared" ca="1" si="13"/>
        <v>5.8954999999999984</v>
      </c>
    </row>
    <row r="85" spans="1:24" ht="15.5">
      <c r="A85" s="26" t="s">
        <v>48</v>
      </c>
      <c r="B85" s="25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Risk Score Model</vt:lpstr>
      <vt:lpstr>CDS from CapitalIQ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2026-06-08T17:51:02Z</dcterms:created>
  <dcterms:modified xsi:type="dcterms:W3CDTF">2026-09-07T19:26:09Z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2026-07-20T17:11:27Z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01940038-6609-4fb7-8904-5c361468ad28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