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nkofcanada-my.sharepoint.com/personal/evjo_bank-banque-canada_ca/Documents/Monitoring Database/"/>
    </mc:Choice>
  </mc:AlternateContent>
  <xr:revisionPtr revIDLastSave="11005" documentId="8_{CDDB89CF-5CE4-4A65-99F7-7EF0C0A12C4C}" xr6:coauthVersionLast="47" xr6:coauthVersionMax="47" xr10:uidLastSave="{AB6787A4-088C-4330-8C3A-49A0AC73593C}"/>
  <bookViews>
    <workbookView xWindow="-110" yWindow="-110" windowWidth="19420" windowHeight="11500" activeTab="3" xr2:uid="{A93B9CC2-92A3-4946-B0CF-93E1751ADFB7}"/>
  </bookViews>
  <sheets>
    <sheet name="Report" sheetId="1" r:id="rId1"/>
    <sheet name="Risk Score Model" sheetId="466" r:id="rId2"/>
    <sheet name="_CIQHiddenCacheSheet" sheetId="541" state="veryHidden" r:id="rId3"/>
    <sheet name="CDS from CapitalIQ" sheetId="3" r:id="rId4"/>
  </sheets>
  <externalReferences>
    <externalReference r:id="rId5"/>
  </externalReferences>
  <definedNames>
    <definedName name="bank_bloom">'[1]Bloomberg Codes'!$N$2:$U$23</definedName>
    <definedName name="CIQWBGuid" hidden="1">"23929885-fa05-4036-b89d-481749f9b492"</definedName>
    <definedName name="CIQWBInfo" hidden="1">"{ ""CIQVersion"":""9.51.3510.3078"" }"</definedName>
    <definedName name="date_cds">OFFSET(#REF!,0,0,1,COUNTA(#REF!))</definedName>
    <definedName name="date_fx">OFFSET(#REF!,0,0,1,COUNTA(#REF!))</definedName>
    <definedName name="date_lookup">'[1]Sovereign Indicators'!$C$1</definedName>
    <definedName name="date_stock">OFFSET(#REF!,0,0,1,COUNTA(#REF!))</definedName>
    <definedName name="graph_cds_change">OFFSET(#REF!,0,0,1,COUNTA(#REF!))</definedName>
    <definedName name="graph_cds_level">OFFSET(#REF!,0,0,1,COUNTA(#REF!))</definedName>
    <definedName name="graph_fx_change">OFFSET(#REF!,0,0,1,COUNTA(#REF!))</definedName>
    <definedName name="graph_stock_change">OFFSET(#REF!,0,0,1,COUNTA(#REF!))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"06/17/2026 20:53:41"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sov_bloom">'[1]Bloomberg Codes'!$A$3:$J$43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X7" i="3"/>
  <c r="X21" i="3"/>
  <c r="X30" i="3"/>
  <c r="X43" i="3"/>
  <c r="X45" i="3"/>
  <c r="X46" i="3"/>
  <c r="X47" i="3"/>
  <c r="X55" i="3"/>
  <c r="X59" i="3"/>
  <c r="X62" i="3"/>
  <c r="X67" i="3"/>
  <c r="X70" i="3"/>
  <c r="X72" i="3"/>
  <c r="X78" i="3"/>
  <c r="C3" i="3"/>
  <c r="C4" i="3"/>
  <c r="C5" i="3"/>
  <c r="C6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2" i="3"/>
  <c r="C23" i="3"/>
  <c r="C24" i="3"/>
  <c r="C25" i="3"/>
  <c r="C26" i="3"/>
  <c r="C27" i="3"/>
  <c r="C28" i="3"/>
  <c r="C29" i="3"/>
  <c r="C31" i="3"/>
  <c r="C32" i="3"/>
  <c r="C33" i="3"/>
  <c r="C34" i="3"/>
  <c r="C35" i="3"/>
  <c r="C36" i="3"/>
  <c r="C37" i="3"/>
  <c r="C38" i="3"/>
  <c r="C39" i="3"/>
  <c r="C40" i="3"/>
  <c r="C42" i="3"/>
  <c r="C44" i="3"/>
  <c r="C48" i="3"/>
  <c r="C49" i="3"/>
  <c r="C50" i="3"/>
  <c r="C51" i="3"/>
  <c r="C52" i="3"/>
  <c r="C53" i="3"/>
  <c r="C54" i="3"/>
  <c r="C56" i="3"/>
  <c r="C57" i="3"/>
  <c r="C58" i="3"/>
  <c r="C60" i="3"/>
  <c r="C61" i="3"/>
  <c r="C63" i="3"/>
  <c r="C64" i="3"/>
  <c r="C65" i="3"/>
  <c r="C66" i="3"/>
  <c r="C68" i="3"/>
  <c r="C69" i="3"/>
  <c r="C71" i="3"/>
  <c r="C73" i="3"/>
  <c r="C74" i="3"/>
  <c r="C75" i="3"/>
  <c r="C76" i="3"/>
  <c r="C77" i="3"/>
  <c r="C79" i="3"/>
  <c r="C80" i="3"/>
  <c r="C81" i="3"/>
  <c r="C82" i="3"/>
  <c r="C83" i="3"/>
  <c r="C84" i="3"/>
  <c r="G3" i="3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2" i="3"/>
  <c r="G23" i="3"/>
  <c r="G24" i="3"/>
  <c r="G25" i="3"/>
  <c r="G26" i="3"/>
  <c r="G27" i="3"/>
  <c r="G28" i="3"/>
  <c r="G29" i="3"/>
  <c r="G31" i="3"/>
  <c r="G32" i="3"/>
  <c r="G33" i="3"/>
  <c r="G34" i="3"/>
  <c r="G35" i="3"/>
  <c r="G36" i="3"/>
  <c r="G37" i="3"/>
  <c r="G38" i="3"/>
  <c r="G39" i="3"/>
  <c r="G40" i="3"/>
  <c r="G42" i="3"/>
  <c r="G44" i="3"/>
  <c r="G48" i="3"/>
  <c r="G49" i="3"/>
  <c r="G50" i="3"/>
  <c r="G51" i="3"/>
  <c r="G52" i="3"/>
  <c r="G53" i="3"/>
  <c r="G54" i="3"/>
  <c r="G56" i="3"/>
  <c r="G57" i="3"/>
  <c r="G58" i="3"/>
  <c r="G60" i="3"/>
  <c r="G61" i="3"/>
  <c r="G63" i="3"/>
  <c r="G64" i="3"/>
  <c r="G65" i="3"/>
  <c r="G66" i="3"/>
  <c r="G68" i="3"/>
  <c r="G69" i="3"/>
  <c r="G71" i="3"/>
  <c r="G73" i="3"/>
  <c r="G74" i="3"/>
  <c r="G75" i="3"/>
  <c r="G76" i="3"/>
  <c r="G77" i="3"/>
  <c r="G79" i="3"/>
  <c r="G80" i="3"/>
  <c r="G81" i="3"/>
  <c r="G82" i="3"/>
  <c r="G83" i="3"/>
  <c r="G84" i="3"/>
  <c r="H3" i="3"/>
  <c r="H4" i="3"/>
  <c r="H5" i="3"/>
  <c r="H6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2" i="3"/>
  <c r="H23" i="3"/>
  <c r="H24" i="3"/>
  <c r="H25" i="3"/>
  <c r="H26" i="3"/>
  <c r="H27" i="3"/>
  <c r="H28" i="3"/>
  <c r="H29" i="3"/>
  <c r="H31" i="3"/>
  <c r="H32" i="3"/>
  <c r="H33" i="3"/>
  <c r="H34" i="3"/>
  <c r="H35" i="3"/>
  <c r="H36" i="3"/>
  <c r="H37" i="3"/>
  <c r="H38" i="3"/>
  <c r="H39" i="3"/>
  <c r="H40" i="3"/>
  <c r="H42" i="3"/>
  <c r="H44" i="3"/>
  <c r="H48" i="3"/>
  <c r="H49" i="3"/>
  <c r="H50" i="3"/>
  <c r="H51" i="3"/>
  <c r="H52" i="3"/>
  <c r="H53" i="3"/>
  <c r="H54" i="3"/>
  <c r="H56" i="3"/>
  <c r="H57" i="3"/>
  <c r="H58" i="3"/>
  <c r="H60" i="3"/>
  <c r="H61" i="3"/>
  <c r="H63" i="3"/>
  <c r="H64" i="3"/>
  <c r="H65" i="3"/>
  <c r="H66" i="3"/>
  <c r="H68" i="3"/>
  <c r="H69" i="3"/>
  <c r="H71" i="3"/>
  <c r="H73" i="3"/>
  <c r="H74" i="3"/>
  <c r="H75" i="3"/>
  <c r="H76" i="3"/>
  <c r="H77" i="3"/>
  <c r="H79" i="3"/>
  <c r="H80" i="3"/>
  <c r="H81" i="3"/>
  <c r="H82" i="3"/>
  <c r="H83" i="3"/>
  <c r="H84" i="3"/>
  <c r="D3" i="3"/>
  <c r="D4" i="3"/>
  <c r="D5" i="3"/>
  <c r="D6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3" i="3"/>
  <c r="D24" i="3"/>
  <c r="D25" i="3"/>
  <c r="D26" i="3"/>
  <c r="D27" i="3"/>
  <c r="D28" i="3"/>
  <c r="D29" i="3"/>
  <c r="D31" i="3"/>
  <c r="D32" i="3"/>
  <c r="D33" i="3"/>
  <c r="D34" i="3"/>
  <c r="D35" i="3"/>
  <c r="D36" i="3"/>
  <c r="D37" i="3"/>
  <c r="D38" i="3"/>
  <c r="D39" i="3"/>
  <c r="D40" i="3"/>
  <c r="D42" i="3"/>
  <c r="D44" i="3"/>
  <c r="D48" i="3"/>
  <c r="D49" i="3"/>
  <c r="D50" i="3"/>
  <c r="D51" i="3"/>
  <c r="D52" i="3"/>
  <c r="D53" i="3"/>
  <c r="D54" i="3"/>
  <c r="D56" i="3"/>
  <c r="D57" i="3"/>
  <c r="D58" i="3"/>
  <c r="D60" i="3"/>
  <c r="D61" i="3"/>
  <c r="D63" i="3"/>
  <c r="D64" i="3"/>
  <c r="D65" i="3"/>
  <c r="D66" i="3"/>
  <c r="D68" i="3"/>
  <c r="D69" i="3"/>
  <c r="D71" i="3"/>
  <c r="D73" i="3"/>
  <c r="D74" i="3"/>
  <c r="D75" i="3"/>
  <c r="D76" i="3"/>
  <c r="D77" i="3"/>
  <c r="D79" i="3"/>
  <c r="D80" i="3"/>
  <c r="D81" i="3"/>
  <c r="D82" i="3"/>
  <c r="D83" i="3"/>
  <c r="D84" i="3"/>
  <c r="E3" i="3"/>
  <c r="E4" i="3"/>
  <c r="E5" i="3"/>
  <c r="E6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2" i="3"/>
  <c r="E23" i="3"/>
  <c r="E24" i="3"/>
  <c r="E25" i="3"/>
  <c r="E26" i="3"/>
  <c r="E27" i="3"/>
  <c r="E28" i="3"/>
  <c r="E29" i="3"/>
  <c r="E31" i="3"/>
  <c r="E32" i="3"/>
  <c r="E33" i="3"/>
  <c r="E34" i="3"/>
  <c r="E35" i="3"/>
  <c r="E36" i="3"/>
  <c r="E37" i="3"/>
  <c r="E38" i="3"/>
  <c r="E39" i="3"/>
  <c r="E40" i="3"/>
  <c r="E42" i="3"/>
  <c r="E44" i="3"/>
  <c r="E48" i="3"/>
  <c r="E49" i="3"/>
  <c r="E50" i="3"/>
  <c r="E51" i="3"/>
  <c r="E52" i="3"/>
  <c r="E53" i="3"/>
  <c r="E54" i="3"/>
  <c r="E56" i="3"/>
  <c r="E57" i="3"/>
  <c r="E58" i="3"/>
  <c r="E60" i="3"/>
  <c r="E61" i="3"/>
  <c r="E63" i="3"/>
  <c r="E64" i="3"/>
  <c r="E65" i="3"/>
  <c r="E66" i="3"/>
  <c r="E68" i="3"/>
  <c r="E69" i="3"/>
  <c r="E71" i="3"/>
  <c r="E73" i="3"/>
  <c r="E74" i="3"/>
  <c r="E75" i="3"/>
  <c r="E76" i="3"/>
  <c r="E77" i="3"/>
  <c r="E79" i="3"/>
  <c r="E80" i="3"/>
  <c r="E81" i="3"/>
  <c r="E82" i="3"/>
  <c r="E83" i="3"/>
  <c r="E84" i="3"/>
  <c r="F3" i="3"/>
  <c r="F4" i="3"/>
  <c r="F5" i="3"/>
  <c r="F6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2" i="3"/>
  <c r="F23" i="3"/>
  <c r="F24" i="3"/>
  <c r="F25" i="3"/>
  <c r="F26" i="3"/>
  <c r="F27" i="3"/>
  <c r="F28" i="3"/>
  <c r="F29" i="3"/>
  <c r="F31" i="3"/>
  <c r="F32" i="3"/>
  <c r="F33" i="3"/>
  <c r="F34" i="3"/>
  <c r="F35" i="3"/>
  <c r="F36" i="3"/>
  <c r="F37" i="3"/>
  <c r="F38" i="3"/>
  <c r="F39" i="3"/>
  <c r="F40" i="3"/>
  <c r="F42" i="3"/>
  <c r="F44" i="3"/>
  <c r="F48" i="3"/>
  <c r="F49" i="3"/>
  <c r="F50" i="3"/>
  <c r="F51" i="3"/>
  <c r="F52" i="3"/>
  <c r="F53" i="3"/>
  <c r="F54" i="3"/>
  <c r="F56" i="3"/>
  <c r="F57" i="3"/>
  <c r="F58" i="3"/>
  <c r="F60" i="3"/>
  <c r="F61" i="3"/>
  <c r="F63" i="3"/>
  <c r="F64" i="3"/>
  <c r="F65" i="3"/>
  <c r="F66" i="3"/>
  <c r="F68" i="3"/>
  <c r="F69" i="3"/>
  <c r="F71" i="3"/>
  <c r="F73" i="3"/>
  <c r="F74" i="3"/>
  <c r="F75" i="3"/>
  <c r="F76" i="3"/>
  <c r="F77" i="3"/>
  <c r="F79" i="3"/>
  <c r="F80" i="3"/>
  <c r="F81" i="3"/>
  <c r="F82" i="3"/>
  <c r="F83" i="3"/>
  <c r="F84" i="3"/>
  <c r="S3" i="3"/>
  <c r="S4" i="3"/>
  <c r="S5" i="3"/>
  <c r="S6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2" i="3"/>
  <c r="S23" i="3"/>
  <c r="S24" i="3"/>
  <c r="S25" i="3"/>
  <c r="S26" i="3"/>
  <c r="S27" i="3"/>
  <c r="S28" i="3"/>
  <c r="S29" i="3"/>
  <c r="S31" i="3"/>
  <c r="S32" i="3"/>
  <c r="S33" i="3"/>
  <c r="S34" i="3"/>
  <c r="S35" i="3"/>
  <c r="S36" i="3"/>
  <c r="S37" i="3"/>
  <c r="S38" i="3"/>
  <c r="S39" i="3"/>
  <c r="S40" i="3"/>
  <c r="S42" i="3"/>
  <c r="S44" i="3"/>
  <c r="S48" i="3"/>
  <c r="S49" i="3"/>
  <c r="S50" i="3"/>
  <c r="S51" i="3"/>
  <c r="S52" i="3"/>
  <c r="S53" i="3"/>
  <c r="S54" i="3"/>
  <c r="S56" i="3"/>
  <c r="S57" i="3"/>
  <c r="S58" i="3"/>
  <c r="S60" i="3"/>
  <c r="S61" i="3"/>
  <c r="S63" i="3"/>
  <c r="S64" i="3"/>
  <c r="S65" i="3"/>
  <c r="S66" i="3"/>
  <c r="S68" i="3"/>
  <c r="S69" i="3"/>
  <c r="S71" i="3"/>
  <c r="S73" i="3"/>
  <c r="S74" i="3"/>
  <c r="S75" i="3"/>
  <c r="S76" i="3"/>
  <c r="S77" i="3"/>
  <c r="S79" i="3"/>
  <c r="S80" i="3"/>
  <c r="S81" i="3"/>
  <c r="S82" i="3"/>
  <c r="S83" i="3"/>
  <c r="S84" i="3"/>
  <c r="I3" i="3"/>
  <c r="I4" i="3"/>
  <c r="I5" i="3"/>
  <c r="I6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2" i="3"/>
  <c r="I23" i="3"/>
  <c r="I24" i="3"/>
  <c r="I25" i="3"/>
  <c r="I26" i="3"/>
  <c r="I27" i="3"/>
  <c r="I28" i="3"/>
  <c r="I29" i="3"/>
  <c r="I31" i="3"/>
  <c r="I32" i="3"/>
  <c r="I33" i="3"/>
  <c r="I34" i="3"/>
  <c r="I35" i="3"/>
  <c r="I36" i="3"/>
  <c r="I37" i="3"/>
  <c r="I38" i="3"/>
  <c r="I39" i="3"/>
  <c r="I40" i="3"/>
  <c r="I42" i="3"/>
  <c r="I44" i="3"/>
  <c r="I48" i="3"/>
  <c r="I49" i="3"/>
  <c r="I50" i="3"/>
  <c r="I51" i="3"/>
  <c r="I52" i="3"/>
  <c r="I53" i="3"/>
  <c r="I54" i="3"/>
  <c r="I56" i="3"/>
  <c r="I57" i="3"/>
  <c r="I58" i="3"/>
  <c r="I60" i="3"/>
  <c r="I61" i="3"/>
  <c r="I63" i="3"/>
  <c r="I64" i="3"/>
  <c r="I65" i="3"/>
  <c r="I66" i="3"/>
  <c r="I68" i="3"/>
  <c r="I69" i="3"/>
  <c r="I71" i="3"/>
  <c r="I73" i="3"/>
  <c r="I74" i="3"/>
  <c r="I75" i="3"/>
  <c r="I76" i="3"/>
  <c r="I77" i="3"/>
  <c r="I79" i="3"/>
  <c r="I80" i="3"/>
  <c r="I81" i="3"/>
  <c r="I82" i="3"/>
  <c r="I83" i="3"/>
  <c r="I84" i="3"/>
  <c r="J3" i="3"/>
  <c r="J4" i="3"/>
  <c r="J5" i="3"/>
  <c r="J6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2" i="3"/>
  <c r="J23" i="3"/>
  <c r="J24" i="3"/>
  <c r="J25" i="3"/>
  <c r="J26" i="3"/>
  <c r="J27" i="3"/>
  <c r="J28" i="3"/>
  <c r="J29" i="3"/>
  <c r="J31" i="3"/>
  <c r="J32" i="3"/>
  <c r="J33" i="3"/>
  <c r="J34" i="3"/>
  <c r="J35" i="3"/>
  <c r="J36" i="3"/>
  <c r="J37" i="3"/>
  <c r="J38" i="3"/>
  <c r="J39" i="3"/>
  <c r="J40" i="3"/>
  <c r="J42" i="3"/>
  <c r="J44" i="3"/>
  <c r="J48" i="3"/>
  <c r="J49" i="3"/>
  <c r="J50" i="3"/>
  <c r="J51" i="3"/>
  <c r="J52" i="3"/>
  <c r="J53" i="3"/>
  <c r="J54" i="3"/>
  <c r="J56" i="3"/>
  <c r="J57" i="3"/>
  <c r="J58" i="3"/>
  <c r="J60" i="3"/>
  <c r="J61" i="3"/>
  <c r="J63" i="3"/>
  <c r="J64" i="3"/>
  <c r="J65" i="3"/>
  <c r="J66" i="3"/>
  <c r="J68" i="3"/>
  <c r="J69" i="3"/>
  <c r="J71" i="3"/>
  <c r="J73" i="3"/>
  <c r="J74" i="3"/>
  <c r="J75" i="3"/>
  <c r="J76" i="3"/>
  <c r="J77" i="3"/>
  <c r="J79" i="3"/>
  <c r="J80" i="3"/>
  <c r="J81" i="3"/>
  <c r="J82" i="3"/>
  <c r="J83" i="3"/>
  <c r="J84" i="3"/>
  <c r="K3" i="3"/>
  <c r="K4" i="3"/>
  <c r="K5" i="3"/>
  <c r="K6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2" i="3"/>
  <c r="K23" i="3"/>
  <c r="K24" i="3"/>
  <c r="K25" i="3"/>
  <c r="K26" i="3"/>
  <c r="K27" i="3"/>
  <c r="K28" i="3"/>
  <c r="K29" i="3"/>
  <c r="K31" i="3"/>
  <c r="K32" i="3"/>
  <c r="K33" i="3"/>
  <c r="K34" i="3"/>
  <c r="K35" i="3"/>
  <c r="K36" i="3"/>
  <c r="K37" i="3"/>
  <c r="K38" i="3"/>
  <c r="K39" i="3"/>
  <c r="K40" i="3"/>
  <c r="K42" i="3"/>
  <c r="K44" i="3"/>
  <c r="K48" i="3"/>
  <c r="K49" i="3"/>
  <c r="K50" i="3"/>
  <c r="K51" i="3"/>
  <c r="K52" i="3"/>
  <c r="K53" i="3"/>
  <c r="K54" i="3"/>
  <c r="K56" i="3"/>
  <c r="K57" i="3"/>
  <c r="K58" i="3"/>
  <c r="K60" i="3"/>
  <c r="K61" i="3"/>
  <c r="K63" i="3"/>
  <c r="K64" i="3"/>
  <c r="K65" i="3"/>
  <c r="K66" i="3"/>
  <c r="K68" i="3"/>
  <c r="K69" i="3"/>
  <c r="K71" i="3"/>
  <c r="K73" i="3"/>
  <c r="K74" i="3"/>
  <c r="K75" i="3"/>
  <c r="K76" i="3"/>
  <c r="K77" i="3"/>
  <c r="K79" i="3"/>
  <c r="K80" i="3"/>
  <c r="K81" i="3"/>
  <c r="K82" i="3"/>
  <c r="K83" i="3"/>
  <c r="K84" i="3"/>
  <c r="L3" i="3"/>
  <c r="L4" i="3"/>
  <c r="L5" i="3"/>
  <c r="L6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2" i="3"/>
  <c r="L23" i="3"/>
  <c r="L24" i="3"/>
  <c r="L25" i="3"/>
  <c r="L26" i="3"/>
  <c r="L27" i="3"/>
  <c r="L28" i="3"/>
  <c r="L29" i="3"/>
  <c r="L31" i="3"/>
  <c r="L32" i="3"/>
  <c r="L33" i="3"/>
  <c r="L34" i="3"/>
  <c r="L35" i="3"/>
  <c r="L36" i="3"/>
  <c r="L37" i="3"/>
  <c r="L38" i="3"/>
  <c r="L39" i="3"/>
  <c r="L40" i="3"/>
  <c r="L42" i="3"/>
  <c r="L44" i="3"/>
  <c r="L48" i="3"/>
  <c r="L49" i="3"/>
  <c r="L50" i="3"/>
  <c r="L51" i="3"/>
  <c r="L52" i="3"/>
  <c r="L53" i="3"/>
  <c r="L54" i="3"/>
  <c r="L56" i="3"/>
  <c r="L57" i="3"/>
  <c r="L58" i="3"/>
  <c r="L60" i="3"/>
  <c r="L61" i="3"/>
  <c r="L63" i="3"/>
  <c r="L64" i="3"/>
  <c r="L65" i="3"/>
  <c r="L66" i="3"/>
  <c r="L68" i="3"/>
  <c r="L69" i="3"/>
  <c r="L71" i="3"/>
  <c r="L73" i="3"/>
  <c r="L74" i="3"/>
  <c r="L75" i="3"/>
  <c r="L76" i="3"/>
  <c r="L77" i="3"/>
  <c r="L79" i="3"/>
  <c r="L80" i="3"/>
  <c r="L81" i="3"/>
  <c r="L82" i="3"/>
  <c r="L83" i="3"/>
  <c r="L84" i="3"/>
  <c r="M3" i="3"/>
  <c r="M4" i="3"/>
  <c r="M5" i="3"/>
  <c r="M6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0" i="3"/>
  <c r="M42" i="3"/>
  <c r="M44" i="3"/>
  <c r="M48" i="3"/>
  <c r="M49" i="3"/>
  <c r="M50" i="3"/>
  <c r="M51" i="3"/>
  <c r="M52" i="3"/>
  <c r="M53" i="3"/>
  <c r="M54" i="3"/>
  <c r="M56" i="3"/>
  <c r="M57" i="3"/>
  <c r="M58" i="3"/>
  <c r="M60" i="3"/>
  <c r="M61" i="3"/>
  <c r="M63" i="3"/>
  <c r="M64" i="3"/>
  <c r="M65" i="3"/>
  <c r="M66" i="3"/>
  <c r="M68" i="3"/>
  <c r="M69" i="3"/>
  <c r="M71" i="3"/>
  <c r="M73" i="3"/>
  <c r="M74" i="3"/>
  <c r="M75" i="3"/>
  <c r="M76" i="3"/>
  <c r="M77" i="3"/>
  <c r="M79" i="3"/>
  <c r="M80" i="3"/>
  <c r="M81" i="3"/>
  <c r="M82" i="3"/>
  <c r="M83" i="3"/>
  <c r="M84" i="3"/>
  <c r="Q3" i="3"/>
  <c r="Q4" i="3"/>
  <c r="Q5" i="3"/>
  <c r="Q6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2" i="3"/>
  <c r="Q23" i="3"/>
  <c r="Q24" i="3"/>
  <c r="Q25" i="3"/>
  <c r="Q26" i="3"/>
  <c r="Q27" i="3"/>
  <c r="Q28" i="3"/>
  <c r="Q29" i="3"/>
  <c r="Q31" i="3"/>
  <c r="Q32" i="3"/>
  <c r="Q33" i="3"/>
  <c r="Q34" i="3"/>
  <c r="Q35" i="3"/>
  <c r="Q36" i="3"/>
  <c r="Q37" i="3"/>
  <c r="Q38" i="3"/>
  <c r="Q39" i="3"/>
  <c r="Q40" i="3"/>
  <c r="Q42" i="3"/>
  <c r="Q44" i="3"/>
  <c r="Q48" i="3"/>
  <c r="Q49" i="3"/>
  <c r="Q50" i="3"/>
  <c r="Q51" i="3"/>
  <c r="Q52" i="3"/>
  <c r="Q53" i="3"/>
  <c r="Q54" i="3"/>
  <c r="Q56" i="3"/>
  <c r="Q57" i="3"/>
  <c r="Q58" i="3"/>
  <c r="Q60" i="3"/>
  <c r="Q61" i="3"/>
  <c r="Q63" i="3"/>
  <c r="Q64" i="3"/>
  <c r="Q65" i="3"/>
  <c r="Q66" i="3"/>
  <c r="Q68" i="3"/>
  <c r="Q69" i="3"/>
  <c r="Q71" i="3"/>
  <c r="Q73" i="3"/>
  <c r="Q74" i="3"/>
  <c r="Q75" i="3"/>
  <c r="Q76" i="3"/>
  <c r="Q77" i="3"/>
  <c r="Q79" i="3"/>
  <c r="Q80" i="3"/>
  <c r="Q81" i="3"/>
  <c r="Q82" i="3"/>
  <c r="Q83" i="3"/>
  <c r="Q84" i="3"/>
  <c r="R3" i="3"/>
  <c r="R4" i="3"/>
  <c r="R5" i="3"/>
  <c r="R6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2" i="3"/>
  <c r="R23" i="3"/>
  <c r="R24" i="3"/>
  <c r="R25" i="3"/>
  <c r="R26" i="3"/>
  <c r="R27" i="3"/>
  <c r="R28" i="3"/>
  <c r="R29" i="3"/>
  <c r="R31" i="3"/>
  <c r="R32" i="3"/>
  <c r="R33" i="3"/>
  <c r="R34" i="3"/>
  <c r="R35" i="3"/>
  <c r="R36" i="3"/>
  <c r="R37" i="3"/>
  <c r="R38" i="3"/>
  <c r="R39" i="3"/>
  <c r="R40" i="3"/>
  <c r="R42" i="3"/>
  <c r="R44" i="3"/>
  <c r="R48" i="3"/>
  <c r="R49" i="3"/>
  <c r="R50" i="3"/>
  <c r="R51" i="3"/>
  <c r="R52" i="3"/>
  <c r="R53" i="3"/>
  <c r="R54" i="3"/>
  <c r="R56" i="3"/>
  <c r="R57" i="3"/>
  <c r="R58" i="3"/>
  <c r="R60" i="3"/>
  <c r="R61" i="3"/>
  <c r="R63" i="3"/>
  <c r="R64" i="3"/>
  <c r="R65" i="3"/>
  <c r="R66" i="3"/>
  <c r="R68" i="3"/>
  <c r="R69" i="3"/>
  <c r="R71" i="3"/>
  <c r="R73" i="3"/>
  <c r="R74" i="3"/>
  <c r="R75" i="3"/>
  <c r="R76" i="3"/>
  <c r="R77" i="3"/>
  <c r="R79" i="3"/>
  <c r="R80" i="3"/>
  <c r="R81" i="3"/>
  <c r="R82" i="3"/>
  <c r="R83" i="3"/>
  <c r="R84" i="3"/>
  <c r="N3" i="3"/>
  <c r="N4" i="3"/>
  <c r="N5" i="3"/>
  <c r="N6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2" i="3"/>
  <c r="N23" i="3"/>
  <c r="N24" i="3"/>
  <c r="N25" i="3"/>
  <c r="N26" i="3"/>
  <c r="N27" i="3"/>
  <c r="N28" i="3"/>
  <c r="N29" i="3"/>
  <c r="N31" i="3"/>
  <c r="N32" i="3"/>
  <c r="N33" i="3"/>
  <c r="N34" i="3"/>
  <c r="N35" i="3"/>
  <c r="N36" i="3"/>
  <c r="N37" i="3"/>
  <c r="N38" i="3"/>
  <c r="N39" i="3"/>
  <c r="N40" i="3"/>
  <c r="N42" i="3"/>
  <c r="N44" i="3"/>
  <c r="N48" i="3"/>
  <c r="N49" i="3"/>
  <c r="N50" i="3"/>
  <c r="N51" i="3"/>
  <c r="N52" i="3"/>
  <c r="N53" i="3"/>
  <c r="N54" i="3"/>
  <c r="N56" i="3"/>
  <c r="N57" i="3"/>
  <c r="N58" i="3"/>
  <c r="N60" i="3"/>
  <c r="N61" i="3"/>
  <c r="N63" i="3"/>
  <c r="N64" i="3"/>
  <c r="N65" i="3"/>
  <c r="N66" i="3"/>
  <c r="N68" i="3"/>
  <c r="N69" i="3"/>
  <c r="N71" i="3"/>
  <c r="N73" i="3"/>
  <c r="N74" i="3"/>
  <c r="N75" i="3"/>
  <c r="N76" i="3"/>
  <c r="N77" i="3"/>
  <c r="N79" i="3"/>
  <c r="N80" i="3"/>
  <c r="N81" i="3"/>
  <c r="N82" i="3"/>
  <c r="N83" i="3"/>
  <c r="N84" i="3"/>
  <c r="O3" i="3"/>
  <c r="O4" i="3"/>
  <c r="O5" i="3"/>
  <c r="O6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2" i="3"/>
  <c r="O23" i="3"/>
  <c r="O24" i="3"/>
  <c r="O25" i="3"/>
  <c r="O26" i="3"/>
  <c r="O27" i="3"/>
  <c r="O28" i="3"/>
  <c r="O29" i="3"/>
  <c r="O31" i="3"/>
  <c r="O32" i="3"/>
  <c r="O33" i="3"/>
  <c r="O34" i="3"/>
  <c r="O35" i="3"/>
  <c r="O36" i="3"/>
  <c r="O37" i="3"/>
  <c r="O38" i="3"/>
  <c r="O39" i="3"/>
  <c r="O40" i="3"/>
  <c r="O42" i="3"/>
  <c r="O44" i="3"/>
  <c r="O48" i="3"/>
  <c r="O49" i="3"/>
  <c r="O50" i="3"/>
  <c r="O51" i="3"/>
  <c r="O52" i="3"/>
  <c r="O53" i="3"/>
  <c r="O54" i="3"/>
  <c r="O56" i="3"/>
  <c r="O57" i="3"/>
  <c r="O58" i="3"/>
  <c r="O60" i="3"/>
  <c r="O61" i="3"/>
  <c r="O63" i="3"/>
  <c r="O64" i="3"/>
  <c r="O65" i="3"/>
  <c r="O66" i="3"/>
  <c r="O68" i="3"/>
  <c r="O69" i="3"/>
  <c r="O71" i="3"/>
  <c r="O73" i="3"/>
  <c r="O74" i="3"/>
  <c r="O75" i="3"/>
  <c r="O76" i="3"/>
  <c r="O77" i="3"/>
  <c r="O79" i="3"/>
  <c r="O80" i="3"/>
  <c r="O81" i="3"/>
  <c r="O82" i="3"/>
  <c r="O83" i="3"/>
  <c r="O84" i="3"/>
  <c r="P3" i="3"/>
  <c r="P4" i="3"/>
  <c r="P5" i="3"/>
  <c r="P6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2" i="3"/>
  <c r="P23" i="3"/>
  <c r="P24" i="3"/>
  <c r="P25" i="3"/>
  <c r="P26" i="3"/>
  <c r="P27" i="3"/>
  <c r="P28" i="3"/>
  <c r="P29" i="3"/>
  <c r="P31" i="3"/>
  <c r="P32" i="3"/>
  <c r="P33" i="3"/>
  <c r="P34" i="3"/>
  <c r="P35" i="3"/>
  <c r="P36" i="3"/>
  <c r="P37" i="3"/>
  <c r="P38" i="3"/>
  <c r="P39" i="3"/>
  <c r="P40" i="3"/>
  <c r="P42" i="3"/>
  <c r="P44" i="3"/>
  <c r="P48" i="3"/>
  <c r="P49" i="3"/>
  <c r="P50" i="3"/>
  <c r="P51" i="3"/>
  <c r="P52" i="3"/>
  <c r="P53" i="3"/>
  <c r="P54" i="3"/>
  <c r="P56" i="3"/>
  <c r="P57" i="3"/>
  <c r="P58" i="3"/>
  <c r="P60" i="3"/>
  <c r="P61" i="3"/>
  <c r="P63" i="3"/>
  <c r="P64" i="3"/>
  <c r="P65" i="3"/>
  <c r="P66" i="3"/>
  <c r="P68" i="3"/>
  <c r="P69" i="3"/>
  <c r="P71" i="3"/>
  <c r="P73" i="3"/>
  <c r="P74" i="3"/>
  <c r="P75" i="3"/>
  <c r="P76" i="3"/>
  <c r="P77" i="3"/>
  <c r="P79" i="3"/>
  <c r="P80" i="3"/>
  <c r="P81" i="3"/>
  <c r="P82" i="3"/>
  <c r="P83" i="3"/>
  <c r="P84" i="3"/>
  <c r="M2" i="1" a="1"/>
  <c r="W84" i="3" l="1"/>
  <c r="X84" i="3"/>
  <c r="T84" i="3"/>
  <c r="U84" i="3"/>
  <c r="V84" i="3"/>
  <c r="X83" i="3"/>
  <c r="U83" i="3"/>
  <c r="V83" i="3"/>
  <c r="T83" i="3"/>
  <c r="W83" i="3"/>
  <c r="W82" i="3"/>
  <c r="T82" i="3"/>
  <c r="X82" i="3"/>
  <c r="U82" i="3"/>
  <c r="V82" i="3"/>
  <c r="T81" i="3"/>
  <c r="U81" i="3"/>
  <c r="V81" i="3"/>
  <c r="W81" i="3"/>
  <c r="X81" i="3"/>
  <c r="W80" i="3"/>
  <c r="X80" i="3"/>
  <c r="T80" i="3"/>
  <c r="U80" i="3"/>
  <c r="V80" i="3"/>
  <c r="X79" i="3"/>
  <c r="T79" i="3"/>
  <c r="U79" i="3"/>
  <c r="V79" i="3"/>
  <c r="W79" i="3"/>
  <c r="T77" i="3"/>
  <c r="U77" i="3"/>
  <c r="W77" i="3"/>
  <c r="V77" i="3"/>
  <c r="X77" i="3"/>
  <c r="T76" i="3"/>
  <c r="U76" i="3"/>
  <c r="V76" i="3"/>
  <c r="W76" i="3"/>
  <c r="X76" i="3"/>
  <c r="T75" i="3"/>
  <c r="X75" i="3"/>
  <c r="U75" i="3"/>
  <c r="V75" i="3"/>
  <c r="W75" i="3"/>
  <c r="V74" i="3"/>
  <c r="W74" i="3"/>
  <c r="U74" i="3"/>
  <c r="T74" i="3"/>
  <c r="X74" i="3"/>
  <c r="T73" i="3"/>
  <c r="X73" i="3"/>
  <c r="U73" i="3"/>
  <c r="V73" i="3"/>
  <c r="W73" i="3"/>
  <c r="U71" i="3"/>
  <c r="T71" i="3"/>
  <c r="V71" i="3"/>
  <c r="W71" i="3"/>
  <c r="X71" i="3"/>
  <c r="V69" i="3"/>
  <c r="W69" i="3"/>
  <c r="X69" i="3"/>
  <c r="T69" i="3"/>
  <c r="U69" i="3"/>
  <c r="X68" i="3"/>
  <c r="T68" i="3"/>
  <c r="U68" i="3"/>
  <c r="V68" i="3"/>
  <c r="W68" i="3"/>
  <c r="T66" i="3"/>
  <c r="U66" i="3"/>
  <c r="V66" i="3"/>
  <c r="W66" i="3"/>
  <c r="X66" i="3"/>
  <c r="V65" i="3"/>
  <c r="W65" i="3"/>
  <c r="T65" i="3"/>
  <c r="U65" i="3"/>
  <c r="X65" i="3"/>
  <c r="W64" i="3"/>
  <c r="X64" i="3"/>
  <c r="T64" i="3"/>
  <c r="U64" i="3"/>
  <c r="V64" i="3"/>
  <c r="V63" i="3"/>
  <c r="X63" i="3"/>
  <c r="T63" i="3"/>
  <c r="U63" i="3"/>
  <c r="W63" i="3"/>
  <c r="T61" i="3"/>
  <c r="U61" i="3"/>
  <c r="V61" i="3"/>
  <c r="W61" i="3"/>
  <c r="X61" i="3"/>
  <c r="W60" i="3"/>
  <c r="X60" i="3"/>
  <c r="T60" i="3"/>
  <c r="U60" i="3"/>
  <c r="V60" i="3"/>
  <c r="V58" i="3"/>
  <c r="T58" i="3"/>
  <c r="U58" i="3"/>
  <c r="W58" i="3"/>
  <c r="X58" i="3"/>
  <c r="T57" i="3"/>
  <c r="X57" i="3"/>
  <c r="U57" i="3"/>
  <c r="W57" i="3"/>
  <c r="V57" i="3"/>
  <c r="T56" i="3"/>
  <c r="U56" i="3"/>
  <c r="V56" i="3"/>
  <c r="W56" i="3"/>
  <c r="X56" i="3"/>
  <c r="U54" i="3"/>
  <c r="V54" i="3"/>
  <c r="W54" i="3"/>
  <c r="X54" i="3"/>
  <c r="T54" i="3"/>
  <c r="W53" i="3"/>
  <c r="V53" i="3"/>
  <c r="X53" i="3"/>
  <c r="T53" i="3"/>
  <c r="U53" i="3"/>
  <c r="T52" i="3"/>
  <c r="U52" i="3"/>
  <c r="V52" i="3"/>
  <c r="X52" i="3"/>
  <c r="W52" i="3"/>
  <c r="T51" i="3"/>
  <c r="U51" i="3"/>
  <c r="V51" i="3"/>
  <c r="W51" i="3"/>
  <c r="X51" i="3"/>
  <c r="U50" i="3"/>
  <c r="V50" i="3"/>
  <c r="W50" i="3"/>
  <c r="X50" i="3"/>
  <c r="T50" i="3"/>
  <c r="W49" i="3"/>
  <c r="X49" i="3"/>
  <c r="U49" i="3"/>
  <c r="V49" i="3"/>
  <c r="T49" i="3"/>
  <c r="T48" i="3"/>
  <c r="U48" i="3"/>
  <c r="V48" i="3"/>
  <c r="W48" i="3"/>
  <c r="X48" i="3"/>
  <c r="W44" i="3"/>
  <c r="X44" i="3"/>
  <c r="T44" i="3"/>
  <c r="U44" i="3"/>
  <c r="V44" i="3"/>
  <c r="U42" i="3"/>
  <c r="V42" i="3"/>
  <c r="W42" i="3"/>
  <c r="T42" i="3"/>
  <c r="X42" i="3"/>
  <c r="T40" i="3"/>
  <c r="U40" i="3"/>
  <c r="W40" i="3"/>
  <c r="V40" i="3"/>
  <c r="X40" i="3"/>
  <c r="T39" i="3"/>
  <c r="U39" i="3"/>
  <c r="V39" i="3"/>
  <c r="W39" i="3"/>
  <c r="X39" i="3"/>
  <c r="T38" i="3"/>
  <c r="X38" i="3"/>
  <c r="U38" i="3"/>
  <c r="V38" i="3"/>
  <c r="W38" i="3"/>
  <c r="V37" i="3"/>
  <c r="W37" i="3"/>
  <c r="T37" i="3"/>
  <c r="U37" i="3"/>
  <c r="X37" i="3"/>
  <c r="T36" i="3"/>
  <c r="U36" i="3"/>
  <c r="W36" i="3"/>
  <c r="V36" i="3"/>
  <c r="X36" i="3"/>
  <c r="T35" i="3"/>
  <c r="U35" i="3"/>
  <c r="V35" i="3"/>
  <c r="W35" i="3"/>
  <c r="X35" i="3"/>
  <c r="T34" i="3"/>
  <c r="X34" i="3"/>
  <c r="U34" i="3"/>
  <c r="V34" i="3"/>
  <c r="W34" i="3"/>
  <c r="V33" i="3"/>
  <c r="U33" i="3"/>
  <c r="W33" i="3"/>
  <c r="T33" i="3"/>
  <c r="X33" i="3"/>
  <c r="T32" i="3"/>
  <c r="X32" i="3"/>
  <c r="U32" i="3"/>
  <c r="V32" i="3"/>
  <c r="W32" i="3"/>
  <c r="T31" i="3"/>
  <c r="U31" i="3"/>
  <c r="V31" i="3"/>
  <c r="W31" i="3"/>
  <c r="X31" i="3"/>
  <c r="U29" i="3"/>
  <c r="V29" i="3"/>
  <c r="W29" i="3"/>
  <c r="X29" i="3"/>
  <c r="T29" i="3"/>
  <c r="W28" i="3"/>
  <c r="X28" i="3"/>
  <c r="V28" i="3"/>
  <c r="T28" i="3"/>
  <c r="U28" i="3"/>
  <c r="T27" i="3"/>
  <c r="U27" i="3"/>
  <c r="V27" i="3"/>
  <c r="X27" i="3"/>
  <c r="W27" i="3"/>
  <c r="T26" i="3"/>
  <c r="U26" i="3"/>
  <c r="V26" i="3"/>
  <c r="W26" i="3"/>
  <c r="X26" i="3"/>
  <c r="U25" i="3"/>
  <c r="X25" i="3"/>
  <c r="V25" i="3"/>
  <c r="W25" i="3"/>
  <c r="T25" i="3"/>
  <c r="W24" i="3"/>
  <c r="X24" i="3"/>
  <c r="T24" i="3"/>
  <c r="U24" i="3"/>
  <c r="V24" i="3"/>
  <c r="T23" i="3"/>
  <c r="U23" i="3"/>
  <c r="V23" i="3"/>
  <c r="X23" i="3"/>
  <c r="W23" i="3"/>
  <c r="T22" i="3"/>
  <c r="U22" i="3"/>
  <c r="V22" i="3"/>
  <c r="W22" i="3"/>
  <c r="X22" i="3"/>
  <c r="V20" i="3"/>
  <c r="W20" i="3"/>
  <c r="X20" i="3"/>
  <c r="T20" i="3"/>
  <c r="U20" i="3"/>
  <c r="X19" i="3"/>
  <c r="T19" i="3"/>
  <c r="U19" i="3"/>
  <c r="V19" i="3"/>
  <c r="W19" i="3"/>
  <c r="T18" i="3"/>
  <c r="U18" i="3"/>
  <c r="V18" i="3"/>
  <c r="W18" i="3"/>
  <c r="X18" i="3"/>
  <c r="U17" i="3"/>
  <c r="V17" i="3"/>
  <c r="T17" i="3"/>
  <c r="W17" i="3"/>
  <c r="X17" i="3"/>
  <c r="V16" i="3"/>
  <c r="W16" i="3"/>
  <c r="X16" i="3"/>
  <c r="T16" i="3"/>
  <c r="U16" i="3"/>
  <c r="W15" i="3"/>
  <c r="X15" i="3"/>
  <c r="T15" i="3"/>
  <c r="U15" i="3"/>
  <c r="V15" i="3"/>
  <c r="T14" i="3"/>
  <c r="U14" i="3"/>
  <c r="V14" i="3"/>
  <c r="W14" i="3"/>
  <c r="X14" i="3"/>
  <c r="U13" i="3"/>
  <c r="V13" i="3"/>
  <c r="T13" i="3"/>
  <c r="W13" i="3"/>
  <c r="X13" i="3"/>
  <c r="V12" i="3"/>
  <c r="T12" i="3"/>
  <c r="W12" i="3"/>
  <c r="X12" i="3"/>
  <c r="U12" i="3"/>
  <c r="W11" i="3"/>
  <c r="T11" i="3"/>
  <c r="V11" i="3"/>
  <c r="X11" i="3"/>
  <c r="U11" i="3"/>
  <c r="T10" i="3"/>
  <c r="U10" i="3"/>
  <c r="V10" i="3"/>
  <c r="W10" i="3"/>
  <c r="X10" i="3"/>
  <c r="U9" i="3"/>
  <c r="V9" i="3"/>
  <c r="T9" i="3"/>
  <c r="W9" i="3"/>
  <c r="X9" i="3"/>
  <c r="V8" i="3"/>
  <c r="W8" i="3"/>
  <c r="X8" i="3"/>
  <c r="T8" i="3"/>
  <c r="U8" i="3"/>
  <c r="X6" i="3"/>
  <c r="U6" i="3"/>
  <c r="V6" i="3"/>
  <c r="T6" i="3"/>
  <c r="W6" i="3"/>
  <c r="T5" i="3"/>
  <c r="U5" i="3"/>
  <c r="V5" i="3"/>
  <c r="W5" i="3"/>
  <c r="X5" i="3"/>
  <c r="T4" i="3"/>
  <c r="U4" i="3"/>
  <c r="V4" i="3"/>
  <c r="W4" i="3"/>
  <c r="X4" i="3"/>
  <c r="W3" i="3"/>
  <c r="X3" i="3"/>
  <c r="U3" i="3"/>
  <c r="T3" i="3"/>
  <c r="V3" i="3"/>
  <c r="M2" i="1"/>
  <c r="M5" i="1" a="1"/>
  <c r="M5" i="1" l="1"/>
  <c r="C8" i="1"/>
  <c r="C8" i="466" s="1"/>
  <c r="D8" i="1"/>
  <c r="E8" i="1"/>
  <c r="F8" i="1"/>
  <c r="G8" i="1"/>
  <c r="H8" i="1" a="1"/>
  <c r="H8" i="1" l="1"/>
  <c r="I8" i="1" a="1"/>
  <c r="I8" i="1" l="1"/>
  <c r="D8" i="466" s="1"/>
  <c r="J8" i="1" a="1"/>
  <c r="J8" i="1" l="1"/>
  <c r="K8" i="1" a="1"/>
  <c r="K8" i="1"/>
  <c r="C9" i="1"/>
  <c r="C9" i="466" s="1"/>
  <c r="D9" i="1"/>
  <c r="E9" i="1"/>
  <c r="F9" i="1"/>
  <c r="G9" i="1"/>
  <c r="H9" i="1" a="1"/>
  <c r="H9" i="1" l="1"/>
  <c r="I9" i="1" a="1"/>
  <c r="I9" i="1"/>
  <c r="D9" i="466" s="1"/>
  <c r="J9" i="1" a="1"/>
  <c r="J9" i="1" l="1"/>
  <c r="K9" i="1" a="1"/>
  <c r="K9" i="1"/>
  <c r="C10" i="1"/>
  <c r="C10" i="466" s="1"/>
  <c r="D10" i="1"/>
  <c r="E10" i="1"/>
  <c r="F10" i="1"/>
  <c r="G10" i="1"/>
  <c r="H10" i="1" a="1"/>
  <c r="H10" i="1" l="1"/>
  <c r="I10" i="1" a="1"/>
  <c r="I10" i="1"/>
  <c r="D10" i="466" s="1"/>
  <c r="J10" i="1" a="1"/>
  <c r="J10" i="1" l="1"/>
  <c r="K10" i="1" a="1"/>
  <c r="K10" i="1"/>
  <c r="C11" i="1"/>
  <c r="C11" i="466" s="1"/>
  <c r="D11" i="1"/>
  <c r="E11" i="1"/>
  <c r="F11" i="1"/>
  <c r="G11" i="1"/>
  <c r="H11" i="1" a="1"/>
  <c r="H11" i="1" l="1"/>
  <c r="I11" i="1" a="1"/>
  <c r="I11" i="1"/>
  <c r="D11" i="466" s="1"/>
  <c r="J11" i="1" a="1"/>
  <c r="J11" i="1" l="1"/>
  <c r="K11" i="1" a="1"/>
  <c r="K11" i="1"/>
  <c r="C12" i="1"/>
  <c r="C12" i="466" s="1"/>
  <c r="D12" i="1"/>
  <c r="E12" i="1"/>
  <c r="F12" i="1"/>
  <c r="G12" i="1"/>
  <c r="H12" i="1" a="1"/>
  <c r="H12" i="1" l="1"/>
  <c r="I12" i="1" a="1"/>
  <c r="I12" i="1"/>
  <c r="D12" i="466" s="1"/>
  <c r="J12" i="1" a="1"/>
  <c r="J12" i="1" l="1"/>
  <c r="K12" i="1" a="1"/>
  <c r="K12" i="1"/>
  <c r="C13" i="1"/>
  <c r="C13" i="466" s="1"/>
  <c r="D13" i="1"/>
  <c r="E13" i="1"/>
  <c r="F13" i="1"/>
  <c r="G13" i="1"/>
  <c r="H13" i="1" a="1"/>
  <c r="H13" i="1" l="1"/>
  <c r="I13" i="1" a="1"/>
  <c r="I13" i="1"/>
  <c r="D13" i="466" s="1"/>
  <c r="J13" i="1" a="1"/>
  <c r="J13" i="1" l="1"/>
  <c r="K13" i="1" a="1"/>
  <c r="K13" i="1"/>
  <c r="C14" i="1"/>
  <c r="C14" i="466" s="1"/>
  <c r="D14" i="1"/>
  <c r="E14" i="1"/>
  <c r="F14" i="1"/>
  <c r="G14" i="1"/>
  <c r="H14" i="1" a="1"/>
  <c r="E14" i="466" l="1"/>
  <c r="E8" i="466"/>
  <c r="E13" i="466"/>
  <c r="E12" i="466"/>
  <c r="E10" i="466"/>
  <c r="E11" i="466"/>
  <c r="E9" i="466"/>
  <c r="H14" i="1"/>
  <c r="I14" i="1" a="1"/>
  <c r="I14" i="1" l="1"/>
  <c r="D14" i="466" s="1"/>
  <c r="J14" i="1" a="1"/>
  <c r="F14" i="466" l="1"/>
  <c r="G14" i="466" s="1"/>
  <c r="H14" i="466" s="1"/>
  <c r="F8" i="466"/>
  <c r="G8" i="466" s="1"/>
  <c r="H8" i="466" s="1"/>
  <c r="F13" i="466"/>
  <c r="G13" i="466" s="1"/>
  <c r="H13" i="466" s="1"/>
  <c r="F11" i="466"/>
  <c r="G11" i="466" s="1"/>
  <c r="H11" i="466" s="1"/>
  <c r="F9" i="466"/>
  <c r="G9" i="466" s="1"/>
  <c r="H9" i="466" s="1"/>
  <c r="F12" i="466"/>
  <c r="G12" i="466" s="1"/>
  <c r="H12" i="466" s="1"/>
  <c r="F10" i="466"/>
  <c r="G10" i="466" s="1"/>
  <c r="H10" i="466" s="1"/>
  <c r="J14" i="1"/>
  <c r="K14" i="1" a="1"/>
  <c r="K14" i="1"/>
  <c r="C16" i="1"/>
  <c r="C16" i="466" s="1"/>
  <c r="D16" i="1"/>
  <c r="E16" i="1"/>
  <c r="F16" i="1"/>
  <c r="G16" i="1"/>
  <c r="H16" i="1" a="1"/>
  <c r="H16" i="1" l="1"/>
  <c r="I16" i="1" a="1"/>
  <c r="I16" i="1"/>
  <c r="D16" i="466" s="1"/>
  <c r="J16" i="1" a="1"/>
  <c r="J16" i="1" l="1"/>
  <c r="K16" i="1" a="1"/>
  <c r="K16" i="1"/>
  <c r="C17" i="1"/>
  <c r="C17" i="466" s="1"/>
  <c r="D17" i="1"/>
  <c r="E17" i="1"/>
  <c r="F17" i="1"/>
  <c r="G17" i="1"/>
  <c r="H17" i="1" a="1"/>
  <c r="H17" i="1" l="1"/>
  <c r="I17" i="1" a="1"/>
  <c r="I17" i="1"/>
  <c r="D17" i="466" s="1"/>
  <c r="J17" i="1" a="1"/>
  <c r="J17" i="1" l="1"/>
  <c r="K17" i="1" a="1"/>
  <c r="K17" i="1"/>
  <c r="C18" i="1"/>
  <c r="C18" i="466" s="1"/>
  <c r="D18" i="1"/>
  <c r="E18" i="1"/>
  <c r="F18" i="1"/>
  <c r="G18" i="1"/>
  <c r="H18" i="1" a="1"/>
  <c r="E18" i="466" l="1"/>
  <c r="E17" i="466"/>
  <c r="E16" i="466"/>
  <c r="H18" i="1"/>
  <c r="I18" i="1" a="1"/>
  <c r="I18" i="1" l="1"/>
  <c r="D18" i="466" s="1"/>
  <c r="J18" i="1" a="1"/>
  <c r="F18" i="466" l="1"/>
  <c r="G18" i="466" s="1"/>
  <c r="H18" i="466" s="1"/>
  <c r="F17" i="466"/>
  <c r="G17" i="466" s="1"/>
  <c r="H17" i="466" s="1"/>
  <c r="F16" i="466"/>
  <c r="G16" i="466" s="1"/>
  <c r="H16" i="466" s="1"/>
  <c r="J18" i="1"/>
  <c r="K18" i="1" a="1"/>
  <c r="K18" i="1"/>
  <c r="C20" i="1"/>
  <c r="C20" i="466" s="1"/>
  <c r="E20" i="466" s="1"/>
  <c r="D20" i="1"/>
  <c r="E20" i="1"/>
  <c r="F20" i="1"/>
  <c r="G20" i="1"/>
  <c r="H20" i="1" a="1"/>
  <c r="H20" i="1" l="1"/>
  <c r="I20" i="1" a="1"/>
  <c r="I20" i="1"/>
  <c r="D20" i="466" s="1"/>
  <c r="F20" i="466" s="1"/>
  <c r="G20" i="466" s="1"/>
  <c r="H20" i="466" s="1"/>
  <c r="J20" i="1" a="1"/>
  <c r="J20" i="1"/>
  <c r="K20" i="1" a="1"/>
  <c r="K20" i="1"/>
  <c r="C22" i="1"/>
  <c r="C22" i="466" s="1"/>
  <c r="D22" i="1"/>
  <c r="E22" i="1"/>
  <c r="F22" i="1"/>
  <c r="G22" i="1"/>
  <c r="H22" i="1" a="1"/>
  <c r="H22" i="1" l="1"/>
  <c r="I22" i="1" a="1"/>
  <c r="I22" i="1"/>
  <c r="D22" i="466" s="1"/>
  <c r="J22" i="1" a="1"/>
  <c r="J22" i="1" l="1"/>
  <c r="K22" i="1" a="1"/>
  <c r="K22" i="1"/>
  <c r="C23" i="1"/>
  <c r="C23" i="466" s="1"/>
  <c r="D23" i="1"/>
  <c r="E23" i="1"/>
  <c r="F23" i="1"/>
  <c r="G23" i="1"/>
  <c r="H23" i="1" a="1"/>
  <c r="H23" i="1" l="1"/>
  <c r="I23" i="1" a="1"/>
  <c r="I23" i="1"/>
  <c r="D23" i="466" s="1"/>
  <c r="J23" i="1" a="1"/>
  <c r="J23" i="1" l="1"/>
  <c r="K23" i="1" a="1"/>
  <c r="K23" i="1"/>
  <c r="C24" i="1"/>
  <c r="C24" i="466" s="1"/>
  <c r="D24" i="1"/>
  <c r="E24" i="1"/>
  <c r="F24" i="1"/>
  <c r="G24" i="1"/>
  <c r="H24" i="1" a="1"/>
  <c r="H24" i="1" l="1"/>
  <c r="I24" i="1" a="1"/>
  <c r="I24" i="1"/>
  <c r="D24" i="466" s="1"/>
  <c r="J24" i="1" a="1"/>
  <c r="J24" i="1" l="1"/>
  <c r="K24" i="1" a="1"/>
  <c r="K24" i="1"/>
  <c r="C25" i="1"/>
  <c r="C25" i="466" s="1"/>
  <c r="D25" i="1"/>
  <c r="E25" i="1"/>
  <c r="F25" i="1"/>
  <c r="G25" i="1"/>
  <c r="H25" i="1" a="1"/>
  <c r="E25" i="466" l="1"/>
  <c r="E24" i="466"/>
  <c r="E22" i="466"/>
  <c r="E23" i="466"/>
  <c r="H25" i="1"/>
  <c r="I25" i="1" a="1"/>
  <c r="I25" i="1" l="1"/>
  <c r="D25" i="466" s="1"/>
  <c r="J25" i="1" a="1"/>
  <c r="F25" i="466" l="1"/>
  <c r="G25" i="466" s="1"/>
  <c r="H25" i="466" s="1"/>
  <c r="F24" i="466"/>
  <c r="G24" i="466" s="1"/>
  <c r="H24" i="466" s="1"/>
  <c r="F23" i="466"/>
  <c r="G23" i="466" s="1"/>
  <c r="H23" i="466" s="1"/>
  <c r="F22" i="466"/>
  <c r="G22" i="466" s="1"/>
  <c r="H22" i="466" s="1"/>
  <c r="J25" i="1"/>
  <c r="K25" i="1" a="1"/>
  <c r="K25" i="1"/>
  <c r="C27" i="1"/>
  <c r="C27" i="466" s="1"/>
  <c r="D27" i="1"/>
  <c r="E27" i="1"/>
  <c r="F27" i="1"/>
  <c r="G27" i="1"/>
  <c r="H27" i="1" a="1"/>
  <c r="H27" i="1" l="1"/>
  <c r="I27" i="1" a="1"/>
  <c r="I27" i="1"/>
  <c r="D27" i="466" s="1"/>
  <c r="J27" i="1" a="1"/>
  <c r="J27" i="1" l="1"/>
  <c r="K27" i="1" a="1"/>
  <c r="K27" i="1"/>
  <c r="C28" i="1"/>
  <c r="C28" i="466" s="1"/>
  <c r="D28" i="1"/>
  <c r="E28" i="1"/>
  <c r="F28" i="1"/>
  <c r="G28" i="1"/>
  <c r="H28" i="1" a="1"/>
  <c r="E28" i="466" l="1"/>
  <c r="E27" i="466"/>
  <c r="H28" i="1"/>
  <c r="I28" i="1" a="1"/>
  <c r="I28" i="1" l="1"/>
  <c r="D28" i="466" s="1"/>
  <c r="J28" i="1" a="1"/>
  <c r="F28" i="466" l="1"/>
  <c r="G28" i="466" s="1"/>
  <c r="H28" i="466" s="1"/>
  <c r="F27" i="466"/>
  <c r="G27" i="466" s="1"/>
  <c r="H27" i="466" s="1"/>
  <c r="J28" i="1"/>
  <c r="K28" i="1" a="1"/>
  <c r="K28" i="1"/>
  <c r="C30" i="1"/>
  <c r="C30" i="466" s="1"/>
  <c r="E30" i="466" s="1"/>
  <c r="D30" i="1"/>
  <c r="E30" i="1"/>
  <c r="F30" i="1"/>
  <c r="G30" i="1"/>
  <c r="H30" i="1" a="1"/>
  <c r="H30" i="1" l="1"/>
  <c r="I30" i="1" a="1"/>
  <c r="I30" i="1"/>
  <c r="D30" i="466" s="1"/>
  <c r="F30" i="466" s="1"/>
  <c r="G30" i="466" s="1"/>
  <c r="H30" i="466" s="1"/>
  <c r="J30" i="1" a="1"/>
  <c r="J30" i="1"/>
  <c r="K30" i="1" a="1"/>
  <c r="K30" i="1"/>
  <c r="C32" i="1"/>
  <c r="C32" i="466" s="1"/>
  <c r="D32" i="1"/>
  <c r="E32" i="1"/>
  <c r="F32" i="1"/>
  <c r="G32" i="1"/>
  <c r="H32" i="1" a="1"/>
  <c r="H32" i="1" l="1"/>
  <c r="I32" i="1" a="1"/>
  <c r="I32" i="1"/>
  <c r="D32" i="466" s="1"/>
  <c r="J32" i="1" a="1"/>
  <c r="J32" i="1" l="1"/>
  <c r="K32" i="1" a="1"/>
  <c r="K32" i="1"/>
  <c r="C33" i="1"/>
  <c r="C33" i="466" s="1"/>
  <c r="D33" i="1"/>
  <c r="E33" i="1"/>
  <c r="F33" i="1"/>
  <c r="G33" i="1"/>
  <c r="H33" i="1" a="1"/>
  <c r="H33" i="1" l="1"/>
  <c r="I33" i="1" a="1"/>
  <c r="I33" i="1"/>
  <c r="D33" i="466" s="1"/>
  <c r="J33" i="1" a="1"/>
  <c r="J33" i="1" l="1"/>
  <c r="K33" i="1" a="1"/>
  <c r="K33" i="1"/>
  <c r="C34" i="1"/>
  <c r="C34" i="466" s="1"/>
  <c r="D34" i="1"/>
  <c r="E34" i="1"/>
  <c r="F34" i="1"/>
  <c r="G34" i="1"/>
  <c r="H34" i="1" a="1"/>
  <c r="H34" i="1" l="1"/>
  <c r="I34" i="1" a="1"/>
  <c r="I34" i="1"/>
  <c r="D34" i="466" s="1"/>
  <c r="J34" i="1" a="1"/>
  <c r="J34" i="1" l="1"/>
  <c r="K34" i="1" a="1"/>
  <c r="K34" i="1"/>
  <c r="C35" i="1"/>
  <c r="C35" i="466" s="1"/>
  <c r="D35" i="1"/>
  <c r="E35" i="1"/>
  <c r="F35" i="1"/>
  <c r="G35" i="1"/>
  <c r="H35" i="1" a="1"/>
  <c r="H35" i="1" l="1"/>
  <c r="I35" i="1" a="1"/>
  <c r="I35" i="1"/>
  <c r="D35" i="466" s="1"/>
  <c r="J35" i="1" a="1"/>
  <c r="J35" i="1" l="1"/>
  <c r="K35" i="1" a="1"/>
  <c r="K35" i="1"/>
  <c r="C36" i="1"/>
  <c r="C36" i="466" s="1"/>
  <c r="D36" i="1"/>
  <c r="E36" i="1"/>
  <c r="F36" i="1"/>
  <c r="G36" i="1"/>
  <c r="H36" i="1" a="1"/>
  <c r="E36" i="466" l="1"/>
  <c r="E35" i="466"/>
  <c r="E34" i="466"/>
  <c r="E33" i="466"/>
  <c r="E32" i="466"/>
  <c r="H36" i="1"/>
  <c r="I36" i="1" a="1"/>
  <c r="I36" i="1" l="1"/>
  <c r="D36" i="466" s="1"/>
  <c r="J36" i="1" a="1"/>
  <c r="F36" i="466" l="1"/>
  <c r="G36" i="466" s="1"/>
  <c r="H36" i="466" s="1"/>
  <c r="F32" i="466"/>
  <c r="G32" i="466" s="1"/>
  <c r="H32" i="466" s="1"/>
  <c r="F33" i="466"/>
  <c r="G33" i="466" s="1"/>
  <c r="H33" i="466" s="1"/>
  <c r="F35" i="466"/>
  <c r="G35" i="466" s="1"/>
  <c r="H35" i="466" s="1"/>
  <c r="F34" i="466"/>
  <c r="G34" i="466" s="1"/>
  <c r="H34" i="466" s="1"/>
  <c r="J36" i="1"/>
  <c r="K36" i="1" a="1"/>
  <c r="K36" i="1"/>
  <c r="C38" i="1"/>
  <c r="C38" i="466" s="1"/>
  <c r="D38" i="1"/>
  <c r="E38" i="1"/>
  <c r="F38" i="1"/>
  <c r="G38" i="1"/>
  <c r="H38" i="1" a="1"/>
  <c r="H38" i="1" l="1"/>
  <c r="I38" i="1" a="1"/>
  <c r="I38" i="1"/>
  <c r="D38" i="466" s="1"/>
  <c r="J38" i="1" a="1"/>
  <c r="J38" i="1" l="1"/>
  <c r="K38" i="1" a="1"/>
  <c r="K38" i="1"/>
  <c r="C39" i="1"/>
  <c r="C39" i="466" s="1"/>
  <c r="D39" i="1"/>
  <c r="E39" i="1"/>
  <c r="F39" i="1"/>
  <c r="G39" i="1"/>
  <c r="H39" i="1" a="1"/>
  <c r="H39" i="1" l="1"/>
  <c r="I39" i="1" a="1"/>
  <c r="I39" i="1"/>
  <c r="D39" i="466" s="1"/>
  <c r="J39" i="1" a="1"/>
  <c r="J39" i="1" l="1"/>
  <c r="K39" i="1" a="1"/>
  <c r="K39" i="1"/>
  <c r="C40" i="1"/>
  <c r="C40" i="466" s="1"/>
  <c r="D40" i="1"/>
  <c r="E40" i="1"/>
  <c r="F40" i="1"/>
  <c r="G40" i="1"/>
  <c r="H40" i="1" a="1"/>
  <c r="H40" i="1" l="1"/>
  <c r="I40" i="1" a="1"/>
  <c r="I40" i="1"/>
  <c r="D40" i="466" s="1"/>
  <c r="J40" i="1" a="1"/>
  <c r="J40" i="1" l="1"/>
  <c r="K40" i="1" a="1"/>
  <c r="K40" i="1"/>
  <c r="C41" i="1"/>
  <c r="C41" i="466" s="1"/>
  <c r="D41" i="1"/>
  <c r="E41" i="1"/>
  <c r="F41" i="1"/>
  <c r="G41" i="1"/>
  <c r="H41" i="1" a="1"/>
  <c r="H41" i="1" l="1"/>
  <c r="I41" i="1" a="1"/>
  <c r="I41" i="1"/>
  <c r="D41" i="466" s="1"/>
  <c r="J41" i="1" a="1"/>
  <c r="J41" i="1" l="1"/>
  <c r="K41" i="1" a="1"/>
  <c r="K41" i="1"/>
  <c r="C42" i="1"/>
  <c r="C42" i="466" s="1"/>
  <c r="D42" i="1" a="1"/>
  <c r="D42" i="1" l="1"/>
  <c r="E42" i="1"/>
  <c r="F42" i="1"/>
  <c r="G42" i="1"/>
  <c r="H42" i="1" a="1"/>
  <c r="H42" i="1"/>
  <c r="I42" i="1" a="1"/>
  <c r="I42" i="1"/>
  <c r="D42" i="466" s="1"/>
  <c r="J42" i="1" a="1"/>
  <c r="J42" i="1" l="1"/>
  <c r="K42" i="1" a="1"/>
  <c r="K42" i="1"/>
  <c r="C43" i="1"/>
  <c r="C43" i="466" s="1"/>
  <c r="D43" i="1"/>
  <c r="E43" i="1"/>
  <c r="F43" i="1"/>
  <c r="G43" i="1"/>
  <c r="H43" i="1" a="1"/>
  <c r="E43" i="466" l="1"/>
  <c r="E42" i="466"/>
  <c r="E40" i="466"/>
  <c r="E39" i="466"/>
  <c r="E44" i="466"/>
  <c r="G44" i="466" s="1"/>
  <c r="H44" i="466" s="1"/>
  <c r="E41" i="466"/>
  <c r="E38" i="466"/>
  <c r="H43" i="1"/>
  <c r="I43" i="1" a="1"/>
  <c r="I43" i="1" l="1"/>
  <c r="D43" i="466" s="1"/>
  <c r="J43" i="1" a="1"/>
  <c r="F43" i="466" l="1"/>
  <c r="G43" i="466" s="1"/>
  <c r="H43" i="466" s="1"/>
  <c r="F42" i="466"/>
  <c r="G42" i="466" s="1"/>
  <c r="H42" i="466" s="1"/>
  <c r="F41" i="466"/>
  <c r="G41" i="466" s="1"/>
  <c r="H41" i="466" s="1"/>
  <c r="F38" i="466"/>
  <c r="G38" i="466" s="1"/>
  <c r="H38" i="466" s="1"/>
  <c r="F40" i="466"/>
  <c r="G40" i="466" s="1"/>
  <c r="H40" i="466" s="1"/>
  <c r="F39" i="466"/>
  <c r="G39" i="466" s="1"/>
  <c r="H39" i="466" s="1"/>
  <c r="J43" i="1"/>
  <c r="K43" i="1" a="1"/>
  <c r="K43" i="1"/>
  <c r="C44" i="1" a="1"/>
  <c r="C44" i="1"/>
  <c r="D44" i="1" a="1"/>
  <c r="D44" i="1"/>
  <c r="E44" i="1"/>
  <c r="F44" i="1"/>
  <c r="G44" i="1"/>
  <c r="H44" i="1" a="1"/>
  <c r="H44" i="1"/>
  <c r="I44" i="1" a="1"/>
  <c r="I44" i="1"/>
  <c r="J44" i="1" a="1"/>
  <c r="J44" i="1"/>
  <c r="K44" i="1" a="1"/>
  <c r="K44" i="1"/>
  <c r="K47" i="1" s="1"/>
  <c r="H46" i="1"/>
  <c r="I46" i="1"/>
  <c r="J46" i="1"/>
  <c r="H47" i="1"/>
  <c r="I47" i="1"/>
  <c r="J47" i="1"/>
  <c r="K4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<sst xmlns="http://schemas.openxmlformats.org/spreadsheetml/2006/main" count="540" uniqueCount="372">
  <si>
    <t>CDS (bps)</t>
  </si>
  <si>
    <t>Equity Price (%)</t>
  </si>
  <si>
    <t>Bank</t>
  </si>
  <si>
    <t>Now</t>
  </si>
  <si>
    <t>5d Δ</t>
  </si>
  <si>
    <t>2wk Δ</t>
  </si>
  <si>
    <t>3m Δ</t>
  </si>
  <si>
    <t>1yr Δ</t>
  </si>
  <si>
    <t>America</t>
  </si>
  <si>
    <t>Dow Jones US Banks Index</t>
  </si>
  <si>
    <t>Citigroup</t>
  </si>
  <si>
    <t>Bank of America</t>
  </si>
  <si>
    <t>JPMorgan Chase</t>
  </si>
  <si>
    <t>Goldman Sachs</t>
  </si>
  <si>
    <t>Morgan Stanley</t>
  </si>
  <si>
    <t>Wells Fargo</t>
  </si>
  <si>
    <t>State Street Bank</t>
  </si>
  <si>
    <t>France</t>
  </si>
  <si>
    <t>BNP Paribas SA</t>
  </si>
  <si>
    <t>Credit Agricole SA</t>
  </si>
  <si>
    <t>Societe Generale</t>
  </si>
  <si>
    <t>Switzerland</t>
  </si>
  <si>
    <t>UBS Group AG</t>
  </si>
  <si>
    <t>U.K.</t>
  </si>
  <si>
    <t>Barclays Bank PLC</t>
  </si>
  <si>
    <t>HSBC Holdings PLC</t>
  </si>
  <si>
    <t>RBS Group PLC</t>
  </si>
  <si>
    <t>Standard Chartered</t>
  </si>
  <si>
    <t>Germany</t>
  </si>
  <si>
    <t>Deutsche Bank AG</t>
  </si>
  <si>
    <t>Commerzbank</t>
  </si>
  <si>
    <t>Denmark</t>
  </si>
  <si>
    <t>Danske</t>
  </si>
  <si>
    <t>Japan</t>
  </si>
  <si>
    <t>TOPIX Banks Index</t>
  </si>
  <si>
    <t>Mitsubishi</t>
  </si>
  <si>
    <t>Sumitomo</t>
  </si>
  <si>
    <t>Mizuho</t>
  </si>
  <si>
    <t>Daiwa</t>
  </si>
  <si>
    <t>Nomura</t>
  </si>
  <si>
    <t>Canada</t>
  </si>
  <si>
    <t>S&amp;P/TSX Composite Banks Index</t>
  </si>
  <si>
    <t>Bank of Nova Scotia</t>
  </si>
  <si>
    <t>BMO</t>
  </si>
  <si>
    <t>CIBC</t>
  </si>
  <si>
    <t>TD</t>
  </si>
  <si>
    <t>RBC</t>
  </si>
  <si>
    <t>Nationale</t>
  </si>
  <si>
    <t>Laurentian</t>
  </si>
  <si>
    <t>Equity RIC</t>
  </si>
  <si>
    <t>C.N</t>
  </si>
  <si>
    <t>BAC.N</t>
  </si>
  <si>
    <t>JPM.N</t>
  </si>
  <si>
    <t>GS.N</t>
  </si>
  <si>
    <t>MS.N</t>
  </si>
  <si>
    <t>WFC.N</t>
  </si>
  <si>
    <t>STT.N</t>
  </si>
  <si>
    <t>BNPP.PA</t>
  </si>
  <si>
    <t>CAGR.PA</t>
  </si>
  <si>
    <t>SOGN.PA</t>
  </si>
  <si>
    <t>UBSG.S</t>
  </si>
  <si>
    <t>BARC.L</t>
  </si>
  <si>
    <t>HSBA.L</t>
  </si>
  <si>
    <t>NWG.L</t>
  </si>
  <si>
    <t>STAN.L</t>
  </si>
  <si>
    <t>DBKGn.DE</t>
  </si>
  <si>
    <t>CBKG.DE</t>
  </si>
  <si>
    <t>DANSKE.CO</t>
  </si>
  <si>
    <t>Mitsubishi UFJ</t>
  </si>
  <si>
    <t>8306.T</t>
  </si>
  <si>
    <t>8316.T</t>
  </si>
  <si>
    <t>8411.T</t>
  </si>
  <si>
    <t>8601.T</t>
  </si>
  <si>
    <t>8604.T</t>
  </si>
  <si>
    <t>BNS.TO</t>
  </si>
  <si>
    <t>BMO.TO</t>
  </si>
  <si>
    <t>CM.TO</t>
  </si>
  <si>
    <t>TD.TO</t>
  </si>
  <si>
    <t>RY.TO</t>
  </si>
  <si>
    <t>NA.TO</t>
  </si>
  <si>
    <t>LB.TO</t>
  </si>
  <si>
    <t>C5YUSAX=R</t>
  </si>
  <si>
    <t>BAC5YUSAX=R</t>
  </si>
  <si>
    <t>JPM5YUSAX=R</t>
  </si>
  <si>
    <t>GS5YUSAX=R</t>
  </si>
  <si>
    <t>MS5YUSAX=R</t>
  </si>
  <si>
    <t>WFC5YUSAX=R</t>
  </si>
  <si>
    <t>STT5YUSAX=R</t>
  </si>
  <si>
    <t>FORB5YEUAM=R</t>
  </si>
  <si>
    <t>CAGR5YEUAM=R</t>
  </si>
  <si>
    <t>SG5YEUAM=R</t>
  </si>
  <si>
    <t>UBSJ5YEUAM=R</t>
  </si>
  <si>
    <t>BARC5YEUAM=R</t>
  </si>
  <si>
    <t>STAN5YEUAM=R</t>
  </si>
  <si>
    <t>HSBA5YEUAM=R</t>
  </si>
  <si>
    <t>RBS5YEUAM=R</t>
  </si>
  <si>
    <t>DB5YEUAM=R</t>
  </si>
  <si>
    <t>CBKG5YEUAM=R</t>
  </si>
  <si>
    <t>DDBA5YEUAM=R</t>
  </si>
  <si>
    <t>MTFB5YJPAC=R</t>
  </si>
  <si>
    <t>SANG5YJPAC=R</t>
  </si>
  <si>
    <t>MZFC5YUSAC=R</t>
  </si>
  <si>
    <t>DWAS5YJPAC=R</t>
  </si>
  <si>
    <t>NMH5YJPAC=R</t>
  </si>
  <si>
    <t>BNS5YUSAX=R</t>
  </si>
  <si>
    <t>CM5YUSAX=R</t>
  </si>
  <si>
    <t>RY5YUSAX=R</t>
  </si>
  <si>
    <t>NA5YUSAX=R</t>
  </si>
  <si>
    <t>BMO5YUSAX=FN</t>
  </si>
  <si>
    <t>TD5YUSAX=FN</t>
  </si>
  <si>
    <t>LB5YUSAX=FN</t>
  </si>
  <si>
    <t>IQT313313524</t>
  </si>
  <si>
    <t>IQT313317344</t>
  </si>
  <si>
    <t>IQT46220329</t>
  </si>
  <si>
    <t>IQT313315429</t>
  </si>
  <si>
    <t>IQT313314976</t>
  </si>
  <si>
    <t>IQT313310854</t>
  </si>
  <si>
    <t>IQT62270106</t>
  </si>
  <si>
    <t>IQT46200317</t>
  </si>
  <si>
    <t>IQT79634901</t>
  </si>
  <si>
    <t>IQT62270107</t>
  </si>
  <si>
    <t xml:space="preserve">IQT46225715 </t>
  </si>
  <si>
    <t>IQT46200364</t>
  </si>
  <si>
    <t>IQT46225083</t>
  </si>
  <si>
    <t>IQT46200412</t>
  </si>
  <si>
    <t>Deutche Bank AG</t>
  </si>
  <si>
    <t>IQT254955233</t>
  </si>
  <si>
    <t>Standard Chartered Bank</t>
  </si>
  <si>
    <t>IQT263213132</t>
  </si>
  <si>
    <t>IQT46225374</t>
  </si>
  <si>
    <t>IQT286096131</t>
  </si>
  <si>
    <t>IQT46199841</t>
  </si>
  <si>
    <t>Credit Suisse Group AG</t>
  </si>
  <si>
    <t>IQT528936812</t>
  </si>
  <si>
    <t>UBS Group AG**</t>
  </si>
  <si>
    <t>IQT46226132</t>
  </si>
  <si>
    <t>Societe Generale SA</t>
  </si>
  <si>
    <t>IQT46224740</t>
  </si>
  <si>
    <t>IQT46225006</t>
  </si>
  <si>
    <t>IQT323680130</t>
  </si>
  <si>
    <t>State Street Bank &amp; Trust</t>
  </si>
  <si>
    <t>IQT46223646</t>
  </si>
  <si>
    <t>IQT46470877</t>
  </si>
  <si>
    <t>IQT46204957</t>
  </si>
  <si>
    <t>Goldman Sachs Group</t>
  </si>
  <si>
    <t>IQT46207872</t>
  </si>
  <si>
    <t>JPMorgan Chase &amp; Co</t>
  </si>
  <si>
    <t>IQT46195491</t>
  </si>
  <si>
    <t>IQT46197694</t>
  </si>
  <si>
    <t>IQT46218674</t>
  </si>
  <si>
    <t>South Africa</t>
  </si>
  <si>
    <t>Africa</t>
  </si>
  <si>
    <t>IQT46220803</t>
  </si>
  <si>
    <t>Thailand</t>
  </si>
  <si>
    <t>Taiwan</t>
  </si>
  <si>
    <t>IQT46208634</t>
  </si>
  <si>
    <t>South Korea</t>
  </si>
  <si>
    <t>IQT313305879</t>
  </si>
  <si>
    <t>Singapore</t>
  </si>
  <si>
    <t>IQT46216986</t>
  </si>
  <si>
    <t>Russia</t>
  </si>
  <si>
    <t>IQT46213472</t>
  </si>
  <si>
    <t>New Zealand</t>
  </si>
  <si>
    <t>IQT46210032</t>
  </si>
  <si>
    <t>Malaysia</t>
  </si>
  <si>
    <t>IQT46207789</t>
  </si>
  <si>
    <t>IQT60388057</t>
  </si>
  <si>
    <t>India</t>
  </si>
  <si>
    <t>IQT79639953</t>
  </si>
  <si>
    <t>Hong Kong</t>
  </si>
  <si>
    <t>IQT46215111</t>
  </si>
  <si>
    <t>China</t>
  </si>
  <si>
    <t>IQT51023260</t>
  </si>
  <si>
    <t>Australia</t>
  </si>
  <si>
    <t>Asia/Pacific</t>
  </si>
  <si>
    <t>IQT46222292</t>
  </si>
  <si>
    <t>Ukraine</t>
  </si>
  <si>
    <t>IQT60389516</t>
  </si>
  <si>
    <t>IQT46219922</t>
  </si>
  <si>
    <t>Sweden</t>
  </si>
  <si>
    <t>IQT46214879</t>
  </si>
  <si>
    <t>Poland</t>
  </si>
  <si>
    <t>IQT51023480</t>
  </si>
  <si>
    <t>Norway</t>
  </si>
  <si>
    <t>IQT79639913</t>
  </si>
  <si>
    <t>IQT46200276</t>
  </si>
  <si>
    <t>Czech Republic</t>
  </si>
  <si>
    <t>IQT46262378</t>
  </si>
  <si>
    <t>United Kingdom</t>
  </si>
  <si>
    <t>Rest of Europe</t>
  </si>
  <si>
    <t>IQT46206779</t>
  </si>
  <si>
    <t>Spain</t>
  </si>
  <si>
    <t>IQT46218516</t>
  </si>
  <si>
    <t>Slovenia</t>
  </si>
  <si>
    <t>IQT46214954</t>
  </si>
  <si>
    <t>Portugal</t>
  </si>
  <si>
    <t>IQT79640024</t>
  </si>
  <si>
    <t>Netherlands</t>
  </si>
  <si>
    <t>IQT644701797</t>
  </si>
  <si>
    <t>Luxembourg</t>
  </si>
  <si>
    <t>IQT46207571</t>
  </si>
  <si>
    <t>Italy</t>
  </si>
  <si>
    <t>IQT46207308</t>
  </si>
  <si>
    <t>Ireland</t>
  </si>
  <si>
    <t>IQT46204884</t>
  </si>
  <si>
    <t>Greece</t>
  </si>
  <si>
    <t>IQT46204300</t>
  </si>
  <si>
    <t>IQT46203714</t>
  </si>
  <si>
    <t>IQT46203332</t>
  </si>
  <si>
    <t>Finland</t>
  </si>
  <si>
    <t>IQT46196225</t>
  </si>
  <si>
    <t>Belgium</t>
  </si>
  <si>
    <t>IQT46194995</t>
  </si>
  <si>
    <t>Austria</t>
  </si>
  <si>
    <t>Euro Area</t>
  </si>
  <si>
    <t>IQT49751196</t>
  </si>
  <si>
    <t>United States</t>
  </si>
  <si>
    <t>IQT46210560</t>
  </si>
  <si>
    <t>Mexico</t>
  </si>
  <si>
    <t>IQT313310184</t>
  </si>
  <si>
    <t>CDS Change</t>
  </si>
  <si>
    <t>CDS</t>
  </si>
  <si>
    <t>IQT46197138</t>
  </si>
  <si>
    <t>Brazil</t>
  </si>
  <si>
    <t>Thresholds</t>
  </si>
  <si>
    <t>1 year change</t>
  </si>
  <si>
    <t>3 month change</t>
  </si>
  <si>
    <t>14 day change</t>
  </si>
  <si>
    <t>10 day change</t>
  </si>
  <si>
    <t xml:space="preserve"> 5 Day Change</t>
  </si>
  <si>
    <t>Americas</t>
  </si>
  <si>
    <t>CIQ Code</t>
  </si>
  <si>
    <t>Country</t>
  </si>
  <si>
    <t>CDS RIC</t>
  </si>
  <si>
    <t>CDS Change (%)</t>
  </si>
  <si>
    <t>Threshold Green</t>
  </si>
  <si>
    <t>Threshold Red</t>
  </si>
  <si>
    <t>Distribution</t>
  </si>
  <si>
    <t>US</t>
  </si>
  <si>
    <t>High</t>
  </si>
  <si>
    <t>&gt;75–100</t>
  </si>
  <si>
    <t>Elevated</t>
  </si>
  <si>
    <t>&gt;50–75</t>
  </si>
  <si>
    <t>Moderate</t>
  </si>
  <si>
    <t>&gt;25–50</t>
  </si>
  <si>
    <t>Low</t>
  </si>
  <si>
    <t>0–25</t>
  </si>
  <si>
    <t>Risk Category</t>
  </si>
  <si>
    <t>Score</t>
  </si>
  <si>
    <t>Composite Risk Score</t>
  </si>
  <si>
    <t>Equity Risk Percentile</t>
  </si>
  <si>
    <t>CDS Risk Percentile</t>
  </si>
  <si>
    <t>2-Week Equity Return (%)</t>
  </si>
  <si>
    <t>5Y CDS (bps)</t>
  </si>
  <si>
    <t>Region</t>
  </si>
  <si>
    <t>Within-region percentile</t>
  </si>
  <si>
    <t>Scoring Basis</t>
  </si>
  <si>
    <t>2-week return</t>
  </si>
  <si>
    <t>Equity Horizon</t>
  </si>
  <si>
    <t>Equity Weight</t>
  </si>
  <si>
    <t>CDS Weight</t>
  </si>
  <si>
    <t>Model Assumptions</t>
  </si>
  <si>
    <t>Bank Market Risk Monitor — CDS &amp; Equity Composite Score</t>
  </si>
  <si>
    <t xml:space="preserve">America </t>
  </si>
  <si>
    <t>Europe Stoxx 600 Banks Index</t>
  </si>
  <si>
    <t>Asia</t>
  </si>
  <si>
    <t xml:space="preserve">Other Euro </t>
  </si>
  <si>
    <t>BAABTAVMT0NBTAFI/////wFQ1wMAACNDSVEuSVFUNDYyMDMzMzIuSVFfQ0RTX01JRC4wMi8wOS8yNgEAAABfHjcAAgAAAAQxMC41ALXfTphpDt8INFRUm2oO3wgjQ0lRLklRVDQ2MjE1MTExLklRX0NEU19NSUQuMDIvMDkvMjYBAAAAoEuyAQIAAAAHMzUuMTQyNQCEGk+YaQ7fCOKoVJtqDt8II0NJUS5JUVQ0NjIyNjEzMi5JUV9DRFNfTUlELjAyLzA5LzI2AQAAAN1ZAAACAAAABzQ0LjU2MTMAw0FPmGkO3wgzz1Sbag7fCCRDSVEuSVFUMzEzMzEzNTI0LklRX0NEU19NSUQuMDIvMDkvMjYBAAAA71UNAAIAAAAHNTcuNTYyMgAacQOYaQ7fCBAeVZtqDt8II0NJUS5JUVQ3OTYzOTkxMy5JUV9DRFNfTUlELjI5LzA4LzI2AQAAACBjHAICAAAABjguMDA1MwCEGk+YaQ7fCMlZWptqDt8II0NJUS5JUVQ0NjIwNzg3Mi5JUV9DRFNfTUlELjI5LzA4LzI2AQAAAFgNCgACAAAABzM3Ljg5MjIAw0FPmGkO3wh4rFqbag7fCCNDSVEuSVFUNDYyMDAzMTcuSVFfQ0RTX01JRC4yOS8wOC8yNgEAAAD+VA0AAgAAAAc2My4wMjAzABpxA5hpDt8IPdRam2oO3wgkQ0lRLklRVDY0NDcwMTc5Ny5JUV9DRFNfTUlELjI4LzA4LzI2AQAAAFM/fQECAAAABjkuODMzNgC1306YaQ7fCMEhW5tqDt8II0NJUS5JUVQ0NjIxNjk4Ni5JUV9DRFNfTUlELjI4LzA4LzI2AQAAAM5EOAEDAAAAAACEGk+YaQ7fCM5vW5tqDt8IJENJUS5JUVQyNTQ5</t>
  </si>
  <si>
    <t>NTUyMzMuSVFfQ0RTX01JRC4yOC8wOC8yNgEAAAA5VgoAAgAAAAczOC4yNDU5AMNBT5hpDt8I8ZZbm2oO3wgjQ0lRLklRVDQ2MjAwMjc2LklRX0NEU19NSUQuMDEvMDkvMjYBAAAAlnd8AQIAAAACMzAAhBpPmGkO3wgebFWbag7fCCNDSVEuSVFUNDYxOTU0OTEuSVFfQ0RTX01JRC4wMS8wOS8yNgEAAABpSgAAAgAAAAc1My40NjE3AMNBT5hpDt8IR5NVm2oO3wgjQ0lRLklRVDc5NjM0OTAxLklRX0NEU19NSUQuMDEvMDkvMjYBAAAAnAYQAAIAAAAHNTMuOTMyOADDQU+YaQ7fCD/nVZtqDt8II0NJUS5JUVQ0NjIwNzU3MS5JUV9DRFNfTUlELjMwLzA4LzI2AQAAAG3vNQACAAAABTMwLjc1ALXfTphpDt8IhDVXm2oO3wgjQ0lRLklRVDQ2MjEzNDcyLklRX0NEU19NSUQuMzAvMDgvMjYBAAAAuVo4AAIAAAAEMTUuNQCEGk+YaQ7fCN2EV5tqDt8IJENJUS5JUVQyNjMyMTMxMzIuSVFfQ0RTX01JRC4zMC8wOC8yNgEAAADhmggAAgAAAAI1MQDDQU+YaQ7fCH/5V5tqDt8II0NJUS5JUVQ0NjE5NDk5NS5JUV9DRFNfTUlELjMxLzA4LzI2AQAAAG4QMQACAAAABzExLjIyNTcAtd9OmGkO3wiINVabag7fCCNDSVEuSVFUNDYyMjIyOTIuSVFfQ0RTX01JRC4zMS8wOC8yNgEAAADRkZsBAgAAAAg3NjguMjMzMwCEGk+YaQ7fCLODVptqDt8II0NJUS5JUVQ0NjIyNTAwNi5JUV9DRFNfTUlELjMxLzA4LzI2AQAAAPhVDQACAAAA</t>
  </si>
  <si>
    <t>BzQxLjI1NjIAw0FPmGkO3whk0labag7fCCNDSVEuSVFUNDY0NzA4NzcuSVFfQ0RTX01JRC4wNC8wOS8yNgEAAABCNwcAAgAAAAc1NC42NTE5AMNBT5hpDt8ImDdPm2oO3wgkQ0lRLklRVDMxMzMwNTg3OS5JUV9DRFNfTUlELjI4LzA4LzI2AQAAAITW3AECAAAABjIuMjkzOQCEGk+YaQ7fCM5vW5tqDt8II0NJUS5JUVQ0NjE5NjIyNS5JUV9DRFNfTUlELjMxLzA4LzI2AQAAAL5VowECAAAABzE3LjQ2MDUAtd9OmGkO3wiINVabag7fCCNDSVEuSVFUNDYyMDQzMDAuSVFfQ0RTX01JRC4wMi8wOS8yNgEAAAD2JX0AAgAAAAU3LjEyNQC1306YaQ7fCDRUVJtqDt8IJENJUS5JUVQzMTMzMTA4NTQuSVFfQ0RTX01JRC4wMS8wOS8yNgEAAACvVA0AAgAAAAc2MS4zMzMzABpxA5hpDt8IP+dVm2oO3wgjQ0lRLklRVDQ2MjE4Njc0LklRX0NEU19NSUQuMzAvMDgvMjYBAAAAV8o2AAIAAAAIMTE0LjgwOTMAhBpPmGkO3wjlq1ebag7fCCNDSVEuSVFUNDYyMDQ5NTcuSVFfQ0RTX01JRC4wNC8wOS8yNgEAAAAhFQYAAgAAAAc1Mi4yMzI4AMNBT5hpDt8ImDdPm2oO3wgjQ0lRLklRVDYyMjcwMTA2LklRX0NEU19NSUQuMDQvMDkvMjYBAAAArXeDAAIAAAAHNzMuMjIzNgAacQOYaQ7fCNSFT5tqDt8II0NJUS5JUVQ0NjIxODUxNi5JUV9DRFNfTUlELjAzLzA5LzI2AQAAAKZVowECAAAABzM1LjMxMDQAhBpPmGkO3whEolObag7f</t>
  </si>
  <si>
    <t>CCNDSVEuSVFUNDYxOTk4NDEuSVFfQ0RTX01JRC4wMi8wOS8yNgEAAADrMAYAAwAAAAAAw0FPmGkO3wjw9lSbag7fCCNDSVEuSVFUNDYyMjUwODMuSVFfQ0RTX01JRC4yOC8wOC8yNgEAAABWRAYAAgAAAAczMy4wODMzAMNBT5hpDt8I8ZZbm2oO3wgkQ0lRLklRVDMxMzMxNTQyOS5JUV9DRFNfTUlELjA0LzA5LzI2AQAAADnnBQACAAAABzU5Ljg5OTIAGnEDmGkO3wjUhU+bag7fCCNDSVEuSVFUNDYyMDY3NzkuSVFfQ0RTX01JRC4wMy8wOS8yNgEAAAD87zYAAgAAAAQxNS41AIQaT5hpDt8IRKJTm2oO3wgjQ0lRLklRVDYyMjcwMTA2LklRX0NEU19NSUQuMjcvMDgvMjYBAAAArXeDAAIAAAAGNzUuNTUyABpxA5hpDt8IZzxcm2oO3wgjQ0lRLklRVDQ2MjI1MDgzLklRX0NEU19NSUQuMDMvMDkvMjYBAAAAVkQGAAIAAAAFMzIuOTUAw0FPmGkO3wjWK1Sbag7fCCNDSVEuSVFUNTEwMjM0ODAuSVFfQ0RTX01JRC4yOS8wOC8yNgEAAADCRfEBAgAAAAY0LjgyMTIAhBpPmGkO3wjJWVqbag7fCCNDSVEuSVFUNjIyNzAxMDYuSVFfQ0RTX01JRC4yOS8wOC8yNgEAAACtd4MAAgAAAAc3NS41Mzg0ABpxA5hpDt8IPdRam2oO3wgjQ0lRLklRVDQ2MjIzNjQ2LklRX0NEU19NSUQuMDQvMDkvMjYBAAAAG3gEAAIAAAAHNDUuODE1NADDQU+YaQ7fCJg3T5tqDt8II0NJUS5JUVQ2MDM4ODA1Ny5JUV9DRFNfTUlELjAyLzA5LzI2</t>
  </si>
  <si>
    <t>AQAAAN/JfQEDAAAAAACEGk+YaQ7fCOKoVJtqDt8IJENJUS5JUVQzMTMzMTAxODQuSVFfQ0RTX01JRC4yOS8wOC8yNgEAAABgRD4AAgAAAAcxMC43NDE2ALXfTphpDt8IqP9Zm2oO3wgkQ0lRLklRVDMxMzMxMDg1NC5JUV9DRFNfTUlELjI5LzA4LzI2AQAAAK9UDQACAAAABzU5LjgzMzMAGnEDmGkO3wjK+lqbag7fCCRDSVEuSVFUMzEzMzA1ODc5LklRX0NEU19NSUQuMzAvMDgvMjYBAAAAhNbcAQIAAAAGMi4yOTM5AIQaT5hpDt8I3YRXm2oO3wgjQ0lRLklRVDQ2MjAwMzE3LklRX0NEU19NSUQuMjcvMDgvMjYBAAAA/lQNAAIAAAAHNjMuMDc4NAAacQOYaQ7fCGc8XJtqDt8II0NJUS5JUVQ0NjIyNTAwNi5JUV9DRFNfTUlELjA0LzA5LzI2AQAAAPhVDQACAAAABjQxLjkwNADDQU+YaQ7fCJg3T5tqDt8II0NJUS5JUVQ0NjIyMDMyOS5JUV9DRFNfTUlELjA0LzA5LzI2AQAAANtbAAACAAAABjU3LjQ5NQAacQOYaQ7fCNSFT5tqDt8II0NJUS5JUVQ0NjI2MjM3OC5JUV9DRFNfTUlELjAzLzA5LzI2AQAAAEDSiQECAAAAAjE4AIQaT5hpDt8IRKJTm2oO3wgjQ0lRLklRVDQ2MTk3Njk0LklRX0NEU19NSUQuMDMvMDkvMjYBAAAAB/oFAAIAAAAHNTEuMTIyMgCEGk+YaQ7fCPvvU5tqDt8II0NJUS5JUVQ2MjI3MDEwNy5JUV9DRFNfTUlELjAzLzA5LzI2AQAAABVZAAACAAAABzQwLjY1NDMAw0FPmGkO3wjWK1Sbag7f</t>
  </si>
  <si>
    <t>CCNDSVEuSVFUNDYyMDczMDguSVFfQ0RTX01JRC4wMi8wOS8yNgEAAAA5iXoBAgAAAAcxNC4xNjY3ALXfTphpDt8INHtUm2oO3wgjQ0lRLklRVDQ2MjEwMDMyLklRX0NEU19NSUQuMDIvMDkvMjYBAAAAj1WjAQIAAAAHMzMuNDM3NQCEGk+YaQ7fCOKoVJtqDt8II0NJUS5JUVQ0NjIyNTM3NC5JUV9DRFNfTUlELjAyLzA5LzI2AQAAALXWBQACAAAABDM2LjIAw0FPmGkO3wjw9lSbag7fCCNDSVEuSVFUNDk3NTExOTYuSVFfQ0RTX01JRC4yOS8wOC8yNgEAAADNmb0AAgAAAAczNi41MzA5ALXfTphpDt8IqP9Zm2oO3wgjQ0lRLklRVDYwMzg5NTE2LklRX0NEU19NSUQuMjkvMDgvMjYBAAAApfDDAQIAAAAGNy4xNTQ1AIQaT5hpDt8IyVlam2oO3wgkQ0lRLklRVDMyMzY4MDEzMC5JUV9DRFNfTUlELjI5LzA4LzI2AQAAAHHhAgACAAAABzQ4LjgyOTMAw0FPmGkO3wh4rFqbag7fCCRDSVEuSVFUMzEzMzE1NDI5LklRX0NEU19NSUQuMjkvMDgvMjYBAAAAOecFAAIAAAAHNjAuMzgwMgAacQOYaQ7fCMr6WptqDt8II0NJUS5JUVQ0NjIwNjc3OS5JUV9DRFNfTUlELjI4LzA4LzI2AQAAAPzvNgACAAAABzE1LjczMzcAhBpPmGkO3wjBIVubag7fCCNDSVEuSVFUNDYyMTg2NzQuSVFfQ0RTX01JRC4yOC8wOC8yNgEAAABXyjYAAgAAAAgxMTQuODA5MwCEGk+YaQ7fCM5vW5tqDt8II0NJUS5JUVQ0NjIyNTcxNS5JUV9DRFNf</t>
  </si>
  <si>
    <t>TUlELjI4LzA4LzI2AQAAALflBAACAAAABzM5LjI5MzkAw0FPmGkO3wjtvVubag7fCCNDSVEuSVFUNDYyMTA1NjAuSVFfQ0RTX01JRC4wMS8wOS8yNgEAAAD2GjcAAgAAAAc3OS44NzI4ALXfTphpDt8IEB5Vm2oO3wgjQ0lRLklRVDQ2MjE5OTIyLklRX0NEU19NSUQuMDEvMDkvMjYBAAAA1kc5AQIAAAAGNS43MzcxAIQaT5hpDt8IHmxVm2oO3wgjQ0lRLklRVDQ2MjIzNjQ2LklRX0NEU19NSUQuMDEvMDkvMjYBAAAAG3gEAAIAAAAHNDYuNzM3MQDDQU+YaQ7fCAvBVZtqDt8IJENJUS5JUVQzMTMzMTQ5NzYuSVFfQ0RTX01JRC4wMS8wOS8yNgEAAABtSgAAAgAAAAc1NS40Nzg5ABpxA5hpDt8I+g5Wm2oO3wgjQ0lRLklRVDQ2MjE4NTE2LklRX0NEU19NSUQuMzAvMDgvMjYBAAAAplWjAQIAAAAHMzYuMDIwNgCEGk+YaQ7fCA1dV5tqDt8II0NJUS5JUVQ0NjIyMDgwMy5JUV9DRFNfTUlELjMwLzA4LzI2AQAAANbJNgACAAAABzQwLjE2NjcAhBpPmGkO3wjdhFebag7fCCNDSVEuSVFUNDYyMDAzNjQuSVFfQ0RTX01JRC4zMC8wOC8yNgEAAABXhggAAgAAAAYyMy4zMjUAw0FPmGkO3wh0IFibag7fCCNDSVEuSVFUNDYyMDQzMDAuSVFfQ0RTX01JRC4zMS8wOC8yNgEAAAD2JX0AAgAAAAY3LjQ3NDkAtd9OmGkO3wiINVabag7fCCNDSVEuSVFUNjAzODgwNTcuSVFfQ0RTX01JRC4zMS8wOC8yNgEAAADfyX0BAwAAAAAA</t>
  </si>
  <si>
    <t>hBpPmGkO3wizg1abag7fCCNDSVEuSVFUNDYxOTk4NDEuSVFfQ0RTX01JRC4zMS8wOC8yNgEAAADrMAYAAwAAAAAAw0FPmGkO3whk0labag7fCCRDSVEuSVFUMzEzMzEwODU0LklRX0NEU19NSUQuMjcvMDgvMjYBAAAAr1QNAAIAAAAHNTkuODMzMwAacQOYaQ7fCGc8XJtqDt8IJENJUS5JUVQzMTMzMTQ5NzYuSVFfQ0RTX01JRC4yNy8wOC8yNgEAAABtSgAAAgAAAAc1Ni44MTU1ABpxA5hpDt8IZzxcm2oO3wgjQ0lRLklRVDQ2MjI0NzQwLklRX0NEU19NSUQuMDQvMDkvMjYBAAAA03IIAAIAAAAHMzYuNzE3OADDQU+YaQ7fCJg3T5tqDt8IJENJUS5JUVQzMTMzMTczNDQuSVFfQ0RTX01JRC4wNC8wOS8yNgEAAADxrAEAAgAAAAc2MC4xNTgzABpxA5hpDt8IAJtPm2oO3wgjQ0lRLklRVDQ2MjAwMjc2LklRX0NEU19NSUQuMDMvMDkvMjYBAAAAlnd8AQIAAAAHMjkuNTc1MgCEGk+YaQ7fCESiU5tqDt8II0NJUS5JUVQ0NjE5NTQ5MS5JUV9DRFNfTUlELjAzLzA5LzI2AQAAAGlKAAACAAAABjUyLjIyNADDQU+YaQ7fCPvvU5tqDt8II0NJUS5JUVQ3OTYzNDkwMS5JUV9DRFNfTUlELjAzLzA5LzI2AQAAAJwGEAACAAAABzU0LjAzNTYAw0FPmGkO3wjWK1Sbag7fCCNDSVEuSVFUNDYyMDc1NzEuSVFfQ0RTX01JRC4wMi8wOS8yNgEAAABt7zUAAgAAAAczMS4yMDgzALXfTphpDt8IBYFUm2oO3wgjQ0lRLklRVDQ2MjEz</t>
  </si>
  <si>
    <t>NDcyLklRX0NEU19NSUQuMDIvMDkvMjYBAAAAuVo4AAIAAAAGMTUuMDk0AIQaT5hpDt8I4qhUm2oO3wgkQ0lRLklRVDI2MzIxMzEzMi5JUV9DRFNfTUlELjAyLzA5LzI2AQAAAOGaCAACAAAABzUyLjIyNjMAw0FPmGkO3wjw9lSbag7fCCNDSVEuSVFUNDYxOTQ5OTUuSVFfQ0RTX01JRC4yOS8wOC8yNgEAAABuEDEAAgAAAAcxMS4xNTM3ALXfTphpDt8IHStam2oO3wgjQ0lRLklRVDQ2MjIyMjkyLklRX0NEU19NSUQuMjkvMDgvMjYBAAAA0ZGbAQIAAAAINzY2LjQwNzQAhBpPmGkO3wjJWVqbag7fCCNDSVEuSVFUNDYyMjUwMDYuSVFfQ0RTX01JRC4yOS8wOC8yNgEAAAD4VQ0AAgAAAAU0MS41OADDQU+YaQ7fCHisWptqDt8II0NJUS5JUVQ0NjIyMDMyOS5JUV9DRFNfTUlELjI5LzA4LzI2AQAAANtbAAACAAAAAjU3ABpxA5hpDt8Iyvpam2oO3wgjQ0lRLklRVDQ2MjYyMzc4LklRX0NEU19NSUQuMjgvMDgvMjYBAAAAQNKJAQIAAAAHMTguMDQyMwCEGk+YaQ7fCMEhW5tqDt8II0NJUS5JUVQ0NjE5NzY5NC5JUV9DRFNfTUlELjI4LzA4LzI2AQAAAAf6BQACAAAABzUxLjAyNjEAw0FPmGkO3wjOb1ubag7fCCNDSVEuSVFUNjIyNzAxMDcuSVFfQ0RTX01JRC4yOC8wOC8yNgEAAAAVWQAAAgAAAAc0MS42Mzc2AMNBT5hpDt8I7b1bm2oO3wgjQ0lRLklRVDQ2MjI2MTMyLklRX0NEU19NSUQuMDQvMDkvMjYBAAAA3VkA</t>
  </si>
  <si>
    <t>AAIAAAAHNDQuMTAzOQDDQU+YaQ7fCJg3T5tqDt8IJENJUS5JUVQzMTMzMTM1MjQuSVFfQ0RTX01JRC4wNC8wOS8yNgEAAADvVQ0AAgAAAAc1Ni41Mjg5ABpxA5hpDt8IAJtPm2oO3wgjQ0lRLklRVDc5NjM5OTEzLklRX0NEU19NSUQuMDMvMDkvMjYBAAAAIGMcAgIAAAAGOC4wMDkyAIQaT5hpDt8IRKJTm2oO3wgjQ0lRLklRVDQ2MjA3ODcyLklRX0NEU19NSUQuMDMvMDkvMjYBAAAAWA0KAAIAAAAHMzYuOTA4OADDQU+YaQ7fCPvvU5tqDt8II0NJUS5JUVQ0NjIwMDMxNy5JUV9DRFNfTUlELjAzLzA5LzI2AQAAAP5UDQACAAAABzYyLjMyODEAGnEDmGkO3wjWK1Sbag7fCCRDSVEuSVFUNjQ0NzAxNzk3LklRX0NEU19NSUQuMDIvMDkvMjYBAAAAUz99AQIAAAAHMTAuMDExOAC1306YaQ7fCAWBVJtqDt8II0NJUS5JUVQ0NjIxNjk4Ni5JUV9DRFNfTUlELjAyLzA5LzI2AQAAAM5EOAEDAAAAAACEGk+YaQ7fCOKoVJtqDt8IJENJUS5JUVQyNTQ5NTUyMzMuSVFfQ0RTX01JRC4wMi8wOS8yNgEAAAA5VgoAAgAAAAczOS4xMTM0AMNBT5hpDt8I8PZUm2oO3wgjQ0lRLklRVDQ2MTk2MjI1LklRX0NEU19NSUQuMjkvMDgvMjYBAAAAvlWjAQIAAAAHMTcuNDM4OAC1306YaQ7fCB0rWptqDt8II0NJUS5JUVQ1MTAyMzI2MC5JUV9DRFNfTUlELjI5LzA4LzI2AQAAALERfwECAAAABzE0LjEzMTcAhBpPmGkO3wjJWVqbag7f</t>
  </si>
  <si>
    <t>CCNDSVEuSVFUNDYyMjQ3NDAuSVFfQ0RTX01JRC4yOS8wOC8yNgEAAADTcggAAgAAAAczNS44OTI5AMNBT5hpDt8IeKxam2oO3wgkQ0lRLklRVDMxMzMxNzM0NC5JUV9DRFNfTUlELjI5LzA4LzI2AQAAAPGsAQACAAAABzYwLjUxNTkAGnEDmGkO3wjK+lqbag7fCCNDSVEuSVFUNDYyMDAyNzYuSVFfQ0RTX01JRC4yOC8wOC8yNgEAAACWd3wBAgAAAAYxOS43NTIAhBpPmGkO3wjBIVubag7fCCNDSVEuSVFUNDYxOTU0OTEuSVFfQ0RTX01JRC4yOC8wOC8yNgEAAABpSgAAAgAAAAc1My4wNzQ3AMNBT5hpDt8Izm9bm2oO3wgjQ0lRLklRVDc5NjM0OTAxLklRX0NEU19NSUQuMjgvMDgvMjYBAAAAnAYQAAIAAAAHNTMuOTcxOQDDQU+YaQ7fCO29W5tqDt8II0NJUS5JUVQ0NjE5NDk5NS5JUV9DRFNfTUlELjAxLzA5LzI2AQAAAG4QMQACAAAABzExLjExODkAtd9OmGkO3wgSRVWbag7fCCNDSVEuSVFUNDYyMjIyOTIuSVFfQ0RTX01JRC4wMS8wOS8yNgEAAADRkZsBAgAAAAg3NjguMjMxNACEGk+YaQ7fCB5sVZtqDt8II0NJUS5JUVQ0NjIyNTAwNi5JUV9DRFNfTUlELjAxLzA5LzI2AQAAAPhVDQACAAAABzQyLjIzOTkAw0FPmGkO3wgLwVWbag7fCCNDSVEuSVFUNDYyMjAzMjkuSVFfQ0RTX01JRC4wMS8wOS8yNgEAAADbWwAAAgAAAAc1Ny4zMzMzABpxA5hpDt8I+g5Wm2oO3wgjQ0lRLklRVDQ2MjYyMzc4LklRX0NE</t>
  </si>
  <si>
    <t>U19NSUQuMzAvMDgvMjYBAAAAQNKJAQIAAAAHMTguMDQyMwCEGk+YaQ7fCA1dV5tqDt8IJENJUS5JUVQ1Mjg5MzY4MTIuSVFfQ0RTX01JRC4wNC8wOS8yNgEAAABsWwYAAgAAAAc0NC40OTUyAMNBT5hpDt8ImDdPm2oO3wgjQ0lRLklRVDQ2MTk3MTM4LklRX0NEU19NSUQuMDMvMDkvMjYBAAAA7pQ4AQIAAAAIMTE1LjQ4ODgAtd9OmGkO3wgWelObag7fCCNDSVEuSVFUNTEwMjM0ODAuSVFfQ0RTX01JRC4wMy8wOS8yNgEAAADCRfEBAgAAAAQ0LjY3AIQaT5hpDt8IRKJTm2oO3wgjQ0lRLklRVDQ2MjA0OTU3LklRX0NEU19NSUQuMDMvMDkvMjYBAAAAIRUGAAIAAAAHNTIuNTEwMQDDQU+YaQ7fCPvvU5tqDt8II0NJUS5JUVQ2MjI3MDEwNi5JUV9DRFNfTUlELjAzLzA5LzI2AQAAAK13gwACAAAABzczLjg3NjcAGnEDmGkO3wjWK1Sbag7fCCNDSVEuSVFUNzk2NDAwMjQuSVFfQ0RTX01JRC4wMi8wOS8yNgEAAAA1j5sBAgAAAAY3LjkxNjkAhBpPmGkO3wgFgVSbag7fCCRDSVEuSVFUMzEzMzA1ODc5LklRX0NEU19NSUQuMDIvMDkvMjYBAAAAhNbcAQIAAAAGMi4yOTM5AIQaT5hpDt8I4qhUm2oO3wgjQ0lRLklRVDQ2MjAwNDEyLklRX0NEU19NSUQuMDIvMDkvMjYBAAAAY0MGAAIAAAAFNDQuNDUAw0FPmGkO3wjw9lSbag7fCCNDSVEuSVFUNDYyMDMzMzIuSVFfQ0RTX01JRC4yOS8wOC8yNgEAAABfHjcAAgAAAAcx</t>
  </si>
  <si>
    <t>MC43NTA0ALXfTphpDt8IHStam2oO3wgjQ0lRLklRVDQ2MjE1MTExLklRX0NEU19NSUQuMjkvMDgvMjYBAAAAoEuyAQIAAAAHMzUuMTA3OACEGk+YaQ7fCM+AWptqDt8II0NJUS5JUVQ0NjIyNjEzMi5JUV9DRFNfTUlELjI5LzA4LzI2AQAAAN1ZAAACAAAABzQzLjYwNzEAw0FPmGkO3wh4rFqbag7fCCRDSVEuSVFUMzEzMzEzNTI0LklRX0NEU19NSUQuMjkvMDgvMjYBAAAA71UNAAIAAAAHNTkuMzk1NgAacQOYaQ7fCMr6WptqDt8II0NJUS5JUVQ3OTYzOTkxMy5JUV9DRFNfTUlELjI4LzA4LzI2AQAAACBjHAICAAAABjguMDA1MwCEGk+YaQ7fCCBJW5tqDt8II0NJUS5JUVQ0NjIwNzg3Mi5JUV9DRFNfTUlELjI4LzA4LzI2AQAAAFgNCgACAAAABzM3Ljg5MjIAw0FPmGkO3wjOb1ubag7fCCNDSVEuSVFUNDYyMDAzMTcuSVFfQ0RTX01JRC4yOC8wOC8yNgEAAAD+VA0AAgAAAAc2My4wMjAzABpxA5hpDt8I7b1bm2oO3wgjQ0lRLklRVDQ2MTk2MjI1LklRX0NEU19NSUQuMDEvMDkvMjYBAAAAvlWjAQIAAAAEMTcuNQC1306YaQ7fCBJFVZtqDt8II0NJUS5JUVQ1MTAyMzI2MC5JUV9DRFNfTUlELjAxLzA5LzI2AQAAALERfwECAAAABzE0LjE4NzUAhBpPmGkO3wgebFWbag7fCCNDSVEuSVFUNDYyMjQ3NDAuSVFfQ0RTX01JRC4wMS8wOS8yNgEAAADTcggAAgAAAAYzNi41NjQAw0FPmGkO3wgLwVWbag7fCCRDSVEu</t>
  </si>
  <si>
    <t>SVFUMzEzMzE3MzQ0LklRX0NEU19NSUQuMDEvMDkvMjYBAAAA8awBAAIAAAAHNjAuNDA4MgAacQOYaQ7fCPoOVptqDt8II0NJUS5JUVQ0NjIwMDI3Ni5JUV9DRFNfTUlELjMwLzA4LzI2AQAAAJZ3fAECAAAABjE5Ljc1MgCEGk+YaQ7fCA1dV5tqDt8II0NJUS5JUVQ0NjE5NTQ5MS5JUV9DRFNfTUlELjMwLzA4LzI2AQAAAGlKAAACAAAABzUzLjA3NDcAw0FPmGkO3wjlq1ebag7fCCNDSVEuSVFUNzk2MzQ5MDEuSVFfQ0RTX01JRC4zMC8wOC8yNgEAAACcBhAAAgAAAAc1My45NzE5AMNBT5hpDt8IdCBYm2oO3wgjQ0lRLklRVDQ2MjA3NTcxLklRX0NEU19NSUQuMzEvMDgvMjYBAAAAbe81AAIAAAAGMzAuNjk0ALXfTphpDt8IMl1Wm2oO3wgjQ0lRLklRVDQ2MjEzNDcyLklRX0NEU19NSUQuMzEvMDgvMjYBAAAAuVo4AAIAAAAGMTUuMDY2AIQaT5hpDt8InKpWm2oO3wgkQ0lRLklRVDI2MzIxMzEzMi5JUV9DRFNfTUlELjMxLzA4LzI2AQAAAOGaCAACAAAABzUwLjk4MTEAw0FPmGkO3whk0labag7fCCNDSVEuSVFUNDYyMjAzMjkuSVFfQ0RTX01JRC4yNy8wOC8yNgEAAADbWwAAAgAAAAc1NS42NjY3ABpxA5hpDt8IZzxcm2oO3wgjQ0lRLklRVDQ2MjAwNDEyLklRX0NEU19NSUQuMDMvMDkvMjYBAAAAY0MGAAIAAAAENDQuMQDDQU+YaQ7fCO0WVJtqDt8II0NJUS5JUVQ0NjE5OTg0MS5JUV9DRFNfTUlELjA0LzA5</t>
  </si>
  <si>
    <t>LzI2AQAAAOswBgADAAAAAADDQU+YaQ7fCJg3T5tqDt8IJENJUS5JUVQzMTMzMTAxODQuSVFfQ0RTX01JRC4wMy8wOS8yNgEAAABgRD4AAgAAAAcxMC44Mzg2ALXfTphpDt8IFnpTm2oO3wgjQ0lRLklRVDQ2MjE0ODc5LklRX0NEU19NSUQuMDMvMDkvMjYBAAAA9Ro3AAIAAAAHNTAuNDE3OQCEGk+YaQ7fCESiU5tqDt8II0NJUS5JUVQ0NjQ3MDg3Ny5JUV9DRFNfTUlELjAzLzA5LzI2AQAAAEI3BwACAAAABzU0Ljk2MDIAw0FPmGkO3wj771Obag7fCCRDSVEuSVFUMzEzMzEwODU0LklRX0NEU19NSUQuMDMvMDkvMjYBAAAAr1QNAAIAAAAHNjEuMzMzMwAacQOYaQ7fCNYrVJtqDt8II0NJUS5JUVQ0NjIxNDk1NC5JUV9DRFNfTUlELjAyLzA5LzI2AQAAADo9OQECAAAABzE0LjEwMjEAhBpPmGkO3wgFgVSbag7fCCNDSVEuSVFUNDYyMDg2MzQuSVFfQ0RTX01JRC4wMi8wOS8yNgEAAAADH8IAAgAAAAYyMS43MTMAhBpPmGkO3wjiqFSbag7fCCNDSVEuSVFUNDYyMjUwODMuSVFfQ0RTX01JRC4wMi8wOS8yNgEAAABWRAYAAgAAAAczMy40MTY3AMNBT5hpDt8I8PZUm2oO3wgjQ0lRLklRVDQ2MjAzNzE0LklRX0NEU19NSUQuMjkvMDgvMjYBAAAAXwU1AAIAAAAHMzIuNjY2NwC1306YaQ7fCB0rWptqDt8II0NJUS5JUVQ3OTYzOTk1My5JUV9DRFNfTUlELjI5LzA4LzI2AQAAADSbVgECAAAABzE5Ljk4OTMAhBpPmGkO</t>
  </si>
  <si>
    <t>3wjPgFqbag7fCCRDSVEuSVFUNTI4OTM2ODEyLklRX0NEU19NSUQuMjkvMDgvMjYBAAAAbFsGAAIAAAAGNDQuMTQxAMNBT5hpDt8IeKxam2oO3wgjQ0lRLklRVDQ2MTk3MTM4LklRX0NEU19NSUQuMjgvMDgvMjYBAAAA7pQ4AQIAAAAIMTIwLjM5ODYAtd9OmGkO3wjK+lqbag7fCCNDSVEuSVFUNTEwMjM0ODAuSVFfQ0RTX01JRC4yOC8wOC8yNgEAAADCRfEBAgAAAAY0LjgyMTIAhBpPmGkO3wggSVubag7fCCNDSVEuSVFUNDYyMDQ5NTcuSVFfQ0RTX01JRC4yOC8wOC8yNgEAAAAhFQYAAgAAAAc1Mi43NjMyAMNBT5hpDt8Izm9bm2oO3wgjQ0lRLklRVDYyMjcwMTA2LklRX0NEU19NSUQuMjgvMDgvMjYBAAAArXeDAAIAAAAHNzUuNTM4NAAacQOYaQ7fCO29W5tqDt8II0NJUS5JUVQ0NjIwMzMzMi5JUV9DRFNfTUlELjAxLzA5LzI2AQAAAF8eNwACAAAABDEwLjUAtd9OmGkO3wgSRVWbag7fCCNDSVEuSVFUNDYyMTUxMTEuSVFfQ0RTX01JRC4wMS8wOS8yNgEAAACgS7IBAgAAAAczNS4xNTYzAIQaT5hpDt8IR5NVm2oO3wgjQ0lRLklRVDQ2MjI2MTMyLklRX0NEU19NSUQuMDEvMDkvMjYBAAAA3VkAAAIAAAAHNDQuMjE1NADDQU+YaQ7fCAvBVZtqDt8IJENJUS5JUVQzMTMzMTM1MjQuSVFfQ0RTX01JRC4wMS8wOS8yNgEAAADvVQ0AAgAAAAc1Ny45MDc3ABpxA5hpDt8I+g5Wm2oO3wgjQ0lRLklRVDc5NjM5OTEz</t>
  </si>
  <si>
    <t>LklRX0NEU19NSUQuMzAvMDgvMjYBAAAAIGMcAgIAAAAGOC4wMDUzAIQaT5hpDt8IDV1Xm2oO3wgjQ0lRLklRVDQ2MjA3ODcyLklRX0NEU19NSUQuMzAvMDgvMjYBAAAAWA0KAAIAAAAHMzcuODkyMgDDQU+YaQ7fCOWrV5tqDt8II0NJUS5JUVQ0NjIwMDMxNy5JUV9DRFNfTUlELjMwLzA4LzI2AQAAAP5UDQACAAAABzYzLjAyMDMAGnEDmGkO3wh0IFibag7fCCRDSVEuSVFUNjQ0NzAxNzk3LklRX0NEU19NSUQuMzEvMDgvMjYBAAAAUz99AQIAAAAGOS44MTY0ALXfTphpDt8IMl1Wm2oO3wgjQ0lRLklRVDQ2MjE2OTg2LklRX0NEU19NSUQuMzEvMDgvMjYBAAAAzkQ4AQMAAAAAAIQaT5hpDt8InKpWm2oO3wgkQ0lRLklRVDI1NDk1NTIzMy5JUV9DRFNfTUlELjMxLzA4LzI2AQAAADlWCgACAAAABzM4LjIzNDEAw0FPmGkO3whg+Vabag7fCCNDSVEuSVFUNTEwMjMyNjAuSVFfQ0RTX01JRC4yNy8wOC8yNgEAAACxEX8BAgAAAAcxNC4yNzI4AIQaT5hpDt8IZzxcm2oO3wgjQ0lRLklRVDQ2MjI0NzQwLklRX0NEU19NSUQuMjcvMDgvMjYBAAAA03IIAAIAAAAHMzUuMTEyOQDDQU+YaQ7fCGc8XJtqDt8IJENJUS5JUVQzMTMzMTczNDQuSVFfQ0RTX01JRC4yNy8wOC8yNgEAAADxrAEAAgAAAAY2MC41MDUAGnEDmGkO3whnPFybag7fCCRDSVEuSVFUMzEzMzA1ODc5LklRX0NEU19NSUQuMjcvMDgvMjYBAAAAhNbcAQIA</t>
  </si>
  <si>
    <t>AAAGMi4yOTM5AIQaT5hpDt8IZzxcm2oO3wgjQ0lRLklRVDQ2MjA0ODg0LklRX0NEU19NSUQuMzAvMDgvMjYBAAAAgVHAAQIAAAAHMjguOTE2NwC1306YaQ7fCIQ1V5tqDt8II0NJUS5JUVQ0OTc1MTE5Ni5JUV9DRFNfTUlELjAxLzA5LzI2AQAAAM2ZvQACAAAABzM1Ljk0NTcAtd9OmGkO3wgQHlWbag7fCCNDSVEuSVFUNDYyMDY3NzkuSVFfQ0RTX01JRC4zMC8wOC8yNgEAAAD87zYAAgAAAAcxNS43MzM3AIQaT5hpDt8IDV1Xm2oO3wgjQ0lRLklRVDYyMjcwMTA3LklRX0NEU19NSUQuMzAvMDgvMjYBAAAAFVkAAAIAAAAHNDEuNjM3NgDDQU+YaQ7fCHQgWJtqDt8IJENJUS5JUVQzMTMzMTU0MjkuSVFfQ0RTX01JRC4yNy8wOC8yNgEAAAA55wUAAgAAAAc2MC4zODEyABpxA5hpDt8IZzxcm2oO3wgkQ0lRLklRVDMxMzMxNTQyOS5JUV9DRFNfTUlELjA2LzA5LzI2AQAAADnnBQACAAAABzU5Ljg5OTIAGnEDmGkO3wjyElGbag7fCCRDSVEuSVFUMjg2MDk2MTMxLklRX0NEU19NSUQuMDQvMDkvMjYBAAAAO/EEAAIAAAAHNTMuNjQwOQDDQU+YaQ7fCJg3T5tqDt8II0NJUS5JUVQ0NjIxMDU2MC5JUV9DRFNfTUlELjAzLzA5LzI2AQAAAPYaNwACAAAABzc5LjIyNDMAtd9OmGkO3wgWelObag7fCCNDSVEuSVFUNDYyMTk5MjIuSVFfQ0RTX01JRC4wMy8wOS8yNgEAAADWRzkBAgAAAAY2LjA1NDYAhBpPmGkO3wgoyVOb</t>
  </si>
  <si>
    <t>ag7fCCNDSVEuSVFUNDYyMjM2NDYuSVFfQ0RTX01JRC4wMy8wOS8yNgEAAAAbeAQAAgAAAAc0NS44MjMyAMNBT5hpDt8I++9Tm2oO3wgkQ0lRLklRVDMxMzMxNDk3Ni5JUV9DRFNfTUlELjAzLzA5LzI2AQAAAG1KAAACAAAABjU0LjgxMQAacQOYaQ7fCNYrVJtqDt8II0NJUS5JUVQ0NjIxODUxNi5JUV9DRFNfTUlELjAyLzA5LzI2AQAAAKZVowECAAAABzM1LjkxNTcAhBpPmGkO3wgFgVSbag7fCCNDSVEuSVFUNDYyMjA4MDMuSVFfQ0RTX01JRC4wMi8wOS8yNgEAAADWyTYAAgAAAAc0MC44MjU2AIQaT5hpDt8IM89Um2oO3wgjQ0lRLklRVDQ2MjAwMzY0LklRX0NEU19NSUQuMDIvMDkvMjYBAAAAV4YIAAIAAAAHMjQuMDA3MQDDQU+YaQ7fCPD2VJtqDt8II0NJUS5JUVQ0NjIwNDMwMC5JUV9DRFNfTUlELjI5LzA4LzI2AQAAAPYlfQACAAAABjcuNDk2MwC1306YaQ7fCB0rWptqDt8II0NJUS5JUVQ2MDM4ODA1Ny5JUV9DRFNfTUlELjI5LzA4LzI2AQAAAN/JfQEDAAAAAACEGk+YaQ7fCM+AWptqDt8II0NJUS5JUVQ0NjE5OTg0MS5JUV9DRFNfTUlELjI5LzA4LzI2AQAAAOswBgADAAAAAADDQU+YaQ7fCD3UWptqDt8IJENJUS5JUVQzMTMzMTAxODQuSVFfQ0RTX01JRC4yOC8wOC8yNgEAAABgRD4AAgAAAAcxMC43NDE2ALXfTphpDt8Iyvpam2oO3wgjQ0lRLklRVDQ2MjE0ODc5LklRX0NEU19NSUQuMjgvMDgv</t>
  </si>
  <si>
    <t>MjYBAAAA9Ro3AAIAAAAHNDkuODgyMQCEGk+YaQ7fCCBJW5tqDt8II0NJUS5JUVQ0NjQ3MDg3Ny5JUV9DRFNfTUlELjI4LzA4LzI2AQAAAEI3BwACAAAABzU0LjgzOTMAw0FPmGkO3wjOb1ubag7fCCRDSVEuSVFUMzEzMzEwODU0LklRX0NEU19NSUQuMjgvMDgvMjYBAAAAr1QNAAIAAAAHNTkuODMzMwAacQOYaQ7fCO29W5tqDt8II0NJUS5JUVQ0NjIwMzcxNC5JUV9DRFNfTUlELjAxLzA5LzI2AQAAAF8FNQACAAAAAjMzALXfTphpDt8IEkVVm2oO3wgjQ0lRLklRVDc5NjM5OTUzLklRX0NEU19NSUQuMDEvMDkvMjYBAAAANJtWAQIAAAAHMTkuOTgzNACEGk+YaQ7fCEeTVZtqDt8IJENJUS5JUVQ1Mjg5MzY4MTIuSVFfQ0RTX01JRC4wMS8wOS8yNgEAAABsWwYAAgAAAAc0NC41MTA5AMNBT5hpDt8IC8FVm2oO3wgjQ0lRLklRVDQ2MTk3MTM4LklRX0NEU19NSUQuMzAvMDgvMjYBAAAA7pQ4AQIAAAAIMTIwLjM5ODYAtd9OmGkO3wh2IFebag7fCCNDSVEuSVFUNTEwMjM0ODAuSVFfQ0RTX01JRC4zMC8wOC8yNgEAAADCRfEBAgAAAAY0LjgyMTIAhBpPmGkO3wgNXVebag7fCCNDSVEuSVFUNDYyMDQ5NTcuSVFfQ0RTX01JRC4zMC8wOC8yNgEAAAAhFQYAAgAAAAc1Mi43NjMyAMNBT5hpDt8I5atXm2oO3wgjQ0lRLklRVDYyMjcwMTA2LklRX0NEU19NSUQuMzAvMDgvMjYBAAAArXeDAAIAAAAHNzUuNTM4NAAacQOY</t>
  </si>
  <si>
    <t>aQ7fCHQgWJtqDt8II0NJUS5JUVQ3OTY0MDAyNC5JUV9DRFNfTUlELjMxLzA4LzI2AQAAADWPmwECAAAABjcuOTE1NwCEGk+YaQ7fCDJdVptqDt8IJENJUS5JUVQzMTMzMDU4NzkuSVFfQ0RTX01JRC4zMS8wOC8yNgEAAACE1twBAgAAAAYyLjI5MzkAhBpPmGkO3wicqlabag7fCCNDSVEuSVFUNDYyMDA0MTIuSVFfQ0RTX01JRC4zMS8wOC8yNgEAAABjQwYAAgAAAAc0My44NDIyAMNBT5hpDt8IYPlWm2oO3wgjQ0lRLklRVDQ2MjAzMzMyLklRX0NEU19NSUQuMjcvMDgvMjYBAAAAXx43AAIAAAAHMTAuNzUyNAC1306YaQ7fCPHVW5tqDt8II0NJUS5JUVQ0NjIxNTExMS5JUV9DRFNfTUlELjI3LzA4LzI2AQAAAKBLsgECAAAABzM0Ljk3MDUAhBpPmGkO3whnPFybag7fCCNDSVEuSVFUNDYyMjYxMzIuSVFfQ0RTX01JRC4yNy8wOC8yNgEAAADdWQAAAgAAAAc0My4xOTM5AMNBT5hpDt8IZzxcm2oO3wgkQ0lRLklRVDMxMzMxMzUyNC5JUV9DRFNfTUlELjI3LzA4LzI2AQAAAO9VDQACAAAABzU5LjQ0MTgAGnEDmGkO3whnPFybag7fCCNDSVEuSVFUNDYyMDc3ODkuSVFfQ0RTX01JRC4yNy8wOC8yNgEAAAAqWKMBAgAAAAYyNS40MjkAhBpPmGkO3whnPFybag7fCCRDSVEuSVFUMjYzMjEzMTMyLklRX0NEU19NSUQuMDEvMDkvMjYBAAAA4ZoIAAIAAAAHNTEuNzQ2NgDDQU+YaQ7fCD/nVZtqDt8II0NJUS5JUVQ0NjE5</t>
  </si>
  <si>
    <t>NzY5NC5JUV9DRFNfTUlELjMxLzA4LzI2AQAAAAf6BQACAAAABzUxLjY4MDcAhBpPmGkO3wicqlabag7fCCNDSVEuSVFUNDYyMTAwMzIuSVFfQ0RTX01JRC4yNy8wOC8yNgEAAACPVaMBAgAAAAUzMy4zOACEGk+YaQ7fCGc8XJtqDt8II0NJUS5JUVQ0NjIwNDk1Ny5JUV9DRFNfTUlELjAyLzA5LzI2AQAAACEVBgACAAAABzUyLjY2NDQAw0FPmGkO3wgzz1Sbag7fCCNDSVEuSVFUNDYyMDA0MTIuSVFfQ0RTX01JRC4yOS8wOC8yNgEAAABjQwYAAgAAAAQ0My44AMNBT5hpDt8IPdRam2oO3wgkQ0lRLklRVDMxMzMxMzUyNC5JUV9DRFNfTUlELjI4LzA4LzI2AQAAAO9VDQACAAAABzU5LjM5NTYAGnEDmGkO3wjx1Vubag7fCCNDSVEuSVFUNDYyMDAyNzYuSVFfQ0RTX01JRC4zMS8wOC8yNgEAAACWd3wBAgAAAAcxOS43MDI0AIQaT5hpDt8IMl1Wm2oO3wgjQ0lRLklRVDQ2MjAwMzE3LklRX0NEU19NSUQuMzEvMDgvMjYBAAAA/lQNAAIAAAAHNjIuOTkxNQAacQOYaQ7fCGD5VptqDt8II0NJUS5JUVQ0NjIxNjk4Ni5JUV9DRFNfTUlELjI3LzA4LzI2AQAAAM5EOAEDAAAAAACEGk+YaQ7fCGc8XJtqDt8II0NJUS5JUVQ0NjIxODUxNi5JUV9DRFNfTUlELjI5LzA4LzI2AQAAAKZVowECAAAABzM2LjAyMDYAhBpPmGkO3wjJWVqbag7fCCNDSVEuSVFUNDYyMDAzNjQuSVFfQ0RTX01JRC4yOS8wOC8yNgEAAABXhggAAgAA</t>
  </si>
  <si>
    <t>AAYyMy4zMjUAw0FPmGkO3wg91Fqbag7fCCNDSVEuSVFUNjAzODgwNTcuSVFfQ0RTX01JRC4yOC8wOC8yNgEAAADfyX0BAwAAAAAAhBpPmGkO3wggSVubag7fCCNDSVEuSVFUNDYyMDg2MzQuSVFfQ0RTX01JRC4wMS8wOS8yNgEAAAADH8IAAgAAAAcyMS43MDgzAIQaT5hpDt8IR5NVm2oO3wgjQ0lRLklRVDQ2MTk3MTM4LklRX0NEU19NSUQuMzEvMDgvMjYBAAAA7pQ4AQIAAAAHMTIwLjcyMgC1306YaQ7fCPoOVptqDt8II0NJUS5JUVQ2MjI3MDEwNi5JUV9DRFNfTUlELjMxLzA4LzI2AQAAAK13gwACAAAABzc1LjU0MjYAGnEDmGkO3whg+Vabag7fCCNDSVEuSVFUNDYyMDczMDguSVFfQ0RTX01JRC4yOC8wOC8yNgEAAAA5iXoBAgAAAAYxNC4zMTQAtd9OmGkO3wjBIVubag7fCCNDSVEuSVFUNDYyMjA4MDMuSVFfQ0RTX01JRC4yNy8wOC8yNgEAAADWyTYAAgAAAAc0MC4xNjY3AIQaT5hpDt8IZzxcm2oO3wgjQ0lRLklRVDYyMjcwMTA3LklRX0NEU19NSUQuMjcvMDgvMjYBAAAAFVkAAAIAAAAHNDEuNDQzMwDDQU+YaQ7fCGc8XJtqDt8II0NJUS5JUVQ0NjIyNTcxNS5JUV9DRFNfTUlELjAzLzA5LzI2AQAAALflBAACAAAABzM5LjE5OTkAw0FPmGkO3wjWK1Sbag7fCCNDSVEuSVFUNDYyMTg1MTYuSVFfQ0RTX01JRC4yOC8wOC8yNgEAAACmVaMBAgAAAAczNi4wMjA2AIQaT5hpDt8IwSFbm2oO3wgjQ0lRLklR</t>
  </si>
  <si>
    <t>VDQ2NDcwODc3LklRX0NEU19NSUQuMDEvMDkvMjYBAAAAQjcHAAIAAAAHNTUuNjAyMgDDQU+YaQ7fCAvBVZtqDt8II0NJUS5JUVQ0NjIyNTA4My5JUV9DRFNfTUlELjMwLzA4LzI2AQAAAFZEBgACAAAABzMzLjA4MzMAw0FPmGkO3wh0IFibag7fCCRDSVEuSVFUNTI4OTM2ODEyLklRX0NEU19NSUQuMzEvMDgvMjYBAAAAbFsGAAIAAAAHNDQuMzU5NQDDQU+YaQ7fCGTSVptqDt8II0NJUS5JUVQ2MDM4OTUxNi5JUV9DRFNfTUlELjAxLzA5LzI2AQAAAKXwwwECAAAABjcuMTU5MwCEGk+YaQ7fCB5sVZtqDt8II0NJUS5JUVQ0NjIwNDg4NC5JUV9DRFNfTUlELjMxLzA4LzI2AQAAAIFRwAECAAAABzI5LjA5NDMAtd9OmGkO3wiINVabag7fCCNDSVEuSVFUNDYyMjAzMjkuSVFfQ0RTX01JRC4wNi8wOS8yNgEAAADbWwAAAgAAAAY1Ny40OTUAGnEDmGkO3wjyElGbag7fCCNDSVEuSVFUNDYyMTAwMzIuSVFfQ0RTX01JRC4wNC8wOS8yNgEAAACPVaMBAgAAAAczMy4zMzMzAIQaT5hpDt8IghBPm2oO3wgjQ0lRLklRVDQ2MjI1Mzc0LklRX0NEU19NSUQuMDQvMDkvMjYBAAAAtdYFAAIAAAAHMzUuNjU2NwDDQU+YaQ7fCJg3T5tqDt8II0NJUS5JUVQ0OTc1MTE5Ni5JUV9DRFNfTUlELjAzLzA5LzI2AQAAAM2ZvQACAAAABzM1LjI5NzUAtd9OmGkO3wgWelObag7fCCNDSVEuSVFUNjAzODk1MTYuSVFfQ0RTX01JRC4wMy8w</t>
  </si>
  <si>
    <t>OS8yNgEAAACl8MMBAgAAAAY3LjIyMDYAhBpPmGkO3wgoyVObag7fCCRDSVEuSVFUMzIzNjgwMTMwLklRX0NEU19NSUQuMDMvMDkvMjYBAAAAceECAAIAAAAHNTAuNTcwOQDDQU+YaQ7fCPvvU5tqDt8IJENJUS5JUVQzMTMzMTU0MjkuSVFfQ0RTX01JRC4wMy8wOS8yNgEAAAA55wUAAgAAAAc1OS44NjIxABpxA5hpDt8I1itUm2oO3wgjQ0lRLklRVDQ2MjA2Nzc5LklRX0NEU19NSUQuMDIvMDkvMjYBAAAA/O82AAIAAAAHMTUuNTYyNQCEGk+YaQ7fCAWBVJtqDt8II0NJUS5JUVQ0NjIxODY3NC5JUV9DRFNfTUlELjAyLzA5LzI2AQAAAFfKNgACAAAACDExNi4xODQ1AIQaT5hpDt8IM89Um2oO3wgjQ0lRLklRVDQ2MjI1NzE1LklRX0NEU19NSUQuMDIvMDkvMjYBAAAAt+UEAAIAAAAHMzguNzcxNQDDQU+YaQ7fCPD2VJtqDt8II0NJUS5JUVQ0NjIwNDg4NC5JUV9DRFNfTUlELjI5LzA4LzI2AQAAAIFRwAECAAAABzI4LjkxNjcAtd9OmGkO3wgdK1qbag7fCCNDSVEuSVFUNDYyMDc3ODkuSVFfQ0RTX01JRC4yOS8wOC8yNgEAAAAqWKMBAgAAAAcyNS4yNjE1AIQaT5hpDt8Iz4Bam2oO3wgkQ0lRLklRVDI4NjA5NjEzMS5JUV9DRFNfTUlELjI5LzA4LzI2AQAAADvxBAACAAAABTUyLjc1AMNBT5hpDt8IPdRam2oO3wgjQ0lRLklRVDQ2MjEwNTYwLklRX0NEU19NSUQuMjgvMDgvMjYBAAAA9ho3AAIAAAAGNzcuOTky</t>
  </si>
  <si>
    <t>ALXfTphpDt8Iyvpam2oO3wgjQ0lRLklRVDQ2MjE5OTIyLklRX0NEU19NSUQuMjgvMDgvMjYBAAAA1kc5AQIAAAAGNS40ODg4AIQaT5hpDt8IIElbm2oO3wgjQ0lRLklRVDQ2MjIzNjQ2LklRX0NEU19NSUQuMjgvMDgvMjYBAAAAG3gEAAIAAAAHNDYuMDk1NwDDQU+YaQ7fCM5vW5tqDt8IJENJUS5JUVQzMTMzMTQ5NzYuSVFfQ0RTX01JRC4yOC8wOC8yNgEAAABtSgAAAgAAAAc1Ni44MTQ5ABpxA5hpDt8I7b1bm2oO3wgjQ0lRLklRVDQ2MjA0MzAwLklRX0NEU19NSUQuMDEvMDkvMjYBAAAA9iV9AAIAAAABNwC1306YaQ7fCBJFVZtqDt8II0NJUS5JUVQ2MDM4ODA1Ny5JUV9DRFNfTUlELjAxLzA5LzI2AQAAAN/JfQEDAAAAAACEGk+YaQ7fCEeTVZtqDt8II0NJUS5JUVQ0NjE5OTg0MS5JUV9DRFNfTUlELjAxLzA5LzI2AQAAAOswBgADAAAAAADDQU+YaQ7fCAvBVZtqDt8IJENJUS5JUVQzMTMzMTAxODQuSVFfQ0RTX01JRC4zMC8wOC8yNgEAAABgRD4AAgAAAAcxMC43NDE2ALXfTphpDt8IdiBXm2oO3wgjQ0lRLklRVDQ2MjE0ODc5LklRX0NEU19NSUQuMzAvMDgvMjYBAAAA9Ro3AAIAAAAHNDkuODgyMQCEGk+YaQ7fCA1dV5tqDt8II0NJUS5JUVQ0NjQ3MDg3Ny5JUV9DRFNfTUlELjMwLzA4LzI2AQAAAEI3BwACAAAABzU0LjgzOTMAw0FPmGkO3whV0lebag7fCCRDSVEuSVFUMzEzMzEwODU0LklRX0NEU19N</t>
  </si>
  <si>
    <t>SUQuMzAvMDgvMjYBAAAAr1QNAAIAAAAHNTkuODMzMwAacQOYaQ7fCHQgWJtqDt8II0NJUS5JUVQ0NjIxNDk1NC5JUV9DRFNfTUlELjMxLzA4LzI2AQAAADo9OQECAAAABzEzLjEzMzgAhBpPmGkO3wgyXVabag7fCCNDSVEuSVFUNDYyMDg2MzQuSVFfQ0RTX01JRC4zMS8wOC8yNgEAAAADH8IAAgAAAAYyMS42NzUAhBpPmGkO3wicqlabag7fCCNDSVEuSVFUNDYyMjUwODMuSVFfQ0RTX01JRC4zMS8wOC8yNgEAAABWRAYAAgAAAAczMy40ODY5AMNBT5hpDt8IYPlWm2oO3wgjQ0lRLklRVDQ2MjAzNzE0LklRX0NEU19NSUQuMjcvMDgvMjYBAAAAXwU1AAIAAAAFMzIuNzUAtd9OmGkO3wjx1Vubag7fCCNDSVEuSVFUNzk2Mzk5NTMuSVFfQ0RTX01JRC4yNy8wOC8yNgEAAAA0m1YBAgAAAAcxOS45OTQ1AIQaT5hpDt8IZzxcm2oO3wgkQ0lRLklRVDUyODkzNjgxMi5JUV9DRFNfTUlELjI3LzA4LzI2AQAAAGxbBgACAAAABzQ0LjEwOTgAw0FPmGkO3whnPFybag7fCCNDSVEuSVFUNDYyMTk5MjIuSVFfQ0RTX01JRC4zMC8wOC8yNgEAAADWRzkBAgAAAAY1LjQ4ODgAhBpPmGkO3wgNXVebag7fCCNDSVEuSVFUNDYyMTg1MTYuSVFfQ0RTX01JRC4zMS8wOC8yNgEAAACmVaMBAgAAAAczNS40OTk3AIQaT5hpDt8IMl1Wm2oO3wgjQ0lRLklRVDQ2MjA0MzAwLklRX0NEU19NSUQuMjcvMDgvMjYBAAAA9iV9AAIAAAAGNy40</t>
  </si>
  <si>
    <t>ODg5ALXfTphpDt8IYwFcm2oO3wgjQ0lRLklRVDQ2MjI1Mzc0LklRX0NEU19NSUQuMDEvMDkvMjYBAAAAtdYFAAIAAAAHMzYuMDE0MwDDQU+YaQ7fCD/nVZtqDt8II0NJUS5JUVQ2MDM4OTUxNi5JUV9DRFNfTUlELjMwLzA4LzI2AQAAAKXwwwECAAAABjcuMTU0NQCEGk+YaQ7fCA1dV5tqDt8II0NJUS5JUVQ0NjIwNjc3OS5JUV9DRFNfTUlELjMxLzA4LzI2AQAAAPzvNgACAAAABzE1LjY5NzYAhBpPmGkO3wgyXVabag7fCCNDSVEuSVFUNDYyMjU3MTUuSVFfQ0RTX01JRC4zMS8wOC8yNgEAAAC35QQAAgAAAAYzOS40MjcAw0FPmGkO3whg+Vabag7fCCRDSVEuSVFUMjg2MDk2MTMxLklRX0NEU19NSUQuMjcvMDgvMjYBAAAAO/EEAAIAAAAHNTMuMDgxOADDQU+YaQ7fCGc8XJtqDt8II0NJUS5JUVQ0NjE5NDk5NS5JUV9DRFNfTUlELjMwLzA4LzI2AQAAAG4QMQACAAAABzExLjE1MzcAtd9OmGkO3wiENVebag7fCCRDSVEuSVFUMzEzMzA1ODc5LklRX0NEU19NSUQuMjkvMDgvMjYBAAAAhNbcAQIAAAAGMi4yOTM5AIQaT5hpDt8Iz4Bam2oO3wgjQ0lRLklRVDUxMDIzMjYwLklRX0NEU19NSUQuMzAvMDgvMjYBAAAAsRF/AQIAAAAHMTQuMTMxNwCEGk+YaQ7fCA1dV5tqDt8II0NJUS5JUVQ0NjIwNzg3Mi5JUV9DRFNfTUlELjMxLzA4LzI2AQAAAFgNCgACAAAABTM3Ljc1AMNBT5hpDt8IZNJWm2oO3wgkQ0lRLklR</t>
  </si>
  <si>
    <t>VDY0NDcwMTc5Ny5JUV9DRFNfTUlELjI3LzA4LzI2AQAAAFM/fQECAAAABjkuODk4OAC1306YaQ7fCNoOXJtqDt8II0NJUS5JUVQ0NjIyMzY0Ni5JUV9DRFNfTUlELjAyLzA5LzI2AQAAABt4BAACAAAABzQ2LjU5MzUAw0FPmGkO3wgzz1Sbag7fCCNDSVEuSVFUNDYyMDQzMDAuSVFfQ0RTX01JRC4yOC8wOC8yNgEAAAD2JX0AAgAAAAY3LjQ5NjMAtd9OmGkO3wjBIVubag7fCCNDSVEuSVFUNDYyMDM3MTQuSVFfQ0RTX01JRC4zMC8wOC8yNgEAAABfBTUAAgAAAAczMi42NjY3ALXfTphpDt8IhDVXm2oO3wgjQ0lRLklRVDQ2MjI1Mzc0LklRX0NEU19NSUQuMjgvMDgvMjYBAAAAtdYFAAIAAAAHMzUuMTA4OADDQU+YaQ7fCPGWW5tqDt8II0NJUS5JUVQ0NjIxODY3NC5JUV9DRFNfTUlELjAxLzA5LzI2AQAAAFfKNgACAAAACDExNi4wMDgxAIQaT5hpDt8IR5NVm2oO3wgkQ0lRLklRVDMxMzMxMDg1NC5JUV9DRFNfTUlELjA0LzA5LzI2AQAAAK9UDQACAAAABzYxLjMzMzMAGnEDmGkO3wjUhU+bag7fCCRDSVEuSVFUNTI4OTM2ODEyLklRX0NEU19NSUQuMDIvMDkvMjYBAAAAbFsGAAIAAAAHNDQuNjU5NQDDQU+YaQ7fCDPPVJtqDt8II0NJUS5JUVQ0NjIwNDk1Ny5JUV9DRFNfTUlELjI5LzA4LzI2AQAAACEVBgACAAAABzUyLjc2MzIAw0FPmGkO3wh4rFqbag7fCCNDSVEuSVFUNDYyMDA0MTIuSVFfQ0RTX01JRC4y</t>
  </si>
  <si>
    <t>OC8wOC8yNgEAAABjQwYAAgAAAAQ0My44AMNBT5hpDt8I8ZZbm2oO3wgjQ0lRLklRVDQ2MjA3ODcyLklRX0NEU19NSUQuMDEvMDkvMjYBAAAAWA0KAAIAAAAHMzcuODY0NADDQU+YaQ7fCEeTVZtqDt8II0NJUS5JUVQ0NjIxNjk4Ni5JUV9DRFNfTUlELjMwLzA4LzI2AQAAAM5EOAEDAAAAAACEGk+YaQ7fCN2EV5tqDt8II0NJUS5JUVQ0NjIyNDc0MC5JUV9DRFNfTUlELjMxLzA4LzI2AQAAANNyCAACAAAABzM1Ljk3NjkAw0FPmGkO3whk0labag7fCCRDSVEuSVFUMzIzNjgwMTMwLklRX0NEU19NSUQuMDQvMDkvMjYBAAAAceECAAIAAAAHNTAuOTkyOADDQU+YaQ7fCJg3T5tqDt8II0NJUS5JUVQ0NjIyMzY0Ni5JUV9DRFNfTUlELjI3LzA4LzI2AQAAABt4BAACAAAABjQ2LjAzOADDQU+YaQ7fCGc8XJtqDt8IJENJUS5JUVQzMjM2ODAxMzAuSVFfQ0RTX01JRC4yNy8wOC8yNgEAAABx4QIAAgAAAAc0OC45MDc2AMNBT5hpDt8IZzxcm2oO3wgkQ0lRLklRVDMxMzMxNzM0NC5JUV9DRFNfTUlELjA2LzA5LzI2AQAAAPGsAQACAAAABzYwLjE1ODMAGnEDmGkO3wjyElGbag7fCCNDSVEuSVFUNDYyMTM0NzIuSVFfQ0RTX01JRC4wNC8wOS8yNgEAAAC5WjgAAgAAAAYxNS4wMjUAhBpPmGkO3wiCEE+bag7fCCRDSVEuSVFUMjYzMjEzMTMyLklRX0NEU19NSUQuMDQvMDkvMjYBAAAA4ZoIAAIAAAAHNTEuNjQ2MgDDQU+Y</t>
  </si>
  <si>
    <t>aQ7fCKdeT5tqDt8II0NJUS5JUVQ0NjE5NDk5NS5JUV9DRFNfTUlELjAzLzA5LzI2AQAAAG4QMQACAAAABzExLjE3NDcAtd9OmGkO3wgWelObag7fCCNDSVEuSVFUNDYyMjIyOTIuSVFfQ0RTX01JRC4wMy8wOS8yNgEAAADRkZsBAgAAAAY3NjkuMDcAhBpPmGkO3wgoyVObag7fCCNDSVEuSVFUNDYyMjUwMDYuSVFfQ0RTX01JRC4wMy8wOS8yNgEAAAD4VQ0AAgAAAAc0Mi4wODAyAMNBT5hpDt8I++9Tm2oO3wgjQ0lRLklRVDQ2MjIwMzI5LklRX0NEU19NSUQuMDMvMDkvMjYBAAAA21sAAAIAAAAHNTcuMzMzMwAacQOYaQ7fCNYrVJtqDt8II0NJUS5JUVQ0NjI2MjM3OC5JUV9DRFNfTUlELjAyLzA5LzI2AQAAAEDSiQECAAAAAjE4AIQaT5hpDt8IBYFUm2oO3wgjQ0lRLklRVDQ2MTk3Njk0LklRX0NEU19NSUQuMDIvMDkvMjYBAAAAB/oFAAIAAAAHNTEuNTc4NACEGk+YaQ7fCDPPVJtqDt8II0NJUS5JUVQ2MjI3MDEwNy5JUV9DRFNfTUlELjAyLzA5LzI2AQAAABVZAAACAAAABzQwLjYxMDUAw0FPmGkO3wjw9lSbag7fCCNDSVEuSVFUNDYyMDczMDguSVFfQ0RTX01JRC4yOS8wOC8yNgEAAAA5iXoBAgAAAAYxNC4zMTQAtd9OmGkO3wgdK1qbag7fCCNDSVEuSVFUNDYyMTAwMzIuSVFfQ0RTX01JRC4yOS8wOC8yNgEAAACPVaMBAgAAAAUzMy4zNQCEGk+YaQ7fCM+AWptqDt8II0NJUS5JUVQ0NjIyNTM3NC5JUV9D</t>
  </si>
  <si>
    <t>RFNfTUlELjI5LzA4LzI2AQAAALXWBQACAAAABzM1LjEwODgAw0FPmGkO3wg91Fqbag7fCCNDSVEuSVFUNDk3NTExOTYuSVFfQ0RTX01JRC4yOC8wOC8yNgEAAADNmb0AAgAAAAczNi41MzA5ALXfTphpDt8Iyvpam2oO3wgjQ0lRLklRVDYwMzg5NTE2LklRX0NEU19NSUQuMjgvMDgvMjYBAAAApfDDAQIAAAAGNy4xNTQ1AIQaT5hpDt8IIElbm2oO3wgkQ0lRLklRVDMyMzY4MDEzMC5JUV9DRFNfTUlELjI4LzA4LzI2AQAAAHHhAgACAAAABzQ4LjgyOTMAw0FPmGkO3wjxllubag7fCCRDSVEuSVFUMzEzMzE1NDI5LklRX0NEU19NSUQuMjgvMDgvMjYBAAAAOecFAAIAAAAHNjAuMzgwMgAacQOYaQ7fCO29W5tqDt8II0NJUS5JUVQ0NjIwNDg4NC5JUV9DRFNfTUlELjAxLzA5LzI2AQAAAIFRwAECAAAABzI5LjE4NzUAtd9OmGkO3wgSRVWbag7fCCNDSVEuSVFUNDYyMDc3ODkuSVFfQ0RTX01JRC4wMS8wOS8yNgEAAAAqWKMBAgAAAAcyNS41MjAzAIQaT5hpDt8IR5NVm2oO3wgkQ0lRLklRVDI4NjA5NjEzMS5JUV9DRFNfTUlELjAxLzA5LzI2AQAAADvxBAACAAAABzUzLjUwODEAw0FPmGkO3wgLwVWbag7fCCNDSVEuSVFUNDYyMTA1NjAuSVFfQ0RTX01JRC4zMC8wOC8yNgEAAAD2GjcAAgAAAAY3Ny45OTIAtd9OmGkO3wh2IFebag7fCCNDSVEuSVFUNDYyMjM2NDYuSVFfQ0RTX01JRC4zMC8wOC8yNgEAAAAbeAQA</t>
  </si>
  <si>
    <t>AgAAAAc0Ni4wOTU3AMNBT5hpDt8IVdJXm2oO3wgkQ0lRLklRVDMxMzMxNDk3Ni5JUV9DRFNfTUlELjMwLzA4LzI2AQAAAG1KAAACAAAABzU2LjgxNDkAGnEDmGkO3wh0IFibag7fCCNDSVEuSVFUNDYyMjA4MDMuSVFfQ0RTX01JRC4zMS8wOC8yNgEAAADWyTYAAgAAAAc0MC4wNTY3AIQaT5hpDt8InKpWm2oO3wgjQ0lRLklRVDQ2MjAwMzY0LklRX0NEU19NSUQuMzEvMDgvMjYBAAAAV4YIAAIAAAAHMjMuNjIwOQDDQU+YaQ7fCGD5VptqDt8II0NJUS5JUVQ2MDM4ODA1Ny5JUV9DRFNfTUlELjI3LzA4LzI2AQAAAN/JfQEDAAAAAACEGk+YaQ7fCGc8XJtqDt8II0NJUS5JUVQ0NjE5OTg0MS5JUV9DRFNfTUlELjI3LzA4LzI2AQAAAOswBgADAAAAAADDQU+YaQ7fCGc8XJtqDt8II0NJUS5JUVQ0NjIwNzMwOC5JUV9DRFNfTUlELjAxLzA5LzI2AQAAADmJegECAAAABzE0LjE2NjcAtd9OmGkO3wgSRVWbag7fCCNDSVEuSVFUNDk3NTExOTYuSVFfQ0RTX01JRC4zMC8wOC8yNgEAAADNmb0AAgAAAAczNi41MzA5ALXfTphpDt8IhDVXm2oO3wgkQ0lRLklRVDMyMzY4MDEzMC5JUV9DRFNfTUlELjMwLzA4LzI2AQAAAHHhAgACAAAABzQ4LjgyOTMAw0FPmGkO3whV0lebag7fCCRDSVEuSVFUMzEzMzE1NDI5LklRX0NEU19NSUQuMzAvMDgvMjYBAAAAOecFAAIAAAAHNjAuMzgwMgAacQOYaQ7fCHQgWJtqDt8II0NJUS5J</t>
  </si>
  <si>
    <t>UVQ0NjIxODY3NC5JUV9DRFNfTUlELjMxLzA4LzI2AQAAAFfKNgACAAAACDExNC41NzAzAIQaT5hpDt8InKpWm2oO3wgjQ0lRLklRVDQ2MjA0ODg0LklRX0NEU19NSUQuMjcvMDgvMjYBAAAAgVHAAQIAAAAHMjguOTAzNwC1306YaQ7fCGMBXJtqDt8II0NJUS5JUVQ0NjIxNTExMS5JUV9DRFNfTUlELjI4LzA4LzI2AQAAAKBLsgECAAAABzM1LjEwNzgAhBpPmGkO3wggSVubag7fCCNDSVEuSVFUNDYyMTY5ODYuSVFfQ0RTX01JRC4wMS8wOS8yNgEAAADORDgBAwAAAAAAhBpPmGkO3whHk1Wbag7fCCNDSVEuSVFUNDYyMjQ3NDAuSVFfQ0RTX01JRC4zMC8wOC8yNgEAAADTcggAAgAAAAczNS44OTI5AMNBT5hpDt8IVdJXm2oO3wgkQ0lRLklRVDMxMzMxNzM0NC5JUV9DRFNfTUlELjMwLzA4LzI2AQAAAPGsAQACAAAABzYwLjUxNTkAGnEDmGkO3wh7R1ibag7fCCNDSVEuSVFUNDYyMTM0NzIuSVFfQ0RTX01JRC4yNy8wOC8yNgEAAAC5WjgAAgAAAAYxNS4xNzYAhBpPmGkO3whnPFybag7fCCRDSVEuSVFUMzEzMzE0OTc2LklRX0NEU19NSUQuMDIvMDkvMjYBAAAAbUoAAAIAAAAHNTUuMTQ0NwAacQOYaQ7fCBAeVZtqDt8II0NJUS5JUVQ0NjIyNTA4My5JUV9DRFNfTUlELjAxLzA5LzI2AQAAAFZEBgACAAAABzMzLjQxNjcAw0FPmGkO3wg/51Wbag7fCCRDSVEuSVFUNTI4OTM2ODEyLklRX0NEU19NSUQuMzAvMDgv</t>
  </si>
  <si>
    <t>MjYBAAAAbFsGAAIAAAAGNDQuMTQxAMNBT5hpDt8If/lXm2oO3wgjQ0lRLklRVDQ2MjA0OTU3LklRX0NEU19NSUQuMzEvMDgvMjYBAAAAIRUGAAIAAAAENTIuOADDQU+YaQ7fCGTSVptqDt8II0NJUS5JUVQ0NjIyNTcxNS5JUV9DRFNfTUlELjAxLzA5LzI2AQAAALflBAACAAAABzM5LjAxNTgAw0FPmGkO3wg/51Wbag7fCCNDSVEuSVFUNDYyMDc3ODkuSVFfQ0RTX01JRC4zMC8wOC8yNgEAAAAqWKMBAgAAAAcyNS4yNjE1AIQaT5hpDt8I3YRXm2oO3wgjQ0lRLklRVDQ2MjIzNjQ2LklRX0NEU19NSUQuMzEvMDgvMjYBAAAAG3gEAAIAAAAHNDYuMzE3OADDQU+YaQ7fCGTSVptqDt8II0NJUS5JUVQ0NjIwNzc4OS5JUV9DRFNfTUlELjAyLzA5LzI2AQAAACpYowECAAAABzI1LjY2MzkAhBpPmGkO3wjiqFSbag7fCCNDSVEuSVFUNDYyMjM2NDYuSVFfQ0RTX01JRC4yOS8wOC8yNgEAAAAbeAQAAgAAAAc0Ni4wOTU3AMNBT5hpDt8IeKxam2oO3wgkQ0lRLklRVDMxMzMxNDk3Ni5JUV9DRFNfTUlELjI5LzA4LzI2AQAAAG1KAAACAAAABzU2LjgxNDkAGnEDmGkO3wjK+lqbag7fCCRDSVEuSVFUMzEzMzEwMTg0LklRX0NEU19NSUQuMDEvMDkvMjYBAAAAYEQ+AAIAAAAHMTAuNzI5NgC1306YaQ7fCBAeVZtqDt8II0NJUS5JUVQ0NjIwNzc4OS5JUV9DRFNfTUlELjMxLzA4LzI2AQAAACpYowECAAAABzI1LjYwNTIAhBpP</t>
  </si>
  <si>
    <t>mGkO3wicqlabag7fCCNDSVEuSVFUNDYyMDczMDguSVFfQ0RTX01JRC4zMS8wOC8yNgEAAAA5iXoBAgAAAAUxNC4zOQC1306YaQ7fCIg1VptqDt8IJENJUS5JUVQzMTMzMTM1MjQuSVFfQ0RTX01JRC4wNi8wOS8yNgEAAADvVQ0AAgAAAAc1Ni41Mjg5ABpxA5hpDt8I8hJRm2oO3wgjQ0lRLklRVDQ2MjE2OTg2LklRX0NEU19NSUQuMDQvMDkvMjYBAAAAzkQ4AQMAAAAAAIQaT5hpDt8IghBPm2oO3wgkQ0lRLklRVDI1NDk1NTIzMy5JUV9DRFNfTUlELjA0LzA5LzI2AQAAADlWCgACAAAABzM4LjcxNTIAw0FPmGkO3winXk+bag7fCCNDSVEuSVFUNDYxOTYyMjUuSVFfQ0RTX01JRC4wMy8wOS8yNgEAAAC+VaMBAgAAAAQxNy41ALXfTphpDt8IFnpTm2oO3wgjQ0lRLklRVDUxMDIzMjYwLklRX0NEU19NSUQuMDMvMDkvMjYBAAAAsRF/AQIAAAAFMTQuMDUAhBpPmGkO3wgoyVObag7fCCNDSVEuSVFUNDYyMjQ3NDAuSVFfQ0RTX01JRC4wMy8wOS8yNgEAAADTcggAAgAAAAczNi44NTg1AMNBT5hpDt8I++9Tm2oO3wgkQ0lRLklRVDMxMzMxNzM0NC5JUV9DRFNfTUlELjAzLzA5LzI2AQAAAPGsAQACAAAABzYwLjI1NTkAGnEDmGkO3wg0VFSbag7fCCNDSVEuSVFUNDYyMDAyNzYuSVFfQ0RTX01JRC4wMi8wOS8yNgEAAACWd3wBAgAAAAcyOS41OTg0AIQaT5hpDt8IBYFUm2oO3wgjQ0lRLklRVDQ2MTk1NDkxLklRX0NE</t>
  </si>
  <si>
    <t>U19NSUQuMDIvMDkvMjYBAAAAaUoAAAIAAAAHNTMuMDMxNADDQU+YaQ7fCDPPVJtqDt8II0NJUS5JUVQ3OTYzNDkwMS5JUV9DRFNfTUlELjAyLzA5LzI2AQAAAJwGEAACAAAABzUzLjkyMDgAw0FPmGkO3wjw9lSbag7fCCNDSVEuSVFUNDYyMDc1NzEuSVFfQ0RTX01JRC4yOS8wOC8yNgEAAABt7zUAAgAAAAUzMC43NQC1306YaQ7fCB0rWptqDt8II0NJUS5JUVQ0NjIxMzQ3Mi5JUV9DRFNfTUlELjI5LzA4LzI2AQAAALlaOAACAAAABDE1LjUAhBpPmGkO3wjPgFqbag7fCCRDSVEuSVFUMjYzMjEzMTMyLklRX0NEU19NSUQuMjkvMDgvMjYBAAAA4ZoIAAIAAAACNTEAw0FPmGkO3wg91Fqbag7fCCNDSVEuSVFUNDYxOTQ5OTUuSVFfQ0RTX01JRC4yOC8wOC8yNgEAAABuEDEAAgAAAAcxMS4xNTM3ALXfTphpDt8Iyvpam2oO3wgjQ0lRLklRVDQ2MjIyMjkyLklRX0NEU19NSUQuMjgvMDgvMjYBAAAA0ZGbAQIAAAAINzY2LjQwNzQAhBpPmGkO3wggSVubag7fCCNDSVEuSVFUNDYyMjUwMDYuSVFfQ0RTX01JRC4yOC8wOC8yNgEAAAD4VQ0AAgAAAAU0MS41OADDQU+YaQ7fCPGWW5tqDt8II0NJUS5JUVQ0NjIyMDMyOS5JUV9DRFNfTUlELjI4LzA4LzI2AQAAANtbAAACAAAAAjU3ABpxA5hpDt8I8dVbm2oO3wgjQ0lRLklRVDQ2MjEwMDMyLklRX0NEU19NSUQuMDEvMDkvMjYBAAAAj1WjAQIAAAAFMzMuNDUAhBpPmGkO</t>
  </si>
  <si>
    <t>3whHk1Wbag7fCCNDSVEuSVFUNDYyMDc1NzEuSVFfQ0RTX01JRC4wMS8wOS8yNgEAAABt7zUAAgAAAAczMC44ODE2ALXfTphpDt8IEkVVm2oO3wgjQ0lRLklRVDQ2MjIwMzI5LklRX0NEU19NSUQuMzAvMDgvMjYBAAAA21sAAAIAAAACNTcAGnEDmGkO3wh0IFibag7fCCNDSVEuSVFUNDYyMDczMDguSVFfQ0RTX01JRC4yNy8wOC8yNgEAAAA5iXoBAgAAAAUxNC4zMgC1306YaQ7fCGMBXJtqDt8II0NJUS5JUVQ0NjIyNTM3NC5JUV9DRFNfTUlELjI3LzA4LzI2AQAAALXWBQACAAAABzM1LjY1NDYAw0FPmGkO3whnPFybag7fCCNDSVEuSVFUNzk2NDAwMjQuSVFfQ0RTX01JRC4yOS8wOC8yNgEAAAA1j5sBAgAAAAY3Ljg0NzMAhBpPmGkO3wgdK1qbag7fCCNDSVEuSVFUNDYyMDMzMzIuSVFfQ0RTX01JRC4yOC8wOC8yNgEAAABfHjcAAgAAAAcxMC43NTA0ALXfTphpDt8IwSFbm2oO3wgjQ0lRLklRVDc5NjM0OTAxLklRX0NEU19NSUQuMzEvMDgvMjYBAAAAnAYQAAIAAAAHNTMuOTY4NADDQU+YaQ7fCGD5VptqDt8IJENJUS5JUVQyNjMyMTMxMzIuSVFfQ0RTX01JRC4yNy8wOC8yNgEAAADhmggAAgAAAAc1MC45MzExAMNBT5hpDt8IZzxcm2oO3wgjQ0lRLklRVDc5NjM5OTEzLklRX0NEU19NSUQuMzEvMDgvMjYBAAAAIGMcAgIAAAAFOC4wMTQAhBpPmGkO3wgyXVabag7fCCRDSVEuSVFUMjU0OTU1MjMzLklRX0NE</t>
  </si>
  <si>
    <t>U19NSUQuMjcvMDgvMjYBAAAAOVYKAAIAAAAHMzguMTM5NQDDQU+YaQ7fCGc8XJtqDt8II0NJUS5JUVQ0NjIyMDgwMy5JUV9DRFNfTUlELjI5LzA4LzI2AQAAANbJNgACAAAABzQwLjE2NjcAhBpPmGkO3wjPgFqbag7fCCNDSVEuSVFUNDYxOTk4NDEuSVFfQ0RTX01JRC4yOC8wOC8yNgEAAADrMAYAAwAAAAAAw0FPmGkO3wjxllubag7fCCNDSVEuSVFUNDYyMTQ5NTQuSVFfQ0RTX01JRC4wMS8wOS8yNgEAAAA6PTkBAgAAAAcxNC4yMDgzAIQaT5hpDt8IEkVVm2oO3wgjQ0lRLklRVDc5NjM5OTUzLklRX0NEU19NSUQuMzAvMDgvMjYBAAAANJtWAQIAAAAHMTkuOTg5MwCEGk+YaQ7fCN2EV5tqDt8II0NJUS5JUVQ1MTAyMzQ4MC5JUV9DRFNfTUlELjMxLzA4LzI2AQAAAMJF8QECAAAABjQuODM3NQCEGk+YaQ7fCLODVptqDt8II0NJUS5JUVQ3OTY0MDAyNC5JUV9DRFNfTUlELjI3LzA4LzI2AQAAADWPmwECAAAABjcuODQ1NwCEGk+YaQ7fCNoOXJtqDt8II0NJUS5JUVQ0NjIwMDQxMi5JUV9DRFNfTUlELjI3LzA4LzI2AQAAAGNDBgACAAAABDQzLjgAw0FPmGkO3whnPFybag7fCCRDSVEuSVFUMzEzMzE0OTc2LklRX0NEU19NSUQuMzEvMDgvMjYBAAAAbUoAAAIAAAAHNTYuNDc5NAAacQOYaQ7fCGD5VptqDt8II0NJUS5JUVQ0NjIwMDM2NC5JUV9DRFNfTUlELjI3LzA4LzI2AQAAAFeGCAACAAAABzIzLjQzMzMA</t>
  </si>
  <si>
    <t>w0FPmGkO3whnPFybag7fCCNDSVEuSVFUNzk2Mzk5NTMuSVFfQ0RTX01JRC4wMi8wOS8yNgEAAAA0m1YBAgAAAAcxOS45ODcyAIQaT5hpDt8I4qhUm2oO3wgkQ0lRLklRVDI1NDk1NTIzMy5JUV9DRFNfTUlELjMwLzA4LzI2AQAAADlWCgACAAAABzM4LjI0NTkAw0FPmGkO3wh/+Vebag7fCCRDSVEuSVFUMzEzMzE3MzQ0LklRX0NEU19NSUQuMzEvMDgvMjYBAAAA8awBAAIAAAAHNjAuMjY5NgAacQOYaQ7fCHYgV5tqDt8IJENJUS5JUVQzMTMzMTQ5NzYuSVFfQ0RTX01JRC4wNC8wOS8yNgEAAABtSgAAAgAAAAc1NC44MTA2ABpxA5hpDt8I1IVPm2oO3wgjQ0lRLklRVDQ2MjA4NjM0LklRX0NEU19NSUQuMjgvMDgvMjYBAAAAAx/CAAIAAAAHMjEuNzA4MwCEGk+YaQ7fCM5vW5tqDt8II0NJUS5JUVQ3OTY0MDAyNC5JUV9DRFNfTUlELjMwLzA4LzI2AQAAADWPmwECAAAABjcuODQ3MwCEGk+YaQ7fCIQ1V5tqDt8II0NJUS5JUVQ0NjIwMzMzMi5JUV9DRFNfTUlELjMxLzA4LzI2AQAAAF8eNwACAAAABzEwLjg1MTgAtd9OmGkO3wiINVabag7fCCNDSVEuSVFUNDYyMDc4NzIuSVFfQ0RTX01JRC4yNy8wOC8yNgEAAABYDQoAAgAAAAczNy43MTM3AMNBT5hpDt8IZzxcm2oO3wgjQ0lRLklRVDQ2MjA0ODg0LklRX0NEU19NSUQuMDIvMDkvMjYBAAAAgVHAAQIAAAAHMjkuMTI2NwC1306YaQ7fCDR7VJtqDt8II0NJUS5J</t>
  </si>
  <si>
    <t>UVQ0NjIxNDk1NC5JUV9DRFNfTUlELjMwLzA4LzI2AQAAADo9OQECAAAABzE0LjA0MTcAhBpPmGkO3wiENVebag7fCCRDSVEuSVFUMzEzMzE1NDI5LklRX0NEU19NSUQuMDEvMDkvMjYBAAAAOecFAAIAAAAGNjAuMTk3ABpxA5hpDt8I+g5Wm2oO3wgkQ0lRLklRVDMxMzMwNTg3OS5JUV9DRFNfTUlELjA0LzA5LzI2AQAAAITW3AECAAAABjIuMjkzOQCEGk+YaQ7fCIIQT5tqDt8II0NJUS5JUVQ0NjIwMDQxMi5JUV9DRFNfTUlELjA0LzA5LzI2AQAAAGNDBgACAAAABzQzLjk2MTkAw0FPmGkO3winXk+bag7fCCNDSVEuSVFUNDYyMDMzMzIuSVFfQ0RTX01JRC4wMy8wOS8yNgEAAABfHjcAAgAAAAQxMC41ALXfTphpDt8IFnpTm2oO3wgjQ0lRLklRVDQ2MjE1MTExLklRX0NEU19NSUQuMDMvMDkvMjYBAAAAoEuyAQIAAAAHMzQuOTYzNACEGk+YaQ7fCCjJU5tqDt8II0NJUS5JUVQ0NjIyNjEzMi5JUV9DRFNfTUlELjAzLzA5LzI2AQAAAN1ZAAACAAAABzQ0LjMzNjEAw0FPmGkO3wj771Obag7fCCRDSVEuSVFUMzEzMzEzNTI0LklRX0NEU19NSUQuMDMvMDkvMjYBAAAA71UNAAIAAAAHNTYuOTMyNQAacQOYaQ7fCDRUVJtqDt8II0NJUS5JUVQ3OTYzOTkxMy5JUV9DRFNfTUlELjAyLzA5LzI2AQAAACBjHAICAAAABjcuOTA0OACEGk+YaQ7fCAWBVJtqDt8II0NJUS5JUVQ0NjIwNzg3Mi5JUV9DRFNfTUlELjAyLzA5</t>
  </si>
  <si>
    <t>LzI2AQAAAFgNCgACAAAABzM3Ljg4NjYAw0FPmGkO3wgzz1Sbag7fCCNDSVEuSVFUNDYyMDAzMTcuSVFfQ0RTX01JRC4wMi8wOS8yNgEAAAD+VA0AAgAAAAc2MS41NjUyABpxA5hpDt8IEB5Vm2oO3wgkQ0lRLklRVDY0NDcwMTc5Ny5JUV9DRFNfTUlELjI5LzA4LzI2AQAAAFM/fQECAAAABjkuODMzNgC1306YaQ7fCB0rWptqDt8II0NJUS5JUVQ0NjIxNjk4Ni5JUV9DRFNfTUlELjI5LzA4LzI2AQAAAM5EOAEDAAAAAACEGk+YaQ7fCM+AWptqDt8IJENJUS5JUVQyNTQ5NTUyMzMuSVFfQ0RTX01JRC4yOS8wOC8yNgEAAAA5VgoAAgAAAAczOC4yNDU5AMNBT5hpDt8IPdRam2oO3wgjQ0lRLklRVDQ2MTk2MjI1LklRX0NEU19NSUQuMjgvMDgvMjYBAAAAvlWjAQIAAAAHMTcuNDM4OAC1306YaQ7fCMr6WptqDt8II0NJUS5JUVQ1MTAyMzI2MC5JUV9DRFNfTUlELjI4LzA4LzI2AQAAALERfwECAAAABzE0LjEzMTcAhBpPmGkO3wggSVubag7fCCNDSVEuSVFUNDYyMjQ3NDAuSVFfQ0RTX01JRC4yOC8wOC8yNgEAAADTcggAAgAAAAczNS44OTI5AMNBT5hpDt8I8ZZbm2oO3wgkQ0lRLklRVDMxMzMxNzM0NC5JUV9DRFNfTUlELjI4LzA4LzI2AQAAAPGsAQACAAAABzYwLjUxNTkAGnEDmGkO3wjx1Vubag7fCCNDSVEuSVFUNDYyMTM0NzIuSVFfQ0RTX01JRC4wMS8wOS8yNgEAAAC5WjgAAgAAAAYxNS4wOTQAhBpPmGkO</t>
  </si>
  <si>
    <t>3whHk1Wbag7fCCNDSVEuSVFUNDYyMjIyOTIuSVFfQ0RTX01JRC4zMC8wOC8yNgEAAADRkZsBAgAAAAg3NjYuNDA3NACEGk+YaQ7fCA1dV5tqDt8II0NJUS5JUVQ0NjIyNTAwNi5JUV9DRFNfTUlELjMwLzA4LzI2AQAAAPhVDQACAAAABTQxLjU4AMNBT5hpDt8IVdJXm2oO3wgjQ0lRLklRVDQ2MjYyMzc4LklRX0NEU19NSUQuMzEvMDgvMjYBAAAAQNKJAQIAAAAHMTcuOTU3NQCEGk+YaQ7fCDJdVptqDt8II0NJUS5JUVQ2MjI3MDEwNy5JUV9DRFNfTUlELjMxLzA4LzI2AQAAABVZAAACAAAABzQwLjI5ODUAw0FPmGkO3whg+Vabag7fCCNDSVEuSVFUNjIyNzAxMDYuSVFfQ0RTX01JRC4wMi8wOS8yNgEAAACtd4MAAgAAAAc3NS41NTYyABpxA5hpDt8IEB5Vm2oO3wgjQ0lRLklRVDQ2MjI2MTMyLklRX0NEU19NSUQuMjgvMDgvMjYBAAAA3VkAAAIAAAAHNDMuNjA3MQDDQU+YaQ7fCPGWW5tqDt8IJENJUS5JUVQ2NDQ3MDE3OTcuSVFfQ0RTX01JRC4wMS8wOS8yNgEAAABTP30BAgAAAAY5LjY1NjQAtd9OmGkO3wgSRVWbag7fCCRDSVEuSVFUMjU0OTU1MjMzLklRX0NEU19NSUQuMDEvMDkvMjYBAAAAOVYKAAIAAAAHMzguODIwMwDDQU+YaQ7fCD/nVZtqDt8II0NJUS5JUVQ0NjE5NjIyNS5JUV9DRFNfTUlELjMwLzA4LzI2AQAAAL5VowECAAAABzE3LjQzODgAtd9OmGkO3wiENVebag7fCCNDSVEuSVFUNDYxOTU0</t>
  </si>
  <si>
    <t>OTEuSVFfQ0RTX01JRC4zMS8wOC8yNgEAAABpSgAAAgAAAAc1My4xNTMyAMNBT5hpDt8InKpWm2oO3wgjQ0lRLklRVDQ2MjA3NTcxLklRX0NEU19NSUQuMjcvMDgvMjYBAAAAbe81AAIAAAAEMzAuNQC1306YaQ7fCHsMXJtqDt8II0NJUS5JUVQ0NjIxMDAzMi5JUV9DRFNfTUlELjI4LzA4LzI2AQAAAI9VowECAAAABTMzLjM1AIQaT5hpDt8Izm9bm2oO3wgkQ0lRLklRVDI4NjA5NjEzMS5JUV9DRFNfTUlELjMwLzA4LzI2AQAAADvxBAACAAAABTUyLjc1AMNBT5hpDt8If/lXm2oO3wgjQ0lRLklRVDQ2MjEwNTYwLklRX0NEU19NSUQuMzEvMDgvMjYBAAAA9ho3AAIAAAAHNzguMzUwMgC1306YaQ7fCPoOVptqDt8II0NJUS5JUVQ0NjIxOTkyMi5JUV9DRFNfTUlELjMxLzA4LzI2AQAAANZHOQECAAAABjUuNDkyMQCEGk+YaQ7fCLODVptqDt8II0NJUS5JUVQ0NjIxODUxNi5JUV9DRFNfTUlELjI3LzA4LzI2AQAAAKZVowECAAAABzM1LjQ1MDIAhBpPmGkO3wjaDlybag7fCCNDSVEuSVFUNDYyMjAzMjkuSVFfQ0RTX01JRC4zMS8wOC8yNgEAAADbWwAAAgAAAAc1Ni42NjY3ABpxA5hpDt8IdiBXm2oO3wgjQ0lRLklRVDQ2MjYyMzc4LklRX0NEU19NSUQuMjcvMDgvMjYBAAAAQNKJAQIAAAAGMTguMDM2AIQaT5hpDt8I2g5cm2oO3wgjQ0lRLklRVDQ2MjAzNzE0LklRX0NEU19NSUQuMDIvMDkvMjYBAAAAXwU1AAIA</t>
  </si>
  <si>
    <t>AAAHMzMuNTAyMQC1306YaQ7fCDRUVJtqDt8IJENJUS5JUVQ2NDQ3MDE3OTcuSVFfQ0RTX01JRC4zMC8wOC8yNgEAAABTP30BAgAAAAY5LjgzMzYAtd9OmGkO3wiENVebag7fCCNDSVEuSVFUNzk2MzQ5MDEuSVFfQ0RTX01JRC4yNy8wOC8yNgEAAACcBhAAAgAAAAc1My45ODA3AMNBT5hpDt8IZzxcm2oO3wgjQ0lRLklRVDQ2NDcwODc3LklRX0NEU19NSUQuMjkvMDgvMjYBAAAAQjcHAAIAAAAHNTQuODM5MwDDQU+YaQ7fCHisWptqDt8II0NJUS5JUVQ0NjIwNDk1Ny5JUV9DRFNfTUlELjAxLzA5LzI2AQAAACEVBgACAAAABzUzLjA0ODEAw0FPmGkO3wgLwVWbag7fCCNDSVEuSVFUNDYyMTg2NzQuSVFfQ0RTX01JRC4wMy8wOS8yNgEAAABXyjYAAgAAAAgxMTUuNjQzMwCEGk+YaQ7fCPvvU5tqDt8II0NJUS5JUVQ0NjIwMDM2NC5JUV9DRFNfTUlELjI4LzA4LzI2AQAAAFeGCAACAAAABjIzLjMyNQDDQU+YaQ7fCPGWW5tqDt8II0NJUS5JUVQ0NjIwODYzNC5JUV9DRFNfTUlELjMwLzA4LzI2AQAAAAMfwgACAAAABzIxLjcwODMAhBpPmGkO3wjdhFebag7fCCNDSVEuSVFUNDYxOTcxMzguSVFfQ0RTX01JRC4yNy8wOC8yNgEAAADulDgBAgAAAAgxMTguNzg5OQC1306YaQ7fCPHVW5tqDt8II0NJUS5JUVQ0NjIyNTcxNS5JUV9DRFNfTUlELjMwLzA4LzI2AQAAALflBAACAAAABzM5LjI5MzkAw0FPmGkO3wh0IFib</t>
  </si>
  <si>
    <t>ag7fCCNDSVEuSVFUNDYxOTc2OTQuSVFfQ0RTX01JRC4zMC8wOC8yNgEAAAAH+gUAAgAAAAc1MS4wMjYxAMNBT5hpDt8I5atXm2oO3wgjQ0lRLklRVDQ2MjEwMDMyLklRX0NEU19NSUQuMzEvMDgvMjYBAAAAj1WjAQIAAAAHMzMuNDM5NQCEGk+YaQ7fCJyqVptqDt8II0NJUS5JUVQ2MDM4OTUxNi5JUV9DRFNfTUlELjI3LzA4LzI2AQAAAKXwwwECAAAABjcuMTYyNQCEGk+YaQ7fCPg1XJtqDt8II0NJUS5JUVQ0NjE5OTg0MS5JUV9DRFNfTUlELjA2LzA5LzI2AQAAAOswBgADAAAAAADDQU+YaQ7fCPISUZtqDt8II0NJUS5JUVQ0NjIwODYzNC5JUV9DRFNfTUlELjA0LzA5LzI2AQAAAAMfwgACAAAABzIxLjUyODUAhBpPmGkO3wiCEE+bag7fCCNDSVEuSVFUNDYyMjUwODMuSVFfQ0RTX01JRC4wNC8wOS8yNgEAAABWRAYAAgAAAAUzMy4wNQDDQU+YaQ7fCKdeT5tqDt8II0NJUS5JUVQ0NjIwMzcxNC5JUV9DRFNfTUlELjAzLzA5LzI2AQAAAF8FNQACAAAABzMzLjgyMDkAtd9OmGkO3wgWelObag7fCCNDSVEuSVFUNzk2Mzk5NTMuSVFfQ0RTX01JRC4wMy8wOS8yNgEAAAA0m1YBAgAAAAYyMC4wMDMAhBpPmGkO3wgoyVObag7fCCRDSVEuSVFUNTI4OTM2ODEyLklRX0NEU19NSUQuMDMvMDkvMjYBAAAAbFsGAAIAAAAHNDQuNTMzMQDDQU+YaQ7fCPvvU5tqDt8II0NJUS5JUVQ0NjE5NzEzOC5JUV9DRFNfTUlELjAy</t>
  </si>
  <si>
    <t>LzA5LzI2AQAAAO6UOAECAAAACDExOC4yMzAyALXfTphpDt8INFRUm2oO3wgjQ0lRLklRVDUxMDIzNDgwLklRX0NEU19NSUQuMDIvMDkvMjYBAAAAwkXxAQIAAAAGNC42Mzc0AIQaT5hpDt8IBYFUm2oO3wgkQ0lRLklRVDI4NjA5NjEzMS5JUV9DRFNfTUlELjA2LzA5LzI2AQAAADvxBAACAAAABzUzLjY0MDkAw0FPmGkO3wjyElGbag7fCCNDSVEuSVFUNDYyMjA4MDMuSVFfQ0RTX01JRC4wNC8wOS8yNgEAAADWyTYAAgAAAAY0MC4zNzUAhBpPmGkO3wiCEE+bag7fCCNDSVEuSVFUNDYyMDAzNjQuSVFfQ0RTX01JRC4wNC8wOS8yNgEAAABXhggAAgAAAAcyMy4wNzg3AMNBT5hpDt8Ip15Pm2oO3wgjQ0lRLklRVDQ2MjA0MzAwLklRX0NEU19NSUQuMDMvMDkvMjYBAAAA9iV9AAIAAAADNi41ALXfTphpDt8IFnpTm2oO3wgjQ0lRLklRVDYwMzg4MDU3LklRX0NEU19NSUQuMDMvMDkvMjYBAAAA38l9AQMAAAAAAIQaT5hpDt8IKMlTm2oO3wgjQ0lRLklRVDQ2MTk5ODQxLklRX0NEU19NSUQuMDMvMDkvMjYBAAAA6zAGAAMAAAAAAMNBT5hpDt8I7RZUm2oO3wgkQ0lRLklRVDMxMzMxMDE4NC5JUV9DRFNfTUlELjAyLzA5LzI2AQAAAGBEPgACAAAABzEwLjgwMzQAtd9OmGkO3wg0VFSbag7fCCNDSVEuSVFUNDYyMTQ4NzkuSVFfQ0RTX01JRC4wMi8wOS8yNgEAAAD1GjcAAgAAAAc1MC40NDQ4AIQaT5hpDt8IBYFUm2oO</t>
  </si>
  <si>
    <t>3wgjQ0lRLklRVDQ2NDcwODc3LklRX0NEU19NSUQuMDIvMDkvMjYBAAAAQjcHAAIAAAAHNTUuMjcyNADDQU+YaQ7fCDPPVJtqDt8IJENJUS5JUVQzMTMzMTA4NTQuSVFfQ0RTX01JRC4wMi8wOS8yNgEAAACvVA0AAgAAAAQ2MS41ABpxA5hpDt8IEB5Vm2oO3wgjQ0lRLklRVDQ2MjE0OTU0LklRX0NEU19NSUQuMjkvMDgvMjYBAAAAOj05AQIAAAAHMTQuMDQxNwCEGk+YaQ7fCB0rWptqDt8II0NJUS5JUVQ0NjIwODYzNC5JUV9DRFNfTUlELjI5LzA4LzI2AQAAAAMfwgACAAAABzIxLjcwODMAhBpPmGkO3wjPgFqbag7fCCNDSVEuSVFUNDYyMjUwODMuSVFfQ0RTX01JRC4yOS8wOC8yNgEAAABWRAYAAgAAAAczMy4wODMzAMNBT5hpDt8IPdRam2oO3wgjQ0lRLklRVDQ2MjAzNzE0LklRX0NEU19NSUQuMjgvMDgvMjYBAAAAXwU1AAIAAAAHMzIuNjY2NwC1306YaQ7fCMEhW5tqDt8II0NJUS5JUVQ3OTYzOTk1My5JUV9DRFNfTUlELjI4LzA4LzI2AQAAADSbVgECAAAABzE5Ljk4OTMAhBpPmGkO3wggSVubag7fCCRDSVEuSVFUNTI4OTM2ODEyLklRX0NEU19NSUQuMjgvMDgvMjYBAAAAbFsGAAIAAAAGNDQuMTQxAMNBT5hpDt8I8ZZbm2oO3wgjQ0lRLklRVDc5NjQwMDI0LklRX0NEU19NSUQuMDEvMDkvMjYBAAAANY+bAQIAAAAGNy44MzMzAIQaT5hpDt8IEkVVm2oO3wgkQ0lRLklRVDMxMzMwNTg3OS5JUV9DRFNf</t>
  </si>
  <si>
    <t>TUlELjAxLzA5LzI2AQAAAITW3AECAAAABjIuMjkzOQCEGk+YaQ7fCEeTVZtqDt8II0NJUS5JUVQ0NjIwMDQxMi5JUV9DRFNfTUlELjAxLzA5LzI2AQAAAGNDBgACAAAABzQ0LjM5ODkAw0FPmGkO3wg/51Wbag7fCCNDSVEuSVFUNDYyMDMzMzIuSVFfQ0RTX01JRC4zMC8wOC8yNgEAAABfHjcAAgAAAAcxMC43NTA0ALXfTphpDt8IhDVXm2oO3wgjQ0lRLklRVDQ2MjE1MTExLklRX0NEU19NSUQuMzAvMDgvMjYBAAAAoEuyAQIAAAAHMzUuMTA3OACEGk+YaQ7fCN2EV5tqDt8II0NJUS5JUVQ0NjIyNjEzMi5JUV9DRFNfTUlELjMwLzA4LzI2AQAAAN1ZAAACAAAABzQzLjYwNzEAw0FPmGkO3wh/+Vebag7fCCRDSVEuSVFUMzEzMzEzNTI0LklRX0NEU19NSUQuMzAvMDgvMjYBAAAA71UNAAIAAAAHNTkuMzk1NgAacQOYaQ7fCHtKWJtqDt8II0NJUS5JUVQ0NjIwNjc3OS5JUV9DRFNfTUlELjAxLzA5LzI2AQAAAPzvNgACAAAABDE1LjUAhBpPmGkO3wgebFWbag7fCCNDSVEuSVFUNDYyMTQ5NTQuSVFfQ0RTX01JRC4wMy8wOS8yNgEAAAA6PTkBAgAAAAYxNC4xMjUAhBpPmGkO3whEolObag7fCCNDSVEuSVFUNDYxOTcxMzguSVFfQ0RTX01JRC4yOS8wOC8yNgEAAADulDgBAgAAAAgxMjAuMzk4NgC1306YaQ7fCKj/WZtqDt8IJENJUS5JUVQyODYwOTYxMzEuSVFfQ0RTX01JRC4wMi8wOS8yNgEAAAA78QQAAgAAAAc1</t>
  </si>
  <si>
    <t>My45NTg0AMNBT5hpDt8I8PZUm2oO3wgjQ0lRLklRVDc5NjM5OTUzLklRX0NEU19NSUQuMzEvMDgvMjYBAAAANJtWAQIAAAAHMTkuOTgyMwCEGk+YaQ7fCLODVptqDt8II0NJUS5JUVQ1MTAyMzQ4MC5JUV9DRFNfTUlELjI3LzA4LzI2AQAAAMJF8QECAAAABjQuODE2NwCEGk+YaQ7fCNoOXJtqDt8IJENJUS5JUVQyODYwOTYxMzEuSVFfQ0RTX01JRC4zMS8wOC8yNgEAAAA78QQAAgAAAAU1Mi44OADDQU+YaQ7fCGTSVptqDt8II0NJUS5JUVQ0NjIyNTM3NC5JUV9DRFNfTUlELjA2LzA5LzI2AQAAALXWBQACAAAABzM1LjY1NjcAw0FPmGkO3wjyElGbag7fCCNDSVEuSVFUNDYyMTg2NzQuSVFfQ0RTX01JRC4wNC8wOS8yNgEAAABXyjYAAgAAAAgxMTQuNzIxMQCEGk+YaQ7fCIIQT5tqDt8II0NJUS5JUVQ0NjIyNTcxNS5JUV9DRFNfTUlELjA0LzA5LzI2AQAAALflBAACAAAABzM5LjM5OTcAw0FPmGkO3winXk+bag7fCCNDSVEuSVFUNDYyMDQ4ODQuSVFfQ0RTX01JRC4wMy8wOS8yNgEAAACBUcABAgAAAAcyOC44ODA4ALXfTphpDt8IRKJTm2oO3wgjQ0lRLklRVDQ2MjA3Nzg5LklRX0NEU19NSUQuMDMvMDkvMjYBAAAAKlijAQIAAAAHMjMuOTM4OQCEGk+YaQ7fCCjJU5tqDt8IJENJUS5JUVQyODYwOTYxMzEuSVFfQ0RTX01JRC4wMy8wOS8yNgEAAAA78QQAAgAAAAc1My44NjIyAMNBT5hpDt8I7RZUm2oO3wgj</t>
  </si>
  <si>
    <t>Q0lRLklRVDQ2MjEwNTYwLklRX0NEU19NSUQuMDIvMDkvMjYBAAAA9ho3AAIAAAAHNzkuODkzNgC1306YaQ7fCDRUVJtqDt8II0NJUS5JUVQ0NjIxOTkyMi5JUV9DRFNfTUlELjAyLzA5LzI2AQAAANZHOQECAAAABjUuNzk2NQCEGk+YaQ7fCAWBVJtqDt8II0NJUS5JUVQ0NjIwMDMxNy5JUV9DRFNfTUlELjAxLzA5LzI2AQAAAP5UDQACAAAABzYyLjg3MjIAGnEDmGkO3wg/51Wbag7fCCNDSVEuSVFUNDYyMDAyNzYuSVFfQ0RTX01JRC4yNy8wOC8yNgEAAACWd3wBAgAAAAcxOS44NzU4AIQaT5hpDt8I2g5cm2oO3wgjQ0lRLklRVDQ2MjIwODAzLklRX0NEU19NSUQuMDMvMDkvMjYBAAAA1sk2AAIAAAAHNDAuNDE3NQCEGk+YaQ7fCPvvU5tqDt8II0NJUS5JUVQ0NjIxNDg3OS5JUV9DRFNfTUlELjI5LzA4LzI2AQAAAPUaNwACAAAABzQ5Ljg4MjEAhBpPmGkO3wjJWVqbag7fCCNDSVEuSVFUNDYyMjYxMzIuSVFfQ0RTX01JRC4zMS8wOC8yNgEAAADdWQAAAgAAAAc0My40MjE3AMNBT5hpDt8IZNJWm2oO3wgjQ0lRLklRVDQ2MjE0ODc5LklRX0NEU19NSUQuMDEvMDkvMjYBAAAA9Ro3AAIAAAAFNTAuMjUAhBpPmGkO3wgebFWbag7fCCNDSVEuSVFUNDYyMDM3MTQuSVFfQ0RTX01JRC4zMS8wOC8yNgEAAABfBTUAAgAAAAczMi44MjY5ALXfTphpDt8IiDVWm2oO3wgkQ0lRLklRVDMyMzY4MDEzMC5JUV9DRFNfTUlE</t>
  </si>
  <si>
    <t>LjAxLzA5LzI2AQAAAHHhAgACAAAABzUwLjU0NzgAw0FPmGkO3wgLwVWbag7fCCNDSVEuSVFUNDYyMTA1NjAuSVFfQ0RTX01JRC4yNy8wOC8yNgEAAAD2GjcAAgAAAAc3Ny4yMDE2ALXfTphpDt8I8dVbm2oO3wgkQ0lRLklRVDI2MzIxMzEzMi5JUV9DRFNfTUlELjA2LzA5LzI2AQAAAOGaCAACAAAABzUxLjY0NjIAw0FPmGkO3wjyElGbag7fCCNDSVEuSVFUNDYxOTc2OTQuSVFfQ0RTX01JRC4wNC8wOS8yNgEAAAAH+gUAAgAAAAc1MC41MjM1AIQaT5hpDt8IghBPm2oO3wgjQ0lRLklRVDYyMjcwMTA3LklRX0NEU19NSUQuMDQvMDkvMjYBAAAAFVkAAAIAAAAHNDAuNjQxNwDDQU+YaQ7fCKdeT5tqDt8II0NJUS5JUVQ0NjIwNzMwOC5JUV9DRFNfTUlELjAzLzA5LzI2AQAAADmJegECAAAABzE0LjE2NjcAtd9OmGkO3whEolObag7fCCNDSVEuSVFUNDYyMTAwMzIuSVFfQ0RTX01JRC4wMy8wOS8yNgEAAACPVaMBAgAAAAczMy4yMzc1AIQaT5hpDt8IKMlTm2oO3wgjQ0lRLklRVDQ2MjI1Mzc0LklRX0NEU19NSUQuMDMvMDkvMjYBAAAAtdYFAAIAAAAHMzYuMDY4MQDDQU+YaQ7fCO0WVJtqDt8II0NJUS5JUVQ0OTc1MTE5Ni5JUV9DRFNfTUlELjAyLzA5LzI2AQAAAM2ZvQACAAAABzM1LjYxNzEAtd9OmGkO3wg0VFSbag7fCCNDSVEuSVFUNjAzODk1MTYuSVFfQ0RTX01JRC4wMi8wOS8yNgEAAACl8MMBAgAAAAY3</t>
  </si>
  <si>
    <t>LjE2MjIAhBpPmGkO3wjiqFSbag7fCCRDSVEuSVFUMzIzNjgwMTMwLklRX0NEU19NSUQuMDIvMDkvMjYBAAAAceECAAIAAAAHNTAuNTA2OQDDQU+YaQ7fCDPPVJtqDt8IJENJUS5JUVQzMTMzMTU0MjkuSVFfQ0RTX01JRC4wMi8wOS8yNgEAAAA55wUAAgAAAAc2MC4zMzMzABpxA5hpDt8IEB5Vm2oO3wgjQ0lRLklRVDQ2MjA2Nzc5LklRX0NEU19NSUQuMjkvMDgvMjYBAAAA/O82AAIAAAAHMTUuNzMzNwCEGk+YaQ7fCMlZWptqDt8II0NJUS5JUVQ0NjIxODY3NC5JUV9DRFNfTUlELjI5LzA4LzI2AQAAAFfKNgACAAAACDExNC44MDkzAIQaT5hpDt8IeKxam2oO3wgjQ0lRLklRVDQ2MjI1NzE1LklRX0NEU19NSUQuMjkvMDgvMjYBAAAAt+UEAAIAAAAHMzkuMjkzOQDDQU+YaQ7fCD3UWptqDt8II0NJUS5JUVQ0NjIwNDg4NC5JUV9DRFNfTUlELjI4LzA4LzI2AQAAAIFRwAECAAAABzI4LjkxNjcAtd9OmGkO3wjBIVubag7fCCNDSVEuSVFUNDYyMDc3ODkuSVFfQ0RTX01JRC4yOC8wOC8yNgEAAAAqWKMBAgAAAAcyNS4yNjE1AIQaT5hpDt8IIElbm2oO3wgkQ0lRLklRVDI4NjA5NjEzMS5JUV9DRFNfTUlELjI4LzA4LzI2AQAAADvxBAACAAAABTUyLjc1AMNBT5hpDt8I8ZZbm2oO3wgjQ0lRLklRVDQ2MjE4NTE2LklRX0NEU19NSUQuMDEvMDkvMjYBAAAAplWjAQIAAAAHMzUuNDUxOACEGk+YaQ7fCBJFVZtqDt8I</t>
  </si>
  <si>
    <t>I0NJUS5JUVQ0NjIyMDgwMy5JUV9DRFNfTUlELjAxLzA5LzI2AQAAANbJNgACAAAABzQwLjMzMzMAhBpPmGkO3whHk1Wbag7fCCNDSVEuSVFUNDYyMDAzNjQuSVFfQ0RTX01JRC4wMS8wOS8yNgEAAABXhggAAgAAAAUyMy40NwDDQU+YaQ7fCD/nVZtqDt8II0NJUS5JUVQ0NjIwNDMwMC5JUV9DRFNfTUlELjMwLzA4LzI2AQAAAPYlfQACAAAABjcuNDk2MwC1306YaQ7fCIQ1V5tqDt8II0NJUS5JUVQ2MDM4ODA1Ny5JUV9DRFNfTUlELjMwLzA4LzI2AQAAAN/JfQEDAAAAAACEGk+YaQ7fCN2EV5tqDt8II0NJUS5JUVQ0NjE5OTg0MS5JUV9DRFNfTUlELjMwLzA4LzI2AQAAAOswBgADAAAAAADDQU+YaQ7fCH/5V5tqDt8IJENJUS5JUVQzMTMzMTAxODQuSVFfQ0RTX01JRC4zMS8wOC8yNgEAAABgRD4AAgAAAAcxMC43OTQ0ALXfTphpDt8I+g5Wm2oO3wgjQ0lRLklRVDQ2MjE0ODc5LklRX0NEU19NSUQuMzEvMDgvMjYBAAAA9Ro3AAIAAAAHNDkuNzYyMgCEGk+YaQ7fCLODVptqDt8II0NJUS5JUVQ0NjQ3MDg3Ny5JUV9DRFNfTUlELjMxLzA4LzI2AQAAAEI3BwACAAAABzU1LjY2NjcAw0FPmGkO3whk0labag7fCCRDSVEuSVFUMzEzMzEwODU0LklRX0NEU19NSUQuMzEvMDgvMjYBAAAAr1QNAAIAAAAENTkuNQAacQOYaQ7fCGD5VptqDt8II0NJUS5JUVQ0NjIxNDk1NC5JUV9DRFNfTUlELjI3LzA4LzI2AQAAADo9</t>
  </si>
  <si>
    <t>OQECAAAABzE0LjA4MzMAhBpPmGkO3wjaDlybag7fCCNDSVEuSVFUNDYyMDg2MzQuSVFfQ0RTX01JRC4yNy8wOC8yNgEAAAADH8IAAgAAAAcyMS42MTcyAIQaT5hpDt8IZzxcm2oO3wgjQ0lRLklRVDQ2MjI1MDgzLklRX0NEU19NSUQuMjcvMDgvMjYBAAAAVkQGAAIAAAAGMzMuMzc1AMNBT5hpDt8IZzxcm2oO3wgjQ0lRLklRVDc5NjM0OTAxLklRX0NEU19NSUQuMDQvMDkvMjYBAAAAnAYQAAIAAAAHNTQuMDY1OQDDQU+YaQ7fCKdeT5tqDt8II0NJUS5JUVQ0NjE5NzY5NC5JUV9DRFNfTUlELjI3LzA4LzI2AQAAAAf6BQACAAAABzUxLjA2MzcAw0FPmGkO3whnPFybag7fCCNDSVEuSVFUNzk2Mzk5MTMuSVFfQ0RTX01JRC4wMS8wOS8yNgEAAAAgYxwCAgAAAAY3LjkxNzgAhBpPmGkO3wgebFWbag7fCCNDSVEuSVFUNDYxOTU0OTEuSVFfQ0RTX01JRC4yNy8wOC8yNgEAAABpSgAAAgAAAAc1My4yOTEyAMNBT5hpDt8IZzxcm2oO3wgjQ0lRLklRVDQ2MjAwMzY0LklRX0NEU19NSUQuMDMvMDkvMjYBAAAAV4YIAAIAAAAEMjMuNwDDQU+YaQ7fCNYrVJtqDt8II0NJUS5JUVQ0NjIxNDk1NC5JUV9DRFNfTUlELjI4LzA4LzI2AQAAADo9OQECAAAABzE0LjA0MTcAhBpPmGkO3wjBIVubag7fCCNDSVEuSVFUNTEwMjM0ODAuSVFfQ0RTX01JRC4wMS8wOS8yNgEAAADCRfEBAgAAAAY0LjY1OTEAhBpPmGkO3wgebFWbag7f</t>
  </si>
  <si>
    <t>CCNDSVEuSVFUNjIyNzAxMDYuSVFfQ0RTX01JRC4wMS8wOS8yNgEAAACtd4MAAgAAAAc3NS41NDA1ABpxA5hpDt8IP+dVm2oO3wgjQ0lRLklRVDQ2MjAwNDEyLklRX0NEU19NSUQuMzAvMDgvMjYBAAAAY0MGAAIAAAAENDMuOADDQU+YaQ7fCHQgWJtqDt8II0NJUS5JUVQ0NjIxNTExMS5JUV9DRFNfTUlELjMxLzA4LzI2AQAAAKBLsgECAAAABzM1LjE5MzkAhBpPmGkO3wizg1abag7fCCNDSVEuSVFUNzk2Mzk5MTMuSVFfQ0RTX01JRC4yNy8wOC8yNgEAAAAgYxwCAgAAAAY4LjAxMzMAhBpPmGkO3wjaDlybag7fCCNDSVEuSVFUNDYyMTA1NjAuSVFfQ0RTX01JRC4yOS8wOC8yNgEAAAD2GjcAAgAAAAY3Ny45OTIAtd9OmGkO3wio/1mbag7fCCNDSVEuSVFUNDYyMjA4MDMuSVFfQ0RTX01JRC4yOC8wOC8yNgEAAADWyTYAAgAAAAc0MC4xNjY3AIQaT5hpDt8Izm9bm2oO3wgjQ0lRLklRVDQ2MjE5OTIyLklRX0NEU19NSUQuMjcvMDgvMjYBAAAA1kc5AQIAAAAGNS41MDU4AIQaT5hpDt8I2g5cm2oO3wgjQ0lRLklRVDQ2MjI1Mzc0LklRX0NEU19NSUQuMzEvMDgvMjYBAAAAtdYFAAIAAAAHMzUuMzMyNQDDQU+YaQ7fCGTSVptqDt8IJENJUS5JUVQyNTQ5NTUyMzMuSVFfQ0RTX01JRC4wNi8wOS8yNgEAAAA5VgoAAgAAAAczOC43MTUyAMNBT5hpDt8I8hJRm2oO3wgjQ0lRLklRVDQ2MTk1NDkxLklRX0NEU19NSUQu</t>
  </si>
  <si>
    <t>MDQvMDkvMjYBAAAAaUoAAAIAAAAHNTIuMTE1OQDDQU+YaQ7fCIIQT5tqDt8II0NJUS5JUVQ0NjIwNzU3MS5JUV9DRFNfTUlELjAzLzA5LzI2AQAAAG3vNQACAAAABzMxLjI5MjMAtd9OmGkO3whEolObag7fCCNDSVEuSVFUNDYyMTM0NzIuSVFfQ0RTX01JRC4wMy8wOS8yNgEAAAC5WjgAAgAAAAcxNS4wOTg1AIQaT5hpDt8IKMlTm2oO3wgkQ0lRLklRVDI2MzIxMzEzMi5JUV9DRFNfTUlELjAzLzA5LzI2AQAAAOGaCAACAAAABzUxLjg0ODQAw0FPmGkO3wjtFlSbag7fCCNDSVEuSVFUNDYxOTQ5OTUuSVFfQ0RTX01JRC4wMi8wOS8yNgEAAABuEDEAAgAAAAcxMS4xOTU4ALXfTphpDt8INFRUm2oO3wgjQ0lRLklRVDQ2MjIyMjkyLklRX0NEU19NSUQuMDIvMDkvMjYBAAAA0ZGbAQIAAAAINzY5LjAyMjQAhBpPmGkO3wjiqFSbag7fCCNDSVEuSVFUNDYyMjUwMDYuSVFfQ0RTX01JRC4wMi8wOS8yNgEAAAD4VQ0AAgAAAAc0Mi40MjQzAMNBT5hpDt8IM89Um2oO3wgjQ0lRLklRVDQ2MjIwMzI5LklRX0NEU19NSUQuMDIvMDkvMjYBAAAA21sAAAIAAAAENTcuNQAacQOYaQ7fCBAeVZtqDt8II0NJUS5JUVQ0NjI2MjM3OC5JUV9DRFNfTUlELjI5LzA4LzI2AQAAAEDSiQECAAAABzE4LjA0MjMAhBpPmGkO3wjJWVqbag7fCCNDSVEuSVFUNDYxOTc2OTQuSVFfQ0RTX01JRC4yOS8wOC8yNgEAAAAH+gUAAgAAAAc1MS4w</t>
  </si>
  <si>
    <t>MjYxAMNBT5hpDt8IeKxam2oO3wgjQ0lRLklRVDYyMjcwMTA3LklRX0NEU19NSUQuMjkvMDgvMjYBAAAAFVkAAAIAAAAHNDEuNjM3NgDDQU+YaQ7fCD3UWptqDt8II0NJUS5JUVQ0NjIwODYzNC5JUV9DRFNfTUlELjAzLzA5LzI2AQAAAAMfwgACAAAABjIxLjYyNQCEGk+YaQ7fCCjJU5tqDt8II0NJUS5JUVQ3OTY0MDAyNC5JUV9DRFNfTUlELjI4LzA4LzI2AQAAADWPmwECAAAABjcuODQ3MwCEGk+YaQ7fCMEhW5tqDt8II0NJUS5JUVQ1MTAyMzI2MC5JUV9DRFNfTUlELjMxLzA4LzI2AQAAALERfwECAAAABzE0LjE4ODQAhBpPmGkO3wizg1abag7fCCNDSVEuSVFUNDYxOTcxMzguSVFfQ0RTX01JRC4wMS8wOS8yNgEAAADulDgBAgAAAAgxMjAuOTkyNAC1306YaQ7fCBAeVZtqDt8IJENJUS5JUVQzMTMzMTM1MjQuSVFfQ0RTX01JRC4zMS8wOC8yNgEAAADvVQ0AAgAAAAc1OC45MjgyABpxA5hpDt8IdiBXm2oO3wgjQ0lRLklRVDQ2MjE5OTIyLklRX0NEU19NSUQuMjkvMDgvMjYBAAAA1kc5AQIAAAAGNS40ODg4AIQaT5hpDt8IyVlam2oO3wgjQ0lRLklRVDQ5NzUxMTk2LklRX0NEU19NSUQuMjcvMDgvMjYBAAAAzZm9AAIAAAAHMzYuNzMwNwC1306YaQ7fCPHVW5tqDt8II0NJUS5JUVQ0NjIwMDQxMi5JUV9DRFNfTUlELjA2LzA5LzI2AQAAAGNDBgACAAAABzQzLjk2MTkAw0FPmGkO3wjyElGbag7fCCNDSVEu</t>
  </si>
  <si>
    <t>SVFUNDYyMDc4NzIuSVFfQ0RTX01JRC4wNC8wOS8yNgEAAABYDQoAAgAAAAYzNy4zOTcAw0FPmGkO3wiYN0+bag7fCCNDSVEuSVFUNDYyMDAzMTcuSVFfQ0RTX01JRC4wNC8wOS8yNgEAAAD+VA0AAgAAAAc2Mi4wNjk1ABpxA5hpDt8I1IVPm2oO3wgkQ0lRLklRVDY0NDcwMTc5Ny5JUV9DRFNfTUlELjAzLzA5LzI2AQAAAFM/fQECAAAABzEwLjAyMDcAtd9OmGkO3whEolObag7fCCNDSVEuSVFUNDYyMTY5ODYuSVFfQ0RTX01JRC4wMy8wOS8yNgEAAADORDgBAwAAAAAAhBpPmGkO3wgoyVObag7fCCRDSVEuSVFUMjU0OTU1MjMzLklRX0NEU19NSUQuMDMvMDkvMjYBAAAAOVYKAAIAAAAHMzguODU5OADDQU+YaQ7fCO0WVJtqDt8II0NJUS5JUVQ0NjE5NjIyNS5JUV9DRFNfTUlELjAyLzA5LzI2AQAAAL5VowECAAAABDE3LjUAtd9OmGkO3wg0VFSbag7fCCNDSVEuSVFUNTEwMjMyNjAuSVFfQ0RTX01JRC4wMi8wOS8yNgEAAACxEX8BAgAAAAcxNC4xOTc0AIQaT5hpDt8I4qhUm2oO3wgjQ0lRLklRVDQ2MjI0NzQwLklRX0NEU19NSUQuMDIvMDkvMjYBAAAA03IIAAIAAAAHMzYuNzY4NADDQU+YaQ7fCDPPVJtqDt8IJENJUS5JUVQzMTMzMTczNDQuSVFfQ0RTX01JRC4wMi8wOS8yNgEAAADxrAEAAgAAAAc2MC40NjI4ABpxA5hpDt8IEB5Vm2oO3wgjQ0lRLklRVDQ2MjAwMjc2LklRX0NEU19NSUQuMjkvMDgvMjYB</t>
  </si>
  <si>
    <t>AAAAlnd8AQIAAAAGMTkuNzUyAIQaT5hpDt8IyVlam2oO3wgjQ0lRLklRVDQ2MTk1NDkxLklRX0NEU19NSUQuMjkvMDgvMjYBAAAAaUoAAAIAAAAHNTMuMDc0NwDDQU+YaQ7fCHisWptqDt8II0NJUS5JUVQ3OTYzNDkwMS5JUV9DRFNfTUlELjI5LzA4LzI2AQAAAJwGEAACAAAABzUzLjk3MTkAw0FPmGkO3wg91Fqbag7fCCNDSVEuSVFUNDYyMDc1NzEuSVFfQ0RTX01JRC4yOC8wOC8yNgEAAABt7zUAAgAAAAUzMC43NQC1306YaQ7fCMEhW5tqDt8II0NJUS5JUVQ0NjIxMzQ3Mi5JUV9DRFNfTUlELjI4LzA4LzI2AQAAALlaOAACAAAABDE1LjUAhBpPmGkO3wjOb1ubag7fCCRDSVEuSVFUMjYzMjEzMTMyLklRX0NEU19NSUQuMjgvMDgvMjYBAAAA4ZoIAAIAAAACNTEAw0FPmGkO3wjxllubag7fCCNDSVEuSVFUNDYyNjIzNzguSVFfQ0RTX01JRC4wMS8wOS8yNgEAAABA0okBAgAAAAcxNy45Njg4AIQaT5hpDt8IHmxVm2oO3wgjQ0lRLklRVDQ2MTk3Njk0LklRX0NEU19NSUQuMDEvMDkvMjYBAAAAB/oFAAIAAAAHNTEuOTgxOACEGk+YaQ7fCEeTVZtqDt8II0NJUS5JUVQ2MjI3MDEwNy5JUV9DRFNfTUlELjAxLzA5LzI2AQAAABVZAAACAAAABzQwLjU5MjcAw0FPmGkO3wg/51Wbag7fCCNDSVEuSVFUNDYyMDczMDguSVFfQ0RTX01JRC4zMC8wOC8yNgEAAAA5iXoBAgAAAAYxNC4zMTQAtd9OmGkO3wiENVebag7f</t>
  </si>
  <si>
    <t>CCNDSVEuSVFUNDYyMTAwMzIuSVFfQ0RTX01JRC4zMC8wOC8yNgEAAACPVaMBAgAAAAUzMy4zNQCEGk+YaQ7fCN2EV5tqDt8II0NJUS5JUVQ0NjIyNTM3NC5JUV9DRFNfTUlELjMwLzA4LzI2AQAAALXWBQACAAAABzM1LjEwODgAw0FPmGkO3wh/+Vebag7fCCNDSVEuSVFUNDk3NTExOTYuSVFfQ0RTX01JRC4zMS8wOC8yNgEAAADNmb0AAgAAAAczNi42NDEyALXfTphpDt8IiDVWm2oO3wgjQ0lRLklRVDYwMzg5NTE2LklRX0NEU19NSUQuMzEvMDgvMjYBAAAApfDDAQIAAAAGNy4xNjM5AIQaT5hpDt8Is4NWm2oO3wgkQ0lRLklRVDMyMzY4MDEzMC5JUV9DRFNfTUlELjMxLzA4LzI2AQAAAHHhAgACAAAABzQ5LjQ1NDkAw0FPmGkO3whk0labag7fCCRDSVEuSVFUMzEzMzE1NDI5LklRX0NEU19NSUQuMzEvMDgvMjYBAAAAOecFAAIAAAAHNTkuODYzNgAacQOYaQ7fCGD5VptqDt8II0NJUS5JUVQ0NjIwNjc3OS5JUV9DRFNfTUlELjI3LzA4LzI2AQAAAPzvNgACAAAABjE1LjcwMQCEGk+YaQ7fCNoOXJtqDt8II0NJUS5JUVQ0NjIxODY3NC5JUV9DRFNfTUlELjI3LzA4LzI2AQAAAFfKNgACAAAACDExNS44OTEzAIQaT5hpDt8IZzxcm2oO3wgjQ0lRLklRVDQ2MjI1NzE1LklRX0NEU19NSUQuMjcvMDgvMjYBAAAAt+UEAAIAAAAHMzkuNzc1MwDDQU+YaQ7fCGc8XJtqDt8II0NJUS5JUVQ3OTY0MDAyNC5JUV9DRFNf</t>
  </si>
  <si>
    <t>TUlELjAzLzA5LzI2AQAAADWPmwECAAAAATgAhBpPmGkO3whEolObag7fCCRDSVEuSVFUMzEzMzA1ODc5LklRX0NEU19NSUQuMDMvMDkvMjYBAAAAhNbcAQIAAAAGMi4yOTM5AIQaT5hpDt8IKMlTm2oO3wgkQ0lRLklRVDMxMzMwNTg3OS5JUV9DRFNfTUlELjA2LzA5LzI2AQAAAITW3AECAAAABjIuMjkzOQCEGk+YaQ7fCPISUZtqDt8IJENJUS5JUVQyNTQ5NTUyMzMuSVFfQ0RTX01JRC4wNS8wOS8yNgEAAAA5VgoAAgAAAAczOC43MTUyAMNBT5hpDt8IWXROm2oO3wgjQ0lRLklRVDQ2MjE2OTg2LklRX0NEU19NSUQuMDYvMDkvMjYBAAAAzkQ4AQMAAAAAAIQaT5hpDt8I8hJRm2oO3wgjQ0lRLklRVDQ2MjA4NjM0LklRX0NEU19NSUQuMDYvMDkvMjYBAAAAAx/CAAIAAAAHMjEuNTI4NQCEGk+YaQ7fCPISUZtqDt8II0NJUS5JUVQ0NjIwMDQxMi5JUV9DRFNfTUlELjA1LzA5LzI2AQAAAGNDBgACAAAABzQzLjk2MTkAw0FPmGkO3whZdE6bag7fCCNDSVEuSVFUNDYyMTM0NzIuSVFfQ0RTX01JRC4wNi8wOS8yNgEAAAC5WjgAAgAAAAYxNS4wMjUAhBpPmGkO3wjyElGbag7fCCNDSVEuSVFUNDYyMjUwODMuSVFfQ0RTX01JRC4wNi8wOS8yNgEAAABWRAYAAgAAAAUzMy4wNQDDQU+YaQ7fCPISUZtqDt8IJENJUS5JUVQyNjMyMTMxMzIuSVFfQ0RTX01JRC4wNS8wOS8yNgEAAADhmggAAgAAAAc1MS42NDYyAMNBT5hp</t>
  </si>
  <si>
    <t>Dt8IWXROm2oO3wgjQ0lRLklRVDQ2MjIwODAzLklRX0NEU19NSUQuMDYvMDkvMjYBAAAA1sk2AAIAAAAGNDAuMzc1AIQaT5hpDt8I8hJRm2oO3wgjQ0lRLklRVDQ2MjAwMzY0LklRX0NEU19NSUQuMDYvMDkvMjYBAAAAV4YIAAIAAAAHMjMuMDc4NwDDQU+YaQ7fCPISUZtqDt8II0NJUS5JUVQ0NjIyNTA4My5JUV9DRFNfTUlELjA1LzA5LzI2AQAAAFZEBgACAAAABTMzLjA1AMNBT5hpDt8IWXROm2oO3wgjQ0lRLklRVDQ2MjA0OTU3LklRX0NEU19NSUQuMjcvMDgvMjYBAAAAIRUGAAIAAAAHNTIuNzU5MwDDQU+YaQ7fCGc8XJtqDt8II0NJUS5JUVQ0NjIxODY3NC5JUV9DRFNfTUlELjA2LzA5LzI2AQAAAFfKNgACAAAACDExNC43MjExAIQaT5hpDt8I8hJRm2oO3wgjQ0lRLklRVDQ2MjI1NzE1LklRX0NEU19NSUQuMDYvMDkvMjYBAAAAt+UEAAIAAAAHMzkuMzk5NwDDQU+YaQ7fCPISUZtqDt8II0NJUS5JUVQ0NjIwMDM2NC5JUV9DRFNfTUlELjA1LzA5LzI2AQAAAFeGCAACAAAABzIzLjA3ODcAw0FPmGkO3whZdE6bag7fCCRDSVEuSVFUMzEzMzEwMTg0LklRX0NEU19NSUQuMjcvMDgvMjYBAAAAYEQ+AAIAAAAHMTAuODQ0MgC1306YaQ7fCPHVW5tqDt8II0NJUS5JUVQ0NjIxNDg3OS5JUV9DRFNfTUlELjI3LzA4LzI2AQAAAPUaNwACAAAABzQ5Ljg3NzcAhBpPmGkO3wjaDlybag7fCCNDSVEuSVFUNDY0NzA4</t>
  </si>
  <si>
    <t>NzcuSVFfQ0RTX01JRC4yNy8wOC8yNgEAAABCNwcAAgAAAAc1NC44Nzk3AMNBT5hpDt8IZzxcm2oO3wgjQ0lRLklRVDQ2MTk3Njk0LklRX0NEU19NSUQuMDYvMDkvMjYBAAAAB/oFAAIAAAAHNTAuNTIzNQCEGk+YaQ7fCPISUZtqDt8II0NJUS5JUVQ2MjI3MDEwNy5JUV9DRFNfTUlELjA2LzA5LzI2AQAAABVZAAACAAAABzQwLjY0MTcAw0FPmGkO3wjyElGbag7fCCNDSVEuSVFUNDYxOTU0OTEuSVFfQ0RTX01JRC4wNi8wOS8yNgEAAABpSgAAAgAAAAc1Mi4xMTU5AMNBT5hpDt8I8hJRm2oO3wgjQ0lRLklRVDc5NjM0OTAxLklRX0NEU19NSUQuMDYvMDkvMjYBAAAAnAYQAAIAAAAHNTQuMDY1OQDDQU+YaQ7fCPISUZtqDt8II0NJUS5JUVQ0NjE5OTg0MS5JUV9DRFNfTUlELjA1LzA5LzI2AQAAAOswBgADAAAAAADDQU+YaQ7fCFl0TptqDt8II0NJUS5JUVQ0NjIwNzg3Mi5JUV9DRFNfTUlELjA2LzA5LzI2AQAAAFgNCgACAAAABjM3LjM5NwDDQU+YaQ7fCPISUZtqDt8II0NJUS5JUVQ0NjIwMDMxNy5JUV9DRFNfTUlELjA2LzA5LzI2AQAAAP5UDQACAAAABzYyLjA2OTUAGnEDmGkO3wjyElGbag7fCCNDSVEuSVFUNDYxOTQ5OTUuSVFfQ0RTX01JRC4yNy8wOC8yNgEAAABuEDEAAgAAAAcxMS4xNjk4ALXfTphpDt8I8dVbm2oO3wgjQ0lRLklRVDQ2MjIyMjkyLklRX0NEU19NSUQuMjcvMDgvMjYBAAAA0ZGbAQIA</t>
  </si>
  <si>
    <t>AAAHNzY2LjU1MQCEGk+YaQ7fCPg1XJtqDt8II0NJUS5JUVQ0NjIyNTAwNi5JUV9DRFNfTUlELjI3LzA4LzI2AQAAAPhVDQACAAAABzQwLjcxMTEAw0FPmGkO3whnPFybag7fCCNDSVEuSVFUNDYyMDQ5NTcuSVFfQ0RTX01JRC4wNi8wOS8yNgEAAAAhFQYAAgAAAAc1Mi4yMzI4AMNBT5hpDt8I8hJRm2oO3wgjQ0lRLklRVDYyMjcwMTA2LklRX0NEU19NSUQuMDYvMDkvMjYBAAAArXeDAAIAAAAHNzMuMjIzNgAacQOYaQ7fCPISUZtqDt8II0NJUS5JUVQ0NjE5NjIyNS5JUV9DRFNfTUlELjI3LzA4LzI2AQAAAL5VowECAAAABzE3LjQxNjcAtd9OmGkO3wjx1Vubag7fCCNDSVEuSVFUNDY0NzA4NzcuSVFfQ0RTX01JRC4wNi8wOS8yNgEAAABCNwcAAgAAAAc1NC42NTE5AMNBT5hpDt8I8hJRm2oO3wgkQ0lRLklRVDMxMzMxMDg1NC5JUV9DRFNfTUlELjA2LzA5LzI2AQAAAK9UDQACAAAABzYxLjMzMzMAGnEDmGkO3wjyElGbag7fCCNDSVEuSVFUNDYyMjM2NDYuSVFfQ0RTX01JRC4wNi8wOS8yNgEAAAAbeAQAAgAAAAc0NS44MTU0AMNBT5hpDt8I8hJRm2oO3wgkQ0lRLklRVDMxMzMxNDk3Ni5JUV9DRFNfTUlELjA2LzA5LzI2AQAAAG1KAAACAAAABzU0LjgxMDYAGnEDmGkO3wjyElGbag7fCCRDSVEuSVFUNTI4OTM2ODEyLklRX0NEU19NSUQuMDUvMDkvMjYBAAAAbFsGAAIAAAAHNDQuNDk1MgDDQU+YaQ7fCFl0</t>
  </si>
  <si>
    <t>TptqDt8II0NJUS5JUVQ2MDM4OTUxNi5JUV9DRFNfTUlELjA2LzA5LzI2AQAAAKXwwwECAAAABjcuMjI4OQCEGk+YaQ7fCPISUZtqDt8IJENJUS5JUVQzMjM2ODAxMzAuSVFfQ0RTX01JRC4wNi8wOS8yNgEAAABx4QIAAgAAAAc1MC45OTI4AMNBT5hpDt8I8hJRm2oO3wgjQ0lRLklRVDUxMDIzMjYwLklRX0NEU19NSUQuMDYvMDkvMjYBAAAAsRF/AQIAAAAHMTMuOTUzNgCEGk+YaQ7fCPISUZtqDt8II0NJUS5JUVQ0NjIyNDc0MC5JUV9DRFNfTUlELjA2LzA5LzI2AQAAANNyCAACAAAABzM2LjcxNzgAw0FPmGkO3wjyElGbag7fCCNDSVEuSVFUNDYyMjIyOTIuSVFfQ0RTX01JRC4wNi8wOS8yNgEAAADRkZsBAgAAAAg3NjguNzY1MQCEGk+YaQ7fCPISUZtqDt8II0NJUS5JUVQ0NjIyNTAwNi5JUV9DRFNfTUlELjA2LzA5LzI2AQAAAPhVDQACAAAABjQxLjkwNADDQU+YaQ7fCPISUZtqDt8II0NJUS5JUVQ2MDM4ODA1Ny5JUV9DRFNfTUlELjA2LzA5LzI2AQAAAN/JfQEDAAAAAACEGk+YaQ7fCPISUZtqDt8II0NJUS5JUVQ0NjIxMDAzMi5JUV9DRFNfTUlELjA2LzA5LzI2AQAAAI9VowECAAAABzMzLjMzMzMAhBpPmGkO3wjyElGbag7fCCRDSVEuSVFUMjg2MDk2MTMxLklRX0NEU19NSUQuMDUvMDkvMjYBAAAAO/EEAAIAAAAHNTMuNjQwOQDDQU+YaQ7fCFl0TptqDt8II0NJUS5JUVQ0NjIwNzc4OS5JUV9DRFNf</t>
  </si>
  <si>
    <t>TUlELjA2LzA5LzI2AQAAACpYowECAAAABzIzLjQyNTQAhBpPmGkO3wjyElGbag7fCCNDSVEuSVFUNDYyMTUxMTEuSVFfQ0RTX01JRC4wNi8wOS8yNgEAAACgS7IBAgAAAAczNC44OTM0AIQaT5hpDt8I8hJRm2oO3wgjQ0lRLklRVDQ2MjI2MTMyLklRX0NEU19NSUQuMDYvMDkvMjYBAAAA3VkAAAIAAAAHNDQuMTAzOQDDQU+YaQ7fCPISUZtqDt8II0NJUS5JUVQ3OTYzOTk1My5JUV9DRFNfTUlELjA2LzA5LzI2AQAAADSbVgECAAAABzE5Ljk4NTQAhBpPmGkO3wjyElGbag7fCCRDSVEuSVFUNTI4OTM2ODEyLklRX0NEU19NSUQuMDYvMDkvMjYBAAAAbFsGAAIAAAAHNDQuNDk1MgDDQU+YaQ7fCPISUZtqDt8II0NJUS5JUVQ0NjIxMDU2MC5JUV9DRFNfTUlELjA4LzA5LzI2AQAAAPYaNwACAAAABzc5LjQ3MjQAtd9OmGkO3wgAm0+bag7fCCNDSVEuSVFUNDYyMTk5MjIuSVFfQ0RTX01JRC4wOC8wOS8yNgEAAADWRzkBAgAAAAU1Ljg5OACEGk+YaQ7fCKHpT5tqDt8II0NJUS5JUVQ0NjIyMzY0Ni5JUV9DRFNfTUlELjA4LzA5LzI2AQAAABt4BAACAAAABjQ1Ljg3NQDDQU+YaQ7fCHERUJtqDt8IJENJUS5JUVQzMTMzMTQ5NzYuSVFfQ0RTX01JRC4wOC8wOS8yNgEAAABtSgAAAgAAAAc1NC44MDg1ABpxA5hpDt8IjV9Qm2oO3wgjQ0lRLklRVDQ2MjE4NTE2LklRX0NEU19NSUQuMDcvMDkvMjYBAAAAplWjAQIAAAAH</t>
  </si>
  <si>
    <t>MzUuMzM0MQCEGk+YaQ7fCPmsUJtqDt8II0NJUS5JUVQ0NjIyMDgwMy5JUV9DRFNfTUlELjA3LzA5LzI2AQAAANbJNgACAAAABzQwLjA4MzMAhBpPmGkO3wj5rFCbag7fCCNDSVEuSVFUNDYyMDAzNjQuSVFfQ0RTX01JRC4wNy8wOS8yNgEAAABXhggAAgAAAAYyMy44MjUAw0FPmGkO3wjyElGbag7fCCNDSVEuSVFUNDYyMDQzMDAuSVFfQ0RTX01JRC4wNi8wOS8yNgEAAAD2JX0AAgAAAAQ2Ljc1ALXfTphpDt8I8hJRm2oO3wgjQ0lRLklRVDQ2MjA3NTcxLklRX0NEU19NSUQuMDkvMDYvMjYBAAAAbe81AAIAAAAHMjkuMTIzNAC1306YaQ7fCFY8WZtqDt8II0NJUS5JUVQ0OTc1MTE5Ni5JUV9DRFNfTUlELjA4LzA5LzI2AQAAAM2ZvQACAAAABzM0LjU4MzMAtd9OmGkO3wgAm0+bag7fCCNDSVEuSVFUNjAzODk1MTYuSVFfQ0RTX01JRC4wOC8wOS8yNgEAAACl8MMBAgAAAAY3LjI0MDIAhBpPmGkO3wih6U+bag7fCCRDSVEuSVFUMzIzNjgwMTMwLklRX0NEU19NSUQuMDgvMDkvMjYBAAAAceECAAIAAAAHNTAuODA2NwDDQU+YaQ7fCHg4UJtqDt8IJENJUS5JUVQzMTMzMTU0MjkuSVFfQ0RTX01JRC4wOC8wOS8yNgEAAAA55wUAAgAAAAc1OS44NjM3ABpxA5hpDt8IjV9Qm2oO3wgjQ0lRLklRVDQ2MjA2Nzc5LklRX0NEU19NSUQuMDcvMDkvMjYBAAAA/O82AAIAAAAHMTUuMTg3NQCEGk+YaQ7fCPmsUJtqDt8II0NJ</t>
  </si>
  <si>
    <t>US5JUVQ0NjIxODY3NC5JUV9DRFNfTUlELjA3LzA5LzI2AQAAAFfKNgACAAAACDExNC42MTU1AIQaT5hpDt8I+axQm2oO3wgjQ0lRLklRVDQ2MjI1NzE1LklRX0NEU19NSUQuMDcvMDkvMjYBAAAAt+UEAAIAAAAHMzkuODAxOADDQU+YaQ7fCPISUZtqDt8II0NJUS5JUVQ0NjIwNDg4NC5JUV9DRFNfTUlELjA2LzA5LzI2AQAAAIFRwAECAAAABTI5LjA1ALXfTphpDt8I8hJRm2oO3wgjQ0lRLklRVDQ2MjE1MTExLklRX0NEU19NSUQuMDkvMDYvMjYBAAAAoEuyAQIAAAAHNDAuMTcxNQCEGk+YaQ7fCGRjWZtqDt8II0NJUS5JUVQ0NjIyNjEzMi5JUV9DRFNfTUlELjA5LzA2LzI2AQAAAN1ZAAACAAAABzQxLjI4NTcAw0FPmGkO3wiHsVmbag7fCCRDSVEuSVFUMzEzMzEzNTI0LklRX0NEU19NSUQuMDkvMDYvMjYBAAAA71UNAAIAAAAHNTUuNTE2MwAacQOYaQ7fCKj/WZtqDt8II0NJUS5JUVQ3OTYzOTkxMy5JUV9DRFNfTUlELjA5LzA5LzI1AQAAACBjHAICAAAABDguNzUAhBpPmGkO3witlFKbag7fCCNDSVEuSVFUNDYyMDc4NzIuSVFfQ0RTX01JRC4wOS8wOS8yNQEAAABYDQoAAgAAAAQzOC41AMNBT5hpDt8IrZRSm2oO3wgjQ0lRLklRVDQ2MjAwMzE3LklRX0NEU19NSUQuMDkvMDkvMjUBAAAA/lQNAAIAAAAHNjYuNjI4NwAacQOYaQ7fCBNTU5tqDt8II0NJUS5JUVQ0NjE5NDk5NS5JUV9DRFNfTUlELjA4LzA5</t>
  </si>
  <si>
    <t>LzI2AQAAAG4QMQACAAAABzExLjA4ODcAtd9OmGkO3wgAm0+bag7fCCNDSVEuSVFUNDYyMjIyOTIuSVFfQ0RTX01JRC4wOC8wOS8yNgEAAADRkZsBAgAAAAc3NjkuNTIzAIQaT5hpDt8IoelPm2oO3wgjQ0lRLklRVDQ2MjI1MDA2LklRX0NEU19NSUQuMDgvMDkvMjYBAAAA+FUNAAIAAAAHNDIuMTY2NwDDQU+YaQ7fCHg4UJtqDt8II0NJUS5JUVQ0NjIyMDMyOS5JUV9DRFNfTUlELjA4LzA5LzI2AQAAANtbAAACAAAABzU3LjY2NjcAGnEDmGkO3wiNX1Cbag7fCCNDSVEuSVFUNDYyNjIzNzguSVFfQ0RTX01JRC4wNy8wOS8yNgEAAABA0okBAgAAAAQxNy44AIQaT5hpDt8I+axQm2oO3wgjQ0lRLklRVDQ2MTk3Njk0LklRX0NEU19NSUQuMDcvMDkvMjYBAAAAB/oFAAIAAAAFNTAuNzUAhBpPmGkO3wj5rFCbag7fCCNDSVEuSVFUNjIyNzAxMDcuSVFfQ0RTX01JRC4wNy8wOS8yNgEAAAAVWQAAAgAAAAc0MC4yNDk5AMNBT5hpDt8I8hJRm2oO3wgjQ0lRLklRVDQ2MjA3MzA4LklRX0NEU19NSUQuMDYvMDkvMjYBAAAAOYl6AQIAAAACMTQAtd9OmGkO3wjyElGbag7fCCNDSVEuSVFUNzk2Mzk5NTMuSVFfQ0RTX01JRC4wOS8wNi8yNgEAAAA0m1YBAgAAAAcyNC45MzExAIQaT5hpDt8IZGNZm2oO3wgkQ0lRLklRVDUyODkzNjgxMi5JUV9DRFNfTUlELjA5LzA2LzI2AQAAAGxbBgACAAAABzUwLjA2ODYAw0FPmGkO3wiH</t>
  </si>
  <si>
    <t>sVmbag7fCCNDSVEuSVFUNDYxOTcxMzguSVFfQ0RTX01JRC4wOS8wOS8yNQEAAADulDgBAgAAAAgxMzcuNDk3NQC1306YaQ7fCPISUZtqDt8II0NJUS5JUVQ1MTAyMzQ4MC5JUV9DRFNfTUlELjA5LzA5LzI1AQAAAMJF8QECAAAABjcuNDA2OQCEGk+YaQ7fCK2UUptqDt8II0NJUS5JUVQ0NjIwNDk1Ny5JUV9DRFNfTUlELjA5LzA5LzI1AQAAACEVBgACAAAABzU0LjY4NzUAw0FPmGkO3witlFKbag7fCCNDSVEuSVFUNjIyNzAxMDYuSVFfQ0RTX01JRC4wOS8wOS8yNQEAAACtd4MAAgAAAAY3MC44OTEAGnEDmGkO3wgTU1Obag7fCCNDSVEuSVFUNDYxOTYyMjUuSVFfQ0RTX01JRC4wOC8wOS8yNgEAAAC+VaMBAgAAAAUxNy40NQC1306YaQ7fCACbT5tqDt8II0NJUS5JUVQ1MTAyMzI2MC5JUV9DRFNfTUlELjA4LzA5LzI2AQAAALERfwECAAAABzEzLjkzNzUAhBpPmGkO3wih6U+bag7fCCNDSVEuSVFUNDYyMjQ3NDAuSVFfQ0RTX01JRC4wOC8wOS8yNgEAAADTcggAAgAAAAYzNi45NzUAw0FPmGkO3wh4OFCbag7fCCRDSVEuSVFUMzEzMzE3MzQ0LklRX0NEU19NSUQuMDgvMDkvMjYBAAAA8awBAAIAAAAHNjAuMDcxNQAacQOYaQ7fCO2FUJtqDt8II0NJUS5JUVQ0NjIwMDI3Ni5JUV9DRFNfTUlELjA3LzA5LzI2AQAAAJZ3fAECAAAAAjMwAIQaT5hpDt8I+axQm2oO3wgjQ0lRLklRVDQ2MTk1NDkxLklRX0NEU19N</t>
  </si>
  <si>
    <t>SUQuMDcvMDkvMjYBAAAAaUoAAAIAAAAHNTIuMzUzOQDDQU+YaQ7fCPISUZtqDt8II0NJUS5JUVQ3OTYzNDkwMS5JUV9DRFNfTUlELjA3LzA5LzI2AQAAAJwGEAACAAAABjU0LjAyNgDDQU+YaQ7fCPISUZtqDt8II0NJUS5JUVQ0NjIwNzU3MS5JUV9DRFNfTUlELjA2LzA5LzI2AQAAAG3vNQACAAAABTMxLjM1ALXfTphpDt8I8hJRm2oO3wgjQ0lRLklRVDQ2MTk5ODQxLklRX0NEU19NSUQuMDkvMDYvMjYBAAAA6zAGAAMAAAAAAMNBT5hpDt8Ih7FZm2oO3wgjQ0lRLklRVDQ2MjIzNjQ2LklRX0NEU19NSUQuMDkvMDkvMjUBAAAAG3gEAAIAAAAGNDUuOTEyAMNBT5hpDt8IrZRSm2oO3wgjQ0lRLklRVDQ2MjAzMzMyLklRX0NEU19NSUQuMDgvMDkvMjYBAAAAXx43AAIAAAAEMTAuNQC1306YaQ7fCACbT5tqDt8II0NJUS5JUVQ0NjIxNTExMS5JUV9DRFNfTUlELjA4LzA5LzI2AQAAAKBLsgECAAAABzM0Ljk5ODkAhBpPmGkO3wih6U+bag7fCCNDSVEuSVFUNDYyMjYxMzIuSVFfQ0RTX01JRC4wOC8wOS8yNgEAAADdWQAAAgAAAAc0NC4xNDI5AMNBT5hpDt8IeDhQm2oO3wgkQ0lRLklRVDMxMzMxMzUyNC5JUV9DRFNfTUlELjA4LzA5LzI2AQAAAO9VDQACAAAABzU2LjM0MTQAGnEDmGkO3wjthVCbag7fCCNDSVEuSVFUNzk2Mzk5MTMuSVFfQ0RTX01JRC4wNy8wOS8yNgEAAAAgYxwCAgAAAAU4LjEyNQCEGk+YaQ7f</t>
  </si>
  <si>
    <t>CPmsUJtqDt8II0NJUS5JUVQ0NjIwNzg3Mi5JUV9DRFNfTUlELjA3LzA5LzI2AQAAAFgNCgACAAAABzM3LjE3ODEAw0FPmGkO3wjyElGbag7fCCNDSVEuSVFUNDYyMDAzMTcuSVFfQ0RTX01JRC4wNy8wOS8yNgEAAAD+VA0AAgAAAAc2Mi4wODkxABpxA5hpDt8I8hJRm2oO3wgkQ0lRLklRVDY0NDcwMTc5Ny5JUV9DRFNfTUlELjA2LzA5LzI2AQAAAFM/fQECAAAABzEwLjI0NDcAtd9OmGkO3wjyElGbag7fCCNDSVEuSVFUNDYyMDM3MTQuSVFfQ0RTX01JRC4wOC8wOS8yNgEAAABfBTUAAgAAAAUzNC41NQC1306YaQ7fCACbT5tqDt8II0NJUS5JUVQ3OTYzOTk1My5JUV9DRFNfTUlELjA4LzA5LzI2AQAAADSbVgECAAAABzE5Ljk4ODMAhBpPmGkO3wih6U+bag7fCCRDSVEuSVFUNTI4OTM2ODEyLklRX0NEU19NSUQuMDgvMDkvMjYBAAAAbFsGAAIAAAAHNDQuNzQ3MgDDQU+YaQ7fCHg4UJtqDt8II0NJUS5JUVQ0NjE5NzEzOC5JUV9DRFNfTUlELjA3LzA5LzI2AQAAAO6UOAECAAAABjExNC43OAC1306YaQ7fCO2FUJtqDt8II0NJUS5JUVQ1MTAyMzQ4MC5JUV9DRFNfTUlELjA3LzA5LzI2AQAAAMJF8QECAAAABjQuNjMxNwCEGk+YaQ7fCPmsUJtqDt8II0NJUS5JUVQ0NjIwNDk1Ny5JUV9DRFNfTUlELjA3LzA5LzI2AQAAACEVBgACAAAABjUyLjIyMQDDQU+YaQ7fCPISUZtqDt8II0NJUS5JUVQ2MjI3MDEwNi5J</t>
  </si>
  <si>
    <t>UV9DRFNfTUlELjA3LzA5LzI2AQAAAK13gwACAAAABzczLjIyNDMAGnEDmGkO3wjyElGbag7fCCNDSVEuSVFUNzk2NDAwMjQuSVFfQ0RTX01JRC4wNi8wOS8yNgEAAAA1j5sBAgAAAAU3LjkyOQC1306YaQ7fCPISUZtqDt8IJENJUS5JUVQzMjM2ODAxMzAuSVFfQ0RTX01JRC4wOS8wOS8yNQEAAABx4QIAAgAAAAc0OC4yMDAxAMNBT5hpDt8IrZRSm2oO3wgjQ0lRLklRVDQ2MjA0MzAwLklRX0NEU19NSUQuMDgvMDkvMjYBAAAA9iV9AAIAAAAGNi44MTg4ALXfTphpDt8IpcJPm2oO3wgjQ0lRLklRVDYwMzg4MDU3LklRX0NEU19NSUQuMDgvMDkvMjYBAAAA38l9AQMAAAAAAIQaT5hpDt8IoelPm2oO3wgjQ0lRLklRVDQ2MTk5ODQxLklRX0NEU19NSUQuMDgvMDkvMjYBAAAA6zAGAAMAAAAAAMNBT5hpDt8IeDhQm2oO3wgkQ0lRLklRVDMxMzMxMDE4NC5JUV9DRFNfTUlELjA3LzA5LzI2AQAAAGBEPgACAAAABzEwLjY3OTMAtd9OmGkO3wjthVCbag7fCCNDSVEuSVFUNDYyMTQ4NzkuSVFfQ0RTX01JRC4wNy8wOS8yNgEAAAD1GjcAAgAAAAc1MC43NDQxAIQaT5hpDt8I+axQm2oO3wgjQ0lRLklRVDQ2NDcwODc3LklRX0NEU19NSUQuMDcvMDkvMjYBAAAAQjcHAAIAAAAHNTQuNzQxMQDDQU+YaQ7fCPISUZtqDt8IJENJUS5JUVQzMTMzMTA4NTQuSVFfQ0RTX01JRC4wNy8wOS8yNgEAAACvVA0AAgAAAAc2MS4zMzMz</t>
  </si>
  <si>
    <t>ABpxA5hpDt8I8hJRm2oO3wgjQ0lRLklRVDQ2MjE0OTU0LklRX0NEU19NSUQuMDYvMDkvMjYBAAAAOj05AQIAAAAHMTQuMTU2MwCEGk+YaQ7fCPISUZtqDt8II0NJUS5JUVQ0NjE5NDk5NS5JUV9DRFNfTUlELjA5LzA5LzI1AQAAAG4QMQACAAAABzE1LjE5MjIAtd9OmGkO3wjyElGbag7fCCNDSVEuSVFUNDYyMDQ4ODQuSVFfQ0RTX01JRC4wOC8wOS8yNgEAAACBUcABAgAAAAUyOS4wOQC1306YaQ7fCKXCT5tqDt8II0NJUS5JUVQ0NjIwNzc4OS5JUV9DRFNfTUlELjA4LzA5LzI2AQAAACpYowECAAAABzIzLjA3NTEAhBpPmGkO3wih6U+bag7fCCRDSVEuSVFUMjg2MDk2MTMxLklRX0NEU19NSUQuMDgvMDkvMjYBAAAAO/EEAAIAAAAGNTMuNjI1AMNBT5hpDt8IeDhQm2oO3wgjQ0lRLklRVDQ2MjEwNTYwLklRX0NEU19NSUQuMDcvMDkvMjYBAAAA9ho3AAIAAAAGNzkuMjU0ALXfTphpDt8I7YVQm2oO3wgjQ0lRLklRVDQ2MjE5OTIyLklRX0NEU19NSUQuMDcvMDkvMjYBAAAA1kc5AQIAAAADNS45AIQaT5hpDt8I+axQm2oO3wgjQ0lRLklRVDQ2MjIzNjQ2LklRX0NEU19NSUQuMDcvMDkvMjYBAAAAG3gEAAIAAAAGNDUuNzY5AMNBT5hpDt8I8hJRm2oO3wgkQ0lRLklRVDMxMzMxNDk3Ni5JUV9DRFNfTUlELjA3LzA5LzI2AQAAAG1KAAACAAAABjU0LjgwOQAacQOYaQ7fCPISUZtqDt8II0NJUS5JUVQ0NjIxODUx</t>
  </si>
  <si>
    <t>Ni5JUV9DRFNfTUlELjA2LzA5LzI2AQAAAKZVowECAAAABzM1Ljk0NjgAhBpPmGkO3wjyElGbag7fCCRDSVEuSVFUNjQ0NzAxNzk3LklRX0NEU19NSUQuMDkvMDYvMjYBAAAAUz99AQIAAAAHMTAuMDE3NAC1306YaQ7fCFY8WZtqDt8II0NJUS5JUVQ0NjIxNjk4Ni5JUV9DRFNfTUlELjA5LzA2LzI2AQAAAM5EOAEDAAAAAACEGk+YaQ7fCHWKWZtqDt8IJENJUS5JUVQyNTQ5NTUyMzMuSVFfQ0RTX01JRC4wOS8wNi8yNgEAAAA5VgoAAgAAAAc0Ni44ODYyAMNBT5hpDt8Ih7FZm2oO3wgjQ0lRLklRVDQ2MTk2MjI1LklRX0NEU19NSUQuMDkvMDkvMjUBAAAAvlWjAQIAAAAGMjEuNzEyALXfTphpDt8I8hJRm2oO3wgjQ0lRLklRVDUxMDIzMjYwLklRX0NEU19NSUQuMDkvMDkvMjUBAAAAsRF/AQIAAAAHMTAuNDM4NwCEGk+YaQ7fCK2UUptqDt8II0NJUS5JUVQ0NjIyNDc0MC5JUV9DRFNfTUlELjA5LzA5LzI1AQAAANNyCAACAAAABTM5LjQ2AMNBT5hpDt8IWh5Tm2oO3wgkQ0lRLklRVDMxMzMxNzM0NC5JUV9DRFNfTUlELjA5LzA5LzI1AQAAAPGsAQACAAAABDUwLjUAGnEDmGkO3wgWelObag7fCCNDSVEuSVFUNDYyMDczMDguSVFfQ0RTX01JRC4wOC8wOS8yNgEAAAA5iXoBAgAAAAIxNAC1306YaQ7fCKXCT5tqDt8II0NJUS5JUVQ0NjIxMDAzMi5JUV9DRFNfTUlELjA4LzA5LzI2AQAAAI9VowECAAAABzMzLjEx</t>
  </si>
  <si>
    <t>MjUAhBpPmGkO3wih6U+bag7fCCNDSVEuSVFUNDYyMjUzNzQuSVFfQ0RTX01JRC4wOC8wOS8yNgEAAAC11gUAAgAAAAQzNS40AMNBT5hpDt8IeDhQm2oO3wgjQ0lRLklRVDQ5NzUxMTk2LklRX0NEU19NSUQuMDcvMDkvMjYBAAAAzZm9AAIAAAAHMzQuODMzMwC1306YaQ7fCO2FUJtqDt8II0NJUS5JUVQ2MDM4OTUxNi5JUV9DRFNfTUlELjA3LzA5LzI2AQAAAKXwwwECAAAABjcuMjM5NgCEGk+YaQ7fCPmsUJtqDt8IJENJUS5JUVQzMjM2ODAxMzAuSVFfQ0RTX01JRC4wNy8wOS8yNgEAAABx4QIAAgAAAAc1MC44OTk3AMNBT5hpDt8I8hJRm2oO3wgkQ0lRLklRVDMxMzMxNTQyOS5JUV9DRFNfTUlELjA3LzA5LzI2AQAAADnnBQACAAAABjU5Ljc0OAAacQOYaQ7fCPISUZtqDt8II0NJUS5JUVQ0NjIwNjc3OS5JUV9DRFNfTUlELjA2LzA5LzI2AQAAAPzvNgACAAAABzE1LjQzNzUAhBpPmGkO3wjyElGbag7fCCNDSVEuSVFUNzk2NDAwMjQuSVFfQ0RTX01JRC4wOS8wNi8yNgEAAAA1j5sBAgAAAAY3LjgxMzYAhBpPmGkO3whWPFmbag7fCCRDSVEuSVFUMzEzMzA1ODc5LklRX0NEU19NSUQuMDkvMDYvMjYBAAAAhNbcAQIAAAAGMi4zMzM0AIQaT5hpDt8IdYpZm2oO3wgjQ0lRLklRVDQ2MjAwNDEyLklRX0NEU19NSUQuMDkvMDYvMjYBAAAAY0MGAAIAAAACNTMAw0FPmGkO3wiY2Fmbag7fCCNDSVEuSVFUNDYyMDMz</t>
  </si>
  <si>
    <t>MzIuSVFfQ0RTX01JRC4wOS8wOS8yNQEAAABfHjcAAgAAAAIxNAC1306YaQ7fCPISUZtqDt8II0NJUS5JUVQ0NjIxNTExMS5JUV9DRFNfTUlELjA5LzA5LzI1AQAAAKBLsgECAAAABjQxLjczNQCEGk+YaQ7fCK2UUptqDt8II0NJUS5JUVQ0NjIyNjEzMi5JUV9DRFNfTUlELjA5LzA5LzI1AQAAAN1ZAAACAAAABzQ4LjU5ODMAw0FPmGkO3whaHlObag7fCCRDSVEuSVFUMzEzMzEzNTI0LklRX0NEU19NSUQuMDkvMDkvMjUBAAAA71UNAAIAAAAHNDguMDUyOQAacQOYaQ7fCBZ6U5tqDt8IJENJUS5JUVQzMTMzMTA4NTQuSVFfQ0RTX01JRC4wOS8wOS8yNQEAAACvVA0AAgAAAAc0My41MzEyABpxA5hpDt8IE1NTm2oO3wgkQ0lRLklRVDI4NjA5NjEzMS5JUV9DRFNfTUlELjA5LzA2LzI2AQAAADvxBAACAAAABTY0Ljk0AMNBT5hpDt8Ih7FZm2oO3wgjQ0lRLklRVDQ2MjA3MzA4LklRX0NEU19NSUQuMDkvMDYvMjYBAAAAOYl6AQIAAAAEMTMuNQC1306YaQ7fCFY8WZtqDt8II0NJUS5JUVQ0NjIyMDMyOS5JUV9DRFNfTUlELjA5LzA5LzI1AQAAANtbAAACAAAABzQxLjcxMjEAGnEDmGkO3wgWelObag7fCCNDSVEuSVFUNDYyMDc1NzEuSVFfQ0RTX01JRC4wOC8wOS8yNgEAAABt7zUAAgAAAAczMS41ODMzALXfTphpDt8IpcJPm2oO3wgjQ0lRLklRVDQ2MjEzNDcyLklRX0NEU19NSUQuMDgvMDkvMjYBAAAAuVo4AAIA</t>
  </si>
  <si>
    <t>AAAFMTQuNzUAhBpPmGkO3whxEVCbag7fCCRDSVEuSVFUMjYzMjEzMTMyLklRX0NEU19NSUQuMDgvMDkvMjYBAAAA4ZoIAAIAAAAHNTEuNTYyNQDDQU+YaQ7fCHg4UJtqDt8II0NJUS5JUVQ0NjE5NDk5NS5JUV9DRFNfTUlELjA3LzA5LzI2AQAAAG4QMQACAAAABzExLjEwNDcAtd9OmGkO3wjthVCbag7fCCNDSVEuSVFUNDYyMjIyOTIuSVFfQ0RTX01JRC4wNy8wOS8yNgEAAADRkZsBAgAAAAg3NjkuNDgyMwCEGk+YaQ7fCPmsUJtqDt8II0NJUS5JUVQ0NjIyNTAwNi5JUV9DRFNfTUlELjA3LzA5LzI2AQAAAPhVDQACAAAABzQxLjk1ODMAw0FPmGkO3wjyElGbag7fCCNDSVEuSVFUNDYyMjAzMjkuSVFfQ0RTX01JRC4wNy8wOS8yNgEAAADbWwAAAgAAAAc1Ny40OTc0ABpxA5hpDt8I8hJRm2oO3wgjQ0lRLklRVDQ2MjYyMzc4LklRX0NEU19NSUQuMDYvMDkvMjYBAAAAQNKJAQIAAAAEMTcuOQCEGk+YaQ7fCPISUZtqDt8II0NJUS5JUVQ0NjIxNDk1NC5JUV9DRFNfTUlELjA5LzA2LzI2AQAAADo9OQECAAAABzE0LjgzMzMAhBpPmGkO3whWPFmbag7fCCNDSVEuSVFUNDYyMDg2MzQuSVFfQ0RTX01JRC4wOS8wNi8yNgEAAAADH8IAAgAAAAcyMy4yNjkzAIQaT5hpDt8IdYpZm2oO3wgjQ0lRLklRVDQ2MjI1MDgzLklRX0NEU19NSUQuMDkvMDYvMjYBAAAAVkQGAAIAAAAHNDAuODMzMwDDQU+YaQ7fCJjYWZtqDt8I</t>
  </si>
  <si>
    <t>I0NJUS5JUVQ0NjIwMzcxNC5JUV9DRFNfTUlELjA5LzA5LzI1AQAAAF8FNQACAAAABjM0Ljc3NgC1306YaQ7fCPISUZtqDt8II0NJUS5JUVQ3OTYzOTk1My5JUV9DRFNfTUlELjA5LzA5LzI1AQAAADSbVgECAAAABzMyLjkyODcAhBpPmGkO3witlFKbag7fCCRDSVEuSVFUNTI4OTM2ODEyLklRX0NEU19NSUQuMDkvMDkvMjUBAAAAbFsGAAIAAAAHNDUuMjEyNADDQU+YaQ7fCAcsU5tqDt8II0NJUS5JUVQ0NjIxODUxNi5JUV9DRFNfTUlELjA5LzA2LzI2AQAAAKZVowECAAAABzM3LjYxMzcAhBpPmGkO3whkY1mbag7fCCNDSVEuSVFUNDYyMjA4MDMuSVFfQ0RTX01JRC4wOS8wNi8yNgEAAADWyTYAAgAAAAY0OC40NDQAhBpPmGkO3wh1ilmbag7fCCNDSVEuSVFUNDYyMDAzNjQuSVFfQ0RTX01JRC4wOS8wNi8yNgEAAABXhggAAgAAAAQyNi4zAMNBT5hpDt8ImNhZm2oO3wgjQ0lRLklRVDQ2MjA0MzAwLklRX0NEU19NSUQuMDkvMDkvMjUBAAAA9iV9AAIAAAABOAC1306YaQ7fCPISUZtqDt8II0NJUS5JUVQ2MDM4ODA1Ny5JUV9DRFNfTUlELjA5LzA5LzI1AQAAAN/JfQECAAAABzQyLjcxNzIAhBpPmGkO3witlFKbag7fCCNDSVEuSVFUNDYxOTk4NDEuSVFfQ0RTX01JRC4wOS8wOS8yNQEAAADrMAYAAwAAAAAAw0FPmGkO3wgHLFObag7fCCNDSVEuSVFUNDYyMDczMDguSVFfQ0RTX01JRC4wOS8wOS8yNQEAAAA5</t>
  </si>
  <si>
    <t>iXoBAgAAAAUxNy4yNQC1306YaQ7fCPISUZtqDt8II0NJUS5JUVQ0NjIyNTM3NC5JUV9DRFNfTUlELjA5LzA5LzI1AQAAALXWBQACAAAABzQ1Ljc4ODkAw0FPmGkO3wgHLFObag7fCCRDSVEuSVFUMzEzMzEwMTg0LklRX0NEU19NSUQuMDkvMDYvMjYBAAAAYEQ+AAIAAAAHMTEuODQxNQC1306YaQ7fCEYVWZtqDt8IJENJUS5JUVQzMTMzMTA4NTQuSVFfQ0RTX01JRC4wOS8wNi8yNgEAAACvVA0AAgAAAAQ2NC41ABpxA5hpDt8ImNhZm2oO3wgjQ0lRLklRVDQ2MjE5OTIyLklRX0NEU19NSUQuMDkvMDYvMjYBAAAA1kc5AQIAAAAENy43NQCEGk+YaQ7fCGRjWZtqDt8IJENJUS5JUVQzMTMzMTQ5NzYuSVFfQ0RTX01JRC4wOS8wNi8yNgEAAABtSgAAAgAAAAQ1Ni41ABpxA5hpDt8ImNhZm2oO3wgjQ0lRLklRVDYwMzg5NTE2LklRX0NEU19NSUQuMDkvMDYvMjYBAAAApfDDAQIAAAAGNy4wMDIxAIQaT5hpDt8IZGNZm2oO3wgkQ0lRLklRVDMyMzY4MDEzMC5JUV9DRFNfTUlELjA5LzA2LzI2AQAAAHHhAgACAAAABzUzLjE4ODYAw0FPmGkO3wiHsVmbag7fCCRDSVEuSVFUMzEzMzE1NDI5LklRX0NEU19NSUQuMDkvMDYvMjYBAAAAOecFAAIAAAAHNjEuNTkwMwAacQOYaQ7fCJjYWZtqDt8II0NJUS5JUVQ0NjIxODY3NC5JUV9DRFNfTUlELjA5LzA5LzI1AQAAAFfKNgACAAAACDE2Ni42NzY3AIQaT5hpDt8IrZRSm2oO</t>
  </si>
  <si>
    <t>3wgjQ0lRLklRVDc5NjM0OTAxLklRX0NEU19NSUQuMDkvMDkvMjUBAAAAnAYQAAIAAAAHNTUuMDg0MwAacQOYaQ7fCBNTU5tqDt8II0NJUS5JUVQ0NjIwNDMwMC5JUV9DRFNfTUlELjA5LzA2LzI2AQAAAPYlfQACAAAAAzcuNQC1306YaQ7fCFY8WZtqDt8II0NJUS5JUVQ0NjIxNDg3OS5JUV9DRFNfTUlELjA5LzA5LzI1AQAAAPUaNwACAAAABzU5LjQwMDEAhBpPmGkO3witlFKbag7fCCNDSVEuSVFUNDYyMTk5MjIuSVFfQ0RTX01JRC4wOS8wOS8yNQEAAADWRzkBAgAAAAU5LjM3NQCEGk+YaQ7fCK2UUptqDt8II0NJUS5JUVQ0NjIyNTM3NC5JUV9DRFNfTUlELjA5LzA2LzI2AQAAALXWBQACAAAABzQxLjM0MTcAw0FPmGkO3wiHsVmbag7fCCRDSVEuSVFUMjYzMjEzMTMyLklRX0NEU19NSUQuMDkvMDYvMjYBAAAA4ZoIAAIAAAAGNTcuNDY1AMNBT5hpDt8Ih7FZm2oO3wgkQ0lRLklRVDY0NDcwMTc5Ny5JUV9DRFNfTUlELjA4LzA5LzI2AQAAAFM/fQECAAAABjkuOTIzMgC1306YaQ7fCKXCT5tqDt8II0NJUS5JUVQ0NjIxNjk4Ni5JUV9DRFNfTUlELjA4LzA5LzI2AQAAAM5EOAEDAAAAAACEGk+YaQ7fCHERUJtqDt8IJENJUS5JUVQyNTQ5NTUyMzMuSVFfQ0RTX01JRC4wOC8wOS8yNgEAAAA5VgoAAgAAAAczOC41NDE3AMNBT5hpDt8IeDhQm2oO3wgjQ0lRLklRVDQ2MTk2MjI1LklRX0NEU19NSUQuMDcvMDkv</t>
  </si>
  <si>
    <t>MjYBAAAAvlWjAQIAAAAFMTcuNDUAtd9OmGkO3wjthVCbag7fCCNDSVEuSVFUNTEwMjMyNjAuSVFfQ0RTX01JRC4wNy8wOS8yNgEAAACxEX8BAgAAAAIxNACEGk+YaQ7fCPmsUJtqDt8II0NJUS5JUVQ0NjIyNDc0MC5JUV9DRFNfTUlELjA3LzA5LzI2AQAAANNyCAACAAAABzM2LjU1MjUAw0FPmGkO3wjyElGbag7fCCRDSVEuSVFUMzEzMzE3MzQ0LklRX0NEU19NSUQuMDcvMDkvMjYBAAAA8awBAAIAAAAHNjAuMTA2MQAacQOYaQ7fCPISUZtqDt8II0NJUS5JUVQ0NjIwMDI3Ni5JUV9DRFNfTUlELjA2LzA5LzI2AQAAAJZ3fAECAAAABzI5LjU5NTEAhBpPmGkO3wjyElGbag7fCCNDSVEuSVFUNDYyNjIzNzguSVFfQ0RTX01JRC4wOS8wNi8yNgEAAABA0okBAgAAAAUxOC43NQCEGk+YaQ7fCGRjWZtqDt8II0NJUS5JUVQ0NjE5NzY5NC5JUV9DRFNfTUlELjA5LzA2LzI2AQAAAAf6BQACAAAABjU0LjcxNADDQU+YaQ7fCHWKWZtqDt8II0NJUS5JUVQ2MjI3MDEwNy5JUV9DRFNfTUlELjA5LzA2LzI2AQAAABVZAAACAAAABzQzLjY2NzMAw0FPmGkO3wiY2Fmbag7fCCRDSVEuSVFUMzEzMzEwMTg0LklRX0NEU19NSUQuMDkvMDkvMjUBAAAAYEQ+AAIAAAAHMTYuMjMzNAC1306YaQ7fCPISUZtqDt8II0NJUS5JUVQ0NjIwNzc4OS5JUV9DRFNfTUlELjA5LzA2LzI2AQAAACpYowECAAAABzI3LjYxMTMAhBpPmGkO3wh1</t>
  </si>
  <si>
    <t>ilmbag7fCCNDSVEuSVFUNzk2NDAwMjQuSVFfQ0RTX01JRC4wOC8wOS8yNgEAAAA1j5sBAgAAAAY3Ljg3MjgAtd9OmGkO3wilwk+bag7fCCRDSVEuSVFUMzEzMzA1ODc5LklRX0NEU19NSUQuMDgvMDkvMjYBAAAAhNbcAQIAAAAGMi4yOTM5AIQaT5hpDt8IcRFQm2oO3wgjQ0lRLklRVDQ2MjAwNDEyLklRX0NEU19NSUQuMDgvMDkvMjYBAAAAY0MGAAIAAAAENDMuOQDDQU+YaQ7fCHg4UJtqDt8II0NJUS5JUVQ0NjIwMzMzMi5JUV9DRFNfTUlELjA3LzA5LzI2AQAAAF8eNwACAAAABDEwLjUAtd9OmGkO3wjthVCbag7fCCNDSVEuSVFUNDYyMTUxMTEuSVFfQ0RTX01JRC4wNy8wOS8yNgEAAACgS7IBAgAAAAczNC44OTQ3AIQaT5hpDt8I+axQm2oO3wgjQ0lRLklRVDQ2MjI2MTMyLklRX0NEU19NSUQuMDcvMDkvMjYBAAAA3VkAAAIAAAAGNDQuMDA1AMNBT5hpDt8I8hJRm2oO3wgkQ0lRLklRVDMxMzMxMzUyNC5JUV9DRFNfTUlELjA3LzA5LzI2AQAAAO9VDQACAAAABzU2LjM1NTgAGnEDmGkO3wjyElGbag7fCCNDSVEuSVFUNzk2Mzk5MTMuSVFfQ0RTX01JRC4wNi8wOS8yNgEAAAAgYxwCAgAAAAU4LjEyNQCEGk+YaQ7fCPISUZtqDt8II0NJUS5JUVQ0NjIwNjc3OS5JUV9DRFNfTUlELjA5LzA2LzI2AQAAAPzvNgACAAAAAjE2AIQaT5hpDt8IZGNZm2oO3wgjQ0lRLklRVDQ2MjE4Njc0LklRX0NEU19NSUQuMDkv</t>
  </si>
  <si>
    <t>MDYvMjYBAAAAV8o2AAIAAAAIMTI5LjI1NjkAhBpPmGkO3wh1ilmbag7fCCNDSVEuSVFUNDYyMjU3MTUuSVFfQ0RTX01JRC4wOS8wNi8yNgEAAAC35QQAAgAAAAczOS45NTA2AMNBT5hpDt8ImNhZm2oO3wgjQ0lRLklRVDQ2MjA0ODg0LklRX0NEU19NSUQuMDkvMDkvMjUBAAAAgVHAAQIAAAAHNDAuODAwNAC1306YaQ7fCPISUZtqDt8II0NJUS5JUVQ0NjIwNzc4OS5JUV9DRFNfTUlELjA5LzA5LzI1AQAAACpYowECAAAABzE5LjAxMTQAhBpPmGkO3witlFKbag7fCCRDSVEuSVFUMjg2MDk2MTMxLklRX0NEU19NSUQuMDkvMDkvMjUBAAAAO/EEAAIAAAAGNjQuOTAxAMNBT5hpDt8IByxTm2oO3wgjQ0lRLklRVDQ2MjEwMDMyLklRX0NEU19NSUQuMDkvMDkvMjUBAAAAj1WjAQIAAAAEMzkuMwCEGk+YaQ7fCK2UUptqDt8II0NJUS5JUVQ0NjIxNDg3OS5JUV9DRFNfTUlELjA5LzA2LzI2AQAAAPUaNwACAAAABzUyLjM2NDEAhBpPmGkO3whkY1mbag7fCCNDSVEuSVFUNDYyMDg2MzQuSVFfQ0RTX01JRC4wOS8wOS8yNQEAAAADH8IAAgAAAAcxOC44NjM2AIQaT5hpDt8IrZRSm2oO3wgjQ0lRLklRVDQ2MjI1MDgzLklRX0NEU19NSUQuMDkvMDkvMjUBAAAAVkQGAAIAAAAHNDMuMDQxNgDDQU+YaQ7fCBNTU5tqDt8II0NJUS5JUVQ0NjIyMzY0Ni5JUV9DRFNfTUlELjA5LzA2LzI2AQAAABt4BAACAAAABzUxLjMzNjcA</t>
  </si>
  <si>
    <t>w0FPmGkO3wiHsVmbag7fCCNDSVEuSVFUNDYyMjQ3NDAuSVFfQ0RTX01JRC4wOS8wNi8yNgEAAADTcggAAgAAAAQzMi41AMNBT5hpDt8Ih7FZm2oO3wgjQ0lRLklRVDQ2MjA0ODg0LklRX0NEU19NSUQuMDkvMDYvMjYBAAAAgVHAAQIAAAAHMjguNDE2NwC1306YaQ7fCFY8WZtqDt8II0NJUS5JUVQ0NjIxMDU2MC5JUV9DRFNfTUlELjA5LzA5LzI1AQAAAPYaNwACAAAABzkzLjE3MzcAtd9OmGkO3wjyElGbag7fCCRDSVEuSVFUMzEzMzE0OTc2LklRX0NEU19NSUQuMDkvMDkvMjUBAAAAbUoAAAIAAAAHNDYuOTEyOAAacQOYaQ7fCBNTU5tqDt8II0NJUS5JUVQ0NjIxMDAzMi5JUV9DRFNfTUlELjA5LzA2LzI2AQAAAI9VowECAAAABzM1LjM1MjcAhBpPmGkO3wh1ilmbag7fCCNDSVEuSVFUNDk3NTExOTYuSVFfQ0RTX01JRC4wOS8wOS8yNQEAAADNmb0AAgAAAAI0MAC1306YaQ7fCPISUZtqDt8IJENJUS5JUVQzMTMzMTU0MjkuSVFfQ0RTX01JRC4wOS8wOS8yNQEAAAA55wUAAgAAAAc0NC41NjI1ABpxA5hpDt8IE1NTm2oO3wgjQ0lRLklRVDQ2MjI1MDA2LklRX0NEU19NSUQuMDkvMDkvMjUBAAAA+FUNAAIAAAAHNDIuNjA4OQDDQU+YaQ7fCK2UUptqDt8II0NJUS5JUVQ0NjIxNDk1NC5JUV9DRFNfTUlELjA4LzA5LzI2AQAAADo9OQECAAAABzE0LjA2MjUAhBpPmGkO3wilwk+bag7fCCNDSVEuSVFUNDYyMDg2</t>
  </si>
  <si>
    <t>MzQuSVFfQ0RTX01JRC4wOC8wOS8yNgEAAAADH8IAAgAAAAcyMS40NTgzAIQaT5hpDt8IcRFQm2oO3wgjQ0lRLklRVDQ2MjI1MDgzLklRX0NEU19NSUQuMDgvMDkvMjYBAAAAVkQGAAIAAAAEMzIuOADDQU+YaQ7fCHg4UJtqDt8II0NJUS5JUVQ0NjIwMzcxNC5JUV9DRFNfTUlELjA3LzA5LzI2AQAAAF8FNQACAAAABjM0LjM0NQC1306YaQ7fCO2FUJtqDt8II0NJUS5JUVQ3OTYzOTk1My5JUV9DRFNfTUlELjA3LzA5LzI2AQAAADSbVgECAAAABzE5Ljk4NTcAhBpPmGkO3wj5rFCbag7fCCRDSVEuSVFUNTI4OTM2ODEyLklRX0NEU19NSUQuMDcvMDkvMjYBAAAAbFsGAAIAAAAGNDQuMDk1AMNBT5hpDt8I8hJRm2oO3wgjQ0lRLklRVDQ2MTk3MTM4LklRX0NEU19NSUQuMDYvMDkvMjYBAAAA7pQ4AQIAAAAIMTE0LjcwMTcAtd9OmGkO3wjyElGbag7fCCNDSVEuSVFUNTEwMjM0ODAuSVFfQ0RTX01JRC4wNi8wOS8yNgEAAADCRfEBAgAAAAY0LjY1NTgAhBpPmGkO3wjyElGbag7fCCNDSVEuSVFUNDYyMTg1MTYuSVFfQ0RTX01JRC4wOC8wOS8yNgEAAACmVaMBAgAAAAYzNS4zNDgAhBpPmGkO3wilwk+bag7fCCNDSVEuSVFUNDYyMjA4MDMuSVFfQ0RTX01JRC4wOC8wOS8yNgEAAADWyTYAAgAAAAc0MC4wNDE3AIQaT5hpDt8IcRFQm2oO3wgjQ0lRLklRVDQ2MjAwMzY0LklRX0NEU19NSUQuMDgvMDkvMjYBAAAAV4YI</t>
  </si>
  <si>
    <t>AAIAAAAHMjMuNDY2NwDDQU+YaQ7fCI1fUJtqDt8II0NJUS5JUVQ0NjIwNDMwMC5JUV9DRFNfTUlELjA3LzA5LzI2AQAAAPYlfQACAAAABTYuODc1ALXfTphpDt8I+axQm2oO3wgjQ0lRLklRVDYwMzg4MDU3LklRX0NEU19NSUQuMDcvMDkvMjYBAAAA38l9AQMAAAAAAIQaT5hpDt8I+axQm2oO3wgjQ0lRLklRVDQ2MTk5ODQxLklRX0NEU19NSUQuMDcvMDkvMjYBAAAA6zAGAAMAAAAAAMNBT5hpDt8I8hJRm2oO3wgkQ0lRLklRVDMxMzMxMDE4NC5JUV9DRFNfTUlELjA2LzA5LzI2AQAAAGBEPgACAAAABjEwLjc1OQC1306YaQ7fCPISUZtqDt8II0NJUS5JUVQ0NjIxNDg3OS5JUV9DRFNfTUlELjA2LzA5LzI2AQAAAPUaNwACAAAABzUwLjc4OTQAhBpPmGkO3wjyElGbag7fCCNDSVEuSVFUNDYyMDAyNzYuSVFfQ0RTX01JRC4wOS8wNi8yNgEAAACWd3wBAgAAAAcyOC44NzQyAIQaT5hpDt8IZGNZm2oO3wgjQ0lRLklRVDQ2MTk1NDkxLklRX0NEU19NSUQuMDkvMDYvMjYBAAAAaUoAAAIAAAAHNTYuMjg1NgDDQU+YaQ7fCHWKWZtqDt8II0NJUS5JUVQ3OTYzNDkwMS5JUV9DRFNfTUlELjA5LzA2LzI2AQAAAJwGEAACAAAABjQ0LjI3NgAacQOYaQ7fCJjYWZtqDt8II0NJUS5JUVQ0NjIwNzU3MS5JUV9DRFNfTUlELjA5LzA5LzI1AQAAAG3vNQACAAAABzM3LjQ2NzcAtd9OmGkO3wjyElGbag7fCCNDSVEuSVFUNDYy</t>
  </si>
  <si>
    <t>MTM0NzIuSVFfQ0RTX01JRC4wOS8wOS8yNQEAAAC5WjgAAgAAAAcxMy40OTc1AIQaT5hpDt8IrZRSm2oO3wgkQ0lRLklRVDI2MzIxMzEzMi5JUV9DRFNfTUlELjA5LzA5LzI1AQAAAOGaCAACAAAABzU2Ljk0NzIAw0FPmGkO3wgHLFObag7fCCNDSVEuSVFUNDYyMTA1NjAuSVFfQ0RTX01JRC4wOS8wNi8yNgEAAAD2GjcAAgAAAAY4NC42MjUAtd9OmGkO3whGFVmbag7fCCNDSVEuSVFUNDYyMTg1MTYuSVFfQ0RTX01JRC4wOS8wOS8yNQEAAACmVaMBAgAAAAczMC42NjY3AIQaT5hpDt8I8hJRm2oO3wgjQ0lRLklRVDQ2MjIwODAzLklRX0NEU19NSUQuMDkvMDkvMjUBAAAA1sk2AAIAAAAHMzguMDEyMgCEGk+YaQ7fCK2UUptqDt8II0NJUS5JUVQ0NjIyNTcxNS5JUV9DRFNfTUlELjA5LzA5LzI1AQAAALflBAACAAAABjM0LjAyOQDDQU+YaQ7fCBNTU5tqDt8II0NJUS5JUVQ1MTAyMzI2MC5JUV9DRFNfTUlELjA5LzA2LzI2AQAAALERfwECAAAABjEzLjk4OQCEGk+YaQ7fCGRjWZtqDt8II0NJUS5JUVQ2MDM4ODA1Ny5JUV9DRFNfTUlELjA5LzA2LzI2AQAAAN/JfQEDAAAAAACEGk+YaQ7fCHWKWZtqDt8II0NJUS5JUVQ0NjQ3MDg3Ny5JUV9DRFNfTUlELjA5LzA5LzI1AQAAAEI3BwACAAAABzUxLjg4MTkAw0FPmGkO3witlFKbag7fCCNDSVEuSVFUNjAzODk1MTYuSVFfQ0RTX01JRC4wOS8wOS8yNQEAAACl8MMB</t>
  </si>
  <si>
    <t>AgAAAAY4LjEyMjQAhBpPmGkO3witlFKbag7fCCNDSVEuSVFUNDYyMTM0NzIuSVFfQ0RTX01JRC4wOS8wNi8yNgEAAAC5WjgAAgAAAAcxNS4zMjE1AIQaT5hpDt8IdYpZm2oO3wgjQ0lRLklRVDQ2MjA2Nzc5LklRX0NEU19NSUQuMDgvMDkvMjYBAAAA/O82AAIAAAAEMTUuMwCEGk+YaQ7fCKXCT5tqDt8II0NJUS5JUVQ0NjIxODY3NC5JUV9DRFNfTUlELjA4LzA5LzI2AQAAAFfKNgACAAAACDExNC41MzIxAIQaT5hpDt8IcRFQm2oO3wgjQ0lRLklRVDQ2MjI1NzE1LklRX0NEU19NSUQuMDgvMDkvMjYBAAAAt+UEAAIAAAAHMzkuNjk3NgDDQU+YaQ7fCI1fUJtqDt8II0NJUS5JUVQ0NjIwNDg4NC5JUV9DRFNfTUlELjA3LzA5LzI2AQAAAIFRwAECAAAABzI5LjA2MjUAtd9OmGkO3wj5rFCbag7fCCNDSVEuSVFUNDYyMDc3ODkuSVFfQ0RTX01JRC4wNy8wOS8yNgEAAAAqWKMBAgAAAAcyMy4wMDgxAIQaT5hpDt8I+axQm2oO3wgkQ0lRLklRVDI4NjA5NjEzMS5JUV9DRFNfTUlELjA3LzA5LzI2AQAAADvxBAACAAAABzUzLjQyODYAw0FPmGkO3wjyElGbag7fCCNDSVEuSVFUNDYyMTA1NjAuSVFfQ0RTX01JRC4wNi8wOS8yNgEAAAD2GjcAAgAAAAc3OS4xNzkzALXfTphpDt8I8hJRm2oO3wgjQ0lRLklRVDQ2MjE5OTIyLklRX0NEU19NSUQuMDYvMDkvMjYBAAAA1kc5AQIAAAAGNS44ODE3AIQaT5hpDt8I8hJRm2oO</t>
  </si>
  <si>
    <t>3wgjQ0lRLklRVDc5NjM5OTEzLklRX0NEU19NSUQuMDkvMDYvMjYBAAAAIGMcAgIAAAAGOC40MTY3AIQaT5hpDt8IZGNZm2oO3wgjQ0lRLklRVDQ2MjA3ODcyLklRX0NEU19NSUQuMDkvMDYvMjYBAAAAWA0KAAIAAAAHNDIuMjg1NADDQU+YaQ7fCHWKWZtqDt8II0NJUS5JUVQ0NjIwMDMxNy5JUV9DRFNfTUlELjA5LzA2LzI2AQAAAP5UDQACAAAABzY3LjA1MjUAGnEDmGkO3wiY2Fmbag7fCCRDSVEuSVFUNjQ0NzAxNzk3LklRX0NEU19NSUQuMDkvMDkvMjUBAAAAUz99AQIAAAAHMTIuODE4NAC1306YaQ7fCPISUZtqDt8II0NJUS5JUVQ0NjIxNjk4Ni5JUV9DRFNfTUlELjA5LzA5LzI1AQAAAM5EOAEDAAAAAACEGk+YaQ7fCK2UUptqDt8IJENJUS5JUVQyNTQ5NTUyMzMuSVFfQ0RTX01JRC4wOS8wOS8yNQEAAAA5VgoAAgAAAAc1My4zNzE0AMNBT5hpDt8IByxTm2oO3wgjQ0lRLklRVDQ2MTk3MTM4LklRX0NEU19NSUQuMDkvMDYvMjYBAAAA7pQ4AQIAAAAIMTI1LjYzOTkAtd9OmGkO3whGFVmbag7fCCNDSVEuSVFUNTEwMjM0ODAuSVFfQ0RTX01JRC4wOS8wNi8yNgEAAADCRfEBAgAAAAY0Ljk4OTIAhBpPmGkO3whkY1mbag7fCCNDSVEuSVFUNDYyMDQ5NTcuSVFfQ0RTX01JRC4wOS8wNi8yNgEAAAAhFQYAAgAAAAc1NS4wNjIyAMNBT5hpDt8IdYpZm2oO3wgjQ0lRLklRVDYyMjcwMTA2LklRX0NEU19NSUQu</t>
  </si>
  <si>
    <t>MDkvMDYvMjYBAAAArXeDAAIAAAAHNzUuODgxNwAacQOYaQ7fCJjYWZtqDt8II0NJUS5JUVQ3OTY0MDAyNC5JUV9DRFNfTUlELjA5LzA5LzI1AQAAADWPmwECAAAABjkuODUzNgCEGk+YaQ7fCPISUZtqDt8IJENJUS5JUVQzMTMzMDU4NzkuSVFfQ0RTX01JRC4wOS8wOS8yNQEAAACE1twBAgAAAAYzLjI3MjYAhBpPmGkO3witlFKbag7fCCNDSVEuSVFUNDYyMDA0MTIuSVFfQ0RTX01JRC4wOS8wOS8yNQEAAABjQwYAAgAAAAc1My43MDkyAMNBT5hpDt8IByxTm2oO3wgjQ0lRLklRVDQ2MjE0OTU0LklRX0NEU19NSUQuMDkvMDkvMjUBAAAAOj05AQIAAAAHMjEuMzU5NQCEGk+YaQ7fCPISUZtqDt8II0NJUS5JUVQ0OTc1MTE5Ni5JUV9DRFNfTUlELjA5LzA2LzI2AQAAAM2ZvQACAAAABzQyLjU4MzMAtd9OmGkO3whWPFmbag7fCCNDSVEuSVFUNDYyMDY3NzkuSVFfQ0RTX01JRC4wOS8wOS8yNQEAAAD87zYAAgAAAAcyNS41MDY0AIQaT5hpDt8I8hJRm2oO3wgkQ0lRLklRVDMxMzMxNzM0NC5JUV9DRFNfTUlELjA5LzA2LzI2AQAAAPGsAQACAAAABzU4LjQxMjIAGnEDmGkO3wio/1mbag7fCCNDSVEuSVFUNDYyNjIzNzguSVFfQ0RTX01JRC4wOC8wOS8yNgEAAABA0okBAgAAAAUxNy45NQCEGk+YaQ7fCKXCT5tqDt8II0NJUS5JUVQ0NjE5NzY5NC5JUV9DRFNfTUlELjA4LzA5LzI2AQAAAAf6BQACAAAABzUxLjIy</t>
  </si>
  <si>
    <t>MzkAhBpPmGkO3whxEVCbag7fCCNDSVEuSVFUNjIyNzAxMDcuSVFfQ0RTX01JRC4wOC8wOS8yNgEAAAAVWQAAAgAAAAc0MS4wODY0AMNBT5hpDt8IjV9Qm2oO3wgjQ0lRLklRVDQ2MjA3MzA4LklRX0NEU19NSUQuMDcvMDkvMjYBAAAAOYl6AQIAAAACMTQAtd9OmGkO3wj5rFCbag7fCCNDSVEuSVFUNDYyMTAwMzIuSVFfQ0RTX01JRC4wNy8wOS8yNgEAAACPVaMBAgAAAAUzMy4zMwCEGk+YaQ7fCPmsUJtqDt8II0NJUS5JUVQ0NjIyNTM3NC5JUV9DRFNfTUlELjA3LzA5LzI2AQAAALXWBQACAAAABjM1LjYyNQDDQU+YaQ7fCPISUZtqDt8II0NJUS5JUVQ0OTc1MTE5Ni5JUV9DRFNfTUlELjA2LzA5LzI2AQAAAM2ZvQACAAAABzM0Ljk0MTQAtd9OmGkO3wjyElGbag7fCCNDSVEuSVFUNDYyMDAyNzYuSVFfQ0RTX01JRC4wOC8wOS8yNgEAAACWd3wBAgAAAAIzMACEGk+YaQ7fCKXCT5tqDt8II0NJUS5JUVQ0NjE5NTQ5MS5JUV9DRFNfTUlELjA4LzA5LzI2AQAAAGlKAAACAAAABzUyLjIyMTcAw0FPmGkO3whxEVCbag7fCCNDSVEuSVFUNzk2MzQ5MDEuSVFfQ0RTX01JRC4wOC8wOS8yNgEAAACcBhAAAgAAAAc1My4yMDA3AMNBT5hpDt8IjV9Qm2oO3wgjQ0lRLklRVDQ2MjA3NTcxLklRX0NEU19NSUQuMDcvMDkvMjYBAAAAbe81AAIAAAAHMzEuNTQxNwC1306YaQ7fCPmsUJtqDt8II0NJUS5JUVQ0NjIxMzQ3Mi5J</t>
  </si>
  <si>
    <t>UV9DRFNfTUlELjA3LzA5LzI2AQAAALlaOAACAAAABjE0Ljk3NwCEGk+YaQ7fCPmsUJtqDt8IJENJUS5JUVQyNjMyMTMxMzIuSVFfQ0RTX01JRC4wNy8wOS8yNgEAAADhmggAAgAAAAQ1MS41AMNBT5hpDt8I8hJRm2oO3wgjQ0lRLklRVDQ2MTk0OTk1LklRX0NEU19NSUQuMDYvMDkvMjYBAAAAbhAxAAIAAAAHMTEuMTY4OAC1306YaQ7fCPISUZtqDt8II0NJUS5JUVQ0NjQ3MDg3Ny5JUV9DRFNfTUlELjA5LzA2LzI2AQAAAEI3BwACAAAABzU3LjA2MjUAw0FPmGkO3wiHsVmbag7fCCNDSVEuSVFUNDYyMDAzNjQuSVFfQ0RTX01JRC4wOS8wOS8yNQEAAABXhggAAgAAAAczMy44NDIzAMNBT5hpDt8IE1NTm2oO3wgjQ0lRLklRVDQ2MTk2MjI1LklRX0NEU19NSUQuMDkvMDYvMjYBAAAAvlWjAQIAAAAHMTcuNjY2NwC1306YaQ7fCFY8WZtqDt8II0NJUS5JUVQ0NjE5NTQ5MS5JUV9DRFNfTUlELjA5LzA5LzI1AQAAAGlKAAACAAAABDUyLjgAw0FPmGkO3witlFKbag7fCCNDSVEuSVFUNDYyMjIyOTIuSVFfQ0RTX01JRC4wOS8wOS8yNQEAAADRkZsBAgAAAAoxNDc4Ny4zMjkzAIQaT5hpDt8IrZRSm2oO3wgjQ0lRLklRVDc5NjM5OTEzLklRX0NEU19NSUQuMDgvMDkvMjYBAAAAIGMcAgIAAAAFOC4xMjUAhBpPmGkO3wilwk+bag7fCCNDSVEuSVFUNDYyMDc4NzIuSVFfQ0RTX01JRC4wOC8wOS8yNgEAAABYDQoAAgAA</t>
  </si>
  <si>
    <t>AAczNy4wNjk2AMNBT5hpDt8IcRFQm2oO3wgjQ0lRLklRVDQ2MjAwMzE3LklRX0NEU19NSUQuMDgvMDkvMjYBAAAA/lQNAAIAAAAHNjIuNTc2NQAacQOYaQ7fCI1fUJtqDt8IJENJUS5JUVQ2NDQ3MDE3OTcuSVFfQ0RTX01JRC4wNy8wOS8yNgEAAABTP30BAgAAAAY5LjkxNjUAtd9OmGkO3wj5rFCbag7fCCNDSVEuSVFUNDYyMTY5ODYuSVFfQ0RTX01JRC4wNy8wOS8yNgEAAADORDgBAwAAAAAAhBpPmGkO3wj5rFCbag7fCCRDSVEuSVFUMjU0OTU1MjMzLklRX0NEU19NSUQuMDcvMDkvMjYBAAAAOVYKAAIAAAAFMzguNjUAw0FPmGkO3wjyElGbag7fCCNDSVEuSVFUNDYxOTYyMjUuSVFfQ0RTX01JRC4wNi8wOS8yNgEAAAC+VaMBAgAAAAYxNy4zNzUAtd9OmGkO3wjyElGbag7fCCNDSVEuSVFUNDYxOTcxMzguSVFfQ0RTX01JRC4wOC8wOS8yNgEAAADulDgBAgAAAAgxMTIuNzYxMwC1306YaQ7fCACbT5tqDt8II0NJUS5JUVQ1MTAyMzQ4MC5JUV9DRFNfTUlELjA4LzA5LzI2AQAAAMJF8QECAAAABjQuNjI5NACEGk+YaQ7fCKHpT5tqDt8II0NJUS5JUVQ0NjIwNDk1Ny5JUV9DRFNfTUlELjA4LzA5LzI2AQAAACEVBgACAAAABzUyLjQxMzMAw0FPmGkO3whxEVCbag7fCCNDSVEuSVFUNjIyNzAxMDYuSVFfQ0RTX01JRC4wOC8wOS8yNgEAAACtd4MAAgAAAAc3My4yMjk5ABpxA5hpDt8IjV9Qm2oO3wgjQ0lRLklR</t>
  </si>
  <si>
    <t>VDc5NjQwMDI0LklRX0NEU19NSUQuMDcvMDkvMjYBAAAANY+bAQIAAAABOAC1306YaQ7fCPmsUJtqDt8IJENJUS5JUVQzMTMzMDU4NzkuSVFfQ0RTX01JRC4wNy8wOS8yNgEAAACE1twBAgAAAAYyLjI5MzkAhBpPmGkO3wj5rFCbag7fCCNDSVEuSVFUNDYyMDA0MTIuSVFfQ0RTX01JRC4wNy8wOS8yNgEAAABjQwYAAgAAAAQ0My45AMNBT5hpDt8I8hJRm2oO3wgjQ0lRLklRVDQ2MjAzMzMyLklRX0NEU19NSUQuMDYvMDkvMjYBAAAAXx43AAIAAAAEMTAuNQC1306YaQ7fCPISUZtqDt8IJENJUS5JUVQzMTMzMTAxODQuSVFfQ0RTX01JRC4wOC8wOS8yNgEAAABgRD4AAgAAAAcxMC42NjAyALXfTphpDt8IAJtPm2oO3wgjQ0lRLklRVDQ2MjE0ODc5LklRX0NEU19NSUQuMDgvMDkvMjYBAAAA9Ro3AAIAAAAHNTAuNTc1NQCEGk+YaQ7fCKHpT5tqDt8II0NJUS5JUVQ0NjQ3MDg3Ny5JUV9DRFNfTUlELjA4LzA5LzI2AQAAAEI3BwACAAAABzU0Ljg2ODkAw0FPmGkO3whxEVCbag7fCCRDSVEuSVFUMzEzMzEwODU0LklRX0NEU19NSUQuMDgvMDkvMjYBAAAAr1QNAAIAAAAHNjEuNjY2NwAacQOYaQ7fCI1fUJtqDt8II0NJUS5JUVQ0NjIxNDk1NC5JUV9DRFNfTUlELjA3LzA5LzI2AQAAADo9OQECAAAABzE0LjA0MTcAhBpPmGkO3wj5rFCbag7fCCNDSVEuSVFUNDYyMDg2MzQuSVFfQ0RTX01JRC4wNy8wOS8yNgEAAAAD</t>
  </si>
  <si>
    <t>H8IAAgAAAAcyMS43MDgzAIQaT5hpDt8I+axQm2oO3wgjQ0lRLklRVDQ2MjI1MDgzLklRX0NEU19NSUQuMDcvMDkvMjYBAAAAVkQGAAIAAAAFMzIuODUAw0FPmGkO3wjyElGbag7fCCNDSVEuSVFUNDYyMDM3MTQuSVFfQ0RTX01JRC4wNi8wOS8yNgEAAABfBTUAAgAAAAczNC4xOTQxALXfTphpDt8I8hJRm2oO3wgjQ0lRLklRVDQ2MTk0OTk1LklRX0NEU19NSUQuMDkvMDYvMjYBAAAAbhAxAAIAAAAHMTEuNTAzMwC1306YaQ7fCFY8WZtqDt8II0NJUS5JUVQ0NjIyMjI5Mi5JUV9DRFNfTUlELjA5LzA2LzI2AQAAANGRmwECAAAACDc1Ni4zMDk5AIQaT5hpDt8IZGNZm2oO3wgjQ0lRLklRVDQ2MjI1MDA2LklRX0NEU19NSUQuMDkvMDYvMjYBAAAA+FUNAAIAAAAHMzguNDE2NwDDQU+YaQ7fCIexWZtqDt8II0NJUS5JUVQ0NjIyMDMyOS5JUV9DRFNfTUlELjA5LzA2LzI2AQAAANtbAAACAAAABDU2LjUAGnEDmGkO3wio/1mbag7fCCNDSVEuSVFUNDYyNjIzNzguSVFfQ0RTX01JRC4wOS8wOS8yNQEAAABA0okBAgAAAAQxOC41AIQaT5hpDt8I8hJRm2oO3wgjQ0lRLklRVDQ2MTk3Njk0LklRX0NEU19NSUQuMDkvMDkvMjUBAAAAB/oFAAIAAAAHNTIuODMzMwDDQU+YaQ7fCK2UUptqDt8II0NJUS5JUVQ2MjI3MDEwNy5JUV9DRFNfTUlELjA5LzA5LzI1AQAAABVZAAACAAAABzI3Ljc5NDYAw0FPmGkO3wgTU1Obag7f</t>
  </si>
  <si>
    <t>CCNDSVEuSVFUNDYyMDAyNzYuSVFfQ0RTX01JRC4wOS8wOS8yNQEAAACWd3wBAgAAAAcyNC4wMzYyAIQaT5hpDt8InpFSm2oO3wgjQ0lRLklRVDQ2MjEwNTYwLklRX0NEU19NSUQuMjYvMDgvMjYBAAAA9ho3AAIAAAAGNzcuNzgyALXfTphpDt8ImE1Ym2oO3wgjQ0lRLklRVDQ2MjE5OTIyLklRX0NEU19NSUQuMjYvMDgvMjYBAAAA1kc5AQIAAAAGNS41MjA3AIQaT5hpDt8IE3dYm2oO3wgjQ0lRLklRVDQ2MjIzNjQ2LklRX0NEU19NSUQuMjYvMDgvMjYBAAAAG3gEAAIAAAAHNDYuNDA4NgDDQU+YaQ7fCCjHWJtqDt8IJENJUS5JUVQzMTMzMTQ5NzYuSVFfQ0RTX01JRC4yNi8wOC8yNgEAAABtSgAAAgAAAAc1Ni44MTYzABpxA5hpDt8IRhVZm2oO3wgjQ0lRLklRVDYyMjcwMTA3LklRX0NEU19NSUQuMjYvMDgvMjYBAAAAFVkAAAIAAAAHNDEuNjM5NgDDQU+YaQ7fCD3uWJtqDt8II0NJUS5JUVQ0OTc1MTE5Ni5JUV9DRFNfTUlELjI2LzA4LzI2AQAAAM2ZvQACAAAABjM3LjAyNgC1306YaQ7fCJhNWJtqDt8II0NJUS5JUVQ2MDM4OTUxNi5JUV9DRFNfTUlELjI2LzA4LzI2AQAAAKXwwwECAAAABjcuMTYzMQCEGk+YaQ7fCBN3WJtqDt8IJENJUS5JUVQzMjM2ODAxMzAuSVFfQ0RTX01JRC4yNi8wOC8yNgEAAABx4QIAAgAAAAc0OS4wMjI0AMNBT5hpDt8IKMdYm2oO3wgkQ0lRLklRVDMxMzMxNTQyOS5JUV9DRFNf</t>
  </si>
  <si>
    <t>TUlELjI2LzA4LzI2AQAAADnnBQACAAAABzYwLjM4NDIAGnEDmGkO3whGFVmbag7fCCNDSVEuSVFUNDYyNjIzNzguSVFfQ0RTX01JRC4yNi8wOC8yNgEAAABA0okBAgAAAAUxOC4yNQCEGk+YaQ7fCBN3WJtqDt8II0NJUS5JUVQ0NjIwMDI3Ni5JUV9DRFNfTUlELjI2LzA4LzI2AQAAAJZ3fAECAAAABzE5Ljk2MzkAhBpPmGkO3wgTd1ibag7fCCNDSVEuSVFUNDYxOTQ5OTUuSVFfQ0RTX01JRC4yNi8wOC8yNgEAAABuEDEAAgAAAAcxMS4xNTQxALXfTphpDt8ImE1Ym2oO3wgjQ0lRLklRVDQ2MjIyMjkyLklRX0NEU19NSUQuMjYvMDgvMjYBAAAA0ZGbAQIAAAAINzY2LjAwMTEAhBpPmGkO3wgTd1ibag7fCCNDSVEuSVFUNDYyMjUwMDYuSVFfQ0RTX01JRC4yNi8wOC8yNgEAAAD4VQ0AAgAAAAU0MC44NgDDQU+YaQ7fCCjHWJtqDt8II0NJUS5JUVQ0NjIyMDMyOS5JUV9DRFNfTUlELjI2LzA4LzI2AQAAANtbAAACAAAAAjU2ABpxA5hpDt8IRhVZm2oO3wgjQ0lRLklRVDQ2MTk2MjI1LklRX0NEU19NSUQuMjYvMDgvMjYBAAAAvlWjAQIAAAAHMTcuMzEyNQC1306YaQ7fCJhNWJtqDt8II0NJUS5JUVQ1MTAyMzI2MC5JUV9DRFNfTUlELjI2LzA4LzI2AQAAALERfwECAAAABzE0LjM1MjQAhBpPmGkO3wjVn1ibag7fCCNDSVEuSVFUNDYyMjQ3NDAuSVFfQ0RTX01JRC4yNi8wOC8yNgEAAADTcggAAgAAAAczNS4xMzc1</t>
  </si>
  <si>
    <t>AMNBT5hpDt8IKMdYm2oO3wgkQ0lRLklRVDMxMzMxNzM0NC5JUV9DRFNfTUlELjI2LzA4LzI2AQAAAPGsAQACAAAABzYwLjQ5MDEAGnEDmGkO3whGFVmbag7fCCNDSVEuSVFUNDYyMDMzMzIuSVFfQ0RTX01JRC4yNi8wOC8yNgEAAABfHjcAAgAAAAcxMC44MDg5ALXfTphpDt8ImE1Ym2oO3wgjQ0lRLklRVDQ2MjE1MTExLklRX0NEU19NSUQuMjYvMDgvMjYBAAAAoEuyAQIAAAAHMzUuMTY1NwCEGk+YaQ7fCAOiWJtqDt8II0NJUS5JUVQ0NjIyNjEzMi5JUV9DRFNfTUlELjI2LzA4LzI2AQAAAN1ZAAACAAAAAjQzAMNBT5hpDt8IKMdYm2oO3wgkQ0lRLklRVDMxMzMxMzUyNC5JUV9DRFNfTUlELjI2LzA4LzI2AQAAAO9VDQACAAAABzU5LjQ1NzQAGnEDmGkO3whGFVmbag7fCCNDSVEuSVFUNDYyMDM3MTQuSVFfQ0RTX01JRC4yNi8wOC8yNgEAAABfBTUAAgAAAAczMi44MzMzALXfTphpDt8ImE1Ym2oO3wgjQ0lRLklRVDc5NjM5OTUzLklRX0NEU19NSUQuMjYvMDgvMjYBAAAANJtWAQIAAAAHMjAuMDI2NACEGk+YaQ7fCAOiWJtqDt8IJENJUS5JUVQ1Mjg5MzY4MTIuSVFfQ0RTX01JRC4yNi8wOC8yNgEAAABsWwYAAgAAAAY0My45NTkAw0FPmGkO3wg97libag7fCCNDSVEuSVFUNDYxOTc2OTQuSVFfQ0RTX01JRC4yNi8wOC8yNgEAAAAH+gUAAgAAAAc1MS4wMzY2AMNBT5hpDt8IKMdYm2oO3wgjQ0lRLklRVDQ2</t>
  </si>
  <si>
    <t>MjA0MzAwLklRX0NEU19NSUQuMjYvMDgvMjYBAAAA9iV9AAIAAAAGNy40NzU5ALXfTphpDt8ImE1Ym2oO3wgjQ0lRLklRVDYwMzg4MDU3LklRX0NEU19NSUQuMjYvMDgvMjYBAAAA38l9AQMAAAAAAIQaT5hpDt8IA6JYm2oO3wgjQ0lRLklRVDQ2MTk5ODQxLklRX0NEU19NSUQuMjYvMDgvMjYBAAAA6zAGAAMAAAAAAMNBT5hpDt8IPe5Ym2oO3wgjQ0lRLklRVDQ2MjA0ODg0LklRX0NEU19NSUQuMjYvMDgvMjYBAAAAgVHAAQIAAAAHMjkuMDA0NQC1306YaQ7fCJhNWJtqDt8II0NJUS5JUVQ0NjIwNzc4OS5JUV9DRFNfTUlELjI2LzA4LzI2AQAAACpYowECAAAABzI2LjM4ODEAhBpPmGkO3wgDolibag7fCCRDSVEuSVFUMjg2MDk2MTMxLklRX0NEU19NSUQuMjYvMDgvMjYBAAAAO/EEAAIAAAAENTMuMQDDQU+YaQ7fCD3uWJtqDt8II0NJUS5JUVQ0NjIwNzMwOC5JUV9DRFNfTUlELjI2LzA4LzI2AQAAADmJegECAAAABzE0LjM1NDMAtd9OmGkO3wiYTVibag7fCCNDSVEuSVFUNDYyMTAwMzIuSVFfQ0RTX01JRC4yNi8wOC8yNgEAAACPVaMBAgAAAAUzMy40MwCEGk+YaQ7fCAOiWJtqDt8II0NJUS5JUVQ0NjIyNTM3NC5JUV9DRFNfTUlELjI2LzA4LzI2AQAAALXWBQACAAAABjM1LjQ2MQDDQU+YaQ7fCD3uWJtqDt8II0NJUS5JUVQ0NjIwNzU3MS5JUV9DRFNfTUlELjI2LzA4LzI2AQAAAG3vNQACAAAABzMwLjU2</t>
  </si>
  <si>
    <t>MjUAtd9OmGkO3wiYTVibag7fCCNDSVEuSVFUNDYyMTM0NzIuSVFfQ0RTX01JRC4yNi8wOC8yNgEAAAC5WjgAAgAAAAYxNS4xOTYAhBpPmGkO3wgDolibag7fCCRDSVEuSVFUMjYzMjEzMTMyLklRX0NEU19NSUQuMjYvMDgvMjYBAAAA4ZoIAAIAAAAHNTAuODEyNQDDQU+YaQ7fCD3uWJtqDt8IJENJUS5JUVQ2NDQ3MDE3OTcuSVFfQ0RTX01JRC4yNi8wOC8yNgEAAABTP30BAgAAAAcxMC4wMjIzALXfTphpDt8Iu3RYm2oO3wgjQ0lRLklRVDQ2MjE2OTg2LklRX0NEU19NSUQuMjYvMDgvMjYBAAAAzkQ4AQMAAAAAAIQaT5hpDt8IA6JYm2oO3wgkQ0lRLklRVDI1NDk1NTIzMy5JUV9DRFNfTUlELjI2LzA4LzI2AQAAADlWCgACAAAABzM3Ljc0NTUAw0FPmGkO3wg97libag7fCCNDSVEuSVFUNzk2NDAwMjQuSVFfQ0RTX01JRC4yNi8wOC8yNgEAAAA1j5sBAgAAAAY3Ljg0NTYAhBpPmGkO3wgTd1ibag7fCCRDSVEuSVFUMzEzMzA1ODc5LklRX0NEU19NSUQuMjYvMDgvMjYBAAAAhNbcAQIAAAAGMi4yOTM5AIQaT5hpDt8IA6JYm2oO3wgjQ0lRLklRVDQ2MjAwNDEyLklRX0NEU19NSUQuMjYvMDgvMjYBAAAAY0MGAAIAAAAHNDMuNjI0NADDQU+YaQ7fCD3uWJtqDt8II0NJUS5JUVQ0NjIwMzMzMi5JUV9DRFNfTUlELjA5LzA2LzI2AQAAAF8eNwACAAAABzExLjQxNjcAtd9OmGkO3whWPFmbag7fCCNDSVEuSVFUNDYy</t>
  </si>
  <si>
    <t>MTQ5NTQuSVFfQ0RTX01JRC4yNi8wOC8yNgEAAAA6PTkBAgAAAAcxNC4wNzQ3AIQaT5hpDt8IE3dYm2oO3wgjQ0lRLklRVDQ2MjA4NjM0LklRX0NEU19NSUQuMjYvMDgvMjYBAAAAAx/CAAIAAAAHMjEuODQ1NACEGk+YaQ7fCAOiWJtqDt8II0NJUS5JUVQ0NjIyNTA4My5JUV9DRFNfTUlELjI2LzA4LzI2AQAAAFZEBgACAAAABzMyLjgxMjUAw0FPmGkO3wg97libag7fCCNDSVEuSVFUNDYyMDM3MTQuSVFfQ0RTX01JRC4wOS8wNi8yNgEAAABfBTUAAgAAAAcyOC4yOTY3ALXfTphpDt8IVjxZm2oO3wgjQ0lRLklRVDc5NjM0OTAxLklRX0NEU19NSUQuMjYvMDgvMjYBAAAAnAYQAAIAAAAHNTMuOTk2OAC1306YaQ7fCD3uWJtqDt8II0NJUS5JUVQ0NjIxODUxNi5JUV9DRFNfTUlELjI2LzA4LzI2AQAAAKZVowECAAAABzM1Ljk0ODYAhBpPmGkO3wgTd1ibag7fCCNDSVEuSVFUNDYyMjA4MDMuSVFfQ0RTX01JRC4yNi8wOC8yNgEAAADWyTYAAgAAAAc0MC4xNjY3AIQaT5hpDt8IA6JYm2oO3wgjQ0lRLklRVDQ2MjAwMzY0LklRX0NEU19NSUQuMjYvMDgvMjYBAAAAV4YIAAIAAAAHMjMuMzI0MwDDQU+YaQ7fCD3uWJtqDt8II0NJUS5JUVQ0NjIwNjc3OS5JUV9DRFNfTUlELjI2LzA4LzI2AQAAAPzvNgACAAAABzE1LjYwNzMAhBpPmGkO3wgTd1ibag7fCCNDSVEuSVFUNDYyMTg2NzQuSVFfQ0RTX01JRC4yNi8wOC8y</t>
  </si>
  <si>
    <t>NgEAAABXyjYAAgAAAAgxMTcuMTgwOACEGk+YaQ7fCAOiWJtqDt8II0NJUS5JUVQ0NjIyNTcxNS5JUV9DRFNfTUlELjI2LzA4LzI2AQAAALflBAACAAAABjQwLjQ0NADDQU+YaQ7fCD3uWJtqDt8II0NJUS5JUVQ0NjE5NTQ5MS5JUV9DRFNfTUlELjI2LzA4LzI2AQAAAGlKAAACAAAABzUzLjI0NDcAw0FPmGkO3wgox1ibag7fCCNDSVEuSVFUNzk2Mzk5MTMuSVFfQ0RTX01JRC4yNi8wOC8yNgEAAAAgYxwCAgAAAAY4LjAxNzMAhBpPmGkO3wgTd1ibag7fCCNDSVEuSVFUNDYyMDc4NzIuSVFfQ0RTX01JRC4yNi8wOC8yNgEAAABYDQoAAgAAAAczNy44NjQyAMNBT5hpDt8IKMdYm2oO3wgjQ0lRLklRVDQ2MjAwMzE3LklRX0NEU19NSUQuMjYvMDgvMjYBAAAA/lQNAAIAAAAHNjMuNTUxMQAacQOYaQ7fCEYVWZtqDt8II0NJUS5JUVQ0NjE5NzEzOC5JUV9DRFNfTUlELjI2LzA4LzI2AQAAAO6UOAECAAAACDExOC45MjQ0ALXfTphpDt8ImE1Ym2oO3wgjQ0lRLklRVDUxMDIzNDgwLklRX0NEU19NSUQuMjYvMDgvMjYBAAAAwkXxAQIAAAAGNC44MTQyAIQaT5hpDt8IE3dYm2oO3wgjQ0lRLklRVDQ2MjA0OTU3LklRX0NEU19NSUQuMjYvMDgvMjYBAAAAIRUGAAIAAAAHNTMuMTk1OADDQU+YaQ7fCCjHWJtqDt8II0NJUS5JUVQ2MjI3MDEwNi5JUV9DRFNfTUlELjI2LzA4LzI2AQAAAK13gwACAAAABzc1LjU0NjIAGnED</t>
  </si>
  <si>
    <t>mGkO3whGFVmbag7fCCRDSVEuSVFUMzEzMzEwMTg0LklRX0NEU19NSUQuMjYvMDgvMjYBAAAAYEQ+AAIAAAAHMTAuODQyMgC1306YaQ7fCJhNWJtqDt8II0NJUS5JUVQ0NjIxNDg3OS5JUV9DRFNfTUlELjI2LzA4LzI2AQAAAPUaNwACAAAABzQ5Ljg3OTYAhBpPmGkO3wgTd1ibag7fCCNDSVEuSVFUNDY0NzA4NzcuSVFfQ0RTX01JRC4yNi8wOC8yNgEAAABCNwcAAgAAAAc1NC45MzE3AMNBT5hpDt8IKMdYm2oO3wgkQ0lRLklRVDMxMzMxMDg1NC5JUV9DRFNfTUlELjI2LzA4LzI2AQAAAK9UDQACAAAABzU5LjgzMzMAGnEDmGkO3whGFVmbag7fCA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</si>
</sst>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+0;\-0;&quot;-&quot;"/>
    <numFmt numFmtId="165" formatCode="#,##0.0;\-#,##0.0;&quot;-&quot;"/>
    <numFmt numFmtId="166" formatCode="\+0.0%;\-0.0%;&quot;-&quot;"/>
    <numFmt numFmtId="167" formatCode="#,##0.0_ ;\-#,##0.0\ "/>
    <numFmt numFmtId="168" formatCode="#,##0.000_ ;\-#,##0.000\ "/>
    <numFmt numFmtId="169" formatCode="0.0;[Red]\(0.0\);\-"/>
    <numFmt numFmtId="170" formatCode="0.0%;[Red]\(0.0%\);\-"/>
  </numFmts>
  <fonts count="30"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b/>
      <sz val="8"/>
      <color rgb="FF333333"/>
      <name val="Arial"/>
      <family val="2"/>
    </font>
    <font>
      <sz val="8"/>
      <color rgb="FF000000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i/>
      <sz val="8"/>
      <color rgb="FF333333"/>
      <name val="Arial"/>
      <family val="2"/>
    </font>
    <font>
      <i/>
      <sz val="9"/>
      <color rgb="FFFFFFFF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sz val="10"/>
      <color rgb="FF14181F"/>
      <name val="Aptos Narrow"/>
      <family val="2"/>
      <scheme val="minor"/>
    </font>
    <font>
      <sz val="8"/>
      <color rgb="FF000000"/>
      <name val="Verdana"/>
      <family val="2"/>
    </font>
    <font>
      <sz val="12"/>
      <color theme="1"/>
      <name val="Tahoma"/>
      <family val="2"/>
    </font>
    <font>
      <b/>
      <sz val="12"/>
      <color theme="0"/>
      <name val="Tahoma"/>
      <family val="2"/>
    </font>
    <font>
      <sz val="11"/>
      <color rgb="FF14181F"/>
      <name val="Aptos Narrow"/>
      <family val="2"/>
      <scheme val="minor"/>
    </font>
    <font>
      <sz val="8"/>
      <color theme="1"/>
      <name val="Arial"/>
      <family val="2"/>
    </font>
    <font>
      <sz val="11"/>
      <color rgb="FF000000"/>
      <name val="Verdana"/>
      <family val="2"/>
    </font>
    <font>
      <sz val="5"/>
      <color rgb="FF000000"/>
      <name val="Verdana"/>
      <family val="2"/>
    </font>
    <font>
      <sz val="11"/>
      <color theme="1"/>
      <name val="Aptos Narrow"/>
      <family val="2"/>
      <scheme val="minor"/>
    </font>
    <font>
      <b/>
      <sz val="10"/>
      <color rgb="FF333333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theme="1"/>
      <name val="Arial Unicode MS"/>
    </font>
    <font>
      <sz val="11"/>
      <name val="Carlito"/>
    </font>
    <font>
      <sz val="11"/>
      <color rgb="FF0000FF"/>
      <name val="Carlito"/>
    </font>
    <font>
      <sz val="11"/>
      <color rgb="FF000000"/>
      <name val="Carlito"/>
    </font>
    <font>
      <b/>
      <sz val="11"/>
      <color rgb="FF17365D"/>
      <name val="Carlito"/>
    </font>
    <font>
      <b/>
      <sz val="11"/>
      <color rgb="FFFFFFFF"/>
      <name val="Carlito"/>
    </font>
    <font>
      <b/>
      <sz val="11"/>
      <name val="Carlito"/>
    </font>
    <font>
      <b/>
      <sz val="15"/>
      <color rgb="FFFFFFFF"/>
      <name val="Carlito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5C6B"/>
      </patternFill>
    </fill>
    <fill>
      <patternFill patternType="solid">
        <fgColor rgb="FF4AA8B8"/>
      </patternFill>
    </fill>
    <fill>
      <patternFill patternType="solid">
        <fgColor rgb="FF2F4F7F"/>
      </patternFill>
    </fill>
    <fill>
      <patternFill patternType="solid">
        <fgColor rgb="FFDCE9F5"/>
      </patternFill>
    </fill>
    <fill>
      <patternFill patternType="solid">
        <fgColor rgb="FFFFFFFF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21596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CE4D6"/>
      </patternFill>
    </fill>
    <fill>
      <patternFill patternType="solid">
        <fgColor rgb="FF4472C4"/>
      </patternFill>
    </fill>
    <fill>
      <patternFill patternType="solid">
        <fgColor rgb="FF17365D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215968"/>
      </left>
      <right style="thin">
        <color rgb="FF215968"/>
      </right>
      <top/>
      <bottom/>
      <diagonal/>
    </border>
    <border>
      <left style="thin">
        <color rgb="FF215968"/>
      </left>
      <right style="thin">
        <color rgb="FF215968"/>
      </right>
      <top style="thin">
        <color rgb="FF215968"/>
      </top>
      <bottom style="thin">
        <color rgb="FF215968"/>
      </bottom>
      <diagonal/>
    </border>
  </borders>
  <cellStyleXfs count="3">
    <xf numFmtId="0" fontId="0" fillId="0" borderId="0"/>
    <xf numFmtId="9" fontId="18" fillId="0" borderId="0" applyFont="0" applyFill="0" applyBorder="0" applyAlignment="0" applyProtection="0"/>
    <xf numFmtId="0" fontId="23" fillId="0" borderId="0"/>
  </cellStyleXfs>
  <cellXfs count="8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165" fontId="1" fillId="6" borderId="1" xfId="0" applyNumberFormat="1" applyFont="1" applyFill="1" applyBorder="1" applyAlignment="1">
      <alignment horizontal="center" vertical="center"/>
    </xf>
    <xf numFmtId="166" fontId="1" fillId="6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0" borderId="0" xfId="0" applyFont="1" applyAlignment="1">
      <alignment vertical="center" wrapText="1"/>
    </xf>
    <xf numFmtId="0" fontId="8" fillId="0" borderId="0" xfId="0" applyFont="1"/>
    <xf numFmtId="166" fontId="1" fillId="8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9" fillId="0" borderId="0" xfId="0" applyFont="1"/>
    <xf numFmtId="0" fontId="10" fillId="0" borderId="0" xfId="0" applyFont="1" applyAlignment="1">
      <alignment vertical="center"/>
    </xf>
    <xf numFmtId="165" fontId="1" fillId="8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9" fillId="0" borderId="0" xfId="0" applyFont="1" applyAlignment="1">
      <alignment vertical="center"/>
    </xf>
    <xf numFmtId="0" fontId="11" fillId="0" borderId="0" xfId="0" applyFont="1"/>
    <xf numFmtId="0" fontId="12" fillId="0" borderId="3" xfId="0" applyFont="1" applyBorder="1"/>
    <xf numFmtId="0" fontId="12" fillId="0" borderId="4" xfId="0" applyFont="1" applyBorder="1"/>
    <xf numFmtId="0" fontId="13" fillId="9" borderId="0" xfId="0" applyFont="1" applyFill="1"/>
    <xf numFmtId="0" fontId="12" fillId="0" borderId="0" xfId="0" applyFont="1"/>
    <xf numFmtId="14" fontId="0" fillId="0" borderId="0" xfId="0" applyNumberFormat="1"/>
    <xf numFmtId="165" fontId="14" fillId="0" borderId="0" xfId="0" applyNumberFormat="1" applyFont="1" applyAlignment="1">
      <alignment vertical="center"/>
    </xf>
    <xf numFmtId="167" fontId="14" fillId="0" borderId="0" xfId="0" applyNumberFormat="1" applyFont="1" applyAlignment="1">
      <alignment vertical="center"/>
    </xf>
    <xf numFmtId="167" fontId="0" fillId="0" borderId="0" xfId="0" applyNumberFormat="1"/>
    <xf numFmtId="168" fontId="0" fillId="0" borderId="0" xfId="0" applyNumberFormat="1"/>
    <xf numFmtId="1" fontId="1" fillId="6" borderId="1" xfId="0" applyNumberFormat="1" applyFont="1" applyFill="1" applyBorder="1" applyAlignment="1">
      <alignment horizontal="center" vertical="center"/>
    </xf>
    <xf numFmtId="1" fontId="1" fillId="6" borderId="2" xfId="0" applyNumberFormat="1" applyFont="1" applyFill="1" applyBorder="1" applyAlignment="1">
      <alignment horizontal="center" vertical="center"/>
    </xf>
    <xf numFmtId="1" fontId="1" fillId="8" borderId="1" xfId="0" applyNumberFormat="1" applyFont="1" applyFill="1" applyBorder="1" applyAlignment="1">
      <alignment horizontal="center" vertical="center"/>
    </xf>
    <xf numFmtId="1" fontId="1" fillId="8" borderId="2" xfId="0" applyNumberFormat="1" applyFont="1" applyFill="1" applyBorder="1" applyAlignment="1">
      <alignment horizontal="center" vertical="center"/>
    </xf>
    <xf numFmtId="164" fontId="3" fillId="10" borderId="1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2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0" fontId="20" fillId="0" borderId="0" xfId="0" applyFont="1" applyAlignment="1">
      <alignment horizontal="left"/>
    </xf>
    <xf numFmtId="164" fontId="3" fillId="10" borderId="2" xfId="0" applyNumberFormat="1" applyFont="1" applyFill="1" applyBorder="1" applyAlignment="1">
      <alignment horizontal="center" vertical="center"/>
    </xf>
    <xf numFmtId="164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15" fillId="0" borderId="0" xfId="0" applyFont="1"/>
    <xf numFmtId="9" fontId="8" fillId="13" borderId="0" xfId="1" applyFont="1" applyFill="1" applyAlignment="1">
      <alignment horizontal="left"/>
    </xf>
    <xf numFmtId="9" fontId="21" fillId="12" borderId="0" xfId="1" applyFont="1" applyFill="1" applyBorder="1" applyAlignment="1">
      <alignment horizontal="left" vertical="center"/>
    </xf>
    <xf numFmtId="9" fontId="22" fillId="12" borderId="0" xfId="1" applyFont="1" applyFill="1" applyAlignment="1">
      <alignment horizontal="left" vertical="center"/>
    </xf>
    <xf numFmtId="9" fontId="22" fillId="13" borderId="0" xfId="1" applyFont="1" applyFill="1" applyAlignment="1">
      <alignment horizontal="left" vertical="center"/>
    </xf>
    <xf numFmtId="0" fontId="23" fillId="0" borderId="0" xfId="2"/>
    <xf numFmtId="0" fontId="23" fillId="0" borderId="0" xfId="2" applyAlignment="1">
      <alignment horizontal="center"/>
    </xf>
    <xf numFmtId="169" fontId="23" fillId="0" borderId="0" xfId="2" applyNumberFormat="1" applyAlignment="1">
      <alignment horizontal="right"/>
    </xf>
    <xf numFmtId="170" fontId="24" fillId="17" borderId="0" xfId="2" applyNumberFormat="1" applyFont="1" applyFill="1" applyAlignment="1">
      <alignment horizontal="right"/>
    </xf>
    <xf numFmtId="169" fontId="24" fillId="17" borderId="0" xfId="2" applyNumberFormat="1" applyFont="1" applyFill="1" applyAlignment="1">
      <alignment horizontal="right"/>
    </xf>
    <xf numFmtId="0" fontId="24" fillId="0" borderId="0" xfId="2" applyFont="1"/>
    <xf numFmtId="0" fontId="25" fillId="0" borderId="0" xfId="2" applyFont="1" applyAlignment="1">
      <alignment horizontal="center"/>
    </xf>
    <xf numFmtId="169" fontId="25" fillId="0" borderId="0" xfId="2" applyNumberFormat="1" applyFont="1" applyAlignment="1">
      <alignment horizontal="right"/>
    </xf>
    <xf numFmtId="0" fontId="23" fillId="15" borderId="0" xfId="2" applyFill="1"/>
    <xf numFmtId="0" fontId="23" fillId="19" borderId="0" xfId="2" applyFill="1"/>
    <xf numFmtId="0" fontId="23" fillId="16" borderId="0" xfId="2" applyFill="1"/>
    <xf numFmtId="0" fontId="23" fillId="14" borderId="0" xfId="2" applyFill="1"/>
    <xf numFmtId="0" fontId="27" fillId="20" borderId="0" xfId="2" applyFont="1" applyFill="1"/>
    <xf numFmtId="0" fontId="27" fillId="20" borderId="0" xfId="2" applyFont="1" applyFill="1" applyAlignment="1">
      <alignment horizontal="center" vertical="center" wrapText="1"/>
    </xf>
    <xf numFmtId="0" fontId="23" fillId="2" borderId="0" xfId="2" applyFill="1"/>
    <xf numFmtId="0" fontId="28" fillId="18" borderId="0" xfId="2" applyFont="1" applyFill="1"/>
    <xf numFmtId="9" fontId="24" fillId="17" borderId="0" xfId="2" applyNumberFormat="1" applyFont="1" applyFill="1"/>
    <xf numFmtId="0" fontId="6" fillId="2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/>
    <xf numFmtId="0" fontId="0" fillId="0" borderId="2" xfId="0" applyBorder="1"/>
    <xf numFmtId="0" fontId="4" fillId="3" borderId="1" xfId="0" applyFont="1" applyFill="1" applyBorder="1" applyAlignment="1">
      <alignment horizontal="center" vertical="center"/>
    </xf>
    <xf numFmtId="0" fontId="26" fillId="18" borderId="0" xfId="2" applyFont="1" applyFill="1" applyAlignment="1">
      <alignment horizontal="left" vertical="center"/>
    </xf>
    <xf numFmtId="169" fontId="26" fillId="18" borderId="0" xfId="2" applyNumberFormat="1" applyFont="1" applyFill="1" applyAlignment="1">
      <alignment horizontal="left" vertical="center"/>
    </xf>
    <xf numFmtId="170" fontId="26" fillId="18" borderId="0" xfId="2" applyNumberFormat="1" applyFont="1" applyFill="1" applyAlignment="1">
      <alignment horizontal="left" vertical="center"/>
    </xf>
    <xf numFmtId="0" fontId="29" fillId="21" borderId="0" xfId="2" applyFont="1" applyFill="1" applyAlignment="1">
      <alignment horizontal="left" vertical="center"/>
    </xf>
    <xf numFmtId="0" fontId="27" fillId="21" borderId="0" xfId="2" applyFont="1" applyFill="1" applyAlignment="1">
      <alignment horizontal="left"/>
    </xf>
  </cellXfs>
  <cellStyles count="3">
    <cellStyle name="Normal" xfId="0" builtinId="0"/>
    <cellStyle name="Normal 2" xfId="2" xr:uid="{A1D5D424-D9FE-4AC9-A874-619309FC9078}"/>
    <cellStyle name="Percent" xfId="1" builtinId="5"/>
  </cellStyles>
  <dxfs count="2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C65911"/>
      </font>
      <fill>
        <patternFill patternType="solid">
          <bgColor rgb="FFFCE4D6"/>
        </patternFill>
      </fill>
    </dxf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tr">
      <tp t="s">
        <v>The record could not be found (Error code: 0)</v>
        <stp/>
        <stp>239</stp>
        <stp>43782531</stp>
        <tr r="C44" s="1"/>
      </tp>
      <tp>
        <v>42.65</v>
        <stp/>
        <stp>139</stp>
        <stp>43782531</stp>
        <tr r="K28" s="1"/>
      </tp>
      <tp>
        <v>32.08</v>
        <stp/>
        <stp>238</stp>
        <stp>43782531</stp>
        <tr r="K44" s="1"/>
        <tr r="K44" s="1"/>
      </tp>
      <tp>
        <v>372.5</v>
        <stp/>
        <stp>138</stp>
        <stp>43782531</stp>
        <tr r="H30" s="1"/>
        <tr r="H30" s="1"/>
      </tp>
      <tp>
        <v>214.62</v>
        <stp/>
        <stp>233</stp>
        <stp>43782531</stp>
        <tr r="J43" s="1"/>
      </tp>
      <tp>
        <v>42.65</v>
        <stp/>
        <stp>133</stp>
        <stp>43782531</stp>
        <tr r="I28" s="1"/>
      </tp>
      <tp>
        <v>213.18</v>
        <stp/>
        <stp>232</stp>
        <stp>43782531</stp>
        <tr r="I43" s="1"/>
        <tr r="I43" s="1"/>
      </tp>
      <tp>
        <v>40.68</v>
        <stp/>
        <stp>132</stp>
        <stp>43782531</stp>
        <tr r="H28" s="1"/>
        <tr r="H28" s="1"/>
      </tp>
      <tp>
        <v>214.62</v>
        <stp/>
        <stp>231</stp>
        <stp>43782531</stp>
        <tr r="I43" s="1"/>
      </tp>
      <tp>
        <v>42.65</v>
        <stp/>
        <stp>131</stp>
        <stp>43782531</stp>
        <tr r="H28" s="1"/>
      </tp>
      <tp>
        <v>213.99</v>
        <stp/>
        <stp>230</stp>
        <stp>43782531</stp>
        <tr r="H43" s="1"/>
        <tr r="H43" s="1"/>
      </tp>
      <tp>
        <v>30.535</v>
        <stp/>
        <stp>130</stp>
        <stp>43782531</stp>
        <tr r="K27" s="1"/>
        <tr r="K27" s="1"/>
      </tp>
      <tp>
        <v>40.58</v>
        <stp/>
        <stp>237</stp>
        <stp>43782531</stp>
        <tr r="K44" s="1"/>
      </tp>
      <tp>
        <v>376.3</v>
        <stp/>
        <stp>137</stp>
        <stp>43782531</stp>
        <tr r="H30" s="1"/>
      </tp>
      <tp>
        <v>40.35</v>
        <stp/>
        <stp>236</stp>
        <stp>43782531</stp>
        <tr r="J44" s="1"/>
        <tr r="J44" s="1"/>
      </tp>
      <tp>
        <v>36.97</v>
        <stp/>
        <stp>136</stp>
        <stp>43782531</stp>
        <tr r="J28" s="1"/>
        <tr r="J28" s="1"/>
      </tp>
      <tp>
        <v>40.58</v>
        <stp/>
        <stp>235</stp>
        <stp>43782531</stp>
        <tr r="J44" s="1"/>
      </tp>
      <tp>
        <v>42.65</v>
        <stp/>
        <stp>135</stp>
        <stp>43782531</stp>
        <tr r="J28" s="1"/>
      </tp>
      <tp>
        <v>205.87</v>
        <stp/>
        <stp>234</stp>
        <stp>43782531</stp>
        <tr r="J43" s="1"/>
        <tr r="J43" s="1"/>
      </tp>
      <tp>
        <v>40.93</v>
        <stp/>
        <stp>134</stp>
        <stp>43782531</stp>
        <tr r="I28" s="1"/>
        <tr r="I28" s="1"/>
      </tp>
      <tp>
        <v>214.62</v>
        <stp/>
        <stp>229</stp>
        <stp>43782531</stp>
        <tr r="H43" s="1"/>
      </tp>
      <tp>
        <v>35.75</v>
        <stp/>
        <stp>129</stp>
        <stp>43782531</stp>
        <tr r="K27" s="1"/>
      </tp>
      <tp>
        <v>199.7</v>
        <stp/>
        <stp>228</stp>
        <stp>43782531</stp>
        <tr r="K42" s="1"/>
        <tr r="K42" s="1"/>
      </tp>
      <tp>
        <v>34.630000000000003</v>
        <stp/>
        <stp>128</stp>
        <stp>43782531</stp>
        <tr r="I27" s="1"/>
        <tr r="I27" s="1"/>
      </tp>
      <tp>
        <v>288.20999999999998</v>
        <stp/>
        <stp>223</stp>
        <stp>43782531</stp>
        <tr r="I42" s="1"/>
      </tp>
      <tp>
        <v>35.75</v>
        <stp/>
        <stp>123</stp>
        <stp>43782531</stp>
        <tr r="H27" s="1"/>
      </tp>
      <tp>
        <v>275.76</v>
        <stp/>
        <stp>222</stp>
        <stp>43782531</stp>
        <tr r="J42" s="1"/>
        <tr r="J42" s="1"/>
      </tp>
      <tp>
        <v>1401.5</v>
        <stp/>
        <stp>122</stp>
        <stp>43782531</stp>
        <tr r="K25" s="1"/>
        <tr r="K25" s="1"/>
      </tp>
      <tp>
        <v>288.20999999999998</v>
        <stp/>
        <stp>221</stp>
        <stp>43782531</stp>
        <tr r="J42" s="1"/>
      </tp>
      <tp>
        <v>2292</v>
        <stp/>
        <stp>121</stp>
        <stp>43782531</stp>
        <tr r="K25" s="1"/>
      </tp>
      <tp>
        <v>104.44</v>
        <stp/>
        <stp>220</stp>
        <stp>43782531</stp>
        <tr r="K41" s="1"/>
        <tr r="K41" s="1"/>
      </tp>
      <tp>
        <v>1811</v>
        <stp/>
        <stp>120</stp>
        <stp>43782531</stp>
        <tr r="J25" s="1"/>
        <tr r="J25" s="1"/>
      </tp>
      <tp>
        <v>288.20999999999998</v>
        <stp/>
        <stp>227</stp>
        <stp>43782531</stp>
        <tr r="K42" s="1"/>
      </tp>
      <tp>
        <v>35.75</v>
        <stp/>
        <stp>127</stp>
        <stp>43782531</stp>
        <tr r="I27" s="1"/>
      </tp>
      <tp>
        <v>287.89</v>
        <stp/>
        <stp>226</stp>
        <stp>43782531</stp>
        <tr r="H42" s="1"/>
        <tr r="H42" s="1"/>
      </tp>
      <tp>
        <v>27.35</v>
        <stp/>
        <stp>126</stp>
        <stp>43782531</stp>
        <tr r="J27" s="1"/>
        <tr r="J27" s="1"/>
      </tp>
      <tp>
        <v>288.20999999999998</v>
        <stp/>
        <stp>225</stp>
        <stp>43782531</stp>
        <tr r="H42" s="1"/>
      </tp>
      <tp>
        <v>35.75</v>
        <stp/>
        <stp>125</stp>
        <stp>43782531</stp>
        <tr r="J27" s="1"/>
      </tp>
      <tp>
        <v>288.11</v>
        <stp/>
        <stp>224</stp>
        <stp>43782531</stp>
        <tr r="I42" s="1"/>
        <tr r="I42" s="1"/>
      </tp>
      <tp>
        <v>34.875</v>
        <stp/>
        <stp>124</stp>
        <stp>43782531</stp>
        <tr r="H27" s="1"/>
        <tr r="H27" s="1"/>
      </tp>
      <tp>
        <v>166.18</v>
        <stp/>
        <stp>219</stp>
        <stp>43782531</stp>
        <tr r="K41" s="1"/>
      </tp>
      <tp>
        <v>2292</v>
        <stp/>
        <stp>119</stp>
        <stp>43782531</stp>
        <tr r="J25" s="1"/>
      </tp>
      <tp>
        <v>-2E-3</v>
        <stp/>
        <stp>218</stp>
        <stp>43782531</stp>
        <tr r="D42" s="1"/>
        <tr r="D42" s="1"/>
      </tp>
      <tp>
        <v>2182</v>
        <stp/>
        <stp>118</stp>
        <stp>43782531</stp>
        <tr r="I25" s="1"/>
        <tr r="I25" s="1"/>
      </tp>
      <tp>
        <v>166.18</v>
        <stp/>
        <stp>213</stp>
        <stp>43782531</stp>
        <tr r="I41" s="1"/>
      </tp>
      <tp>
        <v>2292</v>
        <stp/>
        <stp>113</stp>
        <stp>43782531</stp>
        <tr r="H25" s="1"/>
      </tp>
      <tp>
        <v>108.21</v>
        <stp/>
        <stp>212</stp>
        <stp>43782531</stp>
        <tr r="K40" s="1"/>
        <tr r="K40" s="1"/>
      </tp>
      <tp>
        <v>593</v>
        <stp/>
        <stp>112</stp>
        <stp>43782531</stp>
        <tr r="J24" s="1"/>
        <tr r="J24" s="1"/>
      </tp>
      <tp>
        <v>161.15</v>
        <stp/>
        <stp>211</stp>
        <stp>43782531</stp>
        <tr r="K40" s="1"/>
      </tp>
      <tp>
        <v>696.4</v>
        <stp/>
        <stp>111</stp>
        <stp>43782531</stp>
        <tr r="J24" s="1"/>
      </tp>
      <tp>
        <v>168.2</v>
        <stp/>
        <stp>210</stp>
        <stp>43782531</stp>
        <tr r="H41" s="1"/>
        <tr r="H41" s="1"/>
      </tp>
      <tp>
        <v>692</v>
        <stp/>
        <stp>110</stp>
        <stp>43782531</stp>
        <tr r="I24" s="1"/>
        <tr r="I24" s="1"/>
      </tp>
      <tp>
        <v>61.121000000000002</v>
        <stp/>
        <stp>217</stp>
        <stp>43782531</stp>
        <tr r="D42" s="1"/>
      </tp>
      <tp>
        <v>2292</v>
        <stp/>
        <stp>117</stp>
        <stp>43782531</stp>
        <tr r="I25" s="1"/>
      </tp>
      <tp>
        <v>159.65</v>
        <stp/>
        <stp>216</stp>
        <stp>43782531</stp>
        <tr r="J41" s="1"/>
        <tr r="J41" s="1"/>
      </tp>
      <tp>
        <v>522.20000000000005</v>
        <stp/>
        <stp>116</stp>
        <stp>43782531</stp>
        <tr r="K24" s="1"/>
        <tr r="K24" s="1"/>
      </tp>
      <tp>
        <v>166.18</v>
        <stp/>
        <stp>215</stp>
        <stp>43782531</stp>
        <tr r="J41" s="1"/>
      </tp>
      <tp>
        <v>696.4</v>
        <stp/>
        <stp>115</stp>
        <stp>43782531</stp>
        <tr r="K24" s="1"/>
      </tp>
      <tp>
        <v>165.87</v>
        <stp/>
        <stp>214</stp>
        <stp>43782531</stp>
        <tr r="I41" s="1"/>
        <tr r="I41" s="1"/>
      </tp>
      <tp>
        <v>2204</v>
        <stp/>
        <stp>114</stp>
        <stp>43782531</stp>
        <tr r="H25" s="1"/>
        <tr r="H25" s="1"/>
      </tp>
      <tp>
        <v>166.18</v>
        <stp/>
        <stp>209</stp>
        <stp>43782531</stp>
        <tr r="H41" s="1"/>
      </tp>
      <tp>
        <v>696.4</v>
        <stp/>
        <stp>109</stp>
        <stp>43782531</stp>
        <tr r="I24" s="1"/>
      </tp>
      <tp>
        <v>153.74</v>
        <stp/>
        <stp>208</stp>
        <stp>43782531</stp>
        <tr r="J40" s="1"/>
        <tr r="J40" s="1"/>
      </tp>
      <tp>
        <v>979</v>
        <stp/>
        <stp>108</stp>
        <stp>43782531</stp>
        <tr r="K23" s="1"/>
        <tr r="K23" s="1"/>
      </tp>
      <tp>
        <v>161.15</v>
        <stp/>
        <stp>203</stp>
        <stp>43782531</stp>
        <tr r="H40" s="1"/>
      </tp>
      <tp>
        <v>1574.8</v>
        <stp/>
        <stp>103</stp>
        <stp>43782531</stp>
        <tr r="J23" s="1"/>
      </tp>
      <tp>
        <v>175.3</v>
        <stp/>
        <stp>202</stp>
        <stp>43782531</stp>
        <tr r="K39" s="1"/>
        <tr r="K39" s="1"/>
      </tp>
      <tp>
        <v>1522.2</v>
        <stp/>
        <stp>102</stp>
        <stp>43782531</stp>
        <tr r="I23" s="1"/>
        <tr r="I23" s="1"/>
      </tp>
      <tp>
        <v>241.48</v>
        <stp/>
        <stp>201</stp>
        <stp>43782531</stp>
        <tr r="K39" s="1"/>
      </tp>
      <tp>
        <v>1574.8</v>
        <stp/>
        <stp>101</stp>
        <stp>43782531</stp>
        <tr r="I23" s="1"/>
      </tp>
      <tp>
        <v>229.39</v>
        <stp/>
        <stp>200</stp>
        <stp>43782531</stp>
        <tr r="J39" s="1"/>
        <tr r="J39" s="1"/>
      </tp>
      <tp>
        <v>373.55</v>
        <stp/>
        <stp>100</stp>
        <stp>43782531</stp>
        <tr r="K22" s="1"/>
        <tr r="K22" s="1"/>
      </tp>
      <tp>
        <v>161.15</v>
        <stp/>
        <stp>207</stp>
        <stp>43782531</stp>
        <tr r="J40" s="1"/>
      </tp>
      <tp>
        <v>1574.8</v>
        <stp/>
        <stp>107</stp>
        <stp>43782531</stp>
        <tr r="K23" s="1"/>
      </tp>
      <tp>
        <v>163.82</v>
        <stp/>
        <stp>206</stp>
        <stp>43782531</stp>
        <tr r="I40" s="1"/>
        <tr r="I40" s="1"/>
      </tp>
      <tp>
        <v>686.6</v>
        <stp/>
        <stp>106</stp>
        <stp>43782531</stp>
        <tr r="H24" s="1"/>
        <tr r="H24" s="1"/>
      </tp>
      <tp>
        <v>161.15</v>
        <stp/>
        <stp>205</stp>
        <stp>43782531</stp>
        <tr r="I40" s="1"/>
      </tp>
      <tp>
        <v>696.4</v>
        <stp/>
        <stp>105</stp>
        <stp>43782531</stp>
        <tr r="H24" s="1"/>
      </tp>
      <tp>
        <v>160.16999999999999</v>
        <stp/>
        <stp>204</stp>
        <stp>43782531</stp>
        <tr r="H40" s="1"/>
        <tr r="H40" s="1"/>
      </tp>
      <tp>
        <v>1311.4</v>
        <stp/>
        <stp>104</stp>
        <stp>43782531</stp>
        <tr r="J23" s="1"/>
        <tr r="J23" s="1"/>
      </tp>
      <tp>
        <v>1797</v>
        <stp/>
        <stp>179</stp>
        <stp>43782531</stp>
        <tr r="K35" s="1"/>
      </tp>
      <tp>
        <v>1608.5</v>
        <stp/>
        <stp>178</stp>
        <stp>43782531</stp>
        <tr r="H36" s="1"/>
        <tr r="H36" s="1"/>
      </tp>
      <tp>
        <v>1797</v>
        <stp/>
        <stp>173</stp>
        <stp>43782531</stp>
        <tr r="I35" s="1"/>
      </tp>
      <tp>
        <v>4815</v>
        <stp/>
        <stp>172</stp>
        <stp>43782531</stp>
        <tr r="K34" s="1"/>
        <tr r="K34" s="1"/>
      </tp>
      <tp>
        <v>8476</v>
        <stp/>
        <stp>171</stp>
        <stp>43782531</stp>
        <tr r="K34" s="1"/>
      </tp>
      <tp>
        <v>1818.5</v>
        <stp/>
        <stp>170</stp>
        <stp>43782531</stp>
        <tr r="H35" s="1"/>
        <tr r="H35" s="1"/>
      </tp>
      <tp>
        <v>1616</v>
        <stp/>
        <stp>177</stp>
        <stp>43782531</stp>
        <tr r="H36" s="1"/>
      </tp>
      <tp>
        <v>1568</v>
        <stp/>
        <stp>176</stp>
        <stp>43782531</stp>
        <tr r="J35" s="1"/>
        <tr r="J35" s="1"/>
      </tp>
      <tp>
        <v>1797</v>
        <stp/>
        <stp>175</stp>
        <stp>43782531</stp>
        <tr r="J35" s="1"/>
      </tp>
      <tp>
        <v>1814</v>
        <stp/>
        <stp>174</stp>
        <stp>43782531</stp>
        <tr r="I35" s="1"/>
        <tr r="I35" s="1"/>
      </tp>
      <tp>
        <v>1797</v>
        <stp/>
        <stp>169</stp>
        <stp>43782531</stp>
        <tr r="H35" s="1"/>
      </tp>
      <tp>
        <v>7690</v>
        <stp/>
        <stp>168</stp>
        <stp>43782531</stp>
        <tr r="J34" s="1"/>
        <tr r="J34" s="1"/>
      </tp>
      <tp>
        <v>6801</v>
        <stp/>
        <stp>163</stp>
        <stp>43782531</stp>
        <tr r="K33" s="1"/>
      </tp>
      <tp>
        <v>8669</v>
        <stp/>
        <stp>162</stp>
        <stp>43782531</stp>
        <tr r="H34" s="1"/>
        <tr r="H34" s="1"/>
      </tp>
      <tp>
        <v>8476</v>
        <stp/>
        <stp>161</stp>
        <stp>43782531</stp>
        <tr r="H34" s="1"/>
      </tp>
      <tp>
        <v>6182</v>
        <stp/>
        <stp>160</stp>
        <stp>43782531</stp>
        <tr r="J33" s="1"/>
        <tr r="J33" s="1"/>
      </tp>
      <tp>
        <v>8476</v>
        <stp/>
        <stp>167</stp>
        <stp>43782531</stp>
        <tr r="J34" s="1"/>
      </tp>
      <tp>
        <v>8314</v>
        <stp/>
        <stp>166</stp>
        <stp>43782531</stp>
        <tr r="I34" s="1"/>
        <tr r="I34" s="1"/>
      </tp>
      <tp>
        <v>8476</v>
        <stp/>
        <stp>165</stp>
        <stp>43782531</stp>
        <tr r="I34" s="1"/>
      </tp>
      <tp>
        <v>4032</v>
        <stp/>
        <stp>164</stp>
        <stp>43782531</stp>
        <tr r="K33" s="1"/>
        <tr r="K33" s="1"/>
      </tp>
      <tp>
        <v>6801</v>
        <stp/>
        <stp>159</stp>
        <stp>43782531</stp>
        <tr r="J33" s="1"/>
      </tp>
      <tp>
        <v>6732</v>
        <stp/>
        <stp>158</stp>
        <stp>43782531</stp>
        <tr r="I33" s="1"/>
        <tr r="I33" s="1"/>
      </tp>
      <tp>
        <v>6801</v>
        <stp/>
        <stp>153</stp>
        <stp>43782531</stp>
        <tr r="H33" s="1"/>
      </tp>
      <tp>
        <v>3180</v>
        <stp/>
        <stp>152</stp>
        <stp>43782531</stp>
        <tr r="J32" s="1"/>
        <tr r="J32" s="1"/>
      </tp>
      <tp>
        <v>3601</v>
        <stp/>
        <stp>151</stp>
        <stp>43782531</stp>
        <tr r="J32" s="1"/>
      </tp>
      <tp>
        <v>3579</v>
        <stp/>
        <stp>150</stp>
        <stp>43782531</stp>
        <tr r="I32" s="1"/>
        <tr r="I32" s="1"/>
      </tp>
      <tp>
        <v>6801</v>
        <stp/>
        <stp>157</stp>
        <stp>43782531</stp>
        <tr r="I33" s="1"/>
      </tp>
      <tp>
        <v>2260</v>
        <stp/>
        <stp>156</stp>
        <stp>43782531</stp>
        <tr r="K32" s="1"/>
        <tr r="K32" s="1"/>
      </tp>
      <tp>
        <v>3601</v>
        <stp/>
        <stp>155</stp>
        <stp>43782531</stp>
        <tr r="K32" s="1"/>
      </tp>
      <tp>
        <v>6971</v>
        <stp/>
        <stp>154</stp>
        <stp>43782531</stp>
        <tr r="H33" s="1"/>
        <tr r="H33" s="1"/>
      </tp>
      <tp>
        <v>3601</v>
        <stp/>
        <stp>149</stp>
        <stp>43782531</stp>
        <tr r="I32" s="1"/>
      </tp>
      <tp>
        <v>261.10000000000002</v>
        <stp/>
        <stp>148</stp>
        <stp>43782531</stp>
        <tr r="K30" s="1"/>
        <tr r="K30" s="1"/>
      </tp>
      <tp t="s">
        <v>The record could not be found (Error code: 0)</v>
        <stp/>
        <stp>243</stp>
        <stp>43782531</stp>
        <tr r="D44" s="1"/>
        <tr r="D44" s="1"/>
      </tp>
      <tp>
        <v>376.3</v>
        <stp/>
        <stp>143</stp>
        <stp>43782531</stp>
        <tr r="J30" s="1"/>
      </tp>
      <tp t="s">
        <v>The record could not be found (Error code: 0)</v>
        <stp/>
        <stp>242</stp>
        <stp>43782531</stp>
        <tr r="D44" s="1"/>
      </tp>
      <tp>
        <v>371.4</v>
        <stp/>
        <stp>142</stp>
        <stp>43782531</stp>
        <tr r="I30" s="1"/>
        <tr r="I30" s="1"/>
      </tp>
      <tp>
        <v>147.37</v>
        <stp/>
        <stp>241</stp>
        <stp>43782531</stp>
        <tr r="K43" s="1"/>
        <tr r="K43" s="1"/>
      </tp>
      <tp>
        <v>376.3</v>
        <stp/>
        <stp>141</stp>
        <stp>43782531</stp>
        <tr r="I30" s="1"/>
      </tp>
      <tp>
        <v>214.62</v>
        <stp/>
        <stp>240</stp>
        <stp>43782531</stp>
        <tr r="K43" s="1"/>
      </tp>
      <tp>
        <v>32.82</v>
        <stp/>
        <stp>140</stp>
        <stp>43782531</stp>
        <tr r="K28" s="1"/>
        <tr r="K28" s="1"/>
      </tp>
      <tp>
        <v>40.31</v>
        <stp/>
        <stp>247</stp>
        <stp>43782531</stp>
        <tr r="I44" s="1"/>
        <tr r="I44" s="1"/>
      </tp>
      <tp>
        <v>376.3</v>
        <stp/>
        <stp>147</stp>
        <stp>43782531</stp>
        <tr r="K30" s="1"/>
      </tp>
      <tp>
        <v>40.58</v>
        <stp/>
        <stp>246</stp>
        <stp>43782531</stp>
        <tr r="I44" s="1"/>
      </tp>
      <tp>
        <v>3684</v>
        <stp/>
        <stp>146</stp>
        <stp>43782531</stp>
        <tr r="H32" s="1"/>
        <tr r="H32" s="1"/>
      </tp>
      <tp>
        <v>40.590000000000003</v>
        <stp/>
        <stp>245</stp>
        <stp>43782531</stp>
        <tr r="H44" s="1"/>
        <tr r="H44" s="1"/>
      </tp>
      <tp>
        <v>3601</v>
        <stp/>
        <stp>145</stp>
        <stp>43782531</stp>
        <tr r="H32" s="1"/>
      </tp>
      <tp>
        <v>40.58</v>
        <stp/>
        <stp>244</stp>
        <stp>43782531</stp>
        <tr r="H44" s="1"/>
      </tp>
      <tp>
        <v>329.4</v>
        <stp/>
        <stp>144</stp>
        <stp>43782531</stp>
        <tr r="J30" s="1"/>
        <tr r="J30" s="1"/>
      </tp>
      <tp>
        <v>241.48</v>
        <stp/>
        <stp>199</stp>
        <stp>43782531</stp>
        <tr r="J39" s="1"/>
      </tp>
      <tp>
        <v>239.97</v>
        <stp/>
        <stp>198</stp>
        <stp>43782531</stp>
        <tr r="I39" s="1"/>
        <tr r="I39" s="1"/>
      </tp>
      <tp>
        <v>128</v>
        <stp/>
        <stp>193</stp>
        <stp>43782531</stp>
        <tr r="K38" s="1"/>
      </tp>
      <tp>
        <v>113.86</v>
        <stp/>
        <stp>192</stp>
        <stp>43782531</stp>
        <tr r="J38" s="1"/>
        <tr r="J38" s="1"/>
      </tp>
      <tp>
        <v>128</v>
        <stp/>
        <stp>191</stp>
        <stp>43782531</stp>
        <tr r="J38" s="1"/>
      </tp>
      <tp>
        <v>129.81</v>
        <stp/>
        <stp>190</stp>
        <stp>43782531</stp>
        <tr r="I38" s="1"/>
        <tr r="I38" s="1"/>
      </tp>
      <tp>
        <v>241.48</v>
        <stp/>
        <stp>197</stp>
        <stp>43782531</stp>
        <tr r="I39" s="1"/>
      </tp>
      <tp>
        <v>239.29</v>
        <stp/>
        <stp>196</stp>
        <stp>43782531</stp>
        <tr r="H39" s="1"/>
        <tr r="H39" s="1"/>
      </tp>
      <tp>
        <v>241.48</v>
        <stp/>
        <stp>195</stp>
        <stp>43782531</stp>
        <tr r="H39" s="1"/>
      </tp>
      <tp>
        <v>88.35</v>
        <stp/>
        <stp>194</stp>
        <stp>43782531</stp>
        <tr r="K38" s="1"/>
        <tr r="K38" s="1"/>
      </tp>
      <tp>
        <v>128</v>
        <stp/>
        <stp>189</stp>
        <stp>43782531</stp>
        <tr r="I38" s="1"/>
      </tp>
      <tp>
        <v>129.13999999999999</v>
        <stp/>
        <stp>188</stp>
        <stp>43782531</stp>
        <tr r="H38" s="1"/>
        <tr r="H38" s="1"/>
      </tp>
      <tp>
        <v>1616</v>
        <stp/>
        <stp>183</stp>
        <stp>43782531</stp>
        <tr r="J36" s="1"/>
      </tp>
      <tp>
        <v>1603.5</v>
        <stp/>
        <stp>182</stp>
        <stp>43782531</stp>
        <tr r="I36" s="1"/>
        <tr r="I36" s="1"/>
      </tp>
      <tp>
        <v>1616</v>
        <stp/>
        <stp>181</stp>
        <stp>43782531</stp>
        <tr r="I36" s="1"/>
      </tp>
      <tp>
        <v>1194.5</v>
        <stp/>
        <stp>180</stp>
        <stp>43782531</stp>
        <tr r="K35" s="1"/>
        <tr r="K35" s="1"/>
      </tp>
      <tp>
        <v>128</v>
        <stp/>
        <stp>187</stp>
        <stp>43782531</stp>
        <tr r="H38" s="1"/>
      </tp>
      <tp>
        <v>1076.5</v>
        <stp/>
        <stp>186</stp>
        <stp>43782531</stp>
        <tr r="K36" s="1"/>
        <tr r="K36" s="1"/>
      </tp>
      <tp>
        <v>1616</v>
        <stp/>
        <stp>185</stp>
        <stp>43782531</stp>
        <tr r="K36" s="1"/>
      </tp>
      <tp>
        <v>1387</v>
        <stp/>
        <stp>184</stp>
        <stp>43782531</stp>
        <tr r="J36" s="1"/>
        <tr r="J36" s="1"/>
      </tp>
      <tp>
        <v>18.675000000000001</v>
        <stp/>
        <stp>71</stp>
        <stp>43782531</stp>
        <tr r="J17" s="1"/>
      </tp>
      <tp>
        <v>19.010000000000002</v>
        <stp/>
        <stp>70</stp>
        <stp>43782531</stp>
        <tr r="I17" s="1"/>
        <tr r="I17" s="1"/>
      </tp>
      <tp>
        <v>18.675000000000001</v>
        <stp/>
        <stp>73</stp>
        <stp>43782531</stp>
        <tr r="K17" s="1"/>
      </tp>
      <tp>
        <v>16.434999999999999</v>
        <stp/>
        <stp>72</stp>
        <stp>43782531</stp>
        <tr r="J17" s="1"/>
        <tr r="J17" s="1"/>
      </tp>
      <tp>
        <v>74.34</v>
        <stp/>
        <stp>75</stp>
        <stp>43782531</stp>
        <tr r="H18" s="1"/>
      </tp>
      <tp>
        <v>16.065000000000001</v>
        <stp/>
        <stp>74</stp>
        <stp>43782531</stp>
        <tr r="K17" s="1"/>
        <tr r="K17" s="1"/>
      </tp>
      <tp>
        <v>74.34</v>
        <stp/>
        <stp>77</stp>
        <stp>43782531</stp>
        <tr r="I18" s="1"/>
      </tp>
      <tp>
        <v>72.510000000000005</v>
        <stp/>
        <stp>76</stp>
        <stp>43782531</stp>
        <tr r="H18" s="1"/>
        <tr r="H18" s="1"/>
      </tp>
      <tp>
        <v>74.34</v>
        <stp/>
        <stp>79</stp>
        <stp>43782531</stp>
        <tr r="J18" s="1"/>
      </tp>
      <tp>
        <v>74.760000000000005</v>
        <stp/>
        <stp>78</stp>
        <stp>43782531</stp>
        <tr r="I18" s="1"/>
        <tr r="I18" s="1"/>
      </tp>
      <tp>
        <v>103.88</v>
        <stp/>
        <stp>61</stp>
        <stp>43782531</stp>
        <tr r="I16" s="1"/>
      </tp>
      <tp>
        <v>112.05</v>
        <stp/>
        <stp>60</stp>
        <stp>43782531</stp>
        <tr r="K14" s="1"/>
        <tr r="K14" s="1"/>
      </tp>
      <tp>
        <v>103.88</v>
        <stp/>
        <stp>63</stp>
        <stp>43782531</stp>
        <tr r="J16" s="1"/>
      </tp>
      <tp>
        <v>105.72</v>
        <stp/>
        <stp>62</stp>
        <stp>43782531</stp>
        <tr r="I16" s="1"/>
        <tr r="I16" s="1"/>
      </tp>
      <tp>
        <v>103.88</v>
        <stp/>
        <stp>65</stp>
        <stp>43782531</stp>
        <tr r="K16" s="1"/>
      </tp>
      <tp>
        <v>93.39</v>
        <stp/>
        <stp>64</stp>
        <stp>43782531</stp>
        <tr r="J16" s="1"/>
        <tr r="J16" s="1"/>
      </tp>
      <tp>
        <v>18.675000000000001</v>
        <stp/>
        <stp>67</stp>
        <stp>43782531</stp>
        <tr r="H17" s="1"/>
      </tp>
      <tp>
        <v>77.87</v>
        <stp/>
        <stp>66</stp>
        <stp>43782531</stp>
        <tr r="K16" s="1"/>
        <tr r="K16" s="1"/>
      </tp>
      <tp>
        <v>18.675000000000001</v>
        <stp/>
        <stp>69</stp>
        <stp>43782531</stp>
        <tr r="I17" s="1"/>
      </tp>
      <tp>
        <v>18.585000000000001</v>
        <stp/>
        <stp>68</stp>
        <stp>43782531</stp>
        <tr r="H17" s="1"/>
        <tr r="H17" s="1"/>
      </tp>
      <tp>
        <v>87.96</v>
        <stp/>
        <stp>51</stp>
        <stp>43782531</stp>
        <tr r="K13" s="1"/>
      </tp>
      <tp>
        <v>190.04</v>
        <stp/>
        <stp>50</stp>
        <stp>43782531</stp>
        <tr r="H14" s="1"/>
        <tr r="H14" s="1"/>
      </tp>
      <tp>
        <v>191.88</v>
        <stp/>
        <stp>53</stp>
        <stp>43782531</stp>
        <tr r="I14" s="1"/>
      </tp>
      <tp>
        <v>80.760000000000005</v>
        <stp/>
        <stp>52</stp>
        <stp>43782531</stp>
        <tr r="K13" s="1"/>
        <tr r="K13" s="1"/>
      </tp>
      <tp>
        <v>191.88</v>
        <stp/>
        <stp>55</stp>
        <stp>43782531</stp>
        <tr r="J14" s="1"/>
      </tp>
      <tp>
        <v>193.62</v>
        <stp/>
        <stp>54</stp>
        <stp>43782531</stp>
        <tr r="I14" s="1"/>
        <tr r="I14" s="1"/>
      </tp>
      <tp>
        <v>103.88</v>
        <stp/>
        <stp>57</stp>
        <stp>43782531</stp>
        <tr r="H16" s="1"/>
      </tp>
      <tp>
        <v>163.25</v>
        <stp/>
        <stp>56</stp>
        <stp>43782531</stp>
        <tr r="J14" s="1"/>
        <tr r="J14" s="1"/>
      </tp>
      <tp>
        <v>191.88</v>
        <stp/>
        <stp>59</stp>
        <stp>43782531</stp>
        <tr r="K14" s="1"/>
      </tp>
      <tp>
        <v>103.1</v>
        <stp/>
        <stp>58</stp>
        <stp>43782531</stp>
        <tr r="H16" s="1"/>
        <tr r="H16" s="1"/>
      </tp>
      <tp>
        <v>87.96</v>
        <stp/>
        <stp>41</stp>
        <stp>43782531</stp>
        <tr r="H13" s="1"/>
      </tp>
      <tp>
        <v>210.25</v>
        <stp/>
        <stp>40</stp>
        <stp>43782531</stp>
        <tr r="J12" s="1"/>
        <tr r="J12" s="1"/>
      </tp>
      <tp>
        <v>216.24</v>
        <stp/>
        <stp>43</stp>
        <stp>43782531</stp>
        <tr r="K12" s="1"/>
      </tp>
      <tp>
        <v>89.27</v>
        <stp/>
        <stp>42</stp>
        <stp>43782531</stp>
        <tr r="H13" s="1"/>
        <tr r="H13" s="1"/>
      </tp>
      <tp>
        <v>87.96</v>
        <stp/>
        <stp>45</stp>
        <stp>43782531</stp>
        <tr r="I13" s="1"/>
      </tp>
      <tp>
        <v>152.22</v>
        <stp/>
        <stp>44</stp>
        <stp>43782531</stp>
        <tr r="K12" s="1"/>
        <tr r="K12" s="1"/>
      </tp>
      <tp>
        <v>87.96</v>
        <stp/>
        <stp>47</stp>
        <stp>43782531</stp>
        <tr r="J13" s="1"/>
      </tp>
      <tp>
        <v>85.23</v>
        <stp/>
        <stp>46</stp>
        <stp>43782531</stp>
        <tr r="I13" s="1"/>
        <tr r="I13" s="1"/>
      </tp>
      <tp>
        <v>191.88</v>
        <stp/>
        <stp>49</stp>
        <stp>43782531</stp>
        <tr r="H14" s="1"/>
      </tp>
      <tp>
        <v>82</v>
        <stp/>
        <stp>48</stp>
        <stp>43782531</stp>
        <tr r="J13" s="1"/>
        <tr r="J13" s="1"/>
      </tp>
      <tp>
        <v>1036.53</v>
        <stp/>
        <stp>31</stp>
        <stp>43782531</stp>
        <tr r="J11" s="1"/>
      </tp>
      <tp>
        <v>1040.46</v>
        <stp/>
        <stp>30</stp>
        <stp>43782531</stp>
        <tr r="I11" s="1"/>
        <tr r="I11" s="1"/>
      </tp>
      <tp>
        <v>216.24</v>
        <stp/>
        <stp>33</stp>
        <stp>43782531</stp>
        <tr r="H12" s="1"/>
      </tp>
      <tp>
        <v>1032.01</v>
        <stp/>
        <stp>32</stp>
        <stp>43782531</stp>
        <tr r="J11" s="1"/>
        <tr r="J11" s="1"/>
      </tp>
      <tp>
        <v>1036.53</v>
        <stp/>
        <stp>35</stp>
        <stp>43782531</stp>
        <tr r="K11" s="1"/>
      </tp>
      <tp>
        <v>211.82</v>
        <stp/>
        <stp>34</stp>
        <stp>43782531</stp>
        <tr r="H12" s="1"/>
        <tr r="H12" s="1"/>
      </tp>
      <tp>
        <v>216.24</v>
        <stp/>
        <stp>37</stp>
        <stp>43782531</stp>
        <tr r="I12" s="1"/>
      </tp>
      <tp>
        <v>763.92</v>
        <stp/>
        <stp>36</stp>
        <stp>43782531</stp>
        <tr r="K11" s="1"/>
        <tr r="K11" s="1"/>
      </tp>
      <tp>
        <v>216.24</v>
        <stp/>
        <stp>39</stp>
        <stp>43782531</stp>
        <tr r="J12" s="1"/>
      </tp>
      <tp>
        <v>214.08</v>
        <stp/>
        <stp>38</stp>
        <stp>43782531</stp>
        <tr r="I12" s="1"/>
        <tr r="I12" s="1"/>
      </tp>
      <tp>
        <v>353.51</v>
        <stp/>
        <stp>21</stp>
        <stp>43782531</stp>
        <tr r="I10" s="1"/>
      </tp>
      <tp>
        <v>50.29</v>
        <stp/>
        <stp>20</stp>
        <stp>43782531</stp>
        <tr r="K9" s="1"/>
        <tr r="K9" s="1"/>
      </tp>
      <tp>
        <v>353.51</v>
        <stp/>
        <stp>23</stp>
        <stp>43782531</stp>
        <tr r="J10" s="1"/>
      </tp>
      <tp>
        <v>356.5</v>
        <stp/>
        <stp>22</stp>
        <stp>43782531</stp>
        <tr r="I10" s="1"/>
        <tr r="I10" s="1"/>
      </tp>
      <tp>
        <v>353.51</v>
        <stp/>
        <stp>25</stp>
        <stp>43782531</stp>
        <tr r="K10" s="1"/>
      </tp>
      <tp>
        <v>312.7</v>
        <stp/>
        <stp>24</stp>
        <stp>43782531</stp>
        <tr r="J10" s="1"/>
        <tr r="J10" s="1"/>
      </tp>
      <tp>
        <v>1036.53</v>
        <stp/>
        <stp>27</stp>
        <stp>43782531</stp>
        <tr r="H11" s="1"/>
      </tp>
      <tp>
        <v>297.85000000000002</v>
        <stp/>
        <stp>26</stp>
        <stp>43782531</stp>
        <tr r="K10" s="1"/>
        <tr r="K10" s="1"/>
      </tp>
      <tp>
        <v>1036.53</v>
        <stp/>
        <stp>29</stp>
        <stp>43782531</stp>
        <tr r="I11" s="1"/>
      </tp>
      <tp>
        <v>1004.42</v>
        <stp/>
        <stp>28</stp>
        <stp>43782531</stp>
        <tr r="H11" s="1"/>
        <tr r="H11" s="1"/>
      </tp>
      <tp>
        <v>136.74</v>
        <stp/>
        <stp>11</stp>
        <stp>43782531</stp>
        <tr r="K8" s="1"/>
      </tp>
      <tp>
        <v>62.6</v>
        <stp/>
        <stp>10</stp>
        <stp>43782531</stp>
        <tr r="H9" s="1"/>
        <tr r="H9" s="1"/>
      </tp>
      <tp>
        <v>62.39</v>
        <stp/>
        <stp>13</stp>
        <stp>43782531</stp>
        <tr r="I9" s="1"/>
      </tp>
      <tp>
        <v>97.34</v>
        <stp/>
        <stp>12</stp>
        <stp>43782531</stp>
        <tr r="K8" s="1"/>
        <tr r="K8" s="1"/>
      </tp>
      <tp>
        <v>62.39</v>
        <stp/>
        <stp>15</stp>
        <stp>43782531</stp>
        <tr r="J9" s="1"/>
      </tp>
      <tp>
        <v>62.23</v>
        <stp/>
        <stp>14</stp>
        <stp>43782531</stp>
        <tr r="I9" s="1"/>
        <tr r="I9" s="1"/>
      </tp>
      <tp>
        <v>353.51</v>
        <stp/>
        <stp>17</stp>
        <stp>43782531</stp>
        <tr r="H10" s="1"/>
      </tp>
      <tp>
        <v>54.42</v>
        <stp/>
        <stp>16</stp>
        <stp>43782531</stp>
        <tr r="J9" s="1"/>
        <tr r="J9" s="1"/>
      </tp>
      <tp>
        <v>62.39</v>
        <stp/>
        <stp>19</stp>
        <stp>43782531</stp>
        <tr r="K9" s="1"/>
      </tp>
      <tp>
        <v>356.22</v>
        <stp/>
        <stp>18</stp>
        <stp>43782531</stp>
        <tr r="H10" s="1"/>
        <tr r="H10" s="1"/>
      </tp>
      <tp>
        <v>136.74</v>
        <stp/>
        <stp>5</stp>
        <stp>43782531</stp>
        <tr r="I8" s="1"/>
      </tp>
      <tp t="s">
        <v>The formula must contain at least one field or function.</v>
        <stp/>
        <stp>4</stp>
        <stp>43782531</stp>
        <tr r="M5" s="1"/>
      </tp>
      <tp>
        <v>136.74</v>
        <stp/>
        <stp>7</stp>
        <stp>43782531</stp>
        <tr r="J8" s="1"/>
      </tp>
      <tp>
        <v>133.56</v>
        <stp/>
        <stp>6</stp>
        <stp>43782531</stp>
        <tr r="I8" s="1"/>
        <tr r="I8" s="1"/>
      </tp>
      <tp t="s">
        <v>The formula must contain at least one field or function.</v>
        <stp/>
        <stp>1</stp>
        <stp>43782531</stp>
        <tr r="M2" s="1"/>
      </tp>
      <tp>
        <v>134.34</v>
        <stp/>
        <stp>3</stp>
        <stp>43782531</stp>
        <tr r="H8" s="1"/>
        <tr r="H8" s="1"/>
      </tp>
      <tp>
        <v>136.74</v>
        <stp/>
        <stp>2</stp>
        <stp>43782531</stp>
        <tr r="H8" s="1"/>
      </tp>
      <tp>
        <v>62.39</v>
        <stp/>
        <stp>9</stp>
        <stp>43782531</stp>
        <tr r="H9" s="1"/>
      </tp>
      <tp>
        <v>134.72999999999999</v>
        <stp/>
        <stp>8</stp>
        <stp>43782531</stp>
        <tr r="J8" s="1"/>
        <tr r="J8" s="1"/>
      </tp>
      <tp>
        <v>45</v>
        <stp/>
        <stp>91</stp>
        <stp>43782531</stp>
        <tr r="J20" s="1"/>
      </tp>
      <tp>
        <v>483.45</v>
        <stp/>
        <stp>90</stp>
        <stp>43782531</stp>
        <tr r="H22" s="1"/>
        <tr r="H22" s="1"/>
      </tp>
      <tp>
        <v>498.05</v>
        <stp/>
        <stp>93</stp>
        <stp>43782531</stp>
        <tr r="I22" s="1"/>
      </tp>
      <tp>
        <v>37.92</v>
        <stp/>
        <stp>92</stp>
        <stp>43782531</stp>
        <tr r="J20" s="1"/>
        <tr r="J20" s="1"/>
      </tp>
      <tp>
        <v>498.05</v>
        <stp/>
        <stp>95</stp>
        <stp>43782531</stp>
        <tr r="J22" s="1"/>
      </tp>
      <tp>
        <v>499.55</v>
        <stp/>
        <stp>94</stp>
        <stp>43782531</stp>
        <tr r="I22" s="1"/>
        <tr r="I22" s="1"/>
      </tp>
      <tp>
        <v>1574.8</v>
        <stp/>
        <stp>97</stp>
        <stp>43782531</stp>
        <tr r="H23" s="1"/>
      </tp>
      <tp>
        <v>447.95</v>
        <stp/>
        <stp>96</stp>
        <stp>43782531</stp>
        <tr r="J22" s="1"/>
        <tr r="J22" s="1"/>
      </tp>
      <tp>
        <v>498.05</v>
        <stp/>
        <stp>99</stp>
        <stp>43782531</stp>
        <tr r="K22" s="1"/>
      </tp>
      <tp>
        <v>1545.2</v>
        <stp/>
        <stp>98</stp>
        <stp>43782531</stp>
        <tr r="H23" s="1"/>
        <tr r="H23" s="1"/>
      </tp>
      <tp>
        <v>74.34</v>
        <stp/>
        <stp>81</stp>
        <stp>43782531</stp>
        <tr r="K18" s="1"/>
      </tp>
      <tp>
        <v>70.36</v>
        <stp/>
        <stp>80</stp>
        <stp>43782531</stp>
        <tr r="J18" s="1"/>
        <tr r="J18" s="1"/>
      </tp>
      <tp>
        <v>45</v>
        <stp/>
        <stp>83</stp>
        <stp>43782531</stp>
        <tr r="H20" s="1"/>
      </tp>
      <tp>
        <v>54.32</v>
        <stp/>
        <stp>82</stp>
        <stp>43782531</stp>
        <tr r="K18" s="1"/>
        <tr r="K18" s="1"/>
      </tp>
      <tp>
        <v>45</v>
        <stp/>
        <stp>85</stp>
        <stp>43782531</stp>
        <tr r="I20" s="1"/>
      </tp>
      <tp>
        <v>44.64</v>
        <stp/>
        <stp>84</stp>
        <stp>43782531</stp>
        <tr r="H20" s="1"/>
        <tr r="H20" s="1"/>
      </tp>
      <tp>
        <v>45</v>
        <stp/>
        <stp>87</stp>
        <stp>43782531</stp>
        <tr r="K20" s="1"/>
      </tp>
      <tp>
        <v>43.9</v>
        <stp/>
        <stp>86</stp>
        <stp>43782531</stp>
        <tr r="I20" s="1"/>
        <tr r="I20" s="1"/>
      </tp>
      <tp>
        <v>498.05</v>
        <stp/>
        <stp>89</stp>
        <stp>43782531</stp>
        <tr r="H22" s="1"/>
      </tp>
      <tp>
        <v>31.95</v>
        <stp/>
        <stp>88</stp>
        <stp>43782531</stp>
        <tr r="K20" s="1"/>
        <tr r="K2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CA"/>
              <a:t>Composite Risk Score by Bank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C14-4BF4-BA99-8D63BE6D9D3F}"/>
            </c:ext>
          </c:extLst>
        </c:ser>
        <c:ser>
          <c:idx val="1"/>
          <c:order val="1"/>
          <c:tx>
            <c:v>Composite Risk Score</c:v>
          </c:tx>
          <c:invertIfNegative val="1"/>
          <c:cat>
            <c:strRef>
              <c:f>'Risk Score Model'!$A$8:$A$44</c:f>
              <c:strCache>
                <c:ptCount val="37"/>
                <c:pt idx="0">
                  <c:v>Citigroup</c:v>
                </c:pt>
                <c:pt idx="1">
                  <c:v>Bank of America</c:v>
                </c:pt>
                <c:pt idx="2">
                  <c:v>JPMorgan Chase</c:v>
                </c:pt>
                <c:pt idx="3">
                  <c:v>Goldman Sachs</c:v>
                </c:pt>
                <c:pt idx="4">
                  <c:v>Morgan Stanley</c:v>
                </c:pt>
                <c:pt idx="5">
                  <c:v>Wells Fargo</c:v>
                </c:pt>
                <c:pt idx="6">
                  <c:v>State Street Bank</c:v>
                </c:pt>
                <c:pt idx="7">
                  <c:v>France</c:v>
                </c:pt>
                <c:pt idx="8">
                  <c:v>BNP Paribas SA</c:v>
                </c:pt>
                <c:pt idx="9">
                  <c:v>Credit Agricole SA</c:v>
                </c:pt>
                <c:pt idx="10">
                  <c:v>Societe Generale</c:v>
                </c:pt>
                <c:pt idx="11">
                  <c:v>Switzerland</c:v>
                </c:pt>
                <c:pt idx="12">
                  <c:v>UBS Group AG</c:v>
                </c:pt>
                <c:pt idx="13">
                  <c:v>U.K.</c:v>
                </c:pt>
                <c:pt idx="14">
                  <c:v>Barclays Bank PLC</c:v>
                </c:pt>
                <c:pt idx="15">
                  <c:v>HSBC Holdings PLC</c:v>
                </c:pt>
                <c:pt idx="16">
                  <c:v>RBS Group PLC</c:v>
                </c:pt>
                <c:pt idx="17">
                  <c:v>Standard Chartered</c:v>
                </c:pt>
                <c:pt idx="18">
                  <c:v>Germany</c:v>
                </c:pt>
                <c:pt idx="19">
                  <c:v>Deutsche Bank AG</c:v>
                </c:pt>
                <c:pt idx="20">
                  <c:v>Commerzbank</c:v>
                </c:pt>
                <c:pt idx="21">
                  <c:v>Denmark</c:v>
                </c:pt>
                <c:pt idx="22">
                  <c:v>Danske</c:v>
                </c:pt>
                <c:pt idx="23">
                  <c:v>Japan</c:v>
                </c:pt>
                <c:pt idx="24">
                  <c:v>Mitsubishi</c:v>
                </c:pt>
                <c:pt idx="25">
                  <c:v>Sumitomo</c:v>
                </c:pt>
                <c:pt idx="26">
                  <c:v>Mizuho</c:v>
                </c:pt>
                <c:pt idx="27">
                  <c:v>Daiwa</c:v>
                </c:pt>
                <c:pt idx="28">
                  <c:v>Nomura</c:v>
                </c:pt>
                <c:pt idx="29">
                  <c:v>Canada</c:v>
                </c:pt>
                <c:pt idx="30">
                  <c:v>Bank of Nova Scotia</c:v>
                </c:pt>
                <c:pt idx="31">
                  <c:v>BMO</c:v>
                </c:pt>
                <c:pt idx="32">
                  <c:v>CIBC</c:v>
                </c:pt>
                <c:pt idx="33">
                  <c:v>TD</c:v>
                </c:pt>
                <c:pt idx="34">
                  <c:v>RBC</c:v>
                </c:pt>
                <c:pt idx="35">
                  <c:v>Nationale</c:v>
                </c:pt>
                <c:pt idx="36">
                  <c:v>Laurentian</c:v>
                </c:pt>
              </c:strCache>
            </c:strRef>
          </c:cat>
          <c:val>
            <c:numRef>
              <c:f>'Risk Score Model'!$G$8:$G$44</c:f>
              <c:numCache>
                <c:formatCode>0.0;[Red]\(0.0\);\-</c:formatCode>
                <c:ptCount val="37"/>
                <c:pt idx="0">
                  <c:v>36.68</c:v>
                </c:pt>
                <c:pt idx="1">
                  <c:v>59.96</c:v>
                </c:pt>
                <c:pt idx="2">
                  <c:v>33.36</c:v>
                </c:pt>
                <c:pt idx="3">
                  <c:v>76.66</c:v>
                </c:pt>
                <c:pt idx="4">
                  <c:v>73.36</c:v>
                </c:pt>
                <c:pt idx="5">
                  <c:v>9.9600000000000009</c:v>
                </c:pt>
                <c:pt idx="6">
                  <c:v>59.980000000000004</c:v>
                </c:pt>
                <c:pt idx="8">
                  <c:v>0</c:v>
                </c:pt>
                <c:pt idx="9">
                  <c:v>70</c:v>
                </c:pt>
                <c:pt idx="10">
                  <c:v>60</c:v>
                </c:pt>
                <c:pt idx="12">
                  <c:v>0</c:v>
                </c:pt>
                <c:pt idx="14">
                  <c:v>100</c:v>
                </c:pt>
                <c:pt idx="15">
                  <c:v>13.36</c:v>
                </c:pt>
                <c:pt idx="16">
                  <c:v>66.64</c:v>
                </c:pt>
                <c:pt idx="17">
                  <c:v>19.98</c:v>
                </c:pt>
                <c:pt idx="19">
                  <c:v>100</c:v>
                </c:pt>
                <c:pt idx="20">
                  <c:v>0</c:v>
                </c:pt>
                <c:pt idx="22">
                  <c:v>0</c:v>
                </c:pt>
                <c:pt idx="24">
                  <c:v>30</c:v>
                </c:pt>
                <c:pt idx="25">
                  <c:v>25</c:v>
                </c:pt>
                <c:pt idx="26">
                  <c:v>30</c:v>
                </c:pt>
                <c:pt idx="27">
                  <c:v>85</c:v>
                </c:pt>
                <c:pt idx="28">
                  <c:v>80</c:v>
                </c:pt>
                <c:pt idx="30">
                  <c:v>92</c:v>
                </c:pt>
                <c:pt idx="31">
                  <c:v>7.9999999999999991</c:v>
                </c:pt>
                <c:pt idx="32">
                  <c:v>76</c:v>
                </c:pt>
                <c:pt idx="33">
                  <c:v>40</c:v>
                </c:pt>
                <c:pt idx="34">
                  <c:v>72</c:v>
                </c:pt>
                <c:pt idx="35">
                  <c:v>12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14-4BF4-BA99-8D63BE6D9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1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0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13</xdr:row>
      <xdr:rowOff>0</xdr:rowOff>
    </xdr:from>
    <xdr:to>
      <xdr:col>17</xdr:col>
      <xdr:colOff>0</xdr:colOff>
      <xdr:row>42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5F02A0E3-C32E-48CE-B969-D4ABB72B01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ofcanada.sharepoint.com/sites/D_FER_CRA/mcrag/RA%20Materials/Biweekly%20Meetings/Bi-Weekly%20Templates/CRAO%20-%20Markets%20Monitoring.xlsx" TargetMode="External"/><Relationship Id="rId1" Type="http://schemas.openxmlformats.org/officeDocument/2006/relationships/externalLinkPath" Target="https://bankofcanada.sharepoint.com/sites/D_FER_CRA/mcrag/RA%20Materials/Biweekly%20Meetings/Bi-Weekly%20Templates/CRAO%20-%20Markets%20Monitor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Log"/>
      <sheetName val="Bloomberg Codes"/>
      <sheetName val="_CIQHiddenCacheSheet"/>
      <sheetName val="Report"/>
      <sheetName val="TimeSeries_provinces_5yr"/>
      <sheetName val="TimeSeries_provinces"/>
      <sheetName val="Provinces"/>
      <sheetName val="Sovereign Indicators"/>
      <sheetName val="Bank Indicators"/>
      <sheetName val="DebtDist"/>
      <sheetName val="List"/>
    </sheetNames>
    <sheetDataSet>
      <sheetData sheetId="0" refreshError="1"/>
      <sheetData sheetId="1" refreshError="1"/>
      <sheetData sheetId="2">
        <row r="2">
          <cell r="O2" t="str">
            <v>Rating Code</v>
          </cell>
          <cell r="P2" t="str">
            <v>Equity Data</v>
          </cell>
          <cell r="Q2" t="str">
            <v>CDS 5Y</v>
          </cell>
          <cell r="R2" t="str">
            <v>CDS 1Y</v>
          </cell>
          <cell r="S2" t="str">
            <v>Corp Bond 5Y</v>
          </cell>
          <cell r="T2" t="str">
            <v>Liquidity Ratios</v>
          </cell>
          <cell r="U2" t="str">
            <v>General Debt Profile/Credit Tred</v>
          </cell>
        </row>
        <row r="3">
          <cell r="A3" t="str">
            <v>America</v>
          </cell>
          <cell r="N3" t="str">
            <v>Citigroup</v>
          </cell>
          <cell r="O3" t="str">
            <v>C US Equity</v>
          </cell>
          <cell r="P3" t="str">
            <v>C US Equity</v>
          </cell>
          <cell r="Q3" t="str">
            <v>CCGI1U5 CBIN Curncy</v>
          </cell>
          <cell r="R3" t="str">
            <v>CINC CDS USD SR 1Y D14</v>
          </cell>
          <cell r="S3" t="str">
            <v>C GB USD SR 5Y Corp</v>
          </cell>
        </row>
        <row r="4">
          <cell r="A4" t="str">
            <v>BRAZIL</v>
          </cell>
          <cell r="B4" t="str">
            <v>1323Z BZ Equity</v>
          </cell>
          <cell r="C4" t="str">
            <v>BRAZIL CDS USD SR 5Y D14 Corp</v>
          </cell>
          <cell r="D4" t="str">
            <v>GTBRL5Y Govt</v>
          </cell>
          <cell r="E4" t="str">
            <v>BCSWNPD Curncy</v>
          </cell>
          <cell r="F4" t="str">
            <v>IBOV Index</v>
          </cell>
          <cell r="G4" t="str">
            <v>USDBRL Curncy</v>
          </cell>
          <cell r="J4" t="str">
            <v>BZUETOTN Index</v>
          </cell>
          <cell r="N4" t="str">
            <v>Bank of America</v>
          </cell>
          <cell r="O4" t="str">
            <v>15581Z US Equity</v>
          </cell>
          <cell r="P4" t="str">
            <v>BAC US Equity</v>
          </cell>
          <cell r="Q4" t="str">
            <v>CBAC1U5 CBIN Curncy</v>
          </cell>
          <cell r="R4" t="str">
            <v>BOFA CDS USD SR 1Y D14</v>
          </cell>
          <cell r="S4" t="str">
            <v>BAC GB USD SR 5Y Corp</v>
          </cell>
        </row>
        <row r="5">
          <cell r="A5" t="str">
            <v>CANADA</v>
          </cell>
          <cell r="B5" t="str">
            <v>80710Z CN Equity</v>
          </cell>
          <cell r="C5" t="str">
            <v>CANPAC CDS USD SR 5Y D14 Corp</v>
          </cell>
          <cell r="D5" t="str">
            <v>GCAN5YR Index</v>
          </cell>
          <cell r="E5" t="str">
            <v>CDSW5 Curncy</v>
          </cell>
          <cell r="F5" t="str">
            <v>SPTSX Index</v>
          </cell>
          <cell r="G5" t="str">
            <v>USDCAD Curncy</v>
          </cell>
          <cell r="H5" t="str">
            <v>CACPIYOY Index</v>
          </cell>
          <cell r="I5" t="str">
            <v>CACPICHG Index</v>
          </cell>
          <cell r="J5" t="str">
            <v>CANLXEMR Index</v>
          </cell>
          <cell r="N5" t="str">
            <v>JPMorgan Chase &amp; Co</v>
          </cell>
          <cell r="O5" t="str">
            <v>8147Z US Equity</v>
          </cell>
          <cell r="P5" t="str">
            <v>JPM US Equity</v>
          </cell>
          <cell r="Q5" t="str">
            <v>CJPM1U5 CBIN Curncy</v>
          </cell>
          <cell r="R5" t="str">
            <v>JPMCC CDS USD SR 1Y D14</v>
          </cell>
          <cell r="S5" t="str">
            <v>JPM GB USD SR 5Y Corp</v>
          </cell>
        </row>
        <row r="6">
          <cell r="A6" t="str">
            <v>MEXICO</v>
          </cell>
          <cell r="B6" t="str">
            <v>1426Z MM Equity</v>
          </cell>
          <cell r="C6" t="str">
            <v>MEXICO CDS USD SR 5Y D14 Corp</v>
          </cell>
          <cell r="D6" t="str">
            <v>GMXN05YR Index</v>
          </cell>
          <cell r="E6" t="str">
            <v>MPSW5E Curncy</v>
          </cell>
          <cell r="F6" t="str">
            <v>MEXBOL Index</v>
          </cell>
          <cell r="G6" t="str">
            <v>USDMXN Curncy</v>
          </cell>
          <cell r="H6" t="str">
            <v>MXCPYOY Index</v>
          </cell>
          <cell r="I6" t="str">
            <v>MXCPCHNG Index</v>
          </cell>
          <cell r="J6" t="str">
            <v>MXUERATE Index</v>
          </cell>
          <cell r="N6" t="str">
            <v>BNP Paribas SA</v>
          </cell>
          <cell r="O6" t="str">
            <v>BNP FP Equity</v>
          </cell>
          <cell r="P6" t="str">
            <v>BNP FP Equity</v>
          </cell>
          <cell r="Q6" t="str">
            <v>CBNP1E5 CBIN Curncy</v>
          </cell>
          <cell r="R6" t="str">
            <v>BNP CDS EUR SR 1Y D14</v>
          </cell>
          <cell r="S6" t="str">
            <v>AL997029 Corp</v>
          </cell>
        </row>
        <row r="7">
          <cell r="A7" t="str">
            <v>UNITED STATES</v>
          </cell>
          <cell r="B7" t="str">
            <v>3352Z US Equity</v>
          </cell>
          <cell r="C7" t="str">
            <v>US CDS EUR SR 5Y D14 Corp</v>
          </cell>
          <cell r="D7" t="str">
            <v>USGG5YR Index</v>
          </cell>
          <cell r="E7" t="str">
            <v>USSWAP5 Curncy</v>
          </cell>
          <cell r="F7" t="str">
            <v>SPX Index</v>
          </cell>
          <cell r="H7" t="str">
            <v>CPI YOY Index</v>
          </cell>
          <cell r="I7" t="str">
            <v>CPI CHNG Index</v>
          </cell>
          <cell r="J7" t="str">
            <v>USURTOT Index</v>
          </cell>
          <cell r="N7" t="str">
            <v>Credit Agricole SA</v>
          </cell>
          <cell r="O7" t="str">
            <v>331900Z FP Equity</v>
          </cell>
          <cell r="P7" t="str">
            <v>ACA FP Equity</v>
          </cell>
          <cell r="Q7" t="str">
            <v>LCL SA CDS EUR SR 5Y D14 Corp</v>
          </cell>
          <cell r="R7" t="str">
            <v>LCL SA CDS EUR SR 1Y D14 Corp</v>
          </cell>
          <cell r="S7" t="str">
            <v>ACAFP 0.435 06/26/20 Corp</v>
          </cell>
        </row>
        <row r="8">
          <cell r="A8" t="str">
            <v>Europe</v>
          </cell>
          <cell r="N8" t="str">
            <v>Societe Generale SA</v>
          </cell>
          <cell r="O8" t="str">
            <v>GLE FP Equity</v>
          </cell>
          <cell r="P8" t="str">
            <v>GLE FP Equity</v>
          </cell>
          <cell r="Q8" t="str">
            <v>SOCGEN CDS EUR SR 5Y D14 Corp</v>
          </cell>
          <cell r="R8" t="str">
            <v>SOCGEN CDS EUR SR 1Y D14 Corp</v>
          </cell>
          <cell r="S8" t="str">
            <v>QJ659760 Corp</v>
          </cell>
        </row>
        <row r="9">
          <cell r="A9" t="str">
            <v>AUSTRIA</v>
          </cell>
          <cell r="B9" t="str">
            <v>1480Z AV Equity</v>
          </cell>
          <cell r="C9" t="str">
            <v>AUST CDS USD SR 5Y D14 Corp</v>
          </cell>
          <cell r="D9" t="str">
            <v>GAGB5YR Index</v>
          </cell>
          <cell r="E9" t="str">
            <v>EUSA5 CMPN Curncy</v>
          </cell>
          <cell r="F9" t="str">
            <v>ATX Index</v>
          </cell>
          <cell r="G9" t="str">
            <v>USDEUR Curncy</v>
          </cell>
          <cell r="H9" t="str">
            <v>ATCPYY10 Index</v>
          </cell>
          <cell r="J9" t="str">
            <v>ATUERNA Index</v>
          </cell>
          <cell r="N9" t="str">
            <v>UBS Group AG</v>
          </cell>
          <cell r="O9" t="str">
            <v>UBSN SW Equity</v>
          </cell>
          <cell r="P9" t="str">
            <v>UBSG SW Equity</v>
          </cell>
          <cell r="Q9" t="str">
            <v>UBS AG CDS EUR SR 5Y D14 Corp</v>
          </cell>
          <cell r="R9" t="str">
            <v>UBS CDS EUR SR 1Y D14 Corp</v>
          </cell>
          <cell r="S9" t="str">
            <v>UBS GB USD SR 3Y Corp</v>
          </cell>
        </row>
        <row r="10">
          <cell r="A10" t="str">
            <v>BELGIUM</v>
          </cell>
          <cell r="B10" t="str">
            <v>111136Z BB Equity</v>
          </cell>
          <cell r="C10" t="str">
            <v>BELG CDS USD SR 5Y D14 Corp</v>
          </cell>
          <cell r="D10" t="str">
            <v>GBGB5YR Index</v>
          </cell>
          <cell r="E10" t="str">
            <v>EUSA5 CMPN Curncy</v>
          </cell>
          <cell r="F10" t="str">
            <v>BEL20 Index</v>
          </cell>
          <cell r="G10" t="str">
            <v>USDEUR Curncy</v>
          </cell>
          <cell r="H10" t="str">
            <v>BECPYOY Index</v>
          </cell>
          <cell r="I10" t="str">
            <v>BECPCHNG Index</v>
          </cell>
          <cell r="J10" t="str">
            <v>BEUER Index</v>
          </cell>
          <cell r="N10" t="str">
            <v>HSBC Holdings PLC</v>
          </cell>
          <cell r="O10" t="str">
            <v>521903Z US Equity</v>
          </cell>
          <cell r="P10" t="str">
            <v>HSBA LN Equity</v>
          </cell>
          <cell r="Q10" t="str">
            <v>HSBCHD CDS GBP SR 5Y D14</v>
          </cell>
          <cell r="R10" t="str">
            <v>HSBCHD CDS GBP SR 1Y D14</v>
          </cell>
          <cell r="S10" t="str">
            <v>HSBC GB USD SR 5Y Corp</v>
          </cell>
        </row>
        <row r="11">
          <cell r="A11" t="str">
            <v>BRITAIN</v>
          </cell>
          <cell r="B11" t="str">
            <v>6152Z LN Equity</v>
          </cell>
          <cell r="C11" t="str">
            <v>UK CDS USD SR 5Y D14 Corp</v>
          </cell>
          <cell r="D11" t="str">
            <v>GUKG5 Index</v>
          </cell>
          <cell r="E11" t="str">
            <v>BPSW5 Curncy</v>
          </cell>
          <cell r="F11" t="str">
            <v>UKX Index</v>
          </cell>
          <cell r="G11" t="str">
            <v>USDGBP Curncy</v>
          </cell>
          <cell r="H11" t="str">
            <v>UKRPYOY Index</v>
          </cell>
          <cell r="I11" t="str">
            <v>UKRPMOM Index</v>
          </cell>
          <cell r="J11" t="str">
            <v>UKUEILOR Index</v>
          </cell>
          <cell r="N11" t="str">
            <v>Credit Suisse Group AG</v>
          </cell>
          <cell r="O11" t="str">
            <v>1236172D LN Equity</v>
          </cell>
          <cell r="P11" t="str">
            <v>CSGN SW Equity</v>
          </cell>
          <cell r="Q11" t="str">
            <v>CRDSUI CDS EUR SR 5Y D14 Corp</v>
          </cell>
          <cell r="R11" t="str">
            <v>CRDSUI CDS EUR SR 1Y D14 Corp</v>
          </cell>
          <cell r="S11" t="str">
            <v>CS GB USD SR 5Y Corp</v>
          </cell>
        </row>
        <row r="12">
          <cell r="A12" t="str">
            <v>CZECH REPUBLIC</v>
          </cell>
          <cell r="B12" t="str">
            <v>1040Z CP Equity</v>
          </cell>
          <cell r="C12" t="str">
            <v>CZECH CDS USD SR 5Y D14 Corp</v>
          </cell>
          <cell r="D12" t="str">
            <v>CZGB5YR Index</v>
          </cell>
          <cell r="E12" t="str">
            <v>CKSW5 Curncy</v>
          </cell>
          <cell r="F12" t="str">
            <v>PX Index</v>
          </cell>
          <cell r="G12" t="str">
            <v>USDCZK Curncy</v>
          </cell>
          <cell r="H12" t="str">
            <v>CZCPYOY Index</v>
          </cell>
          <cell r="I12" t="str">
            <v>CZCPMOM Index</v>
          </cell>
          <cell r="J12" t="str">
            <v>CZJLUNR Index</v>
          </cell>
          <cell r="N12" t="str">
            <v>RBS Group PLC</v>
          </cell>
          <cell r="O12" t="str">
            <v>RBS LN Equity</v>
          </cell>
          <cell r="P12" t="str">
            <v>RBS LN Equity</v>
          </cell>
          <cell r="Q12" t="str">
            <v>CRBS1E5 CBIN Curncy</v>
          </cell>
          <cell r="R12" t="str">
            <v>RPSPLC CDS EUR SR 1Y D14 Corp</v>
          </cell>
          <cell r="S12" t="str">
            <v>EI189405 Corp</v>
          </cell>
        </row>
        <row r="13">
          <cell r="A13" t="str">
            <v>DENMARK</v>
          </cell>
          <cell r="B13" t="str">
            <v>1271Z DC Equity</v>
          </cell>
          <cell r="C13" t="str">
            <v>DENK CDS USD SR 5Y D14 Corp</v>
          </cell>
          <cell r="D13" t="str">
            <v>GDGB5YR  Index</v>
          </cell>
          <cell r="E13" t="str">
            <v>DKSW5 Curncy</v>
          </cell>
          <cell r="F13" t="str">
            <v>KFX Index</v>
          </cell>
          <cell r="G13" t="str">
            <v>USDDKK Curncy</v>
          </cell>
          <cell r="H13" t="str">
            <v>DNCPIYOY Index</v>
          </cell>
          <cell r="I13" t="str">
            <v>DNCPIMOM Index</v>
          </cell>
          <cell r="J13" t="str">
            <v>DEUEGRAT Index</v>
          </cell>
          <cell r="N13" t="str">
            <v>Bank of Nova Scotia</v>
          </cell>
          <cell r="O13" t="str">
            <v>BNS CN Equity</v>
          </cell>
          <cell r="P13" t="str">
            <v>BNS CN Equity</v>
          </cell>
          <cell r="Q13" t="str">
            <v>BNS CDS USD SR 5Y D14 Corp</v>
          </cell>
          <cell r="R13" t="str">
            <v>BNS CDS USD SR 1Y D14 Corp</v>
          </cell>
          <cell r="S13" t="str">
            <v>BNS GB USD SR 5Y Corp</v>
          </cell>
        </row>
        <row r="14">
          <cell r="A14" t="str">
            <v>FINLAND</v>
          </cell>
          <cell r="B14" t="str">
            <v>1306Z FH Equity</v>
          </cell>
          <cell r="C14" t="str">
            <v>FINL CDS USD SR 5Y D14 Corp</v>
          </cell>
          <cell r="D14" t="str">
            <v>GFIN5YR Index</v>
          </cell>
          <cell r="E14" t="str">
            <v>EUSA5 CMPN Curncy</v>
          </cell>
          <cell r="F14" t="str">
            <v>HEX Index</v>
          </cell>
          <cell r="G14" t="str">
            <v>USDEUR Curncy</v>
          </cell>
          <cell r="H14" t="str">
            <v>FICP2YOY Index</v>
          </cell>
          <cell r="I14" t="str">
            <v>FICP2MOM Index</v>
          </cell>
          <cell r="J14" t="str">
            <v>FIUER Index</v>
          </cell>
          <cell r="N14" t="str">
            <v>BMO</v>
          </cell>
          <cell r="O14" t="str">
            <v>BMO CN Equity</v>
          </cell>
          <cell r="P14" t="str">
            <v>BMO CN Equity</v>
          </cell>
          <cell r="Q14" t="str">
            <v>BMO CDS USD SR 5Y D14 Corp</v>
          </cell>
          <cell r="R14" t="str">
            <v>BMO CDS USD SR 1Y D14 Corp</v>
          </cell>
          <cell r="S14" t="str">
            <v>QJ076587 Corp</v>
          </cell>
        </row>
        <row r="15">
          <cell r="A15" t="str">
            <v>FRANCE</v>
          </cell>
          <cell r="B15" t="str">
            <v>223727Z FP Equity</v>
          </cell>
          <cell r="C15" t="str">
            <v>FRANCE CDS USD SR 5Y D14 Corp</v>
          </cell>
          <cell r="D15" t="str">
            <v>GFRN5 Index</v>
          </cell>
          <cell r="E15" t="str">
            <v>EUSA5 CMPN Curncy</v>
          </cell>
          <cell r="F15" t="str">
            <v>CAC Index</v>
          </cell>
          <cell r="G15" t="str">
            <v>USDEUR Curncy</v>
          </cell>
          <cell r="H15" t="str">
            <v>FRCPISYY Index</v>
          </cell>
          <cell r="I15" t="str">
            <v>FRCPISMM Index</v>
          </cell>
          <cell r="J15" t="str">
            <v>FRUEREU Index</v>
          </cell>
          <cell r="N15" t="str">
            <v>CIBC</v>
          </cell>
          <cell r="O15" t="str">
            <v>CM CN Equity</v>
          </cell>
          <cell r="P15" t="str">
            <v>CM CN Equity</v>
          </cell>
          <cell r="S15" t="str">
            <v>CM 1.85 07/14/20 Corp</v>
          </cell>
        </row>
        <row r="16">
          <cell r="A16" t="str">
            <v>GERMANY</v>
          </cell>
          <cell r="B16" t="str">
            <v>3413Z GR Equity</v>
          </cell>
          <cell r="C16" t="str">
            <v>GERMAN CDS USD SR 5Y D14 Corp</v>
          </cell>
          <cell r="D16" t="str">
            <v>GDBR5 Index</v>
          </cell>
          <cell r="E16" t="str">
            <v>EUSA5 CMPN Curncy</v>
          </cell>
          <cell r="F16" t="str">
            <v>DAX Index</v>
          </cell>
          <cell r="G16" t="str">
            <v>USDEUR Curncy</v>
          </cell>
          <cell r="H16" t="str">
            <v>GRCP20YY Index</v>
          </cell>
          <cell r="I16" t="str">
            <v>GRCP20MM Index</v>
          </cell>
          <cell r="J16" t="str">
            <v>GRUEPR Index</v>
          </cell>
          <cell r="N16" t="str">
            <v>TD</v>
          </cell>
          <cell r="O16" t="str">
            <v>TD US Equity</v>
          </cell>
          <cell r="P16" t="str">
            <v>TD CN Equity</v>
          </cell>
          <cell r="Q16" t="str">
            <v>TD CDS USD SR 5Y D14 Corp</v>
          </cell>
          <cell r="R16" t="str">
            <v>TD CDS USD SR 1Y D14 Corp</v>
          </cell>
          <cell r="S16" t="str">
            <v>TD 2.621 12/22/21 Corp</v>
          </cell>
        </row>
        <row r="17">
          <cell r="A17" t="str">
            <v>GREECE</v>
          </cell>
          <cell r="B17" t="str">
            <v>1004Z GA Equity</v>
          </cell>
          <cell r="C17" t="str">
            <v>GREECE CDS USD SR 5Y D14 Corp</v>
          </cell>
          <cell r="D17" t="str">
            <v>GGGB5YR Index</v>
          </cell>
          <cell r="E17" t="str">
            <v>EUSA5 CMPN Curncy</v>
          </cell>
          <cell r="F17" t="str">
            <v>ASE Index</v>
          </cell>
          <cell r="G17" t="str">
            <v>USDEUR Curncy</v>
          </cell>
          <cell r="H17" t="str">
            <v>GKCPNEWY Index</v>
          </cell>
          <cell r="I17" t="str">
            <v>GKCPNEWM Index</v>
          </cell>
          <cell r="J17" t="str">
            <v>GKUERATE Index</v>
          </cell>
          <cell r="N17" t="str">
            <v>RBC</v>
          </cell>
          <cell r="O17" t="str">
            <v>RY CN Equity</v>
          </cell>
          <cell r="P17" t="str">
            <v>RY CN Equity</v>
          </cell>
          <cell r="S17" t="str">
            <v>RY GB USD SR 5Y Corp</v>
          </cell>
        </row>
        <row r="18">
          <cell r="A18" t="str">
            <v>IRELAND</v>
          </cell>
          <cell r="B18" t="str">
            <v>1266Z ID Equity</v>
          </cell>
          <cell r="C18" t="str">
            <v>IRELND CDS USD SR 5Y D14 Corp</v>
          </cell>
          <cell r="D18" t="str">
            <v>GTIEP5YR  Corp</v>
          </cell>
          <cell r="E18" t="str">
            <v>EUSA5 CMPN Curncy</v>
          </cell>
          <cell r="F18" t="str">
            <v>ISEQ Index</v>
          </cell>
          <cell r="G18" t="str">
            <v>USDEUR Curncy</v>
          </cell>
          <cell r="H18" t="str">
            <v>IECPIYOY Index</v>
          </cell>
          <cell r="I18" t="str">
            <v>IECPIMOM Index</v>
          </cell>
          <cell r="J18" t="str">
            <v>IEUERT Index</v>
          </cell>
          <cell r="N18" t="str">
            <v>Nationale</v>
          </cell>
          <cell r="O18" t="str">
            <v>NA CN Equity</v>
          </cell>
          <cell r="P18" t="str">
            <v>NA CN Equity</v>
          </cell>
          <cell r="S18" t="str">
            <v>EK777641 Corp</v>
          </cell>
        </row>
        <row r="19">
          <cell r="A19" t="str">
            <v>ITALY</v>
          </cell>
          <cell r="B19" t="str">
            <v>2103Z IM Equity</v>
          </cell>
          <cell r="C19" t="str">
            <v>ITALY CDS USD SR 5Y D14 Corp</v>
          </cell>
          <cell r="D19" t="str">
            <v>GBTPGR5 Index</v>
          </cell>
          <cell r="E19" t="str">
            <v>EUSA5 CMPN Curncy</v>
          </cell>
          <cell r="F19" t="str">
            <v>FTSEMIB Index</v>
          </cell>
          <cell r="G19" t="str">
            <v>USDEUR Curncy</v>
          </cell>
          <cell r="H19" t="str">
            <v>ITCPNICY Index</v>
          </cell>
          <cell r="I19" t="str">
            <v>ITCPNICM Index</v>
          </cell>
          <cell r="J19" t="str">
            <v>ITMUURS Index</v>
          </cell>
          <cell r="N19" t="str">
            <v>Deutche Bank AG</v>
          </cell>
          <cell r="O19" t="str">
            <v>DBK GR Equity</v>
          </cell>
          <cell r="P19" t="str">
            <v>DBK GR Equity</v>
          </cell>
          <cell r="Q19" t="str">
            <v>CDB1E5 CBIN Curncy</v>
          </cell>
          <cell r="R19" t="str">
            <v>DB CDS EUR SR 1Y D14</v>
          </cell>
          <cell r="S19" t="str">
            <v>LW0631934 Corp</v>
          </cell>
        </row>
        <row r="20">
          <cell r="A20" t="str">
            <v>LUXEMBOURG</v>
          </cell>
          <cell r="B20" t="str">
            <v>1110Z LX Equity</v>
          </cell>
          <cell r="C20" t="str">
            <v>LUXEMBOURG CDS USD SR 5Y D14 Corp</v>
          </cell>
          <cell r="D20" t="str">
            <v>EI2501308 Corp</v>
          </cell>
          <cell r="E20" t="str">
            <v>EUSA5 CMPN Curncy</v>
          </cell>
          <cell r="F20" t="str">
            <v>LUXXX Index</v>
          </cell>
          <cell r="G20" t="str">
            <v>USDEUR Curncy</v>
          </cell>
          <cell r="H20" t="str">
            <v>LXCPIYOY Index</v>
          </cell>
          <cell r="J20" t="str">
            <v>LXUERS Index</v>
          </cell>
          <cell r="N20" t="str">
            <v>Barclays Bank PLC</v>
          </cell>
          <cell r="P20" t="str">
            <v>BARC LN Equity</v>
          </cell>
          <cell r="Q20" t="str">
            <v>CBAR1E5 CBIN Curncy</v>
          </cell>
          <cell r="R20" t="str">
            <v>CBAR1E1 CBIN Curncy</v>
          </cell>
          <cell r="S20" t="str">
            <v>BACR GB USD SR 5Y Corp</v>
          </cell>
        </row>
        <row r="21">
          <cell r="A21" t="str">
            <v>NETHERLANDS</v>
          </cell>
          <cell r="B21" t="str">
            <v>1533Z NA Equity</v>
          </cell>
          <cell r="C21" t="str">
            <v>NETHER CDS USD SR 5Y D14 Corp</v>
          </cell>
          <cell r="D21" t="str">
            <v>GNTH5YR Index</v>
          </cell>
          <cell r="E21" t="str">
            <v>EUSA5 CMPN Curncy</v>
          </cell>
          <cell r="F21" t="str">
            <v>AEX Index</v>
          </cell>
          <cell r="G21" t="str">
            <v>USDEUR Curncy</v>
          </cell>
          <cell r="H21" t="str">
            <v>NECPIYOY Index</v>
          </cell>
          <cell r="I21" t="str">
            <v>NECPIMOM Index</v>
          </cell>
          <cell r="J21" t="str">
            <v>NEUETOTR Index</v>
          </cell>
          <cell r="N21" t="str">
            <v>Goldman Sachs Group</v>
          </cell>
          <cell r="P21" t="str">
            <v>GS US Equity</v>
          </cell>
          <cell r="Q21" t="str">
            <v>CGS1U5 CBIN Curncy</v>
          </cell>
          <cell r="R21" t="str">
            <v>CGS1U1 CBIN Curncy</v>
          </cell>
          <cell r="S21" t="str">
            <v>GS GB USD SR 5Y Corp</v>
          </cell>
        </row>
        <row r="22">
          <cell r="A22" t="str">
            <v>NORWAY</v>
          </cell>
          <cell r="B22" t="str">
            <v>1233Z NO Equity</v>
          </cell>
          <cell r="C22" t="str">
            <v>NORWAY CDS USD SR 5Y D14 Corp</v>
          </cell>
          <cell r="D22" t="str">
            <v>EI2488605 Corp</v>
          </cell>
          <cell r="E22" t="str">
            <v>NKSW5 Curncy</v>
          </cell>
          <cell r="F22" t="str">
            <v>OSEAX Index</v>
          </cell>
          <cell r="G22" t="str">
            <v>USDNOK Curncy</v>
          </cell>
          <cell r="H22" t="str">
            <v>NOCPIYOY Index</v>
          </cell>
          <cell r="I22" t="str">
            <v>NOCPIMOM Index</v>
          </cell>
          <cell r="J22" t="str">
            <v>NOLBRATE Index</v>
          </cell>
          <cell r="N22" t="str">
            <v>Morgan Stanley</v>
          </cell>
          <cell r="P22" t="str">
            <v>MS US Equity</v>
          </cell>
          <cell r="Q22" t="str">
            <v>CMWD1U5 CBIN Curncy</v>
          </cell>
          <cell r="R22" t="str">
            <v>MS CDS USD SR 1Y D14</v>
          </cell>
          <cell r="S22" t="str">
            <v>MS GB USD SR 5Y Corp</v>
          </cell>
        </row>
        <row r="23">
          <cell r="A23" t="str">
            <v>POLAND</v>
          </cell>
          <cell r="B23" t="str">
            <v>1084Z PW Equity</v>
          </cell>
          <cell r="C23" t="str">
            <v>POLAND CDS USD SR 5Y D14 Corp</v>
          </cell>
          <cell r="D23" t="str">
            <v>POGB5YR Index</v>
          </cell>
          <cell r="E23" t="str">
            <v>PZSW5 Curncy</v>
          </cell>
          <cell r="F23" t="str">
            <v>WIG Index</v>
          </cell>
          <cell r="G23" t="str">
            <v>USDPLN Curncy</v>
          </cell>
          <cell r="H23" t="str">
            <v>POCPIYOY Index</v>
          </cell>
          <cell r="I23" t="str">
            <v>POCPIMOM Index</v>
          </cell>
          <cell r="J23" t="str">
            <v>POUER Index</v>
          </cell>
          <cell r="N23" t="str">
            <v>State Street Bank &amp; Trust</v>
          </cell>
          <cell r="P23" t="str">
            <v>STT US Equity</v>
          </cell>
          <cell r="Q23" t="str">
            <v>STT CDS USD SR 5Y D14</v>
          </cell>
          <cell r="R23" t="str">
            <v>STT CDS USD SR 1Y D14</v>
          </cell>
          <cell r="S23" t="str">
            <v>STT GB USD SR 5Y Corp</v>
          </cell>
        </row>
        <row r="24">
          <cell r="A24" t="str">
            <v>PORTUGAL</v>
          </cell>
          <cell r="B24" t="str">
            <v>1174Z PL Equity</v>
          </cell>
          <cell r="C24" t="str">
            <v>PORTUG CDS USD SR 5Y D14 Corp</v>
          </cell>
          <cell r="D24" t="str">
            <v>GSPT5YR Index</v>
          </cell>
          <cell r="E24" t="str">
            <v>EUSA5 CMPN Curncy</v>
          </cell>
          <cell r="F24" t="str">
            <v>PSI20 Index</v>
          </cell>
          <cell r="G24" t="str">
            <v>USDEUR Curncy</v>
          </cell>
          <cell r="H24" t="str">
            <v>PLCPYOY Index</v>
          </cell>
          <cell r="I24" t="str">
            <v>PLCPMOM Index</v>
          </cell>
          <cell r="J24" t="str">
            <v>PTUE Index</v>
          </cell>
        </row>
        <row r="25">
          <cell r="A25" t="str">
            <v>SLOVENIA</v>
          </cell>
          <cell r="B25" t="str">
            <v>1091Z SV Equity</v>
          </cell>
          <cell r="C25" t="str">
            <v>SLOVEN CDS USD SR 5Y D14 Corp</v>
          </cell>
          <cell r="D25" t="str">
            <v>EI1152335 Corp</v>
          </cell>
          <cell r="E25" t="str">
            <v>EUSA5 CMPN Curncy</v>
          </cell>
          <cell r="F25" t="str">
            <v>SBITOP Index</v>
          </cell>
          <cell r="G25" t="str">
            <v>USDEUR Curncy</v>
          </cell>
          <cell r="H25" t="str">
            <v>SVCPYOY Index</v>
          </cell>
          <cell r="I25" t="str">
            <v>SVCPMOM Index</v>
          </cell>
          <cell r="J25" t="str">
            <v>SVUER Index</v>
          </cell>
        </row>
        <row r="26">
          <cell r="A26" t="str">
            <v>SPAIN</v>
          </cell>
          <cell r="B26" t="str">
            <v>1841Z SM Equity</v>
          </cell>
          <cell r="C26" t="str">
            <v>SPAIN CDS USD SR 5Y D14 Corp</v>
          </cell>
          <cell r="D26" t="str">
            <v>GSPG5YR Index</v>
          </cell>
          <cell r="E26" t="str">
            <v>EUSA5 CMPN Curncy</v>
          </cell>
          <cell r="F26" t="str">
            <v>IBEX Index</v>
          </cell>
          <cell r="G26" t="str">
            <v>USDEUR Curncy</v>
          </cell>
          <cell r="H26" t="str">
            <v>SPIPCYOY Index</v>
          </cell>
          <cell r="I26" t="str">
            <v>SPIPCMOM Index</v>
          </cell>
          <cell r="J26" t="str">
            <v>SPUNEMPR Index</v>
          </cell>
        </row>
        <row r="27">
          <cell r="A27" t="str">
            <v>SWEDEN</v>
          </cell>
          <cell r="B27" t="str">
            <v>1179Z SS Equity</v>
          </cell>
          <cell r="C27" t="str">
            <v>SWED CDS USD SR 5Y D14 Corp</v>
          </cell>
          <cell r="D27" t="str">
            <v>GSGB5YR Index</v>
          </cell>
          <cell r="E27" t="str">
            <v>SKSW5 Curncy</v>
          </cell>
          <cell r="F27" t="str">
            <v>OMX Index</v>
          </cell>
          <cell r="G27" t="str">
            <v>USDSEK Index</v>
          </cell>
          <cell r="H27" t="str">
            <v>SWCPYOY Index</v>
          </cell>
          <cell r="I27" t="str">
            <v>SWCPMOM Index</v>
          </cell>
          <cell r="J27" t="str">
            <v>SWUERATE Index</v>
          </cell>
        </row>
        <row r="28">
          <cell r="A28" t="str">
            <v>SWITZERLAND</v>
          </cell>
          <cell r="B28" t="str">
            <v>344758Z SW Equity</v>
          </cell>
          <cell r="C28" t="str">
            <v>SWISS CDS USD SR 5Y D14 Corp</v>
          </cell>
          <cell r="D28" t="str">
            <v>GSWISS05 Index</v>
          </cell>
          <cell r="E28" t="str">
            <v>SFSW5 Curncy</v>
          </cell>
          <cell r="F28" t="str">
            <v>SMI Index</v>
          </cell>
          <cell r="G28" t="str">
            <v>USDCHF Curncy</v>
          </cell>
          <cell r="H28" t="str">
            <v>SZCPIYOY Index</v>
          </cell>
          <cell r="I28" t="str">
            <v>SZCPIMOM Index</v>
          </cell>
          <cell r="J28" t="str">
            <v>SZUEUEA Index</v>
          </cell>
        </row>
        <row r="29">
          <cell r="A29" t="str">
            <v>UKRAINE</v>
          </cell>
          <cell r="B29" t="str">
            <v>1089Z UZ Equity</v>
          </cell>
          <cell r="C29" t="str">
            <v>CUKR1U5 CBBT Curncy</v>
          </cell>
          <cell r="D29" t="str">
            <v>GTUAH5YR  Corp</v>
          </cell>
          <cell r="E29" t="str">
            <v>UKSW5 Curncy</v>
          </cell>
          <cell r="F29" t="str">
            <v>PFTS Index</v>
          </cell>
          <cell r="G29" t="str">
            <v>USDUAH Curncy</v>
          </cell>
          <cell r="H29" t="str">
            <v>UACPTYOY Index</v>
          </cell>
          <cell r="J29" t="str">
            <v>UAUEILO Index</v>
          </cell>
        </row>
        <row r="30">
          <cell r="A30" t="str">
            <v>Asia/Pacific</v>
          </cell>
        </row>
        <row r="31">
          <cell r="A31" t="str">
            <v>AUSTRALIA</v>
          </cell>
          <cell r="B31" t="str">
            <v>1525Z AU Equity</v>
          </cell>
          <cell r="C31" t="str">
            <v>AUSTLA CDS USD SR 5Y D14 Corp</v>
          </cell>
          <cell r="D31" t="str">
            <v>GACGB5 Index</v>
          </cell>
          <cell r="E31" t="str">
            <v>ADSWAP5 Curncy</v>
          </cell>
          <cell r="F31" t="str">
            <v>AS51 Index</v>
          </cell>
          <cell r="G31" t="str">
            <v>USDAUD Curncy</v>
          </cell>
          <cell r="H31" t="str">
            <v>AUCPIYOY Index</v>
          </cell>
          <cell r="I31" t="str">
            <v>AUCPICHG Index</v>
          </cell>
          <cell r="J31" t="str">
            <v>AULFUNEM Index</v>
          </cell>
        </row>
        <row r="32">
          <cell r="A32" t="str">
            <v>CHINA</v>
          </cell>
          <cell r="B32" t="str">
            <v>PRCH CH Equity</v>
          </cell>
          <cell r="C32" t="str">
            <v>CHINAGOV CDS USD SR 5Y D14 Corp</v>
          </cell>
          <cell r="D32" t="str">
            <v>GCNY5YR Index</v>
          </cell>
          <cell r="E32" t="str">
            <v>CCSWN5 Curncy</v>
          </cell>
          <cell r="F32" t="str">
            <v>SHCOMP Index</v>
          </cell>
          <cell r="G32" t="str">
            <v>USDCNY Index</v>
          </cell>
          <cell r="H32" t="str">
            <v>CNCPIYOY Index</v>
          </cell>
          <cell r="J32" t="str">
            <v>CNUERATE Index</v>
          </cell>
        </row>
        <row r="33">
          <cell r="A33" t="str">
            <v>HONG KONG</v>
          </cell>
          <cell r="B33" t="str">
            <v>3343935Z HK Equity</v>
          </cell>
          <cell r="C33" t="str">
            <v>HONGK CDS USD SR 5Y D14 Corp</v>
          </cell>
          <cell r="D33" t="str">
            <v>EI4809337 Corp</v>
          </cell>
          <cell r="E33" t="str">
            <v>HDSW5 Curncy</v>
          </cell>
          <cell r="F33" t="str">
            <v>HSI Index</v>
          </cell>
          <cell r="G33" t="str">
            <v>USDHKD Curncy</v>
          </cell>
          <cell r="H33" t="str">
            <v>HKCPIY Index</v>
          </cell>
          <cell r="I33" t="str">
            <v>HKCPIM Index</v>
          </cell>
          <cell r="J33" t="str">
            <v>HKUERATE Index</v>
          </cell>
        </row>
        <row r="34">
          <cell r="A34" t="str">
            <v>INDIA</v>
          </cell>
          <cell r="B34" t="str">
            <v>1504Z IN Equity</v>
          </cell>
          <cell r="C34" t="str">
            <v>INDIA CDS USD SR 5Y D14 Corp</v>
          </cell>
          <cell r="D34" t="str">
            <v>GIND5YR Index</v>
          </cell>
          <cell r="E34" t="str">
            <v>IRSWO5 Curncy</v>
          </cell>
          <cell r="F34" t="str">
            <v>SENSEX Index</v>
          </cell>
          <cell r="G34" t="str">
            <v>USDINR Curncy</v>
          </cell>
          <cell r="H34" t="str">
            <v>INFUTOTY Index</v>
          </cell>
          <cell r="J34" t="str">
            <v>INUNCIA Index</v>
          </cell>
        </row>
        <row r="35">
          <cell r="A35" t="str">
            <v>JAPAN</v>
          </cell>
          <cell r="B35" t="str">
            <v>JAPZ JP Equity</v>
          </cell>
          <cell r="C35" t="str">
            <v>JAPAN CDS USD SR 5Y D14 Corp</v>
          </cell>
          <cell r="D35" t="str">
            <v>GJGB5 Index</v>
          </cell>
          <cell r="E35" t="str">
            <v>JYSWAP5 Curncy</v>
          </cell>
          <cell r="F35" t="str">
            <v>TPX Index</v>
          </cell>
          <cell r="G35" t="str">
            <v>USDJPY BGN Curncy</v>
          </cell>
          <cell r="H35" t="str">
            <v>JNCPIYOY Index</v>
          </cell>
          <cell r="J35" t="str">
            <v>JNUE Index</v>
          </cell>
        </row>
        <row r="36">
          <cell r="A36" t="str">
            <v>MALAYSIA</v>
          </cell>
          <cell r="B36" t="str">
            <v>1124Z MK Equity</v>
          </cell>
          <cell r="C36" t="str">
            <v>MALAYS CDS USD SR 5Y D14 Corp</v>
          </cell>
          <cell r="D36" t="str">
            <v>MGIY5Y Index</v>
          </cell>
          <cell r="E36" t="str">
            <v>MRSWQO5 Curncy</v>
          </cell>
          <cell r="F36" t="str">
            <v>FBMKLCI Index</v>
          </cell>
          <cell r="G36" t="str">
            <v>USDMYR Curncy</v>
          </cell>
          <cell r="H36" t="str">
            <v>MACPIYOY Index</v>
          </cell>
          <cell r="I36" t="str">
            <v>MACPIMOM Index</v>
          </cell>
          <cell r="J36" t="str">
            <v>MAEPRATE Index</v>
          </cell>
        </row>
        <row r="37">
          <cell r="A37" t="str">
            <v>NEW ZEALAND</v>
          </cell>
          <cell r="B37" t="str">
            <v>46443Z NZ Equity</v>
          </cell>
          <cell r="C37" t="str">
            <v>NZ CDS USD SR 5Y D14 Corp</v>
          </cell>
          <cell r="D37" t="str">
            <v>GNZGB5 Index</v>
          </cell>
          <cell r="E37" t="str">
            <v>NDSWAP5 Curncy</v>
          </cell>
          <cell r="F37" t="str">
            <v>NZSE50FG Index</v>
          </cell>
          <cell r="G37" t="str">
            <v>USDNZD Curncy</v>
          </cell>
          <cell r="H37" t="str">
            <v>NZCPIYOY Index</v>
          </cell>
          <cell r="I37" t="str">
            <v>NZCPICHG Index</v>
          </cell>
          <cell r="J37" t="str">
            <v>NZLFUNER Index</v>
          </cell>
        </row>
        <row r="38">
          <cell r="A38" t="str">
            <v>RUSSIA</v>
          </cell>
          <cell r="B38" t="str">
            <v>4458Z RU Equity</v>
          </cell>
          <cell r="C38" t="str">
            <v>RUSSIA CDS USD SR 5Y D14 Corp</v>
          </cell>
          <cell r="D38" t="str">
            <v>GTRUB5YR  Corp</v>
          </cell>
          <cell r="F38" t="str">
            <v>INDEXCF Index</v>
          </cell>
          <cell r="G38" t="str">
            <v>USDRUB Curncy</v>
          </cell>
          <cell r="H38" t="str">
            <v>RUCPIYOY Index</v>
          </cell>
          <cell r="I38" t="str">
            <v>RUCPIMOM Index</v>
          </cell>
          <cell r="J38" t="str">
            <v>RUUER Index</v>
          </cell>
        </row>
        <row r="39">
          <cell r="A39" t="str">
            <v>SINGAPORE</v>
          </cell>
          <cell r="B39" t="str">
            <v>1545Z SP Equity</v>
          </cell>
          <cell r="C39" t="str">
            <v>SINGAP CDS USD SR 5Y D14 Corp</v>
          </cell>
          <cell r="D39" t="str">
            <v>MASB5Y Index</v>
          </cell>
          <cell r="E39" t="str">
            <v>SDSW5 Curncy</v>
          </cell>
          <cell r="F39" t="str">
            <v>FSSTI Index</v>
          </cell>
          <cell r="G39" t="str">
            <v>USDSGD Curncy</v>
          </cell>
          <cell r="H39" t="str">
            <v>SICPIYOY Index</v>
          </cell>
          <cell r="I39" t="str">
            <v>SICPIMOM Index</v>
          </cell>
          <cell r="J39" t="str">
            <v>SIQUTOTA Index</v>
          </cell>
        </row>
        <row r="40">
          <cell r="A40" t="str">
            <v>SOUTH KOREA</v>
          </cell>
          <cell r="B40" t="str">
            <v>ROKZ KS Equity</v>
          </cell>
          <cell r="C40" t="str">
            <v>KOREA CDS USD SR 5Y D14 Corp</v>
          </cell>
          <cell r="D40" t="str">
            <v>GVSK5YR Index</v>
          </cell>
          <cell r="E40" t="str">
            <v>KWSWO5 Curncy</v>
          </cell>
          <cell r="F40" t="str">
            <v>KOSPI Index</v>
          </cell>
          <cell r="G40" t="str">
            <v>USDKRW Curncy</v>
          </cell>
          <cell r="H40" t="str">
            <v>KOCPIYOY Index</v>
          </cell>
          <cell r="I40" t="str">
            <v>KOCPIMOM Index</v>
          </cell>
          <cell r="J40" t="str">
            <v>KOEAUERS Index</v>
          </cell>
        </row>
        <row r="41">
          <cell r="A41" t="str">
            <v>TAIWAN</v>
          </cell>
          <cell r="B41" t="str">
            <v>116657Z TT Equity</v>
          </cell>
          <cell r="D41" t="str">
            <v>GVTW5YR Index</v>
          </cell>
          <cell r="E41" t="str">
            <v>NTSWO5 Curncy</v>
          </cell>
          <cell r="F41" t="str">
            <v>TWSE Index</v>
          </cell>
          <cell r="G41" t="str">
            <v>USDTWD Curncy</v>
          </cell>
          <cell r="H41" t="str">
            <v>TWCPIYOY Index</v>
          </cell>
          <cell r="I41" t="str">
            <v>TWCPII Index</v>
          </cell>
          <cell r="J41" t="str">
            <v>TWLFADJ Index</v>
          </cell>
        </row>
        <row r="42">
          <cell r="A42" t="str">
            <v>THAILAND</v>
          </cell>
          <cell r="B42" t="str">
            <v>1179Z TB Equity</v>
          </cell>
          <cell r="C42" t="str">
            <v>THAI CDS USD SR 5Y D14 Corp</v>
          </cell>
          <cell r="D42" t="str">
            <v>GVTL5YR Index</v>
          </cell>
          <cell r="E42" t="str">
            <v>TBSWO5 Curncy</v>
          </cell>
          <cell r="F42" t="str">
            <v>SET Index</v>
          </cell>
          <cell r="G42" t="str">
            <v>USDTHB Curncy</v>
          </cell>
          <cell r="H42" t="str">
            <v>THCPIYOY Index</v>
          </cell>
          <cell r="I42" t="str">
            <v>THCPIMOM Index</v>
          </cell>
          <cell r="J42" t="str">
            <v>THLMUERT Index</v>
          </cell>
        </row>
        <row r="43">
          <cell r="A43" t="str">
            <v>South Africa</v>
          </cell>
          <cell r="B43" t="str">
            <v>50184Z SJ Equity</v>
          </cell>
          <cell r="C43" t="str">
            <v>REPSOU CDS USD SR 5Y D14 Corp</v>
          </cell>
          <cell r="D43" t="str">
            <v>GTZAR5Y Govt</v>
          </cell>
          <cell r="E43" t="str">
            <v>SASW5 Curncy</v>
          </cell>
          <cell r="F43" t="str">
            <v>TOP40 Index</v>
          </cell>
          <cell r="G43" t="str">
            <v>USDZAR Curncy</v>
          </cell>
          <cell r="H43" t="str">
            <v>SCP8EPNY Index</v>
          </cell>
          <cell r="I43" t="str">
            <v>SCP8014M Index</v>
          </cell>
          <cell r="J43" t="str">
            <v>SAUERATQ Index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C1">
            <v>46218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67631-A035-4B26-8F61-072DACD140F6}">
  <dimension ref="A1:Q64"/>
  <sheetViews>
    <sheetView zoomScale="84" zoomScaleNormal="84" workbookViewId="0">
      <selection activeCell="H9" sqref="H9"/>
    </sheetView>
  </sheetViews>
  <sheetFormatPr defaultRowHeight="14.5"/>
  <cols>
    <col min="1" max="1" width="19.36328125" customWidth="1"/>
    <col min="2" max="2" width="27.08984375" customWidth="1"/>
    <col min="3" max="3" width="23.90625" customWidth="1"/>
    <col min="8" max="8" width="15.08984375" customWidth="1"/>
    <col min="13" max="13" width="21.453125" customWidth="1"/>
    <col min="14" max="14" width="12.7265625" customWidth="1"/>
    <col min="15" max="15" width="18.7265625" customWidth="1"/>
    <col min="16" max="16" width="18.6328125" customWidth="1"/>
    <col min="17" max="17" width="12.1796875" customWidth="1"/>
  </cols>
  <sheetData>
    <row r="1" spans="1:17">
      <c r="A1" s="44"/>
      <c r="B1" s="43"/>
      <c r="C1" s="73" t="s">
        <v>234</v>
      </c>
      <c r="D1" s="74"/>
      <c r="E1" s="74"/>
      <c r="F1" s="74"/>
      <c r="G1" s="75"/>
      <c r="H1" s="73" t="s">
        <v>1</v>
      </c>
      <c r="I1" s="74"/>
      <c r="J1" s="74"/>
      <c r="K1" s="74"/>
    </row>
    <row r="2" spans="1:17">
      <c r="A2" s="42"/>
      <c r="B2" s="45" t="s">
        <v>235</v>
      </c>
      <c r="C2" s="1"/>
      <c r="D2" s="39">
        <v>-3</v>
      </c>
      <c r="E2" s="39">
        <v>-3</v>
      </c>
      <c r="F2" s="39">
        <v>-30</v>
      </c>
      <c r="G2" s="47">
        <v>-75</v>
      </c>
      <c r="H2" s="39">
        <v>2</v>
      </c>
      <c r="I2" s="39">
        <v>10</v>
      </c>
      <c r="J2" s="39">
        <v>30</v>
      </c>
      <c r="K2" s="39">
        <v>70</v>
      </c>
      <c r="M2" s="21" t="str" cm="1">
        <f t="array" ref="M2">_xll.TR("C5YUSAX=R","PCT1W")</f>
        <v>The formula must contain at least one field or function.</v>
      </c>
    </row>
    <row r="3" spans="1:17">
      <c r="A3" s="42"/>
      <c r="B3" s="45" t="s">
        <v>236</v>
      </c>
      <c r="C3" s="1"/>
      <c r="D3" s="48">
        <v>3</v>
      </c>
      <c r="E3" s="48">
        <v>3</v>
      </c>
      <c r="F3" s="49">
        <v>20</v>
      </c>
      <c r="G3" s="49">
        <v>50</v>
      </c>
      <c r="H3" s="48">
        <v>-3</v>
      </c>
      <c r="I3" s="48">
        <v>-10</v>
      </c>
      <c r="J3" s="48">
        <v>-30</v>
      </c>
      <c r="K3" s="48">
        <v>-70</v>
      </c>
      <c r="M3" s="40"/>
      <c r="N3" s="40"/>
    </row>
    <row r="4" spans="1:17">
      <c r="A4" s="43"/>
      <c r="B4" s="46"/>
      <c r="H4" s="50"/>
      <c r="I4" s="50"/>
      <c r="J4" s="50"/>
      <c r="K4" s="50"/>
      <c r="M4" s="21"/>
    </row>
    <row r="5" spans="1:17">
      <c r="A5" s="2"/>
      <c r="B5" s="2"/>
      <c r="C5" s="76" t="s">
        <v>0</v>
      </c>
      <c r="D5" s="74"/>
      <c r="E5" s="74"/>
      <c r="F5" s="74"/>
      <c r="G5" s="75"/>
      <c r="H5" s="76" t="s">
        <v>1</v>
      </c>
      <c r="I5" s="74"/>
      <c r="J5" s="74"/>
      <c r="K5" s="74"/>
      <c r="M5" s="24" t="str" cm="1">
        <f t="array" ref="M5">_xll.TR(O10,"TR.CDSMidSpread")</f>
        <v>The formula must contain at least one field or function.</v>
      </c>
    </row>
    <row r="6" spans="1:17">
      <c r="A6" s="3" t="s">
        <v>2</v>
      </c>
      <c r="B6" s="3" t="s">
        <v>254</v>
      </c>
      <c r="C6" s="3" t="s">
        <v>3</v>
      </c>
      <c r="D6" s="3" t="s">
        <v>4</v>
      </c>
      <c r="E6" s="3" t="s">
        <v>5</v>
      </c>
      <c r="F6" s="3" t="s">
        <v>6</v>
      </c>
      <c r="G6" s="4" t="s">
        <v>7</v>
      </c>
      <c r="H6" s="3" t="s">
        <v>4</v>
      </c>
      <c r="I6" s="3" t="s">
        <v>5</v>
      </c>
      <c r="J6" s="3" t="s">
        <v>6</v>
      </c>
      <c r="K6" s="3" t="s">
        <v>7</v>
      </c>
    </row>
    <row r="7" spans="1:17">
      <c r="A7" s="5" t="s">
        <v>8</v>
      </c>
      <c r="B7" s="5" t="s">
        <v>9</v>
      </c>
      <c r="C7" s="6"/>
      <c r="D7" s="6"/>
      <c r="E7" s="6"/>
      <c r="F7" s="6"/>
      <c r="G7" s="7"/>
      <c r="H7" s="6"/>
      <c r="I7" s="6"/>
      <c r="J7" s="6"/>
      <c r="K7" s="6"/>
      <c r="M7" s="13" t="s">
        <v>2</v>
      </c>
      <c r="N7" s="13" t="s">
        <v>49</v>
      </c>
      <c r="O7" s="16" t="s">
        <v>233</v>
      </c>
    </row>
    <row r="8" spans="1:17">
      <c r="A8" s="8" t="s">
        <v>10</v>
      </c>
      <c r="B8" s="9" t="s">
        <v>263</v>
      </c>
      <c r="C8" s="10">
        <f ca="1">'CDS from CapitalIQ'!C48</f>
        <v>51.2239</v>
      </c>
      <c r="D8" s="35">
        <f ca="1">'CDS from CapitalIQ'!T48</f>
        <v>0.70040000000000191</v>
      </c>
      <c r="E8" s="35">
        <f ca="1">'CDS from CapitalIQ'!V48</f>
        <v>0.18730000000000047</v>
      </c>
      <c r="F8" s="35">
        <f ca="1">'CDS from CapitalIQ'!W48</f>
        <v>-3.4900999999999982</v>
      </c>
      <c r="G8" s="36">
        <f ca="1">'CDS from CapitalIQ'!X48</f>
        <v>-1.6094000000000008</v>
      </c>
      <c r="H8" s="11" cm="1">
        <f t="array" aca="1" ref="H8" ca="1">(_xll.TR(N8,"TR.PriceClose")-_xll.TR(N8,"TR.PriceClose","SDate:"&amp;TEXT(WORKDAY(TODAY(),-5),"yyyy-mm-dd")))/_xll.TR(N8,"TR.PriceClose","SDate:"&amp;TEXT(WORKDAY(TODAY(),-5),"yyyy-mm-dd"))</f>
        <v>1.7865118356409151E-2</v>
      </c>
      <c r="I8" s="11" cm="1">
        <f t="array" aca="1" ref="I8" ca="1">(_xll.TR(N8,"TR.PriceClose")-_xll.TR(N8,"TR.PriceClose","SDate:"&amp;TEXT(WORKDAY(TODAY(),-10),"yyyy-mm-dd")))/_xll.TR(N8,"TR.PriceClose","SDate:"&amp;TEXT(WORKDAY(TODAY(),-10),"yyyy-mm-dd"))</f>
        <v>2.380952380952386E-2</v>
      </c>
      <c r="J8" s="11" cm="1">
        <f t="array" aca="1" ref="J8" ca="1">(_xll.TR(N8,"TR.PriceClose")-_xll.TR(N8,"TR.PriceClose","SDate:"&amp;EDATE(TODAY(),-3)))/_xll.TR(N8,"TR.PriceClose","SDate:"&amp;EDATE(TODAY(),-3))</f>
        <v>1.4918726341572177E-2</v>
      </c>
      <c r="K8" s="11" cm="1">
        <f t="array" aca="1" ref="K8" ca="1">(_xll.TR(N8,"TR.PriceClose")-_xll.TR(N8,"TR.PriceClose","SDate:"&amp;EDATE(TODAY(),-12)))/_xll.TR(N8,"TR.PriceClose","SDate:"&amp;EDATE(TODAY(),-12))</f>
        <v>0.40476679679474015</v>
      </c>
      <c r="M8" s="14" t="s">
        <v>10</v>
      </c>
      <c r="N8" s="15" t="s">
        <v>50</v>
      </c>
      <c r="O8" t="s">
        <v>81</v>
      </c>
      <c r="Q8" s="31"/>
    </row>
    <row r="9" spans="1:17">
      <c r="A9" s="12" t="s">
        <v>11</v>
      </c>
      <c r="B9" s="9" t="s">
        <v>263</v>
      </c>
      <c r="C9" s="10">
        <f ca="1">'CDS from CapitalIQ'!C49</f>
        <v>52.221699999999998</v>
      </c>
      <c r="D9" s="35">
        <f ca="1">'CDS from CapitalIQ'!T49</f>
        <v>0.10579999999999501</v>
      </c>
      <c r="E9" s="35">
        <f ca="1">'CDS from CapitalIQ'!V49</f>
        <v>-1.0230000000000032</v>
      </c>
      <c r="F9" s="35">
        <f ca="1">'CDS from CapitalIQ'!W49</f>
        <v>-4.0639000000000038</v>
      </c>
      <c r="G9" s="36">
        <f ca="1">'CDS from CapitalIQ'!X49</f>
        <v>-0.5782999999999987</v>
      </c>
      <c r="H9" s="11" cm="1">
        <f t="array" aca="1" ref="H9" ca="1">(_xll.TR(N9,"TR.PriceClose")-_xll.TR(N9,"TR.PriceClose","SDate:"&amp;TEXT(WORKDAY(TODAY(),-5),"yyyy-mm-dd")))/_xll.TR(N9,"TR.PriceClose","SDate:"&amp;TEXT(WORKDAY(TODAY(),-5),"yyyy-mm-dd"))</f>
        <v>-3.3546325878594384E-3</v>
      </c>
      <c r="I9" s="11" cm="1">
        <f t="array" aca="1" ref="I9" ca="1">(_xll.TR(N9,"TR.PriceClose")-_xll.TR(N9,"TR.PriceClose","SDate:"&amp;TEXT(WORKDAY(TODAY(),-10),"yyyy-mm-dd")))/_xll.TR(N9,"TR.PriceClose","SDate:"&amp;TEXT(WORKDAY(TODAY(),-10),"yyyy-mm-dd"))</f>
        <v>2.571107183030752E-3</v>
      </c>
      <c r="J9" s="11" cm="1">
        <f t="array" aca="1" ref="J9" ca="1">(_xll.TR(N9,"TR.PriceClose")-_xll.TR(N9,"TR.PriceClose","SDate:"&amp;EDATE(TODAY(),-3)))/_xll.TR(N9,"TR.PriceClose","SDate:"&amp;EDATE(TODAY(),-3))</f>
        <v>0.14645350973906648</v>
      </c>
      <c r="K9" s="11" cm="1">
        <f t="array" aca="1" ref="K9" ca="1">(_xll.TR(N9,"TR.PriceClose")-_xll.TR(N9,"TR.PriceClose","SDate:"&amp;EDATE(TODAY(),-12)))/_xll.TR(N9,"TR.PriceClose","SDate:"&amp;EDATE(TODAY(),-12))</f>
        <v>0.24060449393517602</v>
      </c>
      <c r="M9" s="14" t="s">
        <v>11</v>
      </c>
      <c r="N9" s="15" t="s">
        <v>51</v>
      </c>
      <c r="O9" t="s">
        <v>82</v>
      </c>
      <c r="Q9" s="32"/>
    </row>
    <row r="10" spans="1:17">
      <c r="A10" s="8" t="s">
        <v>12</v>
      </c>
      <c r="B10" s="9" t="s">
        <v>263</v>
      </c>
      <c r="C10" s="10">
        <f ca="1">'CDS from CapitalIQ'!C50</f>
        <v>37.069600000000001</v>
      </c>
      <c r="D10" s="35">
        <f ca="1">'CDS from CapitalIQ'!T50</f>
        <v>-0.32739999999999725</v>
      </c>
      <c r="E10" s="35">
        <f ca="1">'CDS from CapitalIQ'!V50</f>
        <v>-0.79459999999999553</v>
      </c>
      <c r="F10" s="35">
        <f ca="1">'CDS from CapitalIQ'!W50</f>
        <v>-5.2158000000000015</v>
      </c>
      <c r="G10" s="36">
        <f ca="1">'CDS from CapitalIQ'!X50</f>
        <v>-1.4303999999999988</v>
      </c>
      <c r="H10" s="11" cm="1">
        <f t="array" aca="1" ref="H10" ca="1">(_xll.TR(N10,"TR.PriceClose")-_xll.TR(N10,"TR.PriceClose","SDate:"&amp;TEXT(WORKDAY(TODAY(),-5),"yyyy-mm-dd")))/_xll.TR(N10,"TR.PriceClose","SDate:"&amp;TEXT(WORKDAY(TODAY(),-5),"yyyy-mm-dd"))</f>
        <v>-7.6076581887598565E-3</v>
      </c>
      <c r="I10" s="11" cm="1">
        <f t="array" aca="1" ref="I10" ca="1">(_xll.TR(N10,"TR.PriceClose")-_xll.TR(N10,"TR.PriceClose","SDate:"&amp;TEXT(WORKDAY(TODAY(),-10),"yyyy-mm-dd")))/_xll.TR(N10,"TR.PriceClose","SDate:"&amp;TEXT(WORKDAY(TODAY(),-10),"yyyy-mm-dd"))</f>
        <v>-8.387096774193574E-3</v>
      </c>
      <c r="J10" s="11" cm="1">
        <f t="array" aca="1" ref="J10" ca="1">(_xll.TR(N10,"TR.PriceClose")-_xll.TR(N10,"TR.PriceClose","SDate:"&amp;EDATE(TODAY(),-3)))/_xll.TR(N10,"TR.PriceClose","SDate:"&amp;EDATE(TODAY(),-3))</f>
        <v>0.13050847457627121</v>
      </c>
      <c r="K10" s="11" cm="1">
        <f t="array" aca="1" ref="K10" ca="1">(_xll.TR(N10,"TR.PriceClose")-_xll.TR(N10,"TR.PriceClose","SDate:"&amp;EDATE(TODAY(),-12)))/_xll.TR(N10,"TR.PriceClose","SDate:"&amp;EDATE(TODAY(),-12))</f>
        <v>0.18687258687258676</v>
      </c>
      <c r="M10" s="14" t="s">
        <v>12</v>
      </c>
      <c r="N10" s="15" t="s">
        <v>52</v>
      </c>
      <c r="O10" t="s">
        <v>83</v>
      </c>
      <c r="Q10" s="33"/>
    </row>
    <row r="11" spans="1:17">
      <c r="A11" s="12" t="s">
        <v>13</v>
      </c>
      <c r="B11" s="9" t="s">
        <v>263</v>
      </c>
      <c r="C11" s="10">
        <f ca="1">'CDS from CapitalIQ'!C51</f>
        <v>52.4133</v>
      </c>
      <c r="D11" s="35">
        <f ca="1">'CDS from CapitalIQ'!T51</f>
        <v>0.1805000000000021</v>
      </c>
      <c r="E11" s="35">
        <f ca="1">'CDS from CapitalIQ'!V51</f>
        <v>-0.78249999999999886</v>
      </c>
      <c r="F11" s="35">
        <f ca="1">'CDS from CapitalIQ'!W51</f>
        <v>-2.6488999999999976</v>
      </c>
      <c r="G11" s="36">
        <f ca="1">'CDS from CapitalIQ'!X51</f>
        <v>-2.2742000000000004</v>
      </c>
      <c r="H11" s="11" cm="1">
        <f t="array" aca="1" ref="H11" ca="1">(_xll.TR(N11,"TR.PriceClose")-_xll.TR(N11,"TR.PriceClose","SDate:"&amp;TEXT(WORKDAY(TODAY(),-5),"yyyy-mm-dd")))/_xll.TR(N11,"TR.PriceClose","SDate:"&amp;TEXT(WORKDAY(TODAY(),-5),"yyyy-mm-dd"))</f>
        <v>3.1968698353278521E-2</v>
      </c>
      <c r="I11" s="11" cm="1">
        <f t="array" aca="1" ref="I11" ca="1">(_xll.TR(N11,"TR.PriceClose")-_xll.TR(N11,"TR.PriceClose","SDate:"&amp;TEXT(WORKDAY(TODAY(),-10),"yyyy-mm-dd")))/_xll.TR(N11,"TR.PriceClose","SDate:"&amp;TEXT(WORKDAY(TODAY(),-10),"yyyy-mm-dd"))</f>
        <v>-3.7771754800761813E-3</v>
      </c>
      <c r="J11" s="11" cm="1">
        <f t="array" aca="1" ref="J11" ca="1">(_xll.TR(N11,"TR.PriceClose")-_xll.TR(N11,"TR.PriceClose","SDate:"&amp;EDATE(TODAY(),-3)))/_xll.TR(N11,"TR.PriceClose","SDate:"&amp;EDATE(TODAY(),-3))</f>
        <v>4.3798025212933803E-3</v>
      </c>
      <c r="K11" s="11" cm="1">
        <f t="array" aca="1" ref="K11" ca="1">(_xll.TR(N11,"TR.PriceClose")-_xll.TR(N11,"TR.PriceClose","SDate:"&amp;EDATE(TODAY(),-12)))/_xll.TR(N11,"TR.PriceClose","SDate:"&amp;EDATE(TODAY(),-12))</f>
        <v>0.35685673892554198</v>
      </c>
      <c r="M11" s="14" t="s">
        <v>13</v>
      </c>
      <c r="N11" s="15" t="s">
        <v>53</v>
      </c>
      <c r="O11" t="s">
        <v>84</v>
      </c>
      <c r="Q11" s="34"/>
    </row>
    <row r="12" spans="1:17">
      <c r="A12" s="8" t="s">
        <v>14</v>
      </c>
      <c r="B12" s="9" t="s">
        <v>263</v>
      </c>
      <c r="C12" s="10">
        <f ca="1">'CDS from CapitalIQ'!C52</f>
        <v>54.868899999999996</v>
      </c>
      <c r="D12" s="35">
        <f ca="1">'CDS from CapitalIQ'!T52</f>
        <v>0.21699999999999875</v>
      </c>
      <c r="E12" s="35">
        <f ca="1">'CDS from CapitalIQ'!V52</f>
        <v>-6.2800000000002854E-2</v>
      </c>
      <c r="F12" s="35">
        <f ca="1">'CDS from CapitalIQ'!W52</f>
        <v>-2.1936000000000035</v>
      </c>
      <c r="G12" s="36">
        <f ca="1">'CDS from CapitalIQ'!X52</f>
        <v>2.9869999999999948</v>
      </c>
      <c r="H12" s="11" cm="1">
        <f t="array" aca="1" ref="H12" ca="1">(_xll.TR(N12,"TR.PriceClose")-_xll.TR(N12,"TR.PriceClose","SDate:"&amp;TEXT(WORKDAY(TODAY(),-5),"yyyy-mm-dd")))/_xll.TR(N12,"TR.PriceClose","SDate:"&amp;TEXT(WORKDAY(TODAY(),-5),"yyyy-mm-dd"))</f>
        <v>2.0866773675762517E-2</v>
      </c>
      <c r="I12" s="11" cm="1">
        <f t="array" aca="1" ref="I12" ca="1">(_xll.TR(N12,"TR.PriceClose")-_xll.TR(N12,"TR.PriceClose","SDate:"&amp;TEXT(WORKDAY(TODAY(),-10),"yyyy-mm-dd")))/_xll.TR(N12,"TR.PriceClose","SDate:"&amp;TEXT(WORKDAY(TODAY(),-10),"yyyy-mm-dd"))</f>
        <v>1.0089686098654693E-2</v>
      </c>
      <c r="J12" s="11" cm="1">
        <f t="array" aca="1" ref="J12" ca="1">(_xll.TR(N12,"TR.PriceClose")-_xll.TR(N12,"TR.PriceClose","SDate:"&amp;EDATE(TODAY(),-3)))/_xll.TR(N12,"TR.PriceClose","SDate:"&amp;EDATE(TODAY(),-3))</f>
        <v>2.8489892984542256E-2</v>
      </c>
      <c r="K12" s="11" cm="1">
        <f t="array" aca="1" ref="K12" ca="1">(_xll.TR(N12,"TR.PriceClose")-_xll.TR(N12,"TR.PriceClose","SDate:"&amp;EDATE(TODAY(),-12)))/_xll.TR(N12,"TR.PriceClose","SDate:"&amp;EDATE(TODAY(),-12))</f>
        <v>0.42057548285376434</v>
      </c>
      <c r="M12" s="14" t="s">
        <v>14</v>
      </c>
      <c r="N12" s="15" t="s">
        <v>54</v>
      </c>
      <c r="O12" t="s">
        <v>85</v>
      </c>
      <c r="Q12" s="21"/>
    </row>
    <row r="13" spans="1:17">
      <c r="A13" s="12" t="s">
        <v>15</v>
      </c>
      <c r="B13" s="9" t="s">
        <v>263</v>
      </c>
      <c r="C13" s="10">
        <f ca="1">'CDS from CapitalIQ'!C53</f>
        <v>45.875</v>
      </c>
      <c r="D13" s="35">
        <f ca="1">'CDS from CapitalIQ'!T53</f>
        <v>5.9600000000003206E-2</v>
      </c>
      <c r="E13" s="35">
        <f ca="1">'CDS from CapitalIQ'!V53</f>
        <v>-0.53359999999999985</v>
      </c>
      <c r="F13" s="35">
        <f ca="1">'CDS from CapitalIQ'!W53</f>
        <v>-5.4617000000000004</v>
      </c>
      <c r="G13" s="36">
        <f ca="1">'CDS from CapitalIQ'!X53</f>
        <v>-3.6999999999999034E-2</v>
      </c>
      <c r="H13" s="11" cm="1">
        <f t="array" aca="1" ref="H13" ca="1">(_xll.TR(N13,"TR.PriceClose")-_xll.TR(N13,"TR.PriceClose","SDate:"&amp;TEXT(WORKDAY(TODAY(),-5),"yyyy-mm-dd")))/_xll.TR(N13,"TR.PriceClose","SDate:"&amp;TEXT(WORKDAY(TODAY(),-5),"yyyy-mm-dd"))</f>
        <v>-1.4674582726559901E-2</v>
      </c>
      <c r="I13" s="11" cm="1">
        <f t="array" aca="1" ref="I13" ca="1">(_xll.TR(N13,"TR.PriceClose")-_xll.TR(N13,"TR.PriceClose","SDate:"&amp;TEXT(WORKDAY(TODAY(),-10),"yyyy-mm-dd")))/_xll.TR(N13,"TR.PriceClose","SDate:"&amp;TEXT(WORKDAY(TODAY(),-10),"yyyy-mm-dd"))</f>
        <v>3.2030975008799596E-2</v>
      </c>
      <c r="J13" s="11" cm="1">
        <f t="array" aca="1" ref="J13" ca="1">(_xll.TR(N13,"TR.PriceClose")-_xll.TR(N13,"TR.PriceClose","SDate:"&amp;EDATE(TODAY(),-3)))/_xll.TR(N13,"TR.PriceClose","SDate:"&amp;EDATE(TODAY(),-3))</f>
        <v>7.2682926829268218E-2</v>
      </c>
      <c r="K13" s="11" cm="1">
        <f t="array" aca="1" ref="K13" ca="1">(_xll.TR(N13,"TR.PriceClose")-_xll.TR(N13,"TR.PriceClose","SDate:"&amp;EDATE(TODAY(),-12)))/_xll.TR(N13,"TR.PriceClose","SDate:"&amp;EDATE(TODAY(),-12))</f>
        <v>8.9153046062406982E-2</v>
      </c>
      <c r="M13" s="14" t="s">
        <v>15</v>
      </c>
      <c r="N13" s="15" t="s">
        <v>55</v>
      </c>
      <c r="O13" s="20" t="s">
        <v>86</v>
      </c>
      <c r="Q13" s="21"/>
    </row>
    <row r="14" spans="1:17">
      <c r="A14" s="8" t="s">
        <v>16</v>
      </c>
      <c r="B14" s="9" t="s">
        <v>263</v>
      </c>
      <c r="C14" s="10">
        <f ca="1">'CDS from CapitalIQ'!C54</f>
        <v>50.806699999999999</v>
      </c>
      <c r="D14" s="35">
        <f ca="1">'CDS from CapitalIQ'!T54</f>
        <v>-0.18610000000000326</v>
      </c>
      <c r="E14" s="35">
        <f ca="1">'CDS from CapitalIQ'!V54</f>
        <v>1.7843000000000018</v>
      </c>
      <c r="F14" s="35">
        <f ca="1">'CDS from CapitalIQ'!W54</f>
        <v>-2.3819000000000017</v>
      </c>
      <c r="G14" s="36">
        <f ca="1">'CDS from CapitalIQ'!X54</f>
        <v>2.6066000000000003</v>
      </c>
      <c r="H14" s="11" cm="1">
        <f t="array" aca="1" ref="H14" ca="1">(_xll.TR(N14,"TR.PriceClose")-_xll.TR(N14,"TR.PriceClose","SDate:"&amp;TEXT(WORKDAY(TODAY(),-5),"yyyy-mm-dd")))/_xll.TR(N14,"TR.PriceClose","SDate:"&amp;TEXT(WORKDAY(TODAY(),-5),"yyyy-mm-dd"))</f>
        <v>9.6821721742791182E-3</v>
      </c>
      <c r="I14" s="11" cm="1">
        <f t="array" aca="1" ref="I14" ca="1">(_xll.TR(N14,"TR.PriceClose")-_xll.TR(N14,"TR.PriceClose","SDate:"&amp;TEXT(WORKDAY(TODAY(),-10),"yyyy-mm-dd")))/_xll.TR(N14,"TR.PriceClose","SDate:"&amp;TEXT(WORKDAY(TODAY(),-10),"yyyy-mm-dd"))</f>
        <v>-8.9866749302758443E-3</v>
      </c>
      <c r="J14" s="11" cm="1">
        <f t="array" aca="1" ref="J14" ca="1">(_xll.TR(N14,"TR.PriceClose")-_xll.TR(N14,"TR.PriceClose","SDate:"&amp;EDATE(TODAY(),-3)))/_xll.TR(N14,"TR.PriceClose","SDate:"&amp;EDATE(TODAY(),-3))</f>
        <v>0.175375191424196</v>
      </c>
      <c r="K14" s="11" cm="1">
        <f t="array" aca="1" ref="K14" ca="1">(_xll.TR(N14,"TR.PriceClose")-_xll.TR(N14,"TR.PriceClose","SDate:"&amp;EDATE(TODAY(),-12)))/_xll.TR(N14,"TR.PriceClose","SDate:"&amp;EDATE(TODAY(),-12))</f>
        <v>0.71244979919678719</v>
      </c>
      <c r="M14" s="14" t="s">
        <v>16</v>
      </c>
      <c r="N14" s="15" t="s">
        <v>56</v>
      </c>
      <c r="O14" t="s">
        <v>87</v>
      </c>
      <c r="Q14" s="21"/>
    </row>
    <row r="15" spans="1:17">
      <c r="A15" s="18" t="s">
        <v>17</v>
      </c>
      <c r="B15" s="5" t="s">
        <v>264</v>
      </c>
      <c r="C15" s="22"/>
      <c r="D15" s="37"/>
      <c r="E15" s="37"/>
      <c r="F15" s="37"/>
      <c r="G15" s="38"/>
      <c r="H15" s="17"/>
      <c r="I15" s="17"/>
      <c r="J15" s="17"/>
      <c r="K15" s="17"/>
      <c r="M15" s="16"/>
    </row>
    <row r="16" spans="1:17">
      <c r="A16" s="12" t="s">
        <v>18</v>
      </c>
      <c r="B16" s="72" t="s">
        <v>214</v>
      </c>
      <c r="C16" s="10">
        <f ca="1">'CDS from CapitalIQ'!C56</f>
        <v>42.166699999999999</v>
      </c>
      <c r="D16" s="35">
        <f ca="1">'CDS from CapitalIQ'!T56</f>
        <v>0.26269999999999527</v>
      </c>
      <c r="E16" s="35">
        <f ca="1">'CDS from CapitalIQ'!V56</f>
        <v>1.3066999999999993</v>
      </c>
      <c r="F16" s="35">
        <f ca="1">'CDS from CapitalIQ'!W56</f>
        <v>3.75</v>
      </c>
      <c r="G16" s="36">
        <f ca="1">'CDS from CapitalIQ'!X56</f>
        <v>-0.4421999999999997</v>
      </c>
      <c r="H16" s="11" cm="1">
        <f t="array" aca="1" ref="H16" ca="1">(_xll.TR(N16,"TR.PriceClose")-_xll.TR(N16,"TR.PriceClose","SDate:"&amp;TEXT(WORKDAY(TODAY(),-5),"yyyy-mm-dd")))/_xll.TR(N16,"TR.PriceClose","SDate:"&amp;TEXT(WORKDAY(TODAY(),-5),"yyyy-mm-dd"))</f>
        <v>7.5654704170708166E-3</v>
      </c>
      <c r="I16" s="11" cm="1">
        <f t="array" aca="1" ref="I16" ca="1">(_xll.TR(N16,"TR.PriceClose")-_xll.TR(N16,"TR.PriceClose","SDate:"&amp;TEXT(WORKDAY(TODAY(),-10),"yyyy-mm-dd")))/_xll.TR(N16,"TR.PriceClose","SDate:"&amp;TEXT(WORKDAY(TODAY(),-10),"yyyy-mm-dd"))</f>
        <v>-1.7404464623533896E-2</v>
      </c>
      <c r="J16" s="11" cm="1">
        <f t="array" aca="1" ref="J16" ca="1">(_xll.TR(N16,"TR.PriceClose")-_xll.TR(N16,"TR.PriceClose","SDate:"&amp;EDATE(TODAY(),-3)))/_xll.TR(N16,"TR.PriceClose","SDate:"&amp;EDATE(TODAY(),-3))</f>
        <v>0.11232466002784018</v>
      </c>
      <c r="K16" s="11" cm="1">
        <f t="array" aca="1" ref="K16" ca="1">(_xll.TR(N16,"TR.PriceClose")-_xll.TR(N16,"TR.PriceClose","SDate:"&amp;EDATE(TODAY(),-12)))/_xll.TR(N16,"TR.PriceClose","SDate:"&amp;EDATE(TODAY(),-12))</f>
        <v>0.33401823552073956</v>
      </c>
      <c r="M16" s="14" t="s">
        <v>18</v>
      </c>
      <c r="N16" s="15" t="s">
        <v>57</v>
      </c>
      <c r="O16" s="20" t="s">
        <v>88</v>
      </c>
    </row>
    <row r="17" spans="1:17">
      <c r="A17" s="8" t="s">
        <v>19</v>
      </c>
      <c r="B17" s="72" t="s">
        <v>214</v>
      </c>
      <c r="C17" s="10">
        <f ca="1">'CDS from CapitalIQ'!C57</f>
        <v>36.975000000000001</v>
      </c>
      <c r="D17" s="35">
        <f ca="1">'CDS from CapitalIQ'!T57</f>
        <v>0.25720000000000454</v>
      </c>
      <c r="E17" s="35">
        <f ca="1">'CDS from CapitalIQ'!V57</f>
        <v>1.8374999999999986</v>
      </c>
      <c r="F17" s="35">
        <f ca="1">'CDS from CapitalIQ'!W57</f>
        <v>4.4750000000000014</v>
      </c>
      <c r="G17" s="36">
        <f ca="1">'CDS from CapitalIQ'!X57</f>
        <v>-2.4849999999999994</v>
      </c>
      <c r="H17" s="11" cm="1">
        <f t="array" aca="1" ref="H17" ca="1">(_xll.TR(N17,"TR.PriceClose")-_xll.TR(N17,"TR.PriceClose","SDate:"&amp;TEXT(WORKDAY(TODAY(),-5),"yyyy-mm-dd")))/_xll.TR(N17,"TR.PriceClose","SDate:"&amp;TEXT(WORKDAY(TODAY(),-5),"yyyy-mm-dd"))</f>
        <v>4.84261501210653E-3</v>
      </c>
      <c r="I17" s="11" cm="1">
        <f t="array" aca="1" ref="I17" ca="1">(_xll.TR(N17,"TR.PriceClose")-_xll.TR(N17,"TR.PriceClose","SDate:"&amp;TEXT(WORKDAY(TODAY(),-10),"yyyy-mm-dd")))/_xll.TR(N17,"TR.PriceClose","SDate:"&amp;TEXT(WORKDAY(TODAY(),-10),"yyyy-mm-dd"))</f>
        <v>-1.762230405049978E-2</v>
      </c>
      <c r="J17" s="11" cm="1">
        <f t="array" aca="1" ref="J17" ca="1">(_xll.TR(N17,"TR.PriceClose")-_xll.TR(N17,"TR.PriceClose","SDate:"&amp;EDATE(TODAY(),-3)))/_xll.TR(N17,"TR.PriceClose","SDate:"&amp;EDATE(TODAY(),-3))</f>
        <v>0.13629449345908137</v>
      </c>
      <c r="K17" s="11" cm="1">
        <f t="array" aca="1" ref="K17" ca="1">(_xll.TR(N17,"TR.PriceClose")-_xll.TR(N17,"TR.PriceClose","SDate:"&amp;EDATE(TODAY(),-12)))/_xll.TR(N17,"TR.PriceClose","SDate:"&amp;EDATE(TODAY(),-12))</f>
        <v>0.16246498599439771</v>
      </c>
      <c r="M17" s="14" t="s">
        <v>19</v>
      </c>
      <c r="N17" s="15" t="s">
        <v>58</v>
      </c>
      <c r="O17" t="s">
        <v>89</v>
      </c>
      <c r="Q17" s="23"/>
    </row>
    <row r="18" spans="1:17">
      <c r="A18" s="12" t="s">
        <v>20</v>
      </c>
      <c r="B18" s="72" t="s">
        <v>214</v>
      </c>
      <c r="C18" s="10">
        <f ca="1">'CDS from CapitalIQ'!C58</f>
        <v>44.142899999999997</v>
      </c>
      <c r="D18" s="35">
        <f ca="1">'CDS from CapitalIQ'!T58</f>
        <v>3.8999999999994373E-2</v>
      </c>
      <c r="E18" s="35">
        <f ca="1">'CDS from CapitalIQ'!V58</f>
        <v>1.1428999999999974</v>
      </c>
      <c r="F18" s="35">
        <f ca="1">'CDS from CapitalIQ'!W58</f>
        <v>2.8571999999999989</v>
      </c>
      <c r="G18" s="36">
        <f ca="1">'CDS from CapitalIQ'!X58</f>
        <v>-4.4554000000000045</v>
      </c>
      <c r="H18" s="11" cm="1">
        <f t="array" aca="1" ref="H18" ca="1">(_xll.TR(N18,"TR.PriceClose")-_xll.TR(N18,"TR.PriceClose","SDate:"&amp;TEXT(WORKDAY(TODAY(),-5),"yyyy-mm-dd")))/_xll.TR(N18,"TR.PriceClose","SDate:"&amp;TEXT(WORKDAY(TODAY(),-5),"yyyy-mm-dd"))</f>
        <v>2.5237898220935018E-2</v>
      </c>
      <c r="I18" s="11" cm="1">
        <f t="array" aca="1" ref="I18" ca="1">(_xll.TR(N18,"TR.PriceClose")-_xll.TR(N18,"TR.PriceClose","SDate:"&amp;TEXT(WORKDAY(TODAY(),-10),"yyyy-mm-dd")))/_xll.TR(N18,"TR.PriceClose","SDate:"&amp;TEXT(WORKDAY(TODAY(),-10),"yyyy-mm-dd"))</f>
        <v>-5.61797752808991E-3</v>
      </c>
      <c r="J18" s="11" cm="1">
        <f t="array" aca="1" ref="J18" ca="1">(_xll.TR(N18,"TR.PriceClose")-_xll.TR(N18,"TR.PriceClose","SDate:"&amp;EDATE(TODAY(),-3)))/_xll.TR(N18,"TR.PriceClose","SDate:"&amp;EDATE(TODAY(),-3))</f>
        <v>5.6566230812961971E-2</v>
      </c>
      <c r="K18" s="11" cm="1">
        <f t="array" aca="1" ref="K18" ca="1">(_xll.TR(N18,"TR.PriceClose")-_xll.TR(N18,"TR.PriceClose","SDate:"&amp;EDATE(TODAY(),-12)))/_xll.TR(N18,"TR.PriceClose","SDate:"&amp;EDATE(TODAY(),-12))</f>
        <v>0.36855670103092791</v>
      </c>
      <c r="M18" s="14" t="s">
        <v>20</v>
      </c>
      <c r="N18" s="15" t="s">
        <v>59</v>
      </c>
      <c r="O18" t="s">
        <v>90</v>
      </c>
      <c r="Q18" s="23"/>
    </row>
    <row r="19" spans="1:17">
      <c r="A19" s="18" t="s">
        <v>21</v>
      </c>
      <c r="B19" s="19"/>
      <c r="C19" s="22"/>
      <c r="D19" s="37"/>
      <c r="E19" s="37"/>
      <c r="F19" s="37"/>
      <c r="G19" s="38"/>
      <c r="H19" s="17"/>
      <c r="I19" s="17"/>
      <c r="J19" s="17"/>
      <c r="K19" s="17"/>
      <c r="M19" s="14"/>
      <c r="N19" s="15"/>
      <c r="Q19" s="23"/>
    </row>
    <row r="20" spans="1:17">
      <c r="A20" s="8" t="s">
        <v>22</v>
      </c>
      <c r="B20" s="9" t="s">
        <v>266</v>
      </c>
      <c r="C20" s="10">
        <f ca="1">'CDS from CapitalIQ'!C60</f>
        <v>44.747199999999999</v>
      </c>
      <c r="D20" s="35">
        <f ca="1">'CDS from CapitalIQ'!T60</f>
        <v>0.25200000000000244</v>
      </c>
      <c r="E20" s="35">
        <f ca="1">'CDS from CapitalIQ'!V60</f>
        <v>0.78819999999999624</v>
      </c>
      <c r="F20" s="35">
        <f ca="1">'CDS from CapitalIQ'!W60</f>
        <v>-5.3214000000000041</v>
      </c>
      <c r="G20" s="36">
        <f ca="1">'CDS from CapitalIQ'!X60</f>
        <v>-0.46520000000000294</v>
      </c>
      <c r="H20" s="11" cm="1">
        <f t="array" aca="1" ref="H20" ca="1">(_xll.TR(N20,"TR.PriceClose")-_xll.TR(N20,"TR.PriceClose","SDate:"&amp;TEXT(WORKDAY(TODAY(),-5),"yyyy-mm-dd")))/_xll.TR(N20,"TR.PriceClose","SDate:"&amp;TEXT(WORKDAY(TODAY(),-5),"yyyy-mm-dd"))</f>
        <v>8.0645161290322457E-3</v>
      </c>
      <c r="I20" s="11" cm="1">
        <f t="array" aca="1" ref="I20" ca="1">(_xll.TR(N20,"TR.PriceClose")-_xll.TR(N20,"TR.PriceClose","SDate:"&amp;TEXT(WORKDAY(TODAY(),-10),"yyyy-mm-dd")))/_xll.TR(N20,"TR.PriceClose","SDate:"&amp;TEXT(WORKDAY(TODAY(),-10),"yyyy-mm-dd"))</f>
        <v>2.505694760820049E-2</v>
      </c>
      <c r="J20" s="11" cm="1">
        <f t="array" aca="1" ref="J20" ca="1">(_xll.TR(N20,"TR.PriceClose")-_xll.TR(N20,"TR.PriceClose","SDate:"&amp;EDATE(TODAY(),-3)))/_xll.TR(N20,"TR.PriceClose","SDate:"&amp;EDATE(TODAY(),-3))</f>
        <v>0.18670886075949361</v>
      </c>
      <c r="K20" s="11" cm="1">
        <f t="array" aca="1" ref="K20" ca="1">(_xll.TR(N20,"TR.PriceClose")-_xll.TR(N20,"TR.PriceClose","SDate:"&amp;EDATE(TODAY(),-12)))/_xll.TR(N20,"TR.PriceClose","SDate:"&amp;EDATE(TODAY(),-12))</f>
        <v>0.40845070422535212</v>
      </c>
      <c r="M20" s="14" t="s">
        <v>22</v>
      </c>
      <c r="N20" s="15" t="s">
        <v>60</v>
      </c>
      <c r="O20" t="s">
        <v>91</v>
      </c>
    </row>
    <row r="21" spans="1:17">
      <c r="A21" s="18" t="s">
        <v>23</v>
      </c>
      <c r="B21" s="19"/>
      <c r="C21" s="22"/>
      <c r="D21" s="37"/>
      <c r="E21" s="37"/>
      <c r="F21" s="37"/>
      <c r="G21" s="38"/>
      <c r="H21" s="17"/>
      <c r="I21" s="17"/>
      <c r="J21" s="17"/>
      <c r="K21" s="17"/>
      <c r="M21" s="16"/>
      <c r="Q21" s="23"/>
    </row>
    <row r="22" spans="1:17">
      <c r="A22" s="8" t="s">
        <v>24</v>
      </c>
      <c r="B22" s="9" t="s">
        <v>214</v>
      </c>
      <c r="C22" s="10">
        <f ca="1">'CDS from CapitalIQ'!C63</f>
        <v>53.625</v>
      </c>
      <c r="D22" s="35">
        <f ca="1">'CDS from CapitalIQ'!T63</f>
        <v>-1.5900000000002024E-2</v>
      </c>
      <c r="E22" s="35">
        <f ca="1">'CDS from CapitalIQ'!T63</f>
        <v>-1.5900000000002024E-2</v>
      </c>
      <c r="F22" s="35">
        <f ca="1">'CDS from CapitalIQ'!V63</f>
        <v>0.52499999999999858</v>
      </c>
      <c r="G22" s="36">
        <f ca="1">'CDS from CapitalIQ'!X63</f>
        <v>-11.275999999999996</v>
      </c>
      <c r="H22" s="11" cm="1">
        <f t="array" aca="1" ref="H22" ca="1">(_xll.TR(N22,"TR.PriceClose")-_xll.TR(N22,"TR.PriceClose","SDate:"&amp;TEXT(WORKDAY(TODAY(),-5),"yyyy-mm-dd")))/_xll.TR(N22,"TR.PriceClose","SDate:"&amp;TEXT(WORKDAY(TODAY(),-5),"yyyy-mm-dd"))</f>
        <v>3.0199606991415912E-2</v>
      </c>
      <c r="I22" s="11" cm="1">
        <f t="array" aca="1" ref="I22" ca="1">(_xll.TR(N22,"TR.PriceClose")-_xll.TR(N22,"TR.PriceClose","SDate:"&amp;TEXT(WORKDAY(TODAY(),-10),"yyyy-mm-dd")))/_xll.TR(N22,"TR.PriceClose","SDate:"&amp;TEXT(WORKDAY(TODAY(),-10),"yyyy-mm-dd"))</f>
        <v>-3.0027024321889698E-3</v>
      </c>
      <c r="J22" s="11" cm="1">
        <f t="array" aca="1" ref="J22" ca="1">(_xll.TR(N22,"TR.PriceClose")-_xll.TR(N22,"TR.PriceClose","SDate:"&amp;EDATE(TODAY(),-3)))/_xll.TR(N22,"TR.PriceClose","SDate:"&amp;EDATE(TODAY(),-3))</f>
        <v>0.11184283960263428</v>
      </c>
      <c r="K22" s="11" cm="1">
        <f t="array" aca="1" ref="K22" ca="1">(_xll.TR(N22,"TR.PriceClose")-_xll.TR(N22,"TR.PriceClose","SDate:"&amp;EDATE(TODAY(),-12)))/_xll.TR(N22,"TR.PriceClose","SDate:"&amp;EDATE(TODAY(),-12))</f>
        <v>0.33328871636996388</v>
      </c>
      <c r="M22" s="14" t="s">
        <v>24</v>
      </c>
      <c r="N22" s="15" t="s">
        <v>61</v>
      </c>
      <c r="O22" t="s">
        <v>92</v>
      </c>
      <c r="Q22" s="23"/>
    </row>
    <row r="23" spans="1:17">
      <c r="A23" s="12" t="s">
        <v>25</v>
      </c>
      <c r="B23" s="9" t="s">
        <v>214</v>
      </c>
      <c r="C23" s="10">
        <f ca="1">'CDS from CapitalIQ'!C64</f>
        <v>35.4</v>
      </c>
      <c r="D23" s="35">
        <f ca="1">'CDS from CapitalIQ'!T64</f>
        <v>-0.25670000000000215</v>
      </c>
      <c r="E23" s="35">
        <f ca="1">'CDS from CapitalIQ'!T64</f>
        <v>-0.25670000000000215</v>
      </c>
      <c r="F23" s="35">
        <f ca="1">'CDS from CapitalIQ'!V64</f>
        <v>-6.0999999999999943E-2</v>
      </c>
      <c r="G23" s="36">
        <f ca="1">'CDS from CapitalIQ'!X64</f>
        <v>-10.3889</v>
      </c>
      <c r="H23" s="11" cm="1">
        <f t="array" aca="1" ref="H23" ca="1">(_xll.TR(N23,"TR.PriceClose")-_xll.TR(N23,"TR.PriceClose","SDate:"&amp;TEXT(WORKDAY(TODAY(),-5),"yyyy-mm-dd")))/_xll.TR(N23,"TR.PriceClose","SDate:"&amp;TEXT(WORKDAY(TODAY(),-5),"yyyy-mm-dd"))</f>
        <v>1.9156096298213764E-2</v>
      </c>
      <c r="I23" s="11" cm="1">
        <f t="array" aca="1" ref="I23" ca="1">(_xll.TR(N23,"TR.PriceClose")-_xll.TR(N23,"TR.PriceClose","SDate:"&amp;TEXT(WORKDAY(TODAY(),-10),"yyyy-mm-dd")))/_xll.TR(N23,"TR.PriceClose","SDate:"&amp;TEXT(WORKDAY(TODAY(),-10),"yyyy-mm-dd"))</f>
        <v>3.4555248981736897E-2</v>
      </c>
      <c r="J23" s="11" cm="1">
        <f t="array" aca="1" ref="J23" ca="1">(_xll.TR(N23,"TR.PriceClose")-_xll.TR(N23,"TR.PriceClose","SDate:"&amp;EDATE(TODAY(),-3)))/_xll.TR(N23,"TR.PriceClose","SDate:"&amp;EDATE(TODAY(),-3))</f>
        <v>0.20085404910782359</v>
      </c>
      <c r="K23" s="11" cm="1">
        <f t="array" aca="1" ref="K23" ca="1">(_xll.TR(N23,"TR.PriceClose")-_xll.TR(N23,"TR.PriceClose","SDate:"&amp;EDATE(TODAY(),-12)))/_xll.TR(N23,"TR.PriceClose","SDate:"&amp;EDATE(TODAY(),-12))</f>
        <v>0.6085801838610827</v>
      </c>
      <c r="M23" s="14" t="s">
        <v>25</v>
      </c>
      <c r="N23" s="15" t="s">
        <v>62</v>
      </c>
      <c r="O23" t="s">
        <v>94</v>
      </c>
      <c r="Q23" s="23"/>
    </row>
    <row r="24" spans="1:17">
      <c r="A24" s="8" t="s">
        <v>26</v>
      </c>
      <c r="B24" s="9" t="s">
        <v>214</v>
      </c>
      <c r="C24" s="10">
        <f ca="1">'CDS from CapitalIQ'!C65</f>
        <v>51.5625</v>
      </c>
      <c r="D24" s="35">
        <f ca="1">'CDS from CapitalIQ'!T65</f>
        <v>-8.370000000000033E-2</v>
      </c>
      <c r="E24" s="35">
        <f ca="1">'CDS from CapitalIQ'!T65</f>
        <v>-8.370000000000033E-2</v>
      </c>
      <c r="F24" s="35">
        <f ca="1">'CDS from CapitalIQ'!V65</f>
        <v>0.75</v>
      </c>
      <c r="G24" s="36">
        <f ca="1">'CDS from CapitalIQ'!X65</f>
        <v>-5.3847000000000023</v>
      </c>
      <c r="H24" s="11" cm="1">
        <f t="array" aca="1" ref="H24" ca="1">(_xll.TR(N24,"TR.PriceClose")-_xll.TR(N24,"TR.PriceClose","SDate:"&amp;TEXT(WORKDAY(TODAY(),-5),"yyyy-mm-dd")))/_xll.TR(N24,"TR.PriceClose","SDate:"&amp;TEXT(WORKDAY(TODAY(),-5),"yyyy-mm-dd"))</f>
        <v>1.427323041071942E-2</v>
      </c>
      <c r="I24" s="11" cm="1">
        <f t="array" aca="1" ref="I24" ca="1">(_xll.TR(N24,"TR.PriceClose")-_xll.TR(N24,"TR.PriceClose","SDate:"&amp;TEXT(WORKDAY(TODAY(),-10),"yyyy-mm-dd")))/_xll.TR(N24,"TR.PriceClose","SDate:"&amp;TEXT(WORKDAY(TODAY(),-10),"yyyy-mm-dd"))</f>
        <v>6.3583815028901407E-3</v>
      </c>
      <c r="J24" s="11" cm="1">
        <f t="array" aca="1" ref="J24" ca="1">(_xll.TR(N24,"TR.PriceClose")-_xll.TR(N24,"TR.PriceClose","SDate:"&amp;EDATE(TODAY(),-3)))/_xll.TR(N24,"TR.PriceClose","SDate:"&amp;EDATE(TODAY(),-3))</f>
        <v>0.17436762225969643</v>
      </c>
      <c r="K24" s="11" cm="1">
        <f t="array" aca="1" ref="K24" ca="1">(_xll.TR(N24,"TR.PriceClose")-_xll.TR(N24,"TR.PriceClose","SDate:"&amp;EDATE(TODAY(),-12)))/_xll.TR(N24,"TR.PriceClose","SDate:"&amp;EDATE(TODAY(),-12))</f>
        <v>0.3335886633473763</v>
      </c>
      <c r="M24" s="14" t="s">
        <v>26</v>
      </c>
      <c r="N24" s="15" t="s">
        <v>63</v>
      </c>
      <c r="O24" t="s">
        <v>95</v>
      </c>
    </row>
    <row r="25" spans="1:17">
      <c r="A25" s="12" t="s">
        <v>27</v>
      </c>
      <c r="B25" s="9" t="s">
        <v>214</v>
      </c>
      <c r="C25" s="10">
        <f ca="1">'CDS from CapitalIQ'!C66</f>
        <v>38.541699999999999</v>
      </c>
      <c r="D25" s="35">
        <f ca="1">'CDS from CapitalIQ'!T66</f>
        <v>-0.17350000000000421</v>
      </c>
      <c r="E25" s="35">
        <f ca="1">'CDS from CapitalIQ'!T66</f>
        <v>-0.17350000000000421</v>
      </c>
      <c r="F25" s="35">
        <f ca="1">'CDS from CapitalIQ'!V66</f>
        <v>0.79619999999999891</v>
      </c>
      <c r="G25" s="36">
        <f ca="1">'CDS from CapitalIQ'!X66</f>
        <v>-14.829700000000003</v>
      </c>
      <c r="H25" s="11" cm="1">
        <f t="array" aca="1" ref="H25" ca="1">(_xll.TR(N25,"TR.PriceClose")-_xll.TR(N25,"TR.PriceClose","SDate:"&amp;TEXT(WORKDAY(TODAY(),-5),"yyyy-mm-dd")))/_xll.TR(N25,"TR.PriceClose","SDate:"&amp;TEXT(WORKDAY(TODAY(),-5),"yyyy-mm-dd"))</f>
        <v>3.9927404718693285E-2</v>
      </c>
      <c r="I25" s="11" cm="1">
        <f t="array" aca="1" ref="I25" ca="1">(_xll.TR(N25,"TR.PriceClose")-_xll.TR(N25,"TR.PriceClose","SDate:"&amp;TEXT(WORKDAY(TODAY(),-10),"yyyy-mm-dd")))/_xll.TR(N25,"TR.PriceClose","SDate:"&amp;TEXT(WORKDAY(TODAY(),-10),"yyyy-mm-dd"))</f>
        <v>5.0412465627864347E-2</v>
      </c>
      <c r="J25" s="11" cm="1">
        <f t="array" aca="1" ref="J25" ca="1">(_xll.TR(N25,"TR.PriceClose")-_xll.TR(N25,"TR.PriceClose","SDate:"&amp;EDATE(TODAY(),-3)))/_xll.TR(N25,"TR.PriceClose","SDate:"&amp;EDATE(TODAY(),-3))</f>
        <v>0.26559911651021534</v>
      </c>
      <c r="K25" s="11" cm="1">
        <f t="array" aca="1" ref="K25" ca="1">(_xll.TR(N25,"TR.PriceClose")-_xll.TR(N25,"TR.PriceClose","SDate:"&amp;EDATE(TODAY(),-12)))/_xll.TR(N25,"TR.PriceClose","SDate:"&amp;EDATE(TODAY(),-12))</f>
        <v>0.63539065287192298</v>
      </c>
      <c r="M25" s="14" t="s">
        <v>27</v>
      </c>
      <c r="N25" s="15" t="s">
        <v>64</v>
      </c>
      <c r="O25" t="s">
        <v>93</v>
      </c>
      <c r="Q25" s="16"/>
    </row>
    <row r="26" spans="1:17">
      <c r="A26" s="18" t="s">
        <v>28</v>
      </c>
      <c r="B26" s="19"/>
      <c r="C26" s="22"/>
      <c r="D26" s="37"/>
      <c r="E26" s="37"/>
      <c r="F26" s="37"/>
      <c r="G26" s="38"/>
      <c r="H26" s="17"/>
      <c r="I26" s="17"/>
      <c r="J26" s="17"/>
      <c r="K26" s="17"/>
      <c r="Q26" s="23"/>
    </row>
    <row r="27" spans="1:17">
      <c r="A27" s="8" t="s">
        <v>29</v>
      </c>
      <c r="B27" s="9" t="s">
        <v>214</v>
      </c>
      <c r="C27" s="10">
        <f ca="1">'CDS from CapitalIQ'!C68</f>
        <v>43.9</v>
      </c>
      <c r="D27" s="35">
        <f ca="1">'CDS from CapitalIQ'!T68</f>
        <v>-6.1900000000001398E-2</v>
      </c>
      <c r="E27" s="35">
        <f ca="1">'CDS from CapitalIQ'!V68</f>
        <v>0.27559999999999718</v>
      </c>
      <c r="F27" s="35">
        <f ca="1">'CDS from CapitalIQ'!W68</f>
        <v>-9.1000000000000014</v>
      </c>
      <c r="G27" s="36">
        <f ca="1">'CDS from CapitalIQ'!X68</f>
        <v>-9.8092000000000041</v>
      </c>
      <c r="H27" s="11" cm="1">
        <f t="array" aca="1" ref="H27" ca="1">(_xll.TR(N27,"TR.PriceClose")-_xll.TR(N27,"TR.PriceClose","SDate:"&amp;TEXT(WORKDAY(TODAY(),-5),"yyyy-mm-dd")))/_xll.TR(N27,"TR.PriceClose","SDate:"&amp;TEXT(WORKDAY(TODAY(),-5),"yyyy-mm-dd"))</f>
        <v>2.5089605734767026E-2</v>
      </c>
      <c r="I27" s="11" cm="1">
        <f t="array" aca="1" ref="I27" ca="1">(_xll.TR(N27,"TR.PriceClose")-_xll.TR(N27,"TR.PriceClose","SDate:"&amp;TEXT(WORKDAY(TODAY(),-10),"yyyy-mm-dd")))/_xll.TR(N27,"TR.PriceClose","SDate:"&amp;TEXT(WORKDAY(TODAY(),-10),"yyyy-mm-dd"))</f>
        <v>3.2341900086630015E-2</v>
      </c>
      <c r="J27" s="11" cm="1">
        <f t="array" aca="1" ref="J27" ca="1">(_xll.TR(N27,"TR.PriceClose")-_xll.TR(N27,"TR.PriceClose","SDate:"&amp;EDATE(TODAY(),-3)))/_xll.TR(N27,"TR.PriceClose","SDate:"&amp;EDATE(TODAY(),-3))</f>
        <v>0.30712979890310782</v>
      </c>
      <c r="K27" s="11" cm="1">
        <f t="array" aca="1" ref="K27" ca="1">(_xll.TR(N27,"TR.PriceClose")-_xll.TR(N27,"TR.PriceClose","SDate:"&amp;EDATE(TODAY(),-12)))/_xll.TR(N27,"TR.PriceClose","SDate:"&amp;EDATE(TODAY(),-12))</f>
        <v>0.17078762076305878</v>
      </c>
      <c r="M27" s="14" t="s">
        <v>29</v>
      </c>
      <c r="N27" s="15" t="s">
        <v>65</v>
      </c>
      <c r="O27" t="s">
        <v>96</v>
      </c>
      <c r="Q27" s="16"/>
    </row>
    <row r="28" spans="1:17">
      <c r="A28" s="12" t="s">
        <v>30</v>
      </c>
      <c r="B28" s="9" t="s">
        <v>214</v>
      </c>
      <c r="C28" s="10">
        <f ca="1">'CDS from CapitalIQ'!C69</f>
        <v>32.799999999999997</v>
      </c>
      <c r="D28" s="35">
        <f ca="1">'CDS from CapitalIQ'!T69</f>
        <v>-0.25</v>
      </c>
      <c r="E28" s="35">
        <f ca="1">'CDS from CapitalIQ'!V69</f>
        <v>-1.2500000000002842E-2</v>
      </c>
      <c r="F28" s="35">
        <f ca="1">'CDS from CapitalIQ'!W69</f>
        <v>-8.0333000000000041</v>
      </c>
      <c r="G28" s="36">
        <f ca="1">'CDS from CapitalIQ'!X69</f>
        <v>-10.241600000000005</v>
      </c>
      <c r="H28" s="11" cm="1">
        <f t="array" aca="1" ref="H28" ca="1">(_xll.TR(N28,"TR.PriceClose")-_xll.TR(N28,"TR.PriceClose","SDate:"&amp;TEXT(WORKDAY(TODAY(),-5),"yyyy-mm-dd")))/_xll.TR(N28,"TR.PriceClose","SDate:"&amp;TEXT(WORKDAY(TODAY(),-5),"yyyy-mm-dd"))</f>
        <v>4.8426745329400167E-2</v>
      </c>
      <c r="I28" s="11" cm="1">
        <f t="array" aca="1" ref="I28" ca="1">(_xll.TR(N28,"TR.PriceClose")-_xll.TR(N28,"TR.PriceClose","SDate:"&amp;TEXT(WORKDAY(TODAY(),-10),"yyyy-mm-dd")))/_xll.TR(N28,"TR.PriceClose","SDate:"&amp;TEXT(WORKDAY(TODAY(),-10),"yyyy-mm-dd"))</f>
        <v>4.2022966039579744E-2</v>
      </c>
      <c r="J28" s="11" cm="1">
        <f t="array" aca="1" ref="J28" ca="1">(_xll.TR(N28,"TR.PriceClose")-_xll.TR(N28,"TR.PriceClose","SDate:"&amp;EDATE(TODAY(),-3)))/_xll.TR(N28,"TR.PriceClose","SDate:"&amp;EDATE(TODAY(),-3))</f>
        <v>0.15363808493373005</v>
      </c>
      <c r="K28" s="11" cm="1">
        <f t="array" aca="1" ref="K28" ca="1">(_xll.TR(N28,"TR.PriceClose")-_xll.TR(N28,"TR.PriceClose","SDate:"&amp;EDATE(TODAY(),-12)))/_xll.TR(N28,"TR.PriceClose","SDate:"&amp;EDATE(TODAY(),-12))</f>
        <v>0.29951249238269345</v>
      </c>
      <c r="M28" s="14" t="s">
        <v>30</v>
      </c>
      <c r="N28" s="15" t="s">
        <v>66</v>
      </c>
      <c r="O28" t="s">
        <v>97</v>
      </c>
      <c r="Q28" s="23"/>
    </row>
    <row r="29" spans="1:17">
      <c r="A29" s="18" t="s">
        <v>31</v>
      </c>
      <c r="B29" s="19"/>
      <c r="C29" s="22"/>
      <c r="D29" s="37"/>
      <c r="E29" s="37"/>
      <c r="F29" s="37"/>
      <c r="G29" s="38"/>
      <c r="H29" s="17"/>
      <c r="I29" s="17"/>
      <c r="J29" s="17"/>
      <c r="K29" s="17"/>
      <c r="M29" s="13"/>
      <c r="Q29" s="23"/>
    </row>
    <row r="30" spans="1:17">
      <c r="A30" s="8" t="s">
        <v>32</v>
      </c>
      <c r="B30" s="9" t="s">
        <v>266</v>
      </c>
      <c r="C30" s="10">
        <f ca="1">'CDS from CapitalIQ'!C71</f>
        <v>23.466699999999999</v>
      </c>
      <c r="D30" s="35">
        <f ca="1">'CDS from CapitalIQ'!T71</f>
        <v>0.38799999999999812</v>
      </c>
      <c r="E30" s="35">
        <f ca="1">'CDS from CapitalIQ'!V71</f>
        <v>0.14239999999999853</v>
      </c>
      <c r="F30" s="35">
        <f ca="1">'CDS from CapitalIQ'!W71</f>
        <v>-2.8333000000000013</v>
      </c>
      <c r="G30" s="36">
        <f ca="1">'CDS from CapitalIQ'!X71</f>
        <v>-10.375600000000002</v>
      </c>
      <c r="H30" s="11" cm="1">
        <f t="array" aca="1" ref="H30" ca="1">(_xll.TR(N30,"TR.PriceClose")-_xll.TR(N30,"TR.PriceClose","SDate:"&amp;TEXT(WORKDAY(TODAY(),-5),"yyyy-mm-dd")))/_xll.TR(N30,"TR.PriceClose","SDate:"&amp;TEXT(WORKDAY(TODAY(),-5),"yyyy-mm-dd"))</f>
        <v>1.0201342281879225E-2</v>
      </c>
      <c r="I30" s="11" cm="1">
        <f t="array" aca="1" ref="I30" ca="1">(_xll.TR(N30,"TR.PriceClose")-_xll.TR(N30,"TR.PriceClose","SDate:"&amp;TEXT(WORKDAY(TODAY(),-10),"yyyy-mm-dd")))/_xll.TR(N30,"TR.PriceClose","SDate:"&amp;TEXT(WORKDAY(TODAY(),-10),"yyyy-mm-dd"))</f>
        <v>1.319332256327419E-2</v>
      </c>
      <c r="J30" s="11" cm="1">
        <f t="array" aca="1" ref="J30" ca="1">(_xll.TR(N30,"TR.PriceClose")-_xll.TR(N30,"TR.PriceClose","SDate:"&amp;EDATE(TODAY(),-3)))/_xll.TR(N30,"TR.PriceClose","SDate:"&amp;EDATE(TODAY(),-3))</f>
        <v>0.14238008500303595</v>
      </c>
      <c r="K30" s="11" cm="1">
        <f t="array" aca="1" ref="K30" ca="1">(_xll.TR(N30,"TR.PriceClose")-_xll.TR(N30,"TR.PriceClose","SDate:"&amp;EDATE(TODAY(),-12)))/_xll.TR(N30,"TR.PriceClose","SDate:"&amp;EDATE(TODAY(),-12))</f>
        <v>0.44121026426656446</v>
      </c>
      <c r="M30" t="s">
        <v>32</v>
      </c>
      <c r="N30" t="s">
        <v>67</v>
      </c>
      <c r="O30" t="s">
        <v>98</v>
      </c>
      <c r="Q30" s="24"/>
    </row>
    <row r="31" spans="1:17">
      <c r="A31" s="18" t="s">
        <v>33</v>
      </c>
      <c r="B31" s="18" t="s">
        <v>34</v>
      </c>
      <c r="C31" s="22"/>
      <c r="D31" s="37"/>
      <c r="E31" s="37"/>
      <c r="F31" s="37"/>
      <c r="G31" s="38"/>
      <c r="H31" s="17"/>
      <c r="I31" s="17"/>
      <c r="J31" s="17"/>
      <c r="K31" s="17"/>
      <c r="M31" s="14"/>
      <c r="N31" s="15"/>
    </row>
    <row r="32" spans="1:17">
      <c r="A32" s="12" t="s">
        <v>35</v>
      </c>
      <c r="B32" s="72" t="s">
        <v>265</v>
      </c>
      <c r="C32" s="10">
        <f ca="1">'CDS from CapitalIQ'!C73</f>
        <v>39.697600000000001</v>
      </c>
      <c r="D32" s="35">
        <f ca="1">'CDS from CapitalIQ'!T73</f>
        <v>0.2978999999999985</v>
      </c>
      <c r="E32" s="35">
        <f ca="1">'CDS from CapitalIQ'!V73</f>
        <v>-0.74640000000000128</v>
      </c>
      <c r="F32" s="35">
        <f ca="1">'CDS from CapitalIQ'!W73</f>
        <v>-0.25300000000000011</v>
      </c>
      <c r="G32" s="36">
        <f ca="1">'CDS from CapitalIQ'!X73</f>
        <v>5.6685999999999979</v>
      </c>
      <c r="H32" s="11" cm="1">
        <f t="array" aca="1" ref="H32" ca="1">(_xll.TR(N32,"TR.PriceClose")-_xll.TR(N32,"TR.PriceClose","SDate:"&amp;TEXT(WORKDAY(TODAY(),-5),"yyyy-mm-dd")))/_xll.TR(N32,"TR.PriceClose","SDate:"&amp;TEXT(WORKDAY(TODAY(),-5),"yyyy-mm-dd"))</f>
        <v>-2.252985884907709E-2</v>
      </c>
      <c r="I32" s="11" cm="1">
        <f t="array" aca="1" ref="I32" ca="1">(_xll.TR(N32,"TR.PriceClose")-_xll.TR(N32,"TR.PriceClose","SDate:"&amp;TEXT(WORKDAY(TODAY(),-10),"yyyy-mm-dd")))/_xll.TR(N32,"TR.PriceClose","SDate:"&amp;TEXT(WORKDAY(TODAY(),-10),"yyyy-mm-dd"))</f>
        <v>6.1469684269348981E-3</v>
      </c>
      <c r="J32" s="11" cm="1">
        <f t="array" aca="1" ref="J32" ca="1">(_xll.TR(N32,"TR.PriceClose")-_xll.TR(N32,"TR.PriceClose","SDate:"&amp;EDATE(TODAY(),-3)))/_xll.TR(N32,"TR.PriceClose","SDate:"&amp;EDATE(TODAY(),-3))</f>
        <v>0.13238993710691824</v>
      </c>
      <c r="K32" s="11" cm="1">
        <f t="array" aca="1" ref="K32" ca="1">(_xll.TR(N32,"TR.PriceClose")-_xll.TR(N32,"TR.PriceClose","SDate:"&amp;EDATE(TODAY(),-12)))/_xll.TR(N32,"TR.PriceClose","SDate:"&amp;EDATE(TODAY(),-12))</f>
        <v>0.5933628318584071</v>
      </c>
      <c r="M32" s="14" t="s">
        <v>68</v>
      </c>
      <c r="N32" s="15" t="s">
        <v>69</v>
      </c>
      <c r="O32" t="s">
        <v>99</v>
      </c>
      <c r="Q32" s="16"/>
    </row>
    <row r="33" spans="1:17">
      <c r="A33" s="8" t="s">
        <v>36</v>
      </c>
      <c r="B33" s="72" t="s">
        <v>265</v>
      </c>
      <c r="C33" s="10">
        <f ca="1">'CDS from CapitalIQ'!C74</f>
        <v>41.086399999999998</v>
      </c>
      <c r="D33" s="35">
        <f ca="1">'CDS from CapitalIQ'!T74</f>
        <v>0.44469999999999743</v>
      </c>
      <c r="E33" s="35">
        <f ca="1">'CDS from CapitalIQ'!V74</f>
        <v>-0.55320000000000391</v>
      </c>
      <c r="F33" s="35">
        <f ca="1">'CDS from CapitalIQ'!W74</f>
        <v>-2.5808999999999997</v>
      </c>
      <c r="G33" s="36">
        <f ca="1">'CDS from CapitalIQ'!X74</f>
        <v>13.291799999999999</v>
      </c>
      <c r="H33" s="11" cm="1">
        <f t="array" aca="1" ref="H33" ca="1">(_xll.TR(N33,"TR.PriceClose")-_xll.TR(N33,"TR.PriceClose","SDate:"&amp;TEXT(WORKDAY(TODAY(),-5),"yyyy-mm-dd")))/_xll.TR(N33,"TR.PriceClose","SDate:"&amp;TEXT(WORKDAY(TODAY(),-5),"yyyy-mm-dd"))</f>
        <v>-2.4386745086788123E-2</v>
      </c>
      <c r="I33" s="11" cm="1">
        <f t="array" aca="1" ref="I33" ca="1">(_xll.TR(N33,"TR.PriceClose")-_xll.TR(N33,"TR.PriceClose","SDate:"&amp;TEXT(WORKDAY(TODAY(),-10),"yyyy-mm-dd")))/_xll.TR(N33,"TR.PriceClose","SDate:"&amp;TEXT(WORKDAY(TODAY(),-10),"yyyy-mm-dd"))</f>
        <v>1.0249554367201427E-2</v>
      </c>
      <c r="J33" s="11" cm="1">
        <f t="array" aca="1" ref="J33" ca="1">(_xll.TR(N33,"TR.PriceClose")-_xll.TR(N33,"TR.PriceClose","SDate:"&amp;EDATE(TODAY(),-3)))/_xll.TR(N33,"TR.PriceClose","SDate:"&amp;EDATE(TODAY(),-3))</f>
        <v>0.10012940795858945</v>
      </c>
      <c r="K33" s="11" cm="1">
        <f t="array" aca="1" ref="K33" ca="1">(_xll.TR(N33,"TR.PriceClose")-_xll.TR(N33,"TR.PriceClose","SDate:"&amp;EDATE(TODAY(),-12)))/_xll.TR(N33,"TR.PriceClose","SDate:"&amp;EDATE(TODAY(),-12))</f>
        <v>0.68675595238095233</v>
      </c>
      <c r="M33" s="14" t="s">
        <v>36</v>
      </c>
      <c r="N33" s="15" t="s">
        <v>70</v>
      </c>
      <c r="O33" t="s">
        <v>100</v>
      </c>
      <c r="Q33" s="23"/>
    </row>
    <row r="34" spans="1:17">
      <c r="A34" s="12" t="s">
        <v>37</v>
      </c>
      <c r="B34" s="72" t="s">
        <v>265</v>
      </c>
      <c r="C34" s="10">
        <f ca="1">'CDS from CapitalIQ'!C75</f>
        <v>53.200699999999998</v>
      </c>
      <c r="D34" s="35">
        <f ca="1">'CDS from CapitalIQ'!T75</f>
        <v>-0.86520000000000152</v>
      </c>
      <c r="E34" s="35">
        <f ca="1">'CDS from CapitalIQ'!V75</f>
        <v>-0.79610000000000269</v>
      </c>
      <c r="F34" s="35">
        <f ca="1">'CDS from CapitalIQ'!W75</f>
        <v>8.9246999999999943</v>
      </c>
      <c r="G34" s="36">
        <f ca="1">'CDS from CapitalIQ'!X75</f>
        <v>-1.8836000000000013</v>
      </c>
      <c r="H34" s="11" cm="1">
        <f t="array" aca="1" ref="H34" ca="1">(_xll.TR(N34,"TR.PriceClose")-_xll.TR(N34,"TR.PriceClose","SDate:"&amp;TEXT(WORKDAY(TODAY(),-5),"yyyy-mm-dd")))/_xll.TR(N34,"TR.PriceClose","SDate:"&amp;TEXT(WORKDAY(TODAY(),-5),"yyyy-mm-dd"))</f>
        <v>-2.2263236820855924E-2</v>
      </c>
      <c r="I34" s="11" cm="1">
        <f t="array" aca="1" ref="I34" ca="1">(_xll.TR(N34,"TR.PriceClose")-_xll.TR(N34,"TR.PriceClose","SDate:"&amp;TEXT(WORKDAY(TODAY(),-10),"yyyy-mm-dd")))/_xll.TR(N34,"TR.PriceClose","SDate:"&amp;TEXT(WORKDAY(TODAY(),-10),"yyyy-mm-dd"))</f>
        <v>1.9485205677171036E-2</v>
      </c>
      <c r="J34" s="11" cm="1">
        <f t="array" aca="1" ref="J34" ca="1">(_xll.TR(N34,"TR.PriceClose")-_xll.TR(N34,"TR.PriceClose","SDate:"&amp;EDATE(TODAY(),-3)))/_xll.TR(N34,"TR.PriceClose","SDate:"&amp;EDATE(TODAY(),-3))</f>
        <v>0.10221066319895969</v>
      </c>
      <c r="K34" s="11" cm="1">
        <f t="array" aca="1" ref="K34" ca="1">(_xll.TR(N34,"TR.PriceClose")-_xll.TR(N34,"TR.PriceClose","SDate:"&amp;EDATE(TODAY(),-12)))/_xll.TR(N34,"TR.PriceClose","SDate:"&amp;EDATE(TODAY(),-12))</f>
        <v>0.76033229491173415</v>
      </c>
      <c r="M34" s="14" t="s">
        <v>37</v>
      </c>
      <c r="N34" s="15" t="s">
        <v>71</v>
      </c>
      <c r="O34" t="s">
        <v>101</v>
      </c>
      <c r="Q34" s="23"/>
    </row>
    <row r="35" spans="1:17">
      <c r="A35" s="8" t="s">
        <v>38</v>
      </c>
      <c r="B35" s="72" t="s">
        <v>265</v>
      </c>
      <c r="C35" s="10">
        <f ca="1">'CDS from CapitalIQ'!C76</f>
        <v>62.576500000000003</v>
      </c>
      <c r="D35" s="35">
        <f ca="1">'CDS from CapitalIQ'!T76</f>
        <v>0.507000000000005</v>
      </c>
      <c r="E35" s="35">
        <f ca="1">'CDS from CapitalIQ'!V76</f>
        <v>-0.97459999999999525</v>
      </c>
      <c r="F35" s="35">
        <f ca="1">'CDS from CapitalIQ'!W76</f>
        <v>-4.475999999999992</v>
      </c>
      <c r="G35" s="36">
        <f ca="1">'CDS from CapitalIQ'!X76</f>
        <v>-4.052199999999992</v>
      </c>
      <c r="H35" s="11" cm="1">
        <f t="array" aca="1" ref="H35" ca="1">(_xll.TR(N35,"TR.PriceClose")-_xll.TR(N35,"TR.PriceClose","SDate:"&amp;TEXT(WORKDAY(TODAY(),-5),"yyyy-mm-dd")))/_xll.TR(N35,"TR.PriceClose","SDate:"&amp;TEXT(WORKDAY(TODAY(),-5),"yyyy-mm-dd"))</f>
        <v>-1.1822930987077261E-2</v>
      </c>
      <c r="I35" s="11" cm="1">
        <f t="array" aca="1" ref="I35" ca="1">(_xll.TR(N35,"TR.PriceClose")-_xll.TR(N35,"TR.PriceClose","SDate:"&amp;TEXT(WORKDAY(TODAY(),-10),"yyyy-mm-dd")))/_xll.TR(N35,"TR.PriceClose","SDate:"&amp;TEXT(WORKDAY(TODAY(),-10),"yyyy-mm-dd"))</f>
        <v>-9.371554575523704E-3</v>
      </c>
      <c r="J35" s="11" cm="1">
        <f t="array" aca="1" ref="J35" ca="1">(_xll.TR(N35,"TR.PriceClose")-_xll.TR(N35,"TR.PriceClose","SDate:"&amp;EDATE(TODAY(),-3)))/_xll.TR(N35,"TR.PriceClose","SDate:"&amp;EDATE(TODAY(),-3))</f>
        <v>0.14604591836734693</v>
      </c>
      <c r="K35" s="11" cm="1">
        <f t="array" aca="1" ref="K35" ca="1">(_xll.TR(N35,"TR.PriceClose")-_xll.TR(N35,"TR.PriceClose","SDate:"&amp;EDATE(TODAY(),-12)))/_xll.TR(N35,"TR.PriceClose","SDate:"&amp;EDATE(TODAY(),-12))</f>
        <v>0.50439514441188782</v>
      </c>
      <c r="M35" s="14" t="s">
        <v>38</v>
      </c>
      <c r="N35" s="15" t="s">
        <v>72</v>
      </c>
      <c r="O35" t="s">
        <v>102</v>
      </c>
    </row>
    <row r="36" spans="1:17">
      <c r="A36" s="12" t="s">
        <v>39</v>
      </c>
      <c r="B36" s="72" t="s">
        <v>265</v>
      </c>
      <c r="C36" s="10">
        <f ca="1">'CDS from CapitalIQ'!C77</f>
        <v>73.229900000000001</v>
      </c>
      <c r="D36" s="35">
        <f ca="1">'CDS from CapitalIQ'!T77</f>
        <v>6.2999999999959755E-3</v>
      </c>
      <c r="E36" s="35">
        <f ca="1">'CDS from CapitalIQ'!V77</f>
        <v>-2.3162999999999982</v>
      </c>
      <c r="F36" s="35">
        <f ca="1">'CDS from CapitalIQ'!W77</f>
        <v>-2.6517999999999944</v>
      </c>
      <c r="G36" s="36">
        <f ca="1">'CDS from CapitalIQ'!X77</f>
        <v>2.3388999999999953</v>
      </c>
      <c r="H36" s="11" cm="1">
        <f t="array" aca="1" ref="H36" ca="1">(_xll.TR(N36,"TR.PriceClose")-_xll.TR(N36,"TR.PriceClose","SDate:"&amp;TEXT(WORKDAY(TODAY(),-5),"yyyy-mm-dd")))/_xll.TR(N36,"TR.PriceClose","SDate:"&amp;TEXT(WORKDAY(TODAY(),-5),"yyyy-mm-dd"))</f>
        <v>4.6627292508548334E-3</v>
      </c>
      <c r="I36" s="11" cm="1">
        <f t="array" aca="1" ref="I36" ca="1">(_xll.TR(N36,"TR.PriceClose")-_xll.TR(N36,"TR.PriceClose","SDate:"&amp;TEXT(WORKDAY(TODAY(),-10),"yyyy-mm-dd")))/_xll.TR(N36,"TR.PriceClose","SDate:"&amp;TEXT(WORKDAY(TODAY(),-10),"yyyy-mm-dd"))</f>
        <v>7.7954474586841285E-3</v>
      </c>
      <c r="J36" s="11" cm="1">
        <f t="array" aca="1" ref="J36" ca="1">(_xll.TR(N36,"TR.PriceClose")-_xll.TR(N36,"TR.PriceClose","SDate:"&amp;TEXT(WORKDAY(TODAY(),-65),"yyyy-mm-dd")))/_xll.TR(N36,"TR.PriceClose","SDate:"&amp;TEXT(WORKDAY(TODAY(),-65),"yyyy-mm-dd"))</f>
        <v>0.1651045421773612</v>
      </c>
      <c r="K36" s="11" cm="1">
        <f t="array" aca="1" ref="K36" ca="1">(_xll.TR(N36,"TR.PriceClose")-_xll.TR(N36,"TR.PriceClose","SDate:"&amp;EDATE(TODAY(),-12)))/_xll.TR(N36,"TR.PriceClose","SDate:"&amp;EDATE(TODAY(),-12))</f>
        <v>0.50116117045982356</v>
      </c>
      <c r="M36" s="14" t="s">
        <v>39</v>
      </c>
      <c r="N36" s="15" t="s">
        <v>73</v>
      </c>
      <c r="O36" t="s">
        <v>103</v>
      </c>
      <c r="Q36" s="16"/>
    </row>
    <row r="37" spans="1:17">
      <c r="A37" s="18" t="s">
        <v>40</v>
      </c>
      <c r="B37" s="18" t="s">
        <v>41</v>
      </c>
      <c r="C37" s="22"/>
      <c r="D37" s="37"/>
      <c r="E37" s="37"/>
      <c r="F37" s="37"/>
      <c r="G37" s="38"/>
      <c r="H37" s="17"/>
      <c r="I37" s="17"/>
      <c r="J37" s="17"/>
      <c r="K37" s="17"/>
      <c r="M37" s="13"/>
      <c r="N37" s="13"/>
      <c r="Q37" s="23"/>
    </row>
    <row r="38" spans="1:17">
      <c r="A38" s="8" t="s">
        <v>42</v>
      </c>
      <c r="B38" s="9" t="s">
        <v>263</v>
      </c>
      <c r="C38" s="10">
        <f ca="1">'CDS from CapitalIQ'!C79</f>
        <v>61.666699999999999</v>
      </c>
      <c r="D38" s="35">
        <f ca="1">'CDS from CapitalIQ'!T79</f>
        <v>0.33339999999999748</v>
      </c>
      <c r="E38" s="35">
        <f ca="1">'CDS from CapitalIQ'!V79</f>
        <v>1.8333999999999975</v>
      </c>
      <c r="F38" s="35">
        <f ca="1">'CDS from CapitalIQ'!W79</f>
        <v>-2.8333000000000013</v>
      </c>
      <c r="G38" s="36">
        <f ca="1">'CDS from CapitalIQ'!X79</f>
        <v>18.1355</v>
      </c>
      <c r="H38" s="11" cm="1">
        <f t="array" aca="1" ref="H38" ca="1">(_xll.TR(N38,"TR.PriceClose")-_xll.TR(N38,"TR.PriceClose","SDate:"&amp;TEXT(WORKDAY(TODAY(),-5),"yyyy-mm-dd")))/_xll.TR(N38,"TR.PriceClose","SDate:"&amp;TEXT(WORKDAY(TODAY(),-5),"yyyy-mm-dd"))</f>
        <v>-8.8276289298434753E-3</v>
      </c>
      <c r="I38" s="11" cm="1">
        <f t="array" aca="1" ref="I38" ca="1">(_xll.TR(N38,"TR.PriceClose")-_xll.TR(N38,"TR.PriceClose","SDate:"&amp;TEXT(WORKDAY(TODAY(),-10),"yyyy-mm-dd")))/_xll.TR(N38,"TR.PriceClose","SDate:"&amp;TEXT(WORKDAY(TODAY(),-10),"yyyy-mm-dd"))</f>
        <v>-1.3943455820044698E-2</v>
      </c>
      <c r="J38" s="11" cm="1">
        <f t="array" aca="1" ref="J38" ca="1">(_xll.TR(N38,"TR.PriceClose")-_xll.TR(N38,"TR.PriceClose","SDate:"&amp;TEXT(WORKDAY(TODAY(),-65),"yyyy-mm-dd")))/_xll.TR(N38,"TR.PriceClose","SDate:"&amp;TEXT(WORKDAY(TODAY(),-65),"yyyy-mm-dd"))</f>
        <v>0.12418759880555068</v>
      </c>
      <c r="K38" s="11" cm="1">
        <f t="array" aca="1" ref="K38" ca="1">(_xll.TR(N38,"TR.PriceClose")-_xll.TR(N38,"TR.PriceClose","SDate:"&amp;EDATE(TODAY(),-12)))/_xll.TR(N38,"TR.PriceClose","SDate:"&amp;EDATE(TODAY(),-12))</f>
        <v>0.44878324844368994</v>
      </c>
      <c r="M38" s="14" t="s">
        <v>42</v>
      </c>
      <c r="N38" s="15" t="s">
        <v>74</v>
      </c>
      <c r="O38" t="s">
        <v>104</v>
      </c>
      <c r="Q38" s="23"/>
    </row>
    <row r="39" spans="1:17">
      <c r="A39" s="12" t="s">
        <v>43</v>
      </c>
      <c r="B39" s="9" t="s">
        <v>263</v>
      </c>
      <c r="C39" s="10">
        <f ca="1">'CDS from CapitalIQ'!C80</f>
        <v>54.808500000000002</v>
      </c>
      <c r="D39" s="35">
        <f ca="1">'CDS from CapitalIQ'!T80</f>
        <v>-2.0999999999986585E-3</v>
      </c>
      <c r="E39" s="35">
        <f ca="1">'CDS from CapitalIQ'!V80</f>
        <v>-2.007799999999996</v>
      </c>
      <c r="F39" s="35">
        <f ca="1">'CDS from CapitalIQ'!W80</f>
        <v>-1.6914999999999978</v>
      </c>
      <c r="G39" s="36">
        <f ca="1">'CDS from CapitalIQ'!X80</f>
        <v>7.895700000000005</v>
      </c>
      <c r="H39" s="11" cm="1">
        <f t="array" aca="1" ref="H39" ca="1">(_xll.TR(N39,"TR.PriceClose")-_xll.TR(N39,"TR.PriceClose","SDate:"&amp;TEXT(WORKDAY(TODAY(),-5),"yyyy-mm-dd")))/_xll.TR(N39,"TR.PriceClose","SDate:"&amp;TEXT(WORKDAY(TODAY(),-5),"yyyy-mm-dd"))</f>
        <v>9.1520748882109489E-3</v>
      </c>
      <c r="I39" s="11" cm="1">
        <f t="array" aca="1" ref="I39" ca="1">(_xll.TR(N39,"TR.PriceClose")-_xll.TR(N39,"TR.PriceClose","SDate:"&amp;TEXT(WORKDAY(TODAY(),-10),"yyyy-mm-dd")))/_xll.TR(N39,"TR.PriceClose","SDate:"&amp;TEXT(WORKDAY(TODAY(),-10),"yyyy-mm-dd"))</f>
        <v>6.2924532233195433E-3</v>
      </c>
      <c r="J39" s="11" cm="1">
        <f t="array" aca="1" ref="J39" ca="1">(_xll.TR(N39,"TR.PriceClose")-_xll.TR(N39,"TR.PriceClose","SDate:"&amp;TEXT(WORKDAY(TODAY(),-65),"yyyy-mm-dd")))/_xll.TR(N39,"TR.PriceClose","SDate:"&amp;TEXT(WORKDAY(TODAY(),-65),"yyyy-mm-dd"))</f>
        <v>5.2705000217969415E-2</v>
      </c>
      <c r="K39" s="11" cm="1">
        <f t="array" aca="1" ref="K39" ca="1">(_xll.TR(N39,"TR.PriceClose")-_xll.TR(N39,"TR.PriceClose","SDate:"&amp;EDATE(TODAY(),-12)))/_xll.TR(N39,"TR.PriceClose","SDate:"&amp;EDATE(TODAY(),-12))</f>
        <v>0.37752424415288061</v>
      </c>
      <c r="M39" s="14" t="s">
        <v>43</v>
      </c>
      <c r="N39" s="15" t="s">
        <v>75</v>
      </c>
      <c r="O39" t="s">
        <v>108</v>
      </c>
      <c r="Q39" s="23"/>
    </row>
    <row r="40" spans="1:17">
      <c r="A40" s="8" t="s">
        <v>44</v>
      </c>
      <c r="B40" s="9" t="s">
        <v>263</v>
      </c>
      <c r="C40" s="10">
        <f ca="1">'CDS from CapitalIQ'!C81</f>
        <v>59.863700000000001</v>
      </c>
      <c r="D40" s="35">
        <f ca="1">'CDS from CapitalIQ'!T81</f>
        <v>-3.5499999999998977E-2</v>
      </c>
      <c r="E40" s="35">
        <f ca="1">'CDS from CapitalIQ'!V81</f>
        <v>-0.52049999999999841</v>
      </c>
      <c r="F40" s="35">
        <f ca="1">'CDS from CapitalIQ'!W81</f>
        <v>-1.7265999999999977</v>
      </c>
      <c r="G40" s="36">
        <f ca="1">'CDS from CapitalIQ'!X81</f>
        <v>15.301200000000001</v>
      </c>
      <c r="H40" s="11" cm="1">
        <f t="array" aca="1" ref="H40" ca="1">(_xll.TR(N40,"TR.PriceClose")-_xll.TR(N40,"TR.PriceClose","SDate:"&amp;TEXT(WORKDAY(TODAY(),-5),"yyyy-mm-dd")))/_xll.TR(N40,"TR.PriceClose","SDate:"&amp;TEXT(WORKDAY(TODAY(),-5),"yyyy-mm-dd"))</f>
        <v>6.1184990947119825E-3</v>
      </c>
      <c r="I40" s="11" cm="1">
        <f t="array" aca="1" ref="I40" ca="1">(_xll.TR(N40,"TR.PriceClose")-_xll.TR(N40,"TR.PriceClose","SDate:"&amp;TEXT(WORKDAY(TODAY(),-10),"yyyy-mm-dd")))/_xll.TR(N40,"TR.PriceClose","SDate:"&amp;TEXT(WORKDAY(TODAY(),-10),"yyyy-mm-dd"))</f>
        <v>-1.6298376266634034E-2</v>
      </c>
      <c r="J40" s="11" cm="1">
        <f t="array" aca="1" ref="J40" ca="1">(_xll.TR(N40,"TR.PriceClose")-_xll.TR(N40,"TR.PriceClose","SDate:"&amp;TEXT(WORKDAY(TODAY(),-65),"yyyy-mm-dd")))/_xll.TR(N40,"TR.PriceClose","SDate:"&amp;TEXT(WORKDAY(TODAY(),-65),"yyyy-mm-dd"))</f>
        <v>4.8198256797190038E-2</v>
      </c>
      <c r="K40" s="11" cm="1">
        <f t="array" aca="1" ref="K40" ca="1">(_xll.TR(N40,"TR.PriceClose")-_xll.TR(N40,"TR.PriceClose","SDate:"&amp;EDATE(TODAY(),-12)))/_xll.TR(N40,"TR.PriceClose","SDate:"&amp;EDATE(TODAY(),-12))</f>
        <v>0.48923389705202858</v>
      </c>
      <c r="M40" s="14" t="s">
        <v>44</v>
      </c>
      <c r="N40" s="15" t="s">
        <v>76</v>
      </c>
      <c r="O40" t="s">
        <v>105</v>
      </c>
      <c r="Q40" s="23"/>
    </row>
    <row r="41" spans="1:17">
      <c r="A41" s="12" t="s">
        <v>45</v>
      </c>
      <c r="B41" s="9" t="s">
        <v>263</v>
      </c>
      <c r="C41" s="10">
        <f ca="1">'CDS from CapitalIQ'!C82</f>
        <v>57.666699999999999</v>
      </c>
      <c r="D41" s="35">
        <f ca="1">'CDS from CapitalIQ'!T82</f>
        <v>0.1717000000000013</v>
      </c>
      <c r="E41" s="35">
        <f ca="1">'CDS from CapitalIQ'!V82</f>
        <v>1.6666999999999987</v>
      </c>
      <c r="F41" s="35">
        <f ca="1">'CDS from CapitalIQ'!W82</f>
        <v>1.1666999999999987</v>
      </c>
      <c r="G41" s="36">
        <f ca="1">'CDS from CapitalIQ'!X82</f>
        <v>15.954599999999999</v>
      </c>
      <c r="H41" s="11" cm="1">
        <f t="array" aca="1" ref="H41" ca="1">(_xll.TR(N41,"TR.PriceClose")-_xll.TR(N41,"TR.PriceClose","SDate:"&amp;TEXT(WORKDAY(TODAY(),-5),"yyyy-mm-dd")))/_xll.TR(N41,"TR.PriceClose","SDate:"&amp;TEXT(WORKDAY(TODAY(),-5),"yyyy-mm-dd"))</f>
        <v>-1.2009512485136634E-2</v>
      </c>
      <c r="I41" s="11" cm="1">
        <f t="array" aca="1" ref="I41" ca="1">(_xll.TR(N41,"TR.PriceClose")-_xll.TR(N41,"TR.PriceClose","SDate:"&amp;TEXT(WORKDAY(TODAY(),-10),"yyyy-mm-dd")))/_xll.TR(N41,"TR.PriceClose","SDate:"&amp;TEXT(WORKDAY(TODAY(),-10),"yyyy-mm-dd"))</f>
        <v>1.868933502140244E-3</v>
      </c>
      <c r="J41" s="11" cm="1">
        <f t="array" aca="1" ref="J41" ca="1">(_xll.TR(N41,"TR.PriceClose")-_xll.TR(N41,"TR.PriceClose","SDate:"&amp;TEXT(WORKDAY(TODAY(),-65),"yyyy-mm-dd")))/_xll.TR(N41,"TR.PriceClose","SDate:"&amp;TEXT(WORKDAY(TODAY(),-65),"yyyy-mm-dd"))</f>
        <v>4.0901973066082058E-2</v>
      </c>
      <c r="K41" s="11" cm="1">
        <f t="array" aca="1" ref="K41" ca="1">(_xll.TR(N41,"TR.PriceClose")-_xll.TR(N41,"TR.PriceClose","SDate:"&amp;EDATE(TODAY(),-12)))/_xll.TR(N41,"TR.PriceClose","SDate:"&amp;EDATE(TODAY(),-12))</f>
        <v>0.59115281501340489</v>
      </c>
      <c r="M41" s="14" t="s">
        <v>45</v>
      </c>
      <c r="N41" s="15" t="s">
        <v>77</v>
      </c>
      <c r="O41" t="s">
        <v>109</v>
      </c>
      <c r="Q41" s="23"/>
    </row>
    <row r="42" spans="1:17">
      <c r="A42" s="8" t="s">
        <v>46</v>
      </c>
      <c r="B42" s="9" t="s">
        <v>263</v>
      </c>
      <c r="C42" s="10">
        <f ca="1">'CDS from CapitalIQ'!C83</f>
        <v>60.0715</v>
      </c>
      <c r="D42" s="35" cm="1">
        <f t="array" ref="D42">_xll.TR(O42,"MID_SPREAD")*_xll.TR(O42,"PCTCHG_1W")/(100+_xll.TR(O42,"PCTCHG_1W"))</f>
        <v>-1.2224444488889777E-3</v>
      </c>
      <c r="E42" s="35">
        <f ca="1">'CDS from CapitalIQ'!V83</f>
        <v>-0.41859999999999786</v>
      </c>
      <c r="F42" s="35">
        <f ca="1">'CDS from CapitalIQ'!W83</f>
        <v>1.6593000000000018</v>
      </c>
      <c r="G42" s="36">
        <f ca="1">'CDS from CapitalIQ'!X83</f>
        <v>9.5715000000000003</v>
      </c>
      <c r="H42" s="11" cm="1">
        <f t="array" aca="1" ref="H42" ca="1">(_xll.TR(N42,"TR.PriceClose")-_xll.TR(N42,"TR.PriceClose","SDate:"&amp;TEXT(WORKDAY(TODAY(),-5),"yyyy-mm-dd")))/_xll.TR(N42,"TR.PriceClose","SDate:"&amp;TEXT(WORKDAY(TODAY(),-5),"yyyy-mm-dd"))</f>
        <v>1.1115356559796908E-3</v>
      </c>
      <c r="I42" s="11" cm="1">
        <f t="array" aca="1" ref="I42" ca="1">(_xll.TR(N42,"TR.PriceClose")-_xll.TR(N42,"TR.PriceClose","SDate:"&amp;TEXT(WORKDAY(TODAY(),-10),"yyyy-mm-dd")))/_xll.TR(N42,"TR.PriceClose","SDate:"&amp;TEXT(WORKDAY(TODAY(),-10),"yyyy-mm-dd"))</f>
        <v>3.47089653257318E-4</v>
      </c>
      <c r="J42" s="11" cm="1">
        <f t="array" aca="1" ref="J42" ca="1">(_xll.TR(N42,"TR.PriceClose")-_xll.TR(N42,"TR.PriceClose","SDate:"&amp;TEXT(WORKDAY(TODAY(),-65),"yyyy-mm-dd")))/_xll.TR(N42,"TR.PriceClose","SDate:"&amp;TEXT(WORKDAY(TODAY(),-65),"yyyy-mm-dd"))</f>
        <v>4.5147954743254962E-2</v>
      </c>
      <c r="K42" s="11" cm="1">
        <f t="array" aca="1" ref="K42" ca="1">(_xll.TR(N42,"TR.PriceClose")-_xll.TR(N42,"TR.PriceClose","SDate:"&amp;EDATE(TODAY(),-12)))/_xll.TR(N42,"TR.PriceClose","SDate:"&amp;EDATE(TODAY(),-12))</f>
        <v>0.44321482223335001</v>
      </c>
      <c r="M42" s="14" t="s">
        <v>46</v>
      </c>
      <c r="N42" s="15" t="s">
        <v>78</v>
      </c>
      <c r="O42" t="s">
        <v>106</v>
      </c>
      <c r="Q42" s="23"/>
    </row>
    <row r="43" spans="1:17">
      <c r="A43" s="12" t="s">
        <v>47</v>
      </c>
      <c r="B43" s="9" t="s">
        <v>263</v>
      </c>
      <c r="C43" s="10">
        <f ca="1">'CDS from CapitalIQ'!C84</f>
        <v>56.3414</v>
      </c>
      <c r="D43" s="35">
        <f ca="1">'CDS from CapitalIQ'!T84</f>
        <v>-0.1875</v>
      </c>
      <c r="E43" s="35">
        <f ca="1">'CDS from CapitalIQ'!V84</f>
        <v>-3.1159999999999997</v>
      </c>
      <c r="F43" s="35">
        <f ca="1">'CDS from CapitalIQ'!W84</f>
        <v>0.82509999999999906</v>
      </c>
      <c r="G43" s="36">
        <f ca="1">'CDS from CapitalIQ'!X84</f>
        <v>8.2884999999999991</v>
      </c>
      <c r="H43" s="11" cm="1">
        <f t="array" aca="1" ref="H43" ca="1">(_xll.TR(N43,"TR.PriceClose")-_xll.TR(N43,"TR.PriceClose","SDate:"&amp;TEXT(WORKDAY(TODAY(),-5),"yyyy-mm-dd")))/_xll.TR(N43,"TR.PriceClose","SDate:"&amp;TEXT(WORKDAY(TODAY(),-5),"yyyy-mm-dd"))</f>
        <v>2.9440628066731878E-3</v>
      </c>
      <c r="I43" s="11" cm="1">
        <f t="array" aca="1" ref="I43" ca="1">(_xll.TR(N43,"TR.PriceClose")-_xll.TR(N43,"TR.PriceClose","SDate:"&amp;TEXT(WORKDAY(TODAY(),-10),"yyyy-mm-dd")))/_xll.TR(N43,"TR.PriceClose","SDate:"&amp;TEXT(WORKDAY(TODAY(),-10),"yyyy-mm-dd"))</f>
        <v>6.7548550520686633E-3</v>
      </c>
      <c r="J43" s="11" cm="1">
        <f t="array" aca="1" ref="J43" ca="1">(_xll.TR(N43,"TR.PriceClose")-_xll.TR(N43,"TR.PriceClose","SDate:"&amp;TEXT(WORKDAY(TODAY(),-65),"yyyy-mm-dd")))/_xll.TR(N43,"TR.PriceClose","SDate:"&amp;TEXT(WORKDAY(TODAY(),-65),"yyyy-mm-dd"))</f>
        <v>4.2502550153009182E-2</v>
      </c>
      <c r="K43" s="11" cm="1">
        <f t="array" aca="1" ref="K43" ca="1">(_xll.TR(N43,"TR.PriceClose")-_xll.TR(N43,"TR.PriceClose","SDate:"&amp;EDATE(TODAY(),-12)))/_xll.TR(N43,"TR.PriceClose","SDate:"&amp;EDATE(TODAY(),-12))</f>
        <v>0.45633439641718121</v>
      </c>
      <c r="M43" s="14" t="s">
        <v>47</v>
      </c>
      <c r="N43" s="15" t="s">
        <v>79</v>
      </c>
      <c r="O43" t="s">
        <v>107</v>
      </c>
    </row>
    <row r="44" spans="1:17">
      <c r="A44" s="8" t="s">
        <v>48</v>
      </c>
      <c r="B44" s="9" t="s">
        <v>263</v>
      </c>
      <c r="C44" s="10" t="str" cm="1">
        <f t="array" ref="C44">_xll.TR(O44,"MID_SPREAD")</f>
        <v>The record could not be found (Error code: 0)</v>
      </c>
      <c r="D44" s="35" t="e" cm="1">
        <f t="array" ref="D44">_xll.TR(O44,"MID_SPREAD")*_xll.TR(O44,"PCTCHG_1W")/(100+_xll.TR(O44,"PCTCHG_1W"))</f>
        <v>#VALUE!</v>
      </c>
      <c r="E44" s="35">
        <f>'CDS from CapitalIQ'!V85</f>
        <v>0</v>
      </c>
      <c r="F44" s="35">
        <f>'CDS from CapitalIQ'!W85</f>
        <v>0</v>
      </c>
      <c r="G44" s="36">
        <f>'CDS from CapitalIQ'!X85</f>
        <v>0</v>
      </c>
      <c r="H44" s="11" cm="1">
        <f t="array" aca="1" ref="H44" ca="1">(_xll.TR(N44,"TR.PriceClose")-_xll.TR(N44,"TR.PriceClose","SDate:"&amp;TEXT(WORKDAY(TODAY(),-5),"yyyy-mm-dd")))/_xll.TR(N44,"TR.PriceClose","SDate:"&amp;TEXT(WORKDAY(TODAY(),-5),"yyyy-mm-dd"))</f>
        <v>-2.4636610002476265E-4</v>
      </c>
      <c r="I44" s="11" cm="1">
        <f t="array" aca="1" ref="I44" ca="1">(_xll.TR(N44,"TR.PriceClose")-_xll.TR(N44,"TR.PriceClose","SDate:"&amp;TEXT(WORKDAY(TODAY(),-10),"yyyy-mm-dd")))/_xll.TR(N44,"TR.PriceClose","SDate:"&amp;TEXT(WORKDAY(TODAY(),-10),"yyyy-mm-dd"))</f>
        <v>6.6980898040187552E-3</v>
      </c>
      <c r="J44" s="11" cm="1">
        <f t="array" aca="1" ref="J44" ca="1">(_xll.TR(N44,"TR.PriceClose")-_xll.TR(N44,"TR.PriceClose","SDate:"&amp;TEXT(WORKDAY(TODAY(),-65),"yyyy-mm-dd")))/_xll.TR(N44,"TR.PriceClose","SDate:"&amp;TEXT(WORKDAY(TODAY(),-65),"yyyy-mm-dd"))</f>
        <v>5.7001239157372209E-3</v>
      </c>
      <c r="K44" s="11" cm="1">
        <f t="array" aca="1" ref="K44" ca="1">(_xll.TR(N44,"TR.PriceClose")-_xll.TR(N44,"TR.PriceClose","SDate:"&amp;EDATE(TODAY(),-12)))/_xll.TR(N44,"TR.PriceClose","SDate:"&amp;EDATE(TODAY(),-12))</f>
        <v>0.26496259351620949</v>
      </c>
      <c r="M44" s="14" t="s">
        <v>48</v>
      </c>
      <c r="N44" s="15" t="s">
        <v>80</v>
      </c>
      <c r="O44" t="s">
        <v>110</v>
      </c>
      <c r="Q44" s="16"/>
    </row>
    <row r="45" spans="1:17">
      <c r="Q45" s="23"/>
    </row>
    <row r="46" spans="1:17">
      <c r="A46" t="s">
        <v>237</v>
      </c>
      <c r="F46" s="24"/>
      <c r="H46" s="52">
        <f ca="1">_xlfn.PERCENTILE.INC(H$8:H$44,0.2)</f>
        <v>-9.4266893412902307E-3</v>
      </c>
      <c r="I46" s="52">
        <f ca="1">_xlfn.PERCENTILE.INC(I$8:I$44,0.2)</f>
        <v>-8.507012405410028E-3</v>
      </c>
      <c r="J46" s="53">
        <f ca="1">_xlfn.PERCENTILE.INC(J$8:J$44,0.2)</f>
        <v>4.461887382520581E-2</v>
      </c>
      <c r="K46" s="53">
        <f ca="1">_xlfn.PERCENTILE.INC(K$8:K$44,0.2)</f>
        <v>0.29260251260939668</v>
      </c>
      <c r="M46" s="16"/>
      <c r="Q46" s="23"/>
    </row>
    <row r="47" spans="1:17">
      <c r="H47" s="51">
        <f ca="1">_xlfn.PERCENTILE.INC(H$8:H$44,0.8)</f>
        <v>2.1711340087563431E-2</v>
      </c>
      <c r="I47" s="51">
        <f ca="1">_xlfn.PERCENTILE.INC(I$8:I$44,0.8)</f>
        <v>2.4059008569259188E-2</v>
      </c>
      <c r="J47" s="54">
        <f ca="1">_xlfn.PERCENTILE.INC(J$8:J$44,0.8)</f>
        <v>0.16695715819382828</v>
      </c>
      <c r="K47" s="54">
        <f ca="1">_xlfn.PERCENTILE.INC(K$8:K$44,0.8)</f>
        <v>0.59159481838240535</v>
      </c>
      <c r="Q47" s="23"/>
    </row>
    <row r="48" spans="1:17">
      <c r="C48" s="41"/>
      <c r="D48" s="41"/>
      <c r="M48" s="13"/>
      <c r="N48" s="13"/>
      <c r="Q48" s="23"/>
    </row>
    <row r="49" spans="4:17">
      <c r="M49" s="14"/>
      <c r="N49" s="15"/>
      <c r="Q49" s="23"/>
    </row>
    <row r="50" spans="4:17">
      <c r="D50" s="41"/>
      <c r="M50" s="14"/>
      <c r="N50" s="15"/>
      <c r="Q50" s="23"/>
    </row>
    <row r="51" spans="4:17">
      <c r="M51" s="14"/>
      <c r="N51" s="15"/>
      <c r="Q51" s="23"/>
    </row>
    <row r="52" spans="4:17">
      <c r="M52" s="14"/>
      <c r="N52" s="15"/>
      <c r="Q52" s="23"/>
    </row>
    <row r="53" spans="4:17">
      <c r="M53" s="14"/>
      <c r="N53" s="15"/>
    </row>
    <row r="55" spans="4:17">
      <c r="M55" s="16"/>
    </row>
    <row r="57" spans="4:17">
      <c r="M57" s="13"/>
      <c r="N57" s="13"/>
    </row>
    <row r="58" spans="4:17">
      <c r="M58" s="14"/>
      <c r="N58" s="15"/>
    </row>
    <row r="59" spans="4:17">
      <c r="M59" s="14"/>
      <c r="N59" s="15"/>
    </row>
    <row r="60" spans="4:17">
      <c r="M60" s="14"/>
      <c r="N60" s="15"/>
    </row>
    <row r="61" spans="4:17">
      <c r="M61" s="14"/>
      <c r="N61" s="15"/>
    </row>
    <row r="62" spans="4:17">
      <c r="M62" s="14"/>
      <c r="N62" s="15"/>
    </row>
    <row r="63" spans="4:17">
      <c r="M63" s="14"/>
      <c r="N63" s="15"/>
    </row>
    <row r="64" spans="4:17">
      <c r="M64" s="14"/>
      <c r="N64" s="15"/>
    </row>
  </sheetData>
  <mergeCells count="4">
    <mergeCell ref="C1:G1"/>
    <mergeCell ref="C5:G5"/>
    <mergeCell ref="H1:K1"/>
    <mergeCell ref="H5:K5"/>
  </mergeCells>
  <conditionalFormatting sqref="D8:D43">
    <cfRule type="expression" dxfId="23" priority="15" stopIfTrue="1">
      <formula>D8&lt;=-3</formula>
    </cfRule>
    <cfRule type="expression" dxfId="22" priority="16" stopIfTrue="1">
      <formula>D8&gt;3</formula>
    </cfRule>
  </conditionalFormatting>
  <conditionalFormatting sqref="E8:E44">
    <cfRule type="expression" dxfId="21" priority="13" stopIfTrue="1">
      <formula>E8&lt;=-3</formula>
    </cfRule>
    <cfRule type="expression" dxfId="20" priority="14" stopIfTrue="1">
      <formula>E8&gt;3</formula>
    </cfRule>
  </conditionalFormatting>
  <conditionalFormatting sqref="F8:G44">
    <cfRule type="expression" dxfId="19" priority="9" stopIfTrue="1">
      <formula>F8&lt;=-20</formula>
    </cfRule>
    <cfRule type="expression" dxfId="18" priority="10" stopIfTrue="1">
      <formula>F8&gt;20</formula>
    </cfRule>
  </conditionalFormatting>
  <conditionalFormatting sqref="H8:H44 H46">
    <cfRule type="expression" dxfId="17" priority="7" stopIfTrue="1">
      <formula>H8&gt;=0.02</formula>
    </cfRule>
    <cfRule type="expression" dxfId="16" priority="8" stopIfTrue="1">
      <formula>H8&lt;=-0.03</formula>
    </cfRule>
  </conditionalFormatting>
  <conditionalFormatting sqref="I8:I44 I46">
    <cfRule type="expression" dxfId="15" priority="5" stopIfTrue="1">
      <formula>I8&gt;=0.1</formula>
    </cfRule>
    <cfRule type="expression" dxfId="14" priority="6" stopIfTrue="1">
      <formula>I8&lt;=-0.03</formula>
    </cfRule>
  </conditionalFormatting>
  <conditionalFormatting sqref="J8:J44">
    <cfRule type="expression" dxfId="13" priority="3" stopIfTrue="1">
      <formula>J8&gt;=0.3</formula>
    </cfRule>
    <cfRule type="expression" dxfId="12" priority="4" stopIfTrue="1">
      <formula>J8&lt;=-0.13</formula>
    </cfRule>
  </conditionalFormatting>
  <conditionalFormatting sqref="K8:K44">
    <cfRule type="expression" dxfId="11" priority="1" stopIfTrue="1">
      <formula>K8&gt;=0.7</formula>
    </cfRule>
    <cfRule type="expression" dxfId="10" priority="2" stopIfTrue="1">
      <formula>K8&lt;=-0.3</formula>
    </cfRule>
  </conditionalFormatting>
  <pageMargins left="0.7" right="0.7" top="0.75" bottom="0.75" header="0.3" footer="0.3"/>
  <pageSetup orientation="portrait" r:id="rId1"/>
  <headerFooter>
    <oddHeader>&amp;R&amp;"Aptos"&amp;10&amp;K000000 Category/Catégorie: Non-Sensitive/Non-Délicat&amp;1#_x000D_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D83A-8344-46DF-9263-3D6EDECA8BF0}">
  <dimension ref="A1:K44"/>
  <sheetViews>
    <sheetView zoomScale="98" zoomScaleNormal="98" workbookViewId="0">
      <selection activeCell="F16" sqref="F16"/>
    </sheetView>
  </sheetViews>
  <sheetFormatPr defaultRowHeight="14"/>
  <cols>
    <col min="1" max="1" width="27.26953125" style="55" customWidth="1"/>
    <col min="2" max="3" width="15.26953125" style="55" customWidth="1"/>
    <col min="4" max="4" width="21.81640625" style="55" customWidth="1"/>
    <col min="5" max="5" width="19.6328125" style="55" customWidth="1"/>
    <col min="6" max="6" width="21.81640625" style="55" customWidth="1"/>
    <col min="7" max="7" width="20.7265625" style="55" customWidth="1"/>
    <col min="8" max="8" width="16.36328125" style="55" customWidth="1"/>
    <col min="9" max="9" width="8.7265625" style="55"/>
    <col min="10" max="10" width="19.6328125" style="55" customWidth="1"/>
    <col min="11" max="11" width="24" style="55" customWidth="1"/>
    <col min="12" max="16384" width="8.7265625" style="55"/>
  </cols>
  <sheetData>
    <row r="1" spans="1:11" ht="18" customHeight="1">
      <c r="A1" s="80" t="s">
        <v>262</v>
      </c>
      <c r="B1" s="80"/>
      <c r="C1" s="80"/>
      <c r="D1" s="80"/>
      <c r="E1" s="80"/>
      <c r="F1" s="80"/>
      <c r="G1" s="80"/>
      <c r="H1" s="80"/>
      <c r="J1" s="81" t="s">
        <v>261</v>
      </c>
      <c r="K1" s="81"/>
    </row>
    <row r="2" spans="1:11">
      <c r="J2" s="70" t="s">
        <v>260</v>
      </c>
      <c r="K2" s="71">
        <v>0.6</v>
      </c>
    </row>
    <row r="3" spans="1:11">
      <c r="J3" s="70" t="s">
        <v>259</v>
      </c>
      <c r="K3" s="71">
        <v>0.4</v>
      </c>
    </row>
    <row r="4" spans="1:11">
      <c r="J4" s="70" t="s">
        <v>258</v>
      </c>
      <c r="K4" s="69" t="s">
        <v>257</v>
      </c>
    </row>
    <row r="5" spans="1:11">
      <c r="J5" s="70" t="s">
        <v>256</v>
      </c>
      <c r="K5" s="69" t="s">
        <v>255</v>
      </c>
    </row>
    <row r="7" spans="1:11" ht="34.5" customHeight="1">
      <c r="A7" s="68" t="s">
        <v>2</v>
      </c>
      <c r="B7" s="68" t="s">
        <v>254</v>
      </c>
      <c r="C7" s="68" t="s">
        <v>253</v>
      </c>
      <c r="D7" s="68" t="s">
        <v>252</v>
      </c>
      <c r="E7" s="68" t="s">
        <v>251</v>
      </c>
      <c r="F7" s="68" t="s">
        <v>250</v>
      </c>
      <c r="G7" s="68" t="s">
        <v>249</v>
      </c>
      <c r="H7" s="68" t="s">
        <v>247</v>
      </c>
    </row>
    <row r="8" spans="1:11">
      <c r="A8" s="60" t="s">
        <v>10</v>
      </c>
      <c r="B8" s="60" t="s">
        <v>238</v>
      </c>
      <c r="C8" s="59">
        <f ca="1">Report!$C$8</f>
        <v>51.2239</v>
      </c>
      <c r="D8" s="58">
        <f ca="1">Report!$I$8</f>
        <v>2.380952380952386E-2</v>
      </c>
      <c r="E8" s="62">
        <f ca="1">_xlfn.PERCENTRANK.INC($C$8:$C$14,C8)*100</f>
        <v>50</v>
      </c>
      <c r="F8" s="62">
        <f ca="1">(1-_xlfn.PERCENTRANK.INC($D$8:$D$14,D8))*100</f>
        <v>16.700000000000003</v>
      </c>
      <c r="G8" s="62">
        <f t="shared" ref="G8:G14" ca="1" si="0">IF(OR(E8="",F8=""),"",$K$2*E8+$K$3*F8)</f>
        <v>36.68</v>
      </c>
      <c r="H8" s="61" t="str">
        <f t="shared" ref="H8:H14" ca="1" si="1">IF(G8="","",IF(G8&lt;=25,"Low",IF(G8&lt;=50,"Moderate",IF(G8&lt;=75,"Elevated","High"))))</f>
        <v>Moderate</v>
      </c>
      <c r="J8" s="67" t="s">
        <v>248</v>
      </c>
      <c r="K8" s="67" t="s">
        <v>247</v>
      </c>
    </row>
    <row r="9" spans="1:11">
      <c r="A9" s="60" t="s">
        <v>11</v>
      </c>
      <c r="B9" s="60" t="s">
        <v>238</v>
      </c>
      <c r="C9" s="59">
        <f ca="1">Report!$C$9</f>
        <v>52.221699999999998</v>
      </c>
      <c r="D9" s="58">
        <f ca="1">Report!$I$9</f>
        <v>2.571107183030752E-3</v>
      </c>
      <c r="E9" s="62">
        <f t="shared" ref="E9:E14" ca="1" si="2">_xlfn.PERCENTRANK.INC($C$8:$C$14,C9)*100</f>
        <v>66.600000000000009</v>
      </c>
      <c r="F9" s="62">
        <f t="shared" ref="F9:F14" ca="1" si="3">(1-_xlfn.PERCENTRANK.INC($D$8:$D$14,D9))*100</f>
        <v>50</v>
      </c>
      <c r="G9" s="62">
        <f t="shared" ca="1" si="0"/>
        <v>59.96</v>
      </c>
      <c r="H9" s="61" t="str">
        <f t="shared" ca="1" si="1"/>
        <v>Elevated</v>
      </c>
      <c r="J9" s="66" t="s">
        <v>246</v>
      </c>
      <c r="K9" s="66" t="s">
        <v>245</v>
      </c>
    </row>
    <row r="10" spans="1:11">
      <c r="A10" s="60" t="s">
        <v>12</v>
      </c>
      <c r="B10" s="60" t="s">
        <v>238</v>
      </c>
      <c r="C10" s="59">
        <f ca="1">Report!$C$10</f>
        <v>37.069600000000001</v>
      </c>
      <c r="D10" s="58">
        <f ca="1">Report!$I$10</f>
        <v>-8.387096774193574E-3</v>
      </c>
      <c r="E10" s="62">
        <f t="shared" ca="1" si="2"/>
        <v>0</v>
      </c>
      <c r="F10" s="62">
        <f t="shared" ca="1" si="3"/>
        <v>83.399999999999991</v>
      </c>
      <c r="G10" s="62">
        <f t="shared" ca="1" si="0"/>
        <v>33.36</v>
      </c>
      <c r="H10" s="61" t="str">
        <f t="shared" ca="1" si="1"/>
        <v>Moderate</v>
      </c>
      <c r="J10" s="65" t="s">
        <v>244</v>
      </c>
      <c r="K10" s="65" t="s">
        <v>243</v>
      </c>
    </row>
    <row r="11" spans="1:11">
      <c r="A11" s="60" t="s">
        <v>13</v>
      </c>
      <c r="B11" s="60" t="s">
        <v>238</v>
      </c>
      <c r="C11" s="59">
        <f ca="1">Report!$C$11</f>
        <v>52.4133</v>
      </c>
      <c r="D11" s="58">
        <f ca="1">Report!$I$11</f>
        <v>-3.7771754800761813E-3</v>
      </c>
      <c r="E11" s="62">
        <f t="shared" ca="1" si="2"/>
        <v>83.3</v>
      </c>
      <c r="F11" s="62">
        <f t="shared" ca="1" si="3"/>
        <v>66.7</v>
      </c>
      <c r="G11" s="62">
        <f t="shared" ca="1" si="0"/>
        <v>76.66</v>
      </c>
      <c r="H11" s="61" t="str">
        <f t="shared" ca="1" si="1"/>
        <v>High</v>
      </c>
      <c r="J11" s="64" t="s">
        <v>242</v>
      </c>
      <c r="K11" s="64" t="s">
        <v>241</v>
      </c>
    </row>
    <row r="12" spans="1:11">
      <c r="A12" s="60" t="s">
        <v>14</v>
      </c>
      <c r="B12" s="60" t="s">
        <v>238</v>
      </c>
      <c r="C12" s="59">
        <f ca="1">Report!$C$12</f>
        <v>54.868899999999996</v>
      </c>
      <c r="D12" s="58">
        <f ca="1">Report!$I$12</f>
        <v>1.0089686098654693E-2</v>
      </c>
      <c r="E12" s="62">
        <f t="shared" ca="1" si="2"/>
        <v>100</v>
      </c>
      <c r="F12" s="62">
        <f t="shared" ca="1" si="3"/>
        <v>33.4</v>
      </c>
      <c r="G12" s="62">
        <f t="shared" ca="1" si="0"/>
        <v>73.36</v>
      </c>
      <c r="H12" s="61" t="str">
        <f t="shared" ca="1" si="1"/>
        <v>Elevated</v>
      </c>
      <c r="J12" s="63" t="s">
        <v>240</v>
      </c>
      <c r="K12" s="63" t="s">
        <v>239</v>
      </c>
    </row>
    <row r="13" spans="1:11">
      <c r="A13" s="60" t="s">
        <v>15</v>
      </c>
      <c r="B13" s="60" t="s">
        <v>238</v>
      </c>
      <c r="C13" s="59">
        <f ca="1">Report!$C$13</f>
        <v>45.875</v>
      </c>
      <c r="D13" s="58">
        <f ca="1">Report!$I$13</f>
        <v>3.2030975008799596E-2</v>
      </c>
      <c r="E13" s="62">
        <f t="shared" ca="1" si="2"/>
        <v>16.600000000000001</v>
      </c>
      <c r="F13" s="62">
        <f t="shared" ca="1" si="3"/>
        <v>0</v>
      </c>
      <c r="G13" s="62">
        <f t="shared" ca="1" si="0"/>
        <v>9.9600000000000009</v>
      </c>
      <c r="H13" s="61" t="str">
        <f t="shared" ca="1" si="1"/>
        <v>Low</v>
      </c>
    </row>
    <row r="14" spans="1:11">
      <c r="A14" s="60" t="s">
        <v>16</v>
      </c>
      <c r="B14" s="60" t="s">
        <v>238</v>
      </c>
      <c r="C14" s="59">
        <f ca="1">Report!$C$14</f>
        <v>50.806699999999999</v>
      </c>
      <c r="D14" s="58">
        <f ca="1">Report!$I$14</f>
        <v>-8.9866749302758443E-3</v>
      </c>
      <c r="E14" s="62">
        <f t="shared" ca="1" si="2"/>
        <v>33.300000000000004</v>
      </c>
      <c r="F14" s="62">
        <f t="shared" ca="1" si="3"/>
        <v>100</v>
      </c>
      <c r="G14" s="62">
        <f t="shared" ca="1" si="0"/>
        <v>59.980000000000004</v>
      </c>
      <c r="H14" s="61" t="str">
        <f t="shared" ca="1" si="1"/>
        <v>Elevated</v>
      </c>
    </row>
    <row r="15" spans="1:11" ht="14.65" customHeight="1">
      <c r="A15" s="77" t="s">
        <v>17</v>
      </c>
      <c r="B15" s="77"/>
      <c r="C15" s="78"/>
      <c r="D15" s="79"/>
      <c r="E15" s="78"/>
      <c r="F15" s="78"/>
      <c r="G15" s="78"/>
      <c r="H15" s="77"/>
    </row>
    <row r="16" spans="1:11">
      <c r="A16" s="60" t="s">
        <v>18</v>
      </c>
      <c r="B16" s="60" t="s">
        <v>17</v>
      </c>
      <c r="C16" s="59">
        <f ca="1">Report!$C$16</f>
        <v>42.166699999999999</v>
      </c>
      <c r="D16" s="58">
        <f ca="1">Report!$I$16</f>
        <v>-1.7404464623533896E-2</v>
      </c>
      <c r="E16" s="62">
        <f ca="1">_xlfn.PERCENTRANK.INC($C$16:$C$18,C16)*100</f>
        <v>50</v>
      </c>
      <c r="F16" s="62">
        <f ca="1">(1-_xlfn.PERCENTRANK.INC($D$16:$D$18,D16))*100</f>
        <v>50</v>
      </c>
      <c r="G16" s="62" t="e">
        <f ca="1">IF(OR(#REF!="",F16=""),"",$K$2*#REF!+$K$3*F16)</f>
        <v>#REF!</v>
      </c>
      <c r="H16" s="61" t="e">
        <f ca="1">IF(G16="","",IF(G16&lt;=25,"Low",IF(G16&lt;=50,"Moderate",IF(G16&lt;=75,"Elevated","High"))))</f>
        <v>#REF!</v>
      </c>
    </row>
    <row r="17" spans="1:8">
      <c r="A17" s="60" t="s">
        <v>19</v>
      </c>
      <c r="B17" s="60" t="s">
        <v>17</v>
      </c>
      <c r="C17" s="59">
        <f ca="1">Report!$C$17</f>
        <v>36.975000000000001</v>
      </c>
      <c r="D17" s="58">
        <f ca="1">Report!$I$17</f>
        <v>-1.762230405049978E-2</v>
      </c>
      <c r="E17" s="62">
        <f t="shared" ref="E17:E18" ca="1" si="4">_xlfn.PERCENTRANK.INC($C$16:$C$18,C17)*100</f>
        <v>0</v>
      </c>
      <c r="F17" s="62">
        <f t="shared" ref="F17:F18" ca="1" si="5">(1-_xlfn.PERCENTRANK.INC($D$16:$D$18,D17))*100</f>
        <v>100</v>
      </c>
      <c r="G17" s="62">
        <f ca="1">IF(OR(E16="",F17=""),"",$K$2*E16+$K$3*F17)</f>
        <v>70</v>
      </c>
      <c r="H17" s="61" t="str">
        <f ca="1">IF(G17="","",IF(G17&lt;=25,"Low",IF(G17&lt;=50,"Moderate",IF(G17&lt;=75,"Elevated","High"))))</f>
        <v>Elevated</v>
      </c>
    </row>
    <row r="18" spans="1:8">
      <c r="A18" s="60" t="s">
        <v>20</v>
      </c>
      <c r="B18" s="60" t="s">
        <v>17</v>
      </c>
      <c r="C18" s="59">
        <f ca="1">Report!$C$18</f>
        <v>44.142899999999997</v>
      </c>
      <c r="D18" s="58">
        <f ca="1">Report!$I$18</f>
        <v>-5.61797752808991E-3</v>
      </c>
      <c r="E18" s="62">
        <f t="shared" ca="1" si="4"/>
        <v>100</v>
      </c>
      <c r="F18" s="62">
        <f t="shared" ca="1" si="5"/>
        <v>0</v>
      </c>
      <c r="G18" s="62">
        <f ca="1">IF(OR(E18="",F18=""),"",$K$2*E18+$K$3*F18)</f>
        <v>60</v>
      </c>
      <c r="H18" s="61" t="str">
        <f ca="1">IF(G18="","",IF(G18&lt;=25,"Low",IF(G18&lt;=50,"Moderate",IF(G18&lt;=75,"Elevated","High"))))</f>
        <v>Elevated</v>
      </c>
    </row>
    <row r="19" spans="1:8" ht="14.65" customHeight="1">
      <c r="A19" s="77" t="s">
        <v>21</v>
      </c>
      <c r="B19" s="77"/>
      <c r="C19" s="78"/>
      <c r="D19" s="79"/>
      <c r="E19" s="78"/>
      <c r="F19" s="78"/>
      <c r="G19" s="78"/>
      <c r="H19" s="77"/>
    </row>
    <row r="20" spans="1:8">
      <c r="A20" s="60" t="s">
        <v>22</v>
      </c>
      <c r="B20" s="60" t="s">
        <v>21</v>
      </c>
      <c r="C20" s="59">
        <f ca="1">Report!$C$20</f>
        <v>44.747199999999999</v>
      </c>
      <c r="D20" s="58">
        <f ca="1">Report!$I$20</f>
        <v>2.505694760820049E-2</v>
      </c>
      <c r="E20" s="62" t="str">
        <f ca="1">IF(OR(C20="",COUNTIFS($B$8:$B$44,B20,$C$8:$C$44,"&lt;&gt;")&lt;2),"",100*(COUNTIFS($B$8:$B$44,B20,$C$8:$C$44,"&lt;"&amp;C20)+0.5*(COUNTIFS($B$8:$B$44,B20,$C$8:$C$44,"="&amp;C20)-1))/(COUNTIFS($B$8:$B$44,B20,$C$8:$C$44,"&lt;&gt;")-1))</f>
        <v/>
      </c>
      <c r="F20" s="62" t="str">
        <f ca="1">IF(OR(D20="",COUNTIFS($B$8:$B$44,B20,$D$8:$D$44,"&lt;&gt;")&lt;2),"",100*(COUNTIFS($B$8:$B$44,B20,$D$8:$D$44,"&gt;"&amp;D20)+0.5*(COUNTIFS($B$8:$B$44,B20,$D$8:$D$44,"="&amp;D20)-1))/(COUNTIFS($B$8:$B$44,B20,$D$8:$D$44,"&lt;&gt;")-1))</f>
        <v/>
      </c>
      <c r="G20" s="62" t="str">
        <f ca="1">IF(OR(E20="",F20=""),"",$K$2*E20+$K$3*F20)</f>
        <v/>
      </c>
      <c r="H20" s="61" t="str">
        <f ca="1">IF(G20="","",IF(G20&lt;=25,"Low",IF(G20&lt;=50,"Moderate",IF(G20&lt;=75,"Elevated","High"))))</f>
        <v/>
      </c>
    </row>
    <row r="21" spans="1:8" ht="14.65" customHeight="1">
      <c r="A21" s="77" t="s">
        <v>23</v>
      </c>
      <c r="B21" s="77"/>
      <c r="C21" s="78"/>
      <c r="D21" s="79"/>
      <c r="E21" s="78"/>
      <c r="F21" s="78"/>
      <c r="G21" s="78"/>
      <c r="H21" s="77"/>
    </row>
    <row r="22" spans="1:8">
      <c r="A22" s="60" t="s">
        <v>24</v>
      </c>
      <c r="B22" s="60" t="s">
        <v>23</v>
      </c>
      <c r="C22" s="59">
        <f ca="1">Report!$C$22</f>
        <v>53.625</v>
      </c>
      <c r="D22" s="58">
        <f ca="1">Report!$I$22</f>
        <v>-3.0027024321889698E-3</v>
      </c>
      <c r="E22" s="62">
        <f ca="1">_xlfn.PERCENTRANK.INC($C$22:$C$25,C22)*100</f>
        <v>100</v>
      </c>
      <c r="F22" s="62">
        <f ca="1">(1-_xlfn.PERCENTRANK.INC($D$22:$D$25,D22))*100</f>
        <v>100</v>
      </c>
      <c r="G22" s="62">
        <f ca="1">IF(OR(E22="",F22=""),"",$K$2*E22+$K$3*F22)</f>
        <v>100</v>
      </c>
      <c r="H22" s="61" t="str">
        <f ca="1">IF(G22="","",IF(G22&lt;=25,"Low",IF(G22&lt;=50,"Moderate",IF(G22&lt;=75,"Elevated","High"))))</f>
        <v>High</v>
      </c>
    </row>
    <row r="23" spans="1:8">
      <c r="A23" s="60" t="s">
        <v>25</v>
      </c>
      <c r="B23" s="60" t="s">
        <v>23</v>
      </c>
      <c r="C23" s="59">
        <f ca="1">Report!$C$23</f>
        <v>35.4</v>
      </c>
      <c r="D23" s="58">
        <f ca="1">Report!$I$23</f>
        <v>3.4555248981736897E-2</v>
      </c>
      <c r="E23" s="62">
        <f t="shared" ref="E23:E25" ca="1" si="6">_xlfn.PERCENTRANK.INC($C$22:$C$25,C23)*100</f>
        <v>0</v>
      </c>
      <c r="F23" s="62">
        <f t="shared" ref="F23:F25" ca="1" si="7">(1-_xlfn.PERCENTRANK.INC($D$22:$D$25,D23))*100</f>
        <v>33.4</v>
      </c>
      <c r="G23" s="62">
        <f ca="1">IF(OR(E23="",F23=""),"",$K$2*E23+$K$3*F23)</f>
        <v>13.36</v>
      </c>
      <c r="H23" s="61" t="str">
        <f ca="1">IF(G23="","",IF(G23&lt;=25,"Low",IF(G23&lt;=50,"Moderate",IF(G23&lt;=75,"Elevated","High"))))</f>
        <v>Low</v>
      </c>
    </row>
    <row r="24" spans="1:8">
      <c r="A24" s="60" t="s">
        <v>26</v>
      </c>
      <c r="B24" s="60" t="s">
        <v>23</v>
      </c>
      <c r="C24" s="59">
        <f ca="1">Report!$C$24</f>
        <v>51.5625</v>
      </c>
      <c r="D24" s="58">
        <f ca="1">Report!$I$24</f>
        <v>6.3583815028901407E-3</v>
      </c>
      <c r="E24" s="62">
        <f t="shared" ca="1" si="6"/>
        <v>66.600000000000009</v>
      </c>
      <c r="F24" s="62">
        <f t="shared" ca="1" si="7"/>
        <v>66.7</v>
      </c>
      <c r="G24" s="62">
        <f ca="1">IF(OR(E24="",F24=""),"",$K$2*E24+$K$3*F24)</f>
        <v>66.64</v>
      </c>
      <c r="H24" s="61" t="str">
        <f ca="1">IF(G24="","",IF(G24&lt;=25,"Low",IF(G24&lt;=50,"Moderate",IF(G24&lt;=75,"Elevated","High"))))</f>
        <v>Elevated</v>
      </c>
    </row>
    <row r="25" spans="1:8">
      <c r="A25" s="60" t="s">
        <v>27</v>
      </c>
      <c r="B25" s="60" t="s">
        <v>23</v>
      </c>
      <c r="C25" s="59">
        <f ca="1">Report!$C$25</f>
        <v>38.541699999999999</v>
      </c>
      <c r="D25" s="58">
        <f ca="1">Report!$I$25</f>
        <v>5.0412465627864347E-2</v>
      </c>
      <c r="E25" s="62">
        <f t="shared" ca="1" si="6"/>
        <v>33.300000000000004</v>
      </c>
      <c r="F25" s="62">
        <f t="shared" ca="1" si="7"/>
        <v>0</v>
      </c>
      <c r="G25" s="62">
        <f ca="1">IF(OR(E25="",F25=""),"",$K$2*E25+$K$3*F25)</f>
        <v>19.98</v>
      </c>
      <c r="H25" s="61" t="str">
        <f ca="1">IF(G25="","",IF(G25&lt;=25,"Low",IF(G25&lt;=50,"Moderate",IF(G25&lt;=75,"Elevated","High"))))</f>
        <v>Low</v>
      </c>
    </row>
    <row r="26" spans="1:8" ht="14.65" customHeight="1">
      <c r="A26" s="77" t="s">
        <v>28</v>
      </c>
      <c r="B26" s="77"/>
      <c r="C26" s="78"/>
      <c r="D26" s="79"/>
      <c r="E26" s="78"/>
      <c r="F26" s="78"/>
      <c r="G26" s="78"/>
      <c r="H26" s="77"/>
    </row>
    <row r="27" spans="1:8">
      <c r="A27" s="60" t="s">
        <v>29</v>
      </c>
      <c r="B27" s="60" t="s">
        <v>28</v>
      </c>
      <c r="C27" s="59">
        <f ca="1">Report!$C$27</f>
        <v>43.9</v>
      </c>
      <c r="D27" s="58">
        <f ca="1">Report!$I$27</f>
        <v>3.2341900086630015E-2</v>
      </c>
      <c r="E27" s="62">
        <f ca="1">_xlfn.PERCENTRANK.INC($C$27:$C$28,C27)*100</f>
        <v>100</v>
      </c>
      <c r="F27" s="62">
        <f ca="1">(1-_xlfn.PERCENTRANK.INC($D$27:$D$28,D27))*100</f>
        <v>100</v>
      </c>
      <c r="G27" s="62">
        <f ca="1">IF(OR(E27="",F27=""),"",$K$2*E27+$K$3*F27)</f>
        <v>100</v>
      </c>
      <c r="H27" s="61" t="str">
        <f ca="1">IF(G27="","",IF(G27&lt;=25,"Low",IF(G27&lt;=50,"Moderate",IF(G27&lt;=75,"Elevated","High"))))</f>
        <v>High</v>
      </c>
    </row>
    <row r="28" spans="1:8">
      <c r="A28" s="60" t="s">
        <v>30</v>
      </c>
      <c r="B28" s="60" t="s">
        <v>28</v>
      </c>
      <c r="C28" s="59">
        <f ca="1">Report!$C$28</f>
        <v>32.799999999999997</v>
      </c>
      <c r="D28" s="58">
        <f ca="1">Report!$I$28</f>
        <v>4.2022966039579744E-2</v>
      </c>
      <c r="E28" s="62">
        <f ca="1">_xlfn.PERCENTRANK.INC($C$27:$C$28,C28)*100</f>
        <v>0</v>
      </c>
      <c r="F28" s="62">
        <f ca="1">(1-_xlfn.PERCENTRANK.INC($D$27:$D$28,D28))*100</f>
        <v>0</v>
      </c>
      <c r="G28" s="62">
        <f ca="1">IF(OR(E28="",F28=""),"",$K$2*E28+$K$3*F28)</f>
        <v>0</v>
      </c>
      <c r="H28" s="61" t="str">
        <f ca="1">IF(G28="","",IF(G28&lt;=25,"Low",IF(G28&lt;=50,"Moderate",IF(G28&lt;=75,"Elevated","High"))))</f>
        <v>Low</v>
      </c>
    </row>
    <row r="29" spans="1:8" ht="14.65" customHeight="1">
      <c r="A29" s="77" t="s">
        <v>31</v>
      </c>
      <c r="B29" s="77"/>
      <c r="C29" s="78"/>
      <c r="D29" s="79"/>
      <c r="E29" s="78"/>
      <c r="F29" s="78"/>
      <c r="G29" s="78"/>
      <c r="H29" s="77"/>
    </row>
    <row r="30" spans="1:8">
      <c r="A30" s="60" t="s">
        <v>32</v>
      </c>
      <c r="B30" s="60" t="s">
        <v>31</v>
      </c>
      <c r="C30" s="59">
        <f ca="1">Report!$C$30</f>
        <v>23.466699999999999</v>
      </c>
      <c r="D30" s="58">
        <f ca="1">Report!$I$30</f>
        <v>1.319332256327419E-2</v>
      </c>
      <c r="E30" s="62" t="str">
        <f ca="1">IF(OR(C30="",COUNTIFS($B$8:$B$44,B30,$C$8:$C$44,"&lt;&gt;")&lt;2),"",100*(COUNTIFS($B$8:$B$44,B30,$C$8:$C$44,"&lt;"&amp;C30)+0.5*(COUNTIFS($B$8:$B$44,B30,$C$8:$C$44,"="&amp;C30)-1))/(COUNTIFS($B$8:$B$44,B30,$C$8:$C$44,"&lt;&gt;")-1))</f>
        <v/>
      </c>
      <c r="F30" s="62" t="str">
        <f ca="1">IF(OR(D30="",COUNTIFS($B$8:$B$44,B30,$D$8:$D$44,"&lt;&gt;")&lt;2),"",100*(COUNTIFS($B$8:$B$44,B30,$D$8:$D$44,"&gt;"&amp;D30)+0.5*(COUNTIFS($B$8:$B$44,B30,$D$8:$D$44,"="&amp;D30)-1))/(COUNTIFS($B$8:$B$44,B30,$D$8:$D$44,"&lt;&gt;")-1))</f>
        <v/>
      </c>
      <c r="G30" s="62" t="str">
        <f ca="1">IF(OR(E30="",F30=""),"",$K$2*E30+$K$3*F30)</f>
        <v/>
      </c>
      <c r="H30" s="61" t="str">
        <f ca="1">IF(G30="","",IF(G30&lt;=25,"Low",IF(G30&lt;=50,"Moderate",IF(G30&lt;=75,"Elevated","High"))))</f>
        <v/>
      </c>
    </row>
    <row r="31" spans="1:8" ht="14.65" customHeight="1">
      <c r="A31" s="77" t="s">
        <v>33</v>
      </c>
      <c r="B31" s="77"/>
      <c r="C31" s="78"/>
      <c r="D31" s="79"/>
      <c r="E31" s="78"/>
      <c r="F31" s="78"/>
      <c r="G31" s="78"/>
      <c r="H31" s="77"/>
    </row>
    <row r="32" spans="1:8">
      <c r="A32" s="60" t="s">
        <v>35</v>
      </c>
      <c r="B32" s="60" t="s">
        <v>33</v>
      </c>
      <c r="C32" s="59">
        <f ca="1">Report!$C$32</f>
        <v>39.697600000000001</v>
      </c>
      <c r="D32" s="58">
        <f ca="1">Report!$I$32</f>
        <v>6.1469684269348981E-3</v>
      </c>
      <c r="E32" s="62">
        <f ca="1">_xlfn.PERCENTRANK.INC($C$32:$C$36,C32)*100</f>
        <v>0</v>
      </c>
      <c r="F32" s="62">
        <f ca="1">(1-_xlfn.PERCENTRANK.INC($D$32:$D$36,D32))*100</f>
        <v>75</v>
      </c>
      <c r="G32" s="62">
        <f ca="1">IF(OR(E32="",F32=""),"",$K$2*E32+$K$3*F32)</f>
        <v>30</v>
      </c>
      <c r="H32" s="61" t="str">
        <f ca="1">IF(G32="","",IF(G32&lt;=25,"Low",IF(G32&lt;=50,"Moderate",IF(G32&lt;=75,"Elevated","High"))))</f>
        <v>Moderate</v>
      </c>
    </row>
    <row r="33" spans="1:8">
      <c r="A33" s="60" t="s">
        <v>36</v>
      </c>
      <c r="B33" s="60" t="s">
        <v>33</v>
      </c>
      <c r="C33" s="59">
        <f ca="1">Report!$C$33</f>
        <v>41.086399999999998</v>
      </c>
      <c r="D33" s="58">
        <f ca="1">Report!$I$33</f>
        <v>1.0249554367201427E-2</v>
      </c>
      <c r="E33" s="62">
        <f t="shared" ref="E33:E36" ca="1" si="8">_xlfn.PERCENTRANK.INC($C$32:$C$36,C33)*100</f>
        <v>25</v>
      </c>
      <c r="F33" s="62">
        <f t="shared" ref="F33:F36" ca="1" si="9">(1-_xlfn.PERCENTRANK.INC($D$32:$D$36,D33))*100</f>
        <v>25</v>
      </c>
      <c r="G33" s="62">
        <f ca="1">IF(OR(E33="",F33=""),"",$K$2*E33+$K$3*F33)</f>
        <v>25</v>
      </c>
      <c r="H33" s="61" t="str">
        <f ca="1">IF(G33="","",IF(G33&lt;=25,"Low",IF(G33&lt;=50,"Moderate",IF(G33&lt;=75,"Elevated","High"))))</f>
        <v>Low</v>
      </c>
    </row>
    <row r="34" spans="1:8">
      <c r="A34" s="60" t="s">
        <v>37</v>
      </c>
      <c r="B34" s="60" t="s">
        <v>33</v>
      </c>
      <c r="C34" s="59">
        <f ca="1">Report!$C$34</f>
        <v>53.200699999999998</v>
      </c>
      <c r="D34" s="58">
        <f ca="1">Report!$I$34</f>
        <v>1.9485205677171036E-2</v>
      </c>
      <c r="E34" s="62">
        <f t="shared" ca="1" si="8"/>
        <v>50</v>
      </c>
      <c r="F34" s="62">
        <f t="shared" ca="1" si="9"/>
        <v>0</v>
      </c>
      <c r="G34" s="62">
        <f ca="1">IF(OR(E34="",F34=""),"",$K$2*E34+$K$3*F34)</f>
        <v>30</v>
      </c>
      <c r="H34" s="61" t="str">
        <f ca="1">IF(G34="","",IF(G34&lt;=25,"Low",IF(G34&lt;=50,"Moderate",IF(G34&lt;=75,"Elevated","High"))))</f>
        <v>Moderate</v>
      </c>
    </row>
    <row r="35" spans="1:8">
      <c r="A35" s="60" t="s">
        <v>38</v>
      </c>
      <c r="B35" s="60" t="s">
        <v>33</v>
      </c>
      <c r="C35" s="59">
        <f ca="1">Report!$C$35</f>
        <v>62.576500000000003</v>
      </c>
      <c r="D35" s="58">
        <f ca="1">Report!$I$35</f>
        <v>-9.371554575523704E-3</v>
      </c>
      <c r="E35" s="62">
        <f t="shared" ca="1" si="8"/>
        <v>75</v>
      </c>
      <c r="F35" s="62">
        <f t="shared" ca="1" si="9"/>
        <v>100</v>
      </c>
      <c r="G35" s="62">
        <f ca="1">IF(OR(E35="",F35=""),"",$K$2*E35+$K$3*F35)</f>
        <v>85</v>
      </c>
      <c r="H35" s="61" t="str">
        <f ca="1">IF(G35="","",IF(G35&lt;=25,"Low",IF(G35&lt;=50,"Moderate",IF(G35&lt;=75,"Elevated","High"))))</f>
        <v>High</v>
      </c>
    </row>
    <row r="36" spans="1:8">
      <c r="A36" s="60" t="s">
        <v>39</v>
      </c>
      <c r="B36" s="60" t="s">
        <v>33</v>
      </c>
      <c r="C36" s="59">
        <f ca="1">Report!$C$36</f>
        <v>73.229900000000001</v>
      </c>
      <c r="D36" s="58">
        <f ca="1">Report!$I$36</f>
        <v>7.7954474586841285E-3</v>
      </c>
      <c r="E36" s="62">
        <f t="shared" ca="1" si="8"/>
        <v>100</v>
      </c>
      <c r="F36" s="62">
        <f t="shared" ca="1" si="9"/>
        <v>50</v>
      </c>
      <c r="G36" s="62">
        <f ca="1">IF(OR(E36="",F36=""),"",$K$2*E36+$K$3*F36)</f>
        <v>80</v>
      </c>
      <c r="H36" s="61" t="str">
        <f ca="1">IF(G36="","",IF(G36&lt;=25,"Low",IF(G36&lt;=50,"Moderate",IF(G36&lt;=75,"Elevated","High"))))</f>
        <v>High</v>
      </c>
    </row>
    <row r="37" spans="1:8" ht="14.65" customHeight="1">
      <c r="A37" s="77" t="s">
        <v>40</v>
      </c>
      <c r="B37" s="77"/>
      <c r="C37" s="78"/>
      <c r="D37" s="79"/>
      <c r="E37" s="78"/>
      <c r="F37" s="78"/>
      <c r="G37" s="78"/>
      <c r="H37" s="77"/>
    </row>
    <row r="38" spans="1:8">
      <c r="A38" s="60" t="s">
        <v>42</v>
      </c>
      <c r="B38" s="60" t="s">
        <v>40</v>
      </c>
      <c r="C38" s="59">
        <f ca="1">Report!$C$38</f>
        <v>61.666699999999999</v>
      </c>
      <c r="D38" s="58">
        <f ca="1">Report!$I$38</f>
        <v>-1.3943455820044698E-2</v>
      </c>
      <c r="E38" s="62">
        <f ca="1">_xlfn.PERCENTRANK.INC($C$38:$C$43,C38)*100</f>
        <v>100</v>
      </c>
      <c r="F38" s="62">
        <f ca="1">(1-_xlfn.PERCENTRANK.INC($D$38:$D$43,D38))*100</f>
        <v>80</v>
      </c>
      <c r="G38" s="62">
        <f t="shared" ref="G38:G44" ca="1" si="10">IF(OR(E38="",F38=""),"",$K$2*E38+$K$3*F38)</f>
        <v>92</v>
      </c>
      <c r="H38" s="61" t="str">
        <f t="shared" ref="H38:H44" ca="1" si="11">IF(G38="","",IF(G38&lt;=25,"Low",IF(G38&lt;=50,"Moderate",IF(G38&lt;=75,"Elevated","High"))))</f>
        <v>High</v>
      </c>
    </row>
    <row r="39" spans="1:8">
      <c r="A39" s="60" t="s">
        <v>43</v>
      </c>
      <c r="B39" s="60" t="s">
        <v>40</v>
      </c>
      <c r="C39" s="59">
        <f ca="1">Report!$C$39</f>
        <v>54.808500000000002</v>
      </c>
      <c r="D39" s="58">
        <f ca="1">Report!$I$39</f>
        <v>6.2924532233195433E-3</v>
      </c>
      <c r="E39" s="62">
        <f t="shared" ref="E39:E43" ca="1" si="12">_xlfn.PERCENTRANK.INC($C$38:$C$43,C39)*100</f>
        <v>0</v>
      </c>
      <c r="F39" s="62">
        <f t="shared" ref="F39:F42" ca="1" si="13">(1-_xlfn.PERCENTRANK.INC($D$38:$D$43,D39))*100</f>
        <v>19.999999999999996</v>
      </c>
      <c r="G39" s="62">
        <f t="shared" ca="1" si="10"/>
        <v>7.9999999999999991</v>
      </c>
      <c r="H39" s="61" t="str">
        <f t="shared" ca="1" si="11"/>
        <v>Low</v>
      </c>
    </row>
    <row r="40" spans="1:8">
      <c r="A40" s="60" t="s">
        <v>44</v>
      </c>
      <c r="B40" s="60" t="s">
        <v>40</v>
      </c>
      <c r="C40" s="59">
        <f ca="1">Report!$C$40</f>
        <v>59.863700000000001</v>
      </c>
      <c r="D40" s="58">
        <f ca="1">Report!$I$40</f>
        <v>-1.6298376266634034E-2</v>
      </c>
      <c r="E40" s="62">
        <f t="shared" ca="1" si="12"/>
        <v>60</v>
      </c>
      <c r="F40" s="62">
        <f t="shared" ca="1" si="13"/>
        <v>100</v>
      </c>
      <c r="G40" s="57">
        <f t="shared" ca="1" si="10"/>
        <v>76</v>
      </c>
      <c r="H40" s="56" t="str">
        <f t="shared" ca="1" si="11"/>
        <v>High</v>
      </c>
    </row>
    <row r="41" spans="1:8">
      <c r="A41" s="60" t="s">
        <v>45</v>
      </c>
      <c r="B41" s="60" t="s">
        <v>40</v>
      </c>
      <c r="C41" s="59">
        <f ca="1">Report!$C$41</f>
        <v>57.666699999999999</v>
      </c>
      <c r="D41" s="58">
        <f ca="1">Report!$I$41</f>
        <v>1.868933502140244E-3</v>
      </c>
      <c r="E41" s="62">
        <f t="shared" ca="1" si="12"/>
        <v>40</v>
      </c>
      <c r="F41" s="62">
        <f t="shared" ca="1" si="13"/>
        <v>40</v>
      </c>
      <c r="G41" s="57">
        <f t="shared" ca="1" si="10"/>
        <v>40</v>
      </c>
      <c r="H41" s="56" t="str">
        <f t="shared" ca="1" si="11"/>
        <v>Moderate</v>
      </c>
    </row>
    <row r="42" spans="1:8">
      <c r="A42" s="60" t="s">
        <v>46</v>
      </c>
      <c r="B42" s="60" t="s">
        <v>40</v>
      </c>
      <c r="C42" s="59">
        <f ca="1">Report!$C$42</f>
        <v>60.0715</v>
      </c>
      <c r="D42" s="58">
        <f ca="1">Report!$I$42</f>
        <v>3.47089653257318E-4</v>
      </c>
      <c r="E42" s="62">
        <f t="shared" ca="1" si="12"/>
        <v>80</v>
      </c>
      <c r="F42" s="62">
        <f t="shared" ca="1" si="13"/>
        <v>60</v>
      </c>
      <c r="G42" s="57">
        <f t="shared" ca="1" si="10"/>
        <v>72</v>
      </c>
      <c r="H42" s="56" t="str">
        <f t="shared" ca="1" si="11"/>
        <v>Elevated</v>
      </c>
    </row>
    <row r="43" spans="1:8">
      <c r="A43" s="60" t="s">
        <v>47</v>
      </c>
      <c r="B43" s="60" t="s">
        <v>40</v>
      </c>
      <c r="C43" s="59">
        <f ca="1">Report!$C$43</f>
        <v>56.3414</v>
      </c>
      <c r="D43" s="58">
        <f ca="1">Report!$I$43</f>
        <v>6.7548550520686633E-3</v>
      </c>
      <c r="E43" s="62">
        <f t="shared" ca="1" si="12"/>
        <v>20</v>
      </c>
      <c r="F43" s="57">
        <f t="shared" ref="F43" ca="1" si="14">IF(OR(D43="",COUNTIFS($B$8:$B$44,B43,$D$8:$D$44,"&lt;&gt;")&lt;2),"",100*(COUNTIFS($B$8:$B$44,B43,$D$8:$D$44,"&gt;"&amp;D43)+0.5*(COUNTIFS($B$8:$B$44,B43,$D$8:$D$44,"="&amp;D43)-1))/(COUNTIFS($B$8:$B$44,B43,$D$8:$D$44,"&lt;&gt;")-1))</f>
        <v>0</v>
      </c>
      <c r="G43" s="57">
        <f t="shared" ca="1" si="10"/>
        <v>12</v>
      </c>
      <c r="H43" s="56" t="str">
        <f t="shared" ca="1" si="11"/>
        <v>Low</v>
      </c>
    </row>
    <row r="44" spans="1:8">
      <c r="A44" s="60" t="s">
        <v>48</v>
      </c>
      <c r="B44" s="60" t="s">
        <v>40</v>
      </c>
      <c r="C44" s="59"/>
      <c r="D44" s="58"/>
      <c r="E44" s="57" t="str">
        <f t="shared" ref="E44" ca="1" si="15">IF(OR(C44="",COUNTIFS($B$8:$B$44,B44,$C$8:$C$44,"&lt;&gt;")&lt;2),"",100*(COUNTIFS($B$8:$B$44,B44,$C$8:$C$44,"&lt;"&amp;C44)+0.5*(COUNTIFS($B$8:$B$44,B44,$C$8:$C$44,"="&amp;C44)-1))/(COUNTIFS($B$8:$B$44,B44,$C$8:$C$44,"&lt;&gt;")-1))</f>
        <v/>
      </c>
      <c r="F44" s="57"/>
      <c r="G44" s="57" t="str">
        <f t="shared" ca="1" si="10"/>
        <v/>
      </c>
      <c r="H44" s="56" t="str">
        <f t="shared" ca="1" si="11"/>
        <v/>
      </c>
    </row>
  </sheetData>
  <mergeCells count="9">
    <mergeCell ref="A29:H29"/>
    <mergeCell ref="A31:H31"/>
    <mergeCell ref="A37:H37"/>
    <mergeCell ref="A1:H1"/>
    <mergeCell ref="J1:K1"/>
    <mergeCell ref="A15:H15"/>
    <mergeCell ref="A19:H19"/>
    <mergeCell ref="A21:H21"/>
    <mergeCell ref="A26:H26"/>
  </mergeCells>
  <conditionalFormatting sqref="G8:G3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:G4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:H39">
    <cfRule type="expression" dxfId="9" priority="2">
      <formula>H8="Low"</formula>
    </cfRule>
    <cfRule type="expression" dxfId="8" priority="3">
      <formula>H8="Moderate"</formula>
    </cfRule>
    <cfRule type="expression" dxfId="7" priority="4">
      <formula>H8="Elevated"</formula>
    </cfRule>
    <cfRule type="expression" dxfId="6" priority="5">
      <formula>H8="High"</formula>
    </cfRule>
  </conditionalFormatting>
  <conditionalFormatting sqref="H8:H44">
    <cfRule type="expression" dxfId="5" priority="7">
      <formula>H8="Low"</formula>
    </cfRule>
    <cfRule type="expression" dxfId="4" priority="8">
      <formula>H8="Moderate"</formula>
    </cfRule>
    <cfRule type="expression" dxfId="3" priority="9">
      <formula>H8="Elevated"</formula>
    </cfRule>
    <cfRule type="expression" dxfId="2" priority="10">
      <formula>H8="High"</formula>
    </cfRule>
  </conditionalFormatting>
  <dataValidations count="1">
    <dataValidation type="list" sqref="B8:B39" xr:uid="{00000000-0002-0000-0000-000000000000}">
      <formula1>"US,Canada,Europe,UK,Japan,Other"</formula1>
    </dataValidation>
  </dataValidations>
  <pageMargins left="0.7" right="0.7" top="0.75" bottom="0.75" header="0.3" footer="0.3"/>
  <headerFooter>
    <oddHeader>&amp;R&amp;"Aptos"&amp;10&amp;K000000 Category/Catégorie: Non-Sensitive/Non-Délicat&amp;1#_x000D_</oddHead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D9F-D5C7-4966-98F8-52F836EA155A}">
  <dimension ref="A1:DB1"/>
  <sheetViews>
    <sheetView workbookViewId="0"/>
  </sheetViews>
  <sheetFormatPr defaultRowHeight="14.5"/>
  <sheetData>
    <row r="1" spans="1:106">
      <c r="A1">
        <v>106</v>
      </c>
      <c r="B1" t="s">
        <v>267</v>
      </c>
      <c r="C1" t="s">
        <v>268</v>
      </c>
      <c r="D1" t="s">
        <v>269</v>
      </c>
      <c r="E1" t="s">
        <v>270</v>
      </c>
      <c r="F1" t="s">
        <v>271</v>
      </c>
      <c r="G1" t="s">
        <v>272</v>
      </c>
      <c r="H1" t="s">
        <v>273</v>
      </c>
      <c r="I1" t="s">
        <v>274</v>
      </c>
      <c r="J1" t="s">
        <v>275</v>
      </c>
      <c r="K1" t="s">
        <v>276</v>
      </c>
      <c r="L1" t="s">
        <v>277</v>
      </c>
      <c r="M1" t="s">
        <v>278</v>
      </c>
      <c r="N1" t="s">
        <v>279</v>
      </c>
      <c r="O1" t="s">
        <v>280</v>
      </c>
      <c r="P1" t="s">
        <v>281</v>
      </c>
      <c r="Q1" t="s">
        <v>282</v>
      </c>
      <c r="R1" t="s">
        <v>283</v>
      </c>
      <c r="S1" t="s">
        <v>284</v>
      </c>
      <c r="T1" t="s">
        <v>285</v>
      </c>
      <c r="U1" t="s">
        <v>286</v>
      </c>
      <c r="V1" t="s">
        <v>287</v>
      </c>
      <c r="W1" t="s">
        <v>288</v>
      </c>
      <c r="X1" t="s">
        <v>289</v>
      </c>
      <c r="Y1" t="s">
        <v>290</v>
      </c>
      <c r="Z1" t="s">
        <v>291</v>
      </c>
      <c r="AA1" t="s">
        <v>292</v>
      </c>
      <c r="AB1" t="s">
        <v>293</v>
      </c>
      <c r="AC1" t="s">
        <v>294</v>
      </c>
      <c r="AD1" t="s">
        <v>295</v>
      </c>
      <c r="AE1" t="s">
        <v>296</v>
      </c>
      <c r="AF1" t="s">
        <v>297</v>
      </c>
      <c r="AG1" t="s">
        <v>298</v>
      </c>
      <c r="AH1" t="s">
        <v>299</v>
      </c>
      <c r="AI1" t="s">
        <v>300</v>
      </c>
      <c r="AJ1" t="s">
        <v>301</v>
      </c>
      <c r="AK1" t="s">
        <v>302</v>
      </c>
      <c r="AL1" t="s">
        <v>303</v>
      </c>
      <c r="AM1" t="s">
        <v>304</v>
      </c>
      <c r="AN1" t="s">
        <v>305</v>
      </c>
      <c r="AO1" t="s">
        <v>306</v>
      </c>
      <c r="AP1" t="s">
        <v>307</v>
      </c>
      <c r="AQ1" t="s">
        <v>308</v>
      </c>
      <c r="AR1" t="s">
        <v>309</v>
      </c>
      <c r="AS1" t="s">
        <v>310</v>
      </c>
      <c r="AT1" t="s">
        <v>311</v>
      </c>
      <c r="AU1" t="s">
        <v>312</v>
      </c>
      <c r="AV1" t="s">
        <v>313</v>
      </c>
      <c r="AW1" t="s">
        <v>314</v>
      </c>
      <c r="AX1" t="s">
        <v>315</v>
      </c>
      <c r="AY1" t="s">
        <v>316</v>
      </c>
      <c r="AZ1" t="s">
        <v>317</v>
      </c>
      <c r="BA1" t="s">
        <v>318</v>
      </c>
      <c r="BB1" t="s">
        <v>319</v>
      </c>
      <c r="BC1" t="s">
        <v>320</v>
      </c>
      <c r="BD1" t="s">
        <v>321</v>
      </c>
      <c r="BE1" t="s">
        <v>322</v>
      </c>
      <c r="BF1" t="s">
        <v>323</v>
      </c>
      <c r="BG1" t="s">
        <v>324</v>
      </c>
      <c r="BH1" t="s">
        <v>325</v>
      </c>
      <c r="BI1" t="s">
        <v>326</v>
      </c>
      <c r="BJ1" t="s">
        <v>327</v>
      </c>
      <c r="BK1" t="s">
        <v>328</v>
      </c>
      <c r="BL1" t="s">
        <v>329</v>
      </c>
      <c r="BM1" t="s">
        <v>330</v>
      </c>
      <c r="BN1" t="s">
        <v>331</v>
      </c>
      <c r="BO1" t="s">
        <v>332</v>
      </c>
      <c r="BP1" t="s">
        <v>333</v>
      </c>
      <c r="BQ1" t="s">
        <v>334</v>
      </c>
      <c r="BR1" t="s">
        <v>335</v>
      </c>
      <c r="BS1" t="s">
        <v>336</v>
      </c>
      <c r="BT1" t="s">
        <v>337</v>
      </c>
      <c r="BU1" t="s">
        <v>338</v>
      </c>
      <c r="BV1" t="s">
        <v>339</v>
      </c>
      <c r="BW1" t="s">
        <v>340</v>
      </c>
      <c r="BX1" t="s">
        <v>341</v>
      </c>
      <c r="BY1" t="s">
        <v>342</v>
      </c>
      <c r="BZ1" t="s">
        <v>343</v>
      </c>
      <c r="CA1" t="s">
        <v>344</v>
      </c>
      <c r="CB1" t="s">
        <v>345</v>
      </c>
      <c r="CC1" t="s">
        <v>346</v>
      </c>
      <c r="CD1" t="s">
        <v>347</v>
      </c>
      <c r="CE1" t="s">
        <v>348</v>
      </c>
      <c r="CF1" t="s">
        <v>349</v>
      </c>
      <c r="CG1" t="s">
        <v>350</v>
      </c>
      <c r="CH1" t="s">
        <v>351</v>
      </c>
      <c r="CI1" t="s">
        <v>352</v>
      </c>
      <c r="CJ1" t="s">
        <v>353</v>
      </c>
      <c r="CK1" t="s">
        <v>354</v>
      </c>
      <c r="CL1" t="s">
        <v>355</v>
      </c>
      <c r="CM1" t="s">
        <v>356</v>
      </c>
      <c r="CN1" t="s">
        <v>357</v>
      </c>
      <c r="CO1" t="s">
        <v>358</v>
      </c>
      <c r="CP1" t="s">
        <v>359</v>
      </c>
      <c r="CQ1" t="s">
        <v>360</v>
      </c>
      <c r="CR1" t="s">
        <v>361</v>
      </c>
      <c r="CS1" t="s">
        <v>362</v>
      </c>
      <c r="CT1" t="s">
        <v>363</v>
      </c>
      <c r="CU1" t="s">
        <v>364</v>
      </c>
      <c r="CV1" t="s">
        <v>365</v>
      </c>
      <c r="CW1" t="s">
        <v>366</v>
      </c>
      <c r="CX1" t="s">
        <v>367</v>
      </c>
      <c r="CY1" t="s">
        <v>368</v>
      </c>
      <c r="CZ1" t="s">
        <v>369</v>
      </c>
      <c r="DA1" t="s">
        <v>370</v>
      </c>
      <c r="DB1" t="s">
        <v>371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6BCC-4358-41B8-AA3B-EAD66D71F3CC}">
  <dimension ref="A1:Z85"/>
  <sheetViews>
    <sheetView tabSelected="1" topLeftCell="A76" workbookViewId="0">
      <selection activeCell="K74" sqref="K74"/>
    </sheetView>
  </sheetViews>
  <sheetFormatPr defaultColWidth="9.1796875" defaultRowHeight="14.5"/>
  <cols>
    <col min="1" max="1" width="27.54296875" customWidth="1"/>
    <col min="2" max="2" width="13.81640625" customWidth="1"/>
    <col min="3" max="3" width="14.54296875" customWidth="1"/>
    <col min="4" max="8" width="10.54296875" customWidth="1"/>
    <col min="9" max="9" width="10.81640625" customWidth="1"/>
    <col min="10" max="10" width="11.453125" customWidth="1"/>
    <col min="11" max="11" width="10.54296875" customWidth="1"/>
    <col min="12" max="12" width="11.453125" customWidth="1"/>
    <col min="13" max="13" width="13.453125" customWidth="1"/>
    <col min="14" max="14" width="11.453125" customWidth="1"/>
    <col min="15" max="17" width="10.54296875" bestFit="1" customWidth="1"/>
    <col min="18" max="18" width="10.54296875" customWidth="1"/>
    <col min="19" max="19" width="10.54296875" bestFit="1" customWidth="1"/>
  </cols>
  <sheetData>
    <row r="1" spans="1:26">
      <c r="A1" s="16" t="s">
        <v>232</v>
      </c>
      <c r="B1" s="16" t="s">
        <v>231</v>
      </c>
    </row>
    <row r="2" spans="1:26">
      <c r="A2" s="16" t="s">
        <v>230</v>
      </c>
      <c r="C2" s="30">
        <f ca="1">TODAY()</f>
        <v>46274</v>
      </c>
      <c r="D2" s="30">
        <f ca="1">TODAY() - 1</f>
        <v>46273</v>
      </c>
      <c r="E2" s="30">
        <f ca="1">TODAY() - 2</f>
        <v>46272</v>
      </c>
      <c r="F2" s="30">
        <f ca="1">TODAY() - 3</f>
        <v>46271</v>
      </c>
      <c r="G2" s="30">
        <f ca="1">TODAY() - 4</f>
        <v>46270</v>
      </c>
      <c r="H2" s="30">
        <f ca="1">TODAY() - 5</f>
        <v>46269</v>
      </c>
      <c r="I2" s="30">
        <f ca="1">TODAY() - 6</f>
        <v>46268</v>
      </c>
      <c r="J2" s="30">
        <f ca="1">TODAY() - 7</f>
        <v>46267</v>
      </c>
      <c r="K2" s="30">
        <f ca="1">TODAY() - 8</f>
        <v>46266</v>
      </c>
      <c r="L2" s="30">
        <f ca="1">TODAY() - 9</f>
        <v>46265</v>
      </c>
      <c r="M2" s="30">
        <f ca="1">TODAY() - 10</f>
        <v>46264</v>
      </c>
      <c r="N2" s="30">
        <f ca="1">TODAY() - 11</f>
        <v>46263</v>
      </c>
      <c r="O2" s="30">
        <f ca="1">TODAY() - 12</f>
        <v>46262</v>
      </c>
      <c r="P2" s="30">
        <f ca="1">TODAY() - 13</f>
        <v>46261</v>
      </c>
      <c r="Q2" s="30">
        <f ca="1">TODAY() - 14</f>
        <v>46260</v>
      </c>
      <c r="R2" s="30">
        <f ca="1">EDATE(TODAY(), -3)</f>
        <v>46182</v>
      </c>
      <c r="S2" s="30">
        <f ca="1">EDATE(TODAY(), -12)</f>
        <v>45909</v>
      </c>
      <c r="T2" t="s">
        <v>229</v>
      </c>
      <c r="U2" t="s">
        <v>228</v>
      </c>
      <c r="V2" t="s">
        <v>227</v>
      </c>
      <c r="W2" t="s">
        <v>226</v>
      </c>
      <c r="X2" t="s">
        <v>225</v>
      </c>
      <c r="Y2" t="s">
        <v>224</v>
      </c>
    </row>
    <row r="3" spans="1:26">
      <c r="A3" t="s">
        <v>223</v>
      </c>
      <c r="B3" s="25" t="s">
        <v>222</v>
      </c>
      <c r="C3">
        <f ca="1">_xll.ciqfunctions.udf.CIQ($B3,"IQ_CDS_mid",C$2)</f>
        <v>112.76130000000001</v>
      </c>
      <c r="D3">
        <f ca="1">_xll.ciqfunctions.udf.CIQ($B3,"IQ_CDS_mid",D$2)</f>
        <v>112.76130000000001</v>
      </c>
      <c r="E3">
        <f ca="1">_xll.ciqfunctions.udf.CIQ($B3,"IQ_CDS_mid",E$2)</f>
        <v>114.78</v>
      </c>
      <c r="F3">
        <f ca="1">_xll.ciqfunctions.udf.CIQ($B3,"IQ_CDS_mid",F$2)</f>
        <v>114.7017</v>
      </c>
      <c r="G3">
        <f ca="1">_xll.ciqfunctions.udf.CIQ($B3,"IQ_CDS_mid",G$2)</f>
        <v>114.7017</v>
      </c>
      <c r="H3">
        <f ca="1">_xll.ciqfunctions.udf.CIQ($B3,"IQ_CDS_mid",H$2)</f>
        <v>114.7017</v>
      </c>
      <c r="I3">
        <f ca="1">_xll.ciqfunctions.udf.CIQ($B3,"IQ_CDS_mid",I$2)</f>
        <v>115.4888</v>
      </c>
      <c r="J3">
        <f ca="1">_xll.ciqfunctions.udf.CIQ($B3,"IQ_CDS_mid",J$2)</f>
        <v>118.2302</v>
      </c>
      <c r="K3">
        <f ca="1">_xll.ciqfunctions.udf.CIQ($B3,"IQ_CDS_mid",K$2)</f>
        <v>120.9924</v>
      </c>
      <c r="L3">
        <f ca="1">_xll.ciqfunctions.udf.CIQ($B3,"IQ_CDS_mid",L$2)</f>
        <v>120.72199999999999</v>
      </c>
      <c r="M3">
        <f ca="1">_xll.ciqfunctions.udf.CIQ($B3,"IQ_CDS_mid",M$2)</f>
        <v>120.3986</v>
      </c>
      <c r="N3">
        <f ca="1">_xll.ciqfunctions.udf.CIQ($B3,"IQ_CDS_mid",N$2)</f>
        <v>120.3986</v>
      </c>
      <c r="O3">
        <f ca="1">_xll.ciqfunctions.udf.CIQ($B3,"IQ_CDS_mid",O$2)</f>
        <v>120.3986</v>
      </c>
      <c r="P3">
        <f ca="1">_xll.ciqfunctions.udf.CIQ($B3,"IQ_CDS_mid",P$2)</f>
        <v>118.7899</v>
      </c>
      <c r="Q3">
        <f ca="1">_xll.ciqfunctions.udf.CIQ($B3,"IQ_CDS_mid",Q$2)</f>
        <v>118.92440000000001</v>
      </c>
      <c r="R3">
        <f ca="1">_xll.ciqfunctions.udf.CIQ($B3,"IQ_CDS_mid",R$2)</f>
        <v>125.6399</v>
      </c>
      <c r="S3">
        <f ca="1">_xll.ciqfunctions.udf.CIQ($B3,"IQ_CDS_mid",S$2)</f>
        <v>137.4975</v>
      </c>
      <c r="T3">
        <f ca="1">C3-H3</f>
        <v>-1.9403999999999968</v>
      </c>
      <c r="U3">
        <f ca="1">C3-M3</f>
        <v>-7.6372999999999962</v>
      </c>
      <c r="V3">
        <f ca="1">C3-Q3</f>
        <v>-6.1631</v>
      </c>
      <c r="W3">
        <f ca="1">C3-R3</f>
        <v>-12.878599999999992</v>
      </c>
      <c r="X3">
        <f t="shared" ref="X3:X40" ca="1" si="0">C3-S3</f>
        <v>-24.736199999999997</v>
      </c>
      <c r="Y3" t="s">
        <v>221</v>
      </c>
      <c r="Z3" t="s">
        <v>220</v>
      </c>
    </row>
    <row r="4" spans="1:26">
      <c r="A4" t="s">
        <v>40</v>
      </c>
      <c r="B4" s="25" t="s">
        <v>219</v>
      </c>
      <c r="C4">
        <f ca="1">_xll.ciqfunctions.udf.CIQ($B4,"IQ_CDS_mid",C$2)</f>
        <v>10.6602</v>
      </c>
      <c r="D4">
        <f ca="1">_xll.ciqfunctions.udf.CIQ($B4,"IQ_CDS_mid",D$2)</f>
        <v>10.6602</v>
      </c>
      <c r="E4">
        <f ca="1">_xll.ciqfunctions.udf.CIQ($B4,"IQ_CDS_mid",E$2)</f>
        <v>10.6793</v>
      </c>
      <c r="F4">
        <f ca="1">_xll.ciqfunctions.udf.CIQ($B4,"IQ_CDS_mid",F$2)</f>
        <v>10.759</v>
      </c>
      <c r="G4">
        <f ca="1">_xll.ciqfunctions.udf.CIQ($B4,"IQ_CDS_mid",G$2)</f>
        <v>10.759</v>
      </c>
      <c r="H4">
        <f ca="1">_xll.ciqfunctions.udf.CIQ($B4,"IQ_CDS_mid",H$2)</f>
        <v>10.759</v>
      </c>
      <c r="I4">
        <f ca="1">_xll.ciqfunctions.udf.CIQ($B4,"IQ_CDS_mid",I$2)</f>
        <v>10.8386</v>
      </c>
      <c r="J4">
        <f ca="1">_xll.ciqfunctions.udf.CIQ($B4,"IQ_CDS_mid",J$2)</f>
        <v>10.8034</v>
      </c>
      <c r="K4">
        <f ca="1">_xll.ciqfunctions.udf.CIQ($B4,"IQ_CDS_mid",K$2)</f>
        <v>10.7296</v>
      </c>
      <c r="L4">
        <f ca="1">_xll.ciqfunctions.udf.CIQ($B4,"IQ_CDS_mid",L$2)</f>
        <v>10.7944</v>
      </c>
      <c r="M4">
        <f ca="1">_xll.ciqfunctions.udf.CIQ($B4,"IQ_CDS_mid",M$2)</f>
        <v>10.7416</v>
      </c>
      <c r="N4">
        <f ca="1">_xll.ciqfunctions.udf.CIQ($B4,"IQ_CDS_mid",N$2)</f>
        <v>10.7416</v>
      </c>
      <c r="O4">
        <f ca="1">_xll.ciqfunctions.udf.CIQ($B4,"IQ_CDS_mid",O$2)</f>
        <v>10.7416</v>
      </c>
      <c r="P4">
        <f ca="1">_xll.ciqfunctions.udf.CIQ($B4,"IQ_CDS_mid",P$2)</f>
        <v>10.844200000000001</v>
      </c>
      <c r="Q4">
        <f ca="1">_xll.ciqfunctions.udf.CIQ($B4,"IQ_CDS_mid",Q$2)</f>
        <v>10.8422</v>
      </c>
      <c r="R4">
        <f ca="1">_xll.ciqfunctions.udf.CIQ($B4,"IQ_CDS_mid",R$2)</f>
        <v>11.8415</v>
      </c>
      <c r="S4">
        <f ca="1">_xll.ciqfunctions.udf.CIQ($B4,"IQ_CDS_mid",S$2)</f>
        <v>16.2334</v>
      </c>
      <c r="T4">
        <f ca="1">C4-H4</f>
        <v>-9.8800000000000665E-2</v>
      </c>
      <c r="U4">
        <f ca="1">C4-M4</f>
        <v>-8.1400000000000361E-2</v>
      </c>
      <c r="V4">
        <f ca="1">C4-Q4</f>
        <v>-0.18200000000000038</v>
      </c>
      <c r="W4">
        <f ca="1">C4-R4</f>
        <v>-1.1813000000000002</v>
      </c>
      <c r="X4">
        <f t="shared" ca="1" si="0"/>
        <v>-5.5731999999999999</v>
      </c>
      <c r="Y4">
        <v>150</v>
      </c>
      <c r="Z4">
        <v>10</v>
      </c>
    </row>
    <row r="5" spans="1:26">
      <c r="A5" t="s">
        <v>218</v>
      </c>
      <c r="B5" s="25" t="s">
        <v>217</v>
      </c>
      <c r="C5">
        <f ca="1">_xll.ciqfunctions.udf.CIQ($B5,"IQ_CDS_mid",C$2)</f>
        <v>79.472399999999993</v>
      </c>
      <c r="D5">
        <f ca="1">_xll.ciqfunctions.udf.CIQ($B5,"IQ_CDS_mid",D$2)</f>
        <v>79.472399999999993</v>
      </c>
      <c r="E5">
        <f ca="1">_xll.ciqfunctions.udf.CIQ($B5,"IQ_CDS_mid",E$2)</f>
        <v>79.254000000000005</v>
      </c>
      <c r="F5">
        <f ca="1">_xll.ciqfunctions.udf.CIQ($B5,"IQ_CDS_mid",F$2)</f>
        <v>79.179299999999998</v>
      </c>
      <c r="G5">
        <f ca="1">_xll.ciqfunctions.udf.CIQ($B5,"IQ_CDS_mid",G$2)</f>
        <v>79.179299999999998</v>
      </c>
      <c r="H5">
        <f ca="1">_xll.ciqfunctions.udf.CIQ($B5,"IQ_CDS_mid",H$2)</f>
        <v>79.179299999999998</v>
      </c>
      <c r="I5">
        <f ca="1">_xll.ciqfunctions.udf.CIQ($B5,"IQ_CDS_mid",I$2)</f>
        <v>79.224299999999999</v>
      </c>
      <c r="J5">
        <f ca="1">_xll.ciqfunctions.udf.CIQ($B5,"IQ_CDS_mid",J$2)</f>
        <v>79.893600000000006</v>
      </c>
      <c r="K5">
        <f ca="1">_xll.ciqfunctions.udf.CIQ($B5,"IQ_CDS_mid",K$2)</f>
        <v>79.872799999999998</v>
      </c>
      <c r="L5">
        <f ca="1">_xll.ciqfunctions.udf.CIQ($B5,"IQ_CDS_mid",L$2)</f>
        <v>78.350200000000001</v>
      </c>
      <c r="M5">
        <f ca="1">_xll.ciqfunctions.udf.CIQ($B5,"IQ_CDS_mid",M$2)</f>
        <v>77.992000000000004</v>
      </c>
      <c r="N5">
        <f ca="1">_xll.ciqfunctions.udf.CIQ($B5,"IQ_CDS_mid",N$2)</f>
        <v>77.992000000000004</v>
      </c>
      <c r="O5">
        <f ca="1">_xll.ciqfunctions.udf.CIQ($B5,"IQ_CDS_mid",O$2)</f>
        <v>77.992000000000004</v>
      </c>
      <c r="P5">
        <f ca="1">_xll.ciqfunctions.udf.CIQ($B5,"IQ_CDS_mid",P$2)</f>
        <v>77.201599999999999</v>
      </c>
      <c r="Q5">
        <f ca="1">_xll.ciqfunctions.udf.CIQ($B5,"IQ_CDS_mid",Q$2)</f>
        <v>77.781999999999996</v>
      </c>
      <c r="R5">
        <f ca="1">_xll.ciqfunctions.udf.CIQ($B5,"IQ_CDS_mid",R$2)</f>
        <v>84.625</v>
      </c>
      <c r="S5">
        <f ca="1">_xll.ciqfunctions.udf.CIQ($B5,"IQ_CDS_mid",S$2)</f>
        <v>93.173699999999997</v>
      </c>
      <c r="T5">
        <f ca="1">C5-H5</f>
        <v>0.29309999999999548</v>
      </c>
      <c r="U5">
        <f ca="1">C5-M5</f>
        <v>1.4803999999999888</v>
      </c>
      <c r="V5">
        <f ca="1">C5-Q5</f>
        <v>1.6903999999999968</v>
      </c>
      <c r="W5">
        <f ca="1">C5-R5</f>
        <v>-5.1526000000000067</v>
      </c>
      <c r="X5">
        <f t="shared" ca="1" si="0"/>
        <v>-13.701300000000003</v>
      </c>
    </row>
    <row r="6" spans="1:26">
      <c r="A6" t="s">
        <v>216</v>
      </c>
      <c r="B6" s="25" t="s">
        <v>215</v>
      </c>
      <c r="C6">
        <f ca="1">_xll.ciqfunctions.udf.CIQ($B6,"IQ_CDS_mid",C$2)</f>
        <v>34.583300000000001</v>
      </c>
      <c r="D6">
        <f ca="1">_xll.ciqfunctions.udf.CIQ($B6,"IQ_CDS_mid",D$2)</f>
        <v>34.583300000000001</v>
      </c>
      <c r="E6">
        <f ca="1">_xll.ciqfunctions.udf.CIQ($B6,"IQ_CDS_mid",E$2)</f>
        <v>34.833300000000001</v>
      </c>
      <c r="F6">
        <f ca="1">_xll.ciqfunctions.udf.CIQ($B6,"IQ_CDS_mid",F$2)</f>
        <v>34.941400000000002</v>
      </c>
      <c r="G6">
        <f ca="1">_xll.ciqfunctions.udf.CIQ($B6,"IQ_CDS_mid",G$2)</f>
        <v>34.941400000000002</v>
      </c>
      <c r="H6">
        <f ca="1">_xll.ciqfunctions.udf.CIQ($B6,"IQ_CDS_mid",H$2)</f>
        <v>34.941400000000002</v>
      </c>
      <c r="I6">
        <f ca="1">_xll.ciqfunctions.udf.CIQ($B6,"IQ_CDS_mid",I$2)</f>
        <v>35.297499999999999</v>
      </c>
      <c r="J6">
        <f ca="1">_xll.ciqfunctions.udf.CIQ($B6,"IQ_CDS_mid",J$2)</f>
        <v>35.617100000000001</v>
      </c>
      <c r="K6">
        <f ca="1">_xll.ciqfunctions.udf.CIQ($B6,"IQ_CDS_mid",K$2)</f>
        <v>35.945700000000002</v>
      </c>
      <c r="L6">
        <f ca="1">_xll.ciqfunctions.udf.CIQ($B6,"IQ_CDS_mid",L$2)</f>
        <v>36.641199999999998</v>
      </c>
      <c r="M6">
        <f ca="1">_xll.ciqfunctions.udf.CIQ($B6,"IQ_CDS_mid",M$2)</f>
        <v>36.530900000000003</v>
      </c>
      <c r="N6">
        <f ca="1">_xll.ciqfunctions.udf.CIQ($B6,"IQ_CDS_mid",N$2)</f>
        <v>36.530900000000003</v>
      </c>
      <c r="O6">
        <f ca="1">_xll.ciqfunctions.udf.CIQ($B6,"IQ_CDS_mid",O$2)</f>
        <v>36.530900000000003</v>
      </c>
      <c r="P6">
        <f ca="1">_xll.ciqfunctions.udf.CIQ($B6,"IQ_CDS_mid",P$2)</f>
        <v>36.730699999999999</v>
      </c>
      <c r="Q6">
        <f ca="1">_xll.ciqfunctions.udf.CIQ($B6,"IQ_CDS_mid",Q$2)</f>
        <v>37.026000000000003</v>
      </c>
      <c r="R6">
        <f ca="1">_xll.ciqfunctions.udf.CIQ($B6,"IQ_CDS_mid",R$2)</f>
        <v>42.583300000000001</v>
      </c>
      <c r="S6">
        <f ca="1">_xll.ciqfunctions.udf.CIQ($B6,"IQ_CDS_mid",S$2)</f>
        <v>40</v>
      </c>
      <c r="T6">
        <f ca="1">C6-H6</f>
        <v>-0.35810000000000031</v>
      </c>
      <c r="U6">
        <f ca="1">C6-M6</f>
        <v>-1.9476000000000013</v>
      </c>
      <c r="V6">
        <f ca="1">C6-Q6</f>
        <v>-2.4427000000000021</v>
      </c>
      <c r="W6">
        <f ca="1">C6-R6</f>
        <v>-8</v>
      </c>
      <c r="X6">
        <f t="shared" ca="1" si="0"/>
        <v>-5.4166999999999987</v>
      </c>
    </row>
    <row r="7" spans="1:26">
      <c r="A7" s="16" t="s">
        <v>214</v>
      </c>
      <c r="X7">
        <f t="shared" si="0"/>
        <v>0</v>
      </c>
    </row>
    <row r="8" spans="1:26">
      <c r="A8" t="s">
        <v>213</v>
      </c>
      <c r="B8" s="25" t="s">
        <v>212</v>
      </c>
      <c r="C8">
        <f ca="1">_xll.ciqfunctions.udf.CIQ($B8,"IQ_CDS_mid",C$2)</f>
        <v>11.088699999999999</v>
      </c>
      <c r="D8">
        <f ca="1">_xll.ciqfunctions.udf.CIQ($B8,"IQ_CDS_mid",D$2)</f>
        <v>11.088699999999999</v>
      </c>
      <c r="E8">
        <f ca="1">_xll.ciqfunctions.udf.CIQ($B8,"IQ_CDS_mid",E$2)</f>
        <v>11.104699999999999</v>
      </c>
      <c r="F8">
        <f ca="1">_xll.ciqfunctions.udf.CIQ($B8,"IQ_CDS_mid",F$2)</f>
        <v>11.168799999999999</v>
      </c>
      <c r="G8">
        <f ca="1">_xll.ciqfunctions.udf.CIQ($B8,"IQ_CDS_mid",G$2)</f>
        <v>11.168799999999999</v>
      </c>
      <c r="H8">
        <f ca="1">_xll.ciqfunctions.udf.CIQ($B8,"IQ_CDS_mid",H$2)</f>
        <v>11.168799999999999</v>
      </c>
      <c r="I8">
        <f ca="1">_xll.ciqfunctions.udf.CIQ($B8,"IQ_CDS_mid",I$2)</f>
        <v>11.1747</v>
      </c>
      <c r="J8">
        <f ca="1">_xll.ciqfunctions.udf.CIQ($B8,"IQ_CDS_mid",J$2)</f>
        <v>11.1958</v>
      </c>
      <c r="K8">
        <f ca="1">_xll.ciqfunctions.udf.CIQ($B8,"IQ_CDS_mid",K$2)</f>
        <v>11.1189</v>
      </c>
      <c r="L8">
        <f ca="1">_xll.ciqfunctions.udf.CIQ($B8,"IQ_CDS_mid",L$2)</f>
        <v>11.2257</v>
      </c>
      <c r="M8">
        <f ca="1">_xll.ciqfunctions.udf.CIQ($B8,"IQ_CDS_mid",M$2)</f>
        <v>11.153700000000001</v>
      </c>
      <c r="N8">
        <f ca="1">_xll.ciqfunctions.udf.CIQ($B8,"IQ_CDS_mid",N$2)</f>
        <v>11.153700000000001</v>
      </c>
      <c r="O8">
        <f ca="1">_xll.ciqfunctions.udf.CIQ($B8,"IQ_CDS_mid",O$2)</f>
        <v>11.153700000000001</v>
      </c>
      <c r="P8">
        <f ca="1">_xll.ciqfunctions.udf.CIQ($B8,"IQ_CDS_mid",P$2)</f>
        <v>11.1698</v>
      </c>
      <c r="Q8">
        <f ca="1">_xll.ciqfunctions.udf.CIQ($B8,"IQ_CDS_mid",Q$2)</f>
        <v>11.1541</v>
      </c>
      <c r="R8">
        <f ca="1">_xll.ciqfunctions.udf.CIQ($B8,"IQ_CDS_mid",R$2)</f>
        <v>11.503299999999999</v>
      </c>
      <c r="S8">
        <f ca="1">_xll.ciqfunctions.udf.CIQ($B8,"IQ_CDS_mid",S$2)</f>
        <v>15.1922</v>
      </c>
      <c r="T8">
        <f t="shared" ref="T8:T20" ca="1" si="1">C8-H8</f>
        <v>-8.0099999999999838E-2</v>
      </c>
      <c r="U8">
        <f t="shared" ref="U8:U20" ca="1" si="2">C8-M8</f>
        <v>-6.5000000000001279E-2</v>
      </c>
      <c r="V8">
        <f t="shared" ref="V8:V20" ca="1" si="3">C8-Q8</f>
        <v>-6.5400000000000347E-2</v>
      </c>
      <c r="W8">
        <f t="shared" ref="W8:W20" ca="1" si="4">C8-R8</f>
        <v>-0.41460000000000008</v>
      </c>
      <c r="X8">
        <f t="shared" ca="1" si="0"/>
        <v>-4.1035000000000004</v>
      </c>
    </row>
    <row r="9" spans="1:26">
      <c r="A9" t="s">
        <v>211</v>
      </c>
      <c r="B9" s="25" t="s">
        <v>210</v>
      </c>
      <c r="C9">
        <f ca="1">_xll.ciqfunctions.udf.CIQ($B9,"IQ_CDS_mid",C$2)</f>
        <v>17.45</v>
      </c>
      <c r="D9">
        <f ca="1">_xll.ciqfunctions.udf.CIQ($B9,"IQ_CDS_mid",D$2)</f>
        <v>17.45</v>
      </c>
      <c r="E9">
        <f ca="1">_xll.ciqfunctions.udf.CIQ($B9,"IQ_CDS_mid",E$2)</f>
        <v>17.45</v>
      </c>
      <c r="F9">
        <f ca="1">_xll.ciqfunctions.udf.CIQ($B9,"IQ_CDS_mid",F$2)</f>
        <v>17.375</v>
      </c>
      <c r="G9">
        <f ca="1">_xll.ciqfunctions.udf.CIQ($B9,"IQ_CDS_mid",G$2)</f>
        <v>17.375</v>
      </c>
      <c r="H9">
        <f ca="1">_xll.ciqfunctions.udf.CIQ($B9,"IQ_CDS_mid",H$2)</f>
        <v>17.375</v>
      </c>
      <c r="I9">
        <f ca="1">_xll.ciqfunctions.udf.CIQ($B9,"IQ_CDS_mid",I$2)</f>
        <v>17.5</v>
      </c>
      <c r="J9">
        <f ca="1">_xll.ciqfunctions.udf.CIQ($B9,"IQ_CDS_mid",J$2)</f>
        <v>17.5</v>
      </c>
      <c r="K9">
        <f ca="1">_xll.ciqfunctions.udf.CIQ($B9,"IQ_CDS_mid",K$2)</f>
        <v>17.5</v>
      </c>
      <c r="L9">
        <f ca="1">_xll.ciqfunctions.udf.CIQ($B9,"IQ_CDS_mid",L$2)</f>
        <v>17.4605</v>
      </c>
      <c r="M9">
        <f ca="1">_xll.ciqfunctions.udf.CIQ($B9,"IQ_CDS_mid",M$2)</f>
        <v>17.438800000000001</v>
      </c>
      <c r="N9">
        <f ca="1">_xll.ciqfunctions.udf.CIQ($B9,"IQ_CDS_mid",N$2)</f>
        <v>17.438800000000001</v>
      </c>
      <c r="O9">
        <f ca="1">_xll.ciqfunctions.udf.CIQ($B9,"IQ_CDS_mid",O$2)</f>
        <v>17.438800000000001</v>
      </c>
      <c r="P9">
        <f ca="1">_xll.ciqfunctions.udf.CIQ($B9,"IQ_CDS_mid",P$2)</f>
        <v>17.416699999999999</v>
      </c>
      <c r="Q9">
        <f ca="1">_xll.ciqfunctions.udf.CIQ($B9,"IQ_CDS_mid",Q$2)</f>
        <v>17.3125</v>
      </c>
      <c r="R9">
        <f ca="1">_xll.ciqfunctions.udf.CIQ($B9,"IQ_CDS_mid",R$2)</f>
        <v>17.666699999999999</v>
      </c>
      <c r="S9">
        <f ca="1">_xll.ciqfunctions.udf.CIQ($B9,"IQ_CDS_mid",S$2)</f>
        <v>21.712</v>
      </c>
      <c r="T9">
        <f t="shared" ca="1" si="1"/>
        <v>7.4999999999999289E-2</v>
      </c>
      <c r="U9">
        <f t="shared" ca="1" si="2"/>
        <v>1.1199999999998766E-2</v>
      </c>
      <c r="V9">
        <f t="shared" ca="1" si="3"/>
        <v>0.13749999999999929</v>
      </c>
      <c r="W9">
        <f t="shared" ca="1" si="4"/>
        <v>-0.21669999999999945</v>
      </c>
      <c r="X9">
        <f t="shared" ca="1" si="0"/>
        <v>-4.2620000000000005</v>
      </c>
    </row>
    <row r="10" spans="1:26">
      <c r="A10" t="s">
        <v>209</v>
      </c>
      <c r="B10" s="25" t="s">
        <v>208</v>
      </c>
      <c r="C10">
        <f ca="1">_xll.ciqfunctions.udf.CIQ($B10,"IQ_CDS_mid",C$2)</f>
        <v>10.5</v>
      </c>
      <c r="D10">
        <f ca="1">_xll.ciqfunctions.udf.CIQ($B10,"IQ_CDS_mid",D$2)</f>
        <v>10.5</v>
      </c>
      <c r="E10">
        <f ca="1">_xll.ciqfunctions.udf.CIQ($B10,"IQ_CDS_mid",E$2)</f>
        <v>10.5</v>
      </c>
      <c r="F10">
        <f ca="1">_xll.ciqfunctions.udf.CIQ($B10,"IQ_CDS_mid",F$2)</f>
        <v>10.5</v>
      </c>
      <c r="G10">
        <f ca="1">_xll.ciqfunctions.udf.CIQ($B10,"IQ_CDS_mid",G$2)</f>
        <v>10.5</v>
      </c>
      <c r="H10">
        <f ca="1">_xll.ciqfunctions.udf.CIQ($B10,"IQ_CDS_mid",H$2)</f>
        <v>10.5</v>
      </c>
      <c r="I10">
        <f ca="1">_xll.ciqfunctions.udf.CIQ($B10,"IQ_CDS_mid",I$2)</f>
        <v>10.5</v>
      </c>
      <c r="J10">
        <f ca="1">_xll.ciqfunctions.udf.CIQ($B10,"IQ_CDS_mid",J$2)</f>
        <v>10.5</v>
      </c>
      <c r="K10">
        <f ca="1">_xll.ciqfunctions.udf.CIQ($B10,"IQ_CDS_mid",K$2)</f>
        <v>10.5</v>
      </c>
      <c r="L10">
        <f ca="1">_xll.ciqfunctions.udf.CIQ($B10,"IQ_CDS_mid",L$2)</f>
        <v>10.851800000000001</v>
      </c>
      <c r="M10">
        <f ca="1">_xll.ciqfunctions.udf.CIQ($B10,"IQ_CDS_mid",M$2)</f>
        <v>10.750400000000001</v>
      </c>
      <c r="N10">
        <f ca="1">_xll.ciqfunctions.udf.CIQ($B10,"IQ_CDS_mid",N$2)</f>
        <v>10.750400000000001</v>
      </c>
      <c r="O10">
        <f ca="1">_xll.ciqfunctions.udf.CIQ($B10,"IQ_CDS_mid",O$2)</f>
        <v>10.750400000000001</v>
      </c>
      <c r="P10">
        <f ca="1">_xll.ciqfunctions.udf.CIQ($B10,"IQ_CDS_mid",P$2)</f>
        <v>10.7524</v>
      </c>
      <c r="Q10">
        <f ca="1">_xll.ciqfunctions.udf.CIQ($B10,"IQ_CDS_mid",Q$2)</f>
        <v>10.8089</v>
      </c>
      <c r="R10">
        <f ca="1">_xll.ciqfunctions.udf.CIQ($B10,"IQ_CDS_mid",R$2)</f>
        <v>11.416700000000001</v>
      </c>
      <c r="S10">
        <f ca="1">_xll.ciqfunctions.udf.CIQ($B10,"IQ_CDS_mid",S$2)</f>
        <v>14</v>
      </c>
      <c r="T10">
        <f t="shared" ca="1" si="1"/>
        <v>0</v>
      </c>
      <c r="U10">
        <f t="shared" ca="1" si="2"/>
        <v>-0.25040000000000084</v>
      </c>
      <c r="V10">
        <f t="shared" ca="1" si="3"/>
        <v>-0.30889999999999951</v>
      </c>
      <c r="W10">
        <f t="shared" ca="1" si="4"/>
        <v>-0.91670000000000051</v>
      </c>
      <c r="X10">
        <f t="shared" ca="1" si="0"/>
        <v>-3.5</v>
      </c>
    </row>
    <row r="11" spans="1:26">
      <c r="A11" t="s">
        <v>17</v>
      </c>
      <c r="B11" s="25" t="s">
        <v>207</v>
      </c>
      <c r="C11">
        <f ca="1">_xll.ciqfunctions.udf.CIQ($B11,"IQ_CDS_mid",C$2)</f>
        <v>34.549999999999997</v>
      </c>
      <c r="D11">
        <f ca="1">_xll.ciqfunctions.udf.CIQ($B11,"IQ_CDS_mid",D$2)</f>
        <v>34.549999999999997</v>
      </c>
      <c r="E11">
        <f ca="1">_xll.ciqfunctions.udf.CIQ($B11,"IQ_CDS_mid",E$2)</f>
        <v>34.344999999999999</v>
      </c>
      <c r="F11">
        <f ca="1">_xll.ciqfunctions.udf.CIQ($B11,"IQ_CDS_mid",F$2)</f>
        <v>34.194099999999999</v>
      </c>
      <c r="G11">
        <f ca="1">_xll.ciqfunctions.udf.CIQ($B11,"IQ_CDS_mid",G$2)</f>
        <v>34.194099999999999</v>
      </c>
      <c r="H11">
        <f ca="1">_xll.ciqfunctions.udf.CIQ($B11,"IQ_CDS_mid",H$2)</f>
        <v>34.194099999999999</v>
      </c>
      <c r="I11">
        <f ca="1">_xll.ciqfunctions.udf.CIQ($B11,"IQ_CDS_mid",I$2)</f>
        <v>33.820900000000002</v>
      </c>
      <c r="J11">
        <f ca="1">_xll.ciqfunctions.udf.CIQ($B11,"IQ_CDS_mid",J$2)</f>
        <v>33.502099999999999</v>
      </c>
      <c r="K11">
        <f ca="1">_xll.ciqfunctions.udf.CIQ($B11,"IQ_CDS_mid",K$2)</f>
        <v>33</v>
      </c>
      <c r="L11">
        <f ca="1">_xll.ciqfunctions.udf.CIQ($B11,"IQ_CDS_mid",L$2)</f>
        <v>32.826900000000002</v>
      </c>
      <c r="M11">
        <f ca="1">_xll.ciqfunctions.udf.CIQ($B11,"IQ_CDS_mid",M$2)</f>
        <v>32.666699999999999</v>
      </c>
      <c r="N11">
        <f ca="1">_xll.ciqfunctions.udf.CIQ($B11,"IQ_CDS_mid",N$2)</f>
        <v>32.666699999999999</v>
      </c>
      <c r="O11">
        <f ca="1">_xll.ciqfunctions.udf.CIQ($B11,"IQ_CDS_mid",O$2)</f>
        <v>32.666699999999999</v>
      </c>
      <c r="P11">
        <f ca="1">_xll.ciqfunctions.udf.CIQ($B11,"IQ_CDS_mid",P$2)</f>
        <v>32.75</v>
      </c>
      <c r="Q11">
        <f ca="1">_xll.ciqfunctions.udf.CIQ($B11,"IQ_CDS_mid",Q$2)</f>
        <v>32.833300000000001</v>
      </c>
      <c r="R11">
        <f ca="1">_xll.ciqfunctions.udf.CIQ($B11,"IQ_CDS_mid",R$2)</f>
        <v>28.296700000000001</v>
      </c>
      <c r="S11">
        <f ca="1">_xll.ciqfunctions.udf.CIQ($B11,"IQ_CDS_mid",S$2)</f>
        <v>34.776000000000003</v>
      </c>
      <c r="T11">
        <f t="shared" ca="1" si="1"/>
        <v>0.35589999999999833</v>
      </c>
      <c r="U11">
        <f t="shared" ca="1" si="2"/>
        <v>1.8832999999999984</v>
      </c>
      <c r="V11">
        <f t="shared" ca="1" si="3"/>
        <v>1.7166999999999959</v>
      </c>
      <c r="W11">
        <f t="shared" ca="1" si="4"/>
        <v>6.2532999999999959</v>
      </c>
      <c r="X11">
        <f t="shared" ca="1" si="0"/>
        <v>-0.2260000000000062</v>
      </c>
    </row>
    <row r="12" spans="1:26">
      <c r="A12" t="s">
        <v>28</v>
      </c>
      <c r="B12" s="25" t="s">
        <v>206</v>
      </c>
      <c r="C12">
        <f ca="1">_xll.ciqfunctions.udf.CIQ($B12,"IQ_CDS_mid",C$2)</f>
        <v>6.8188000000000004</v>
      </c>
      <c r="D12">
        <f ca="1">_xll.ciqfunctions.udf.CIQ($B12,"IQ_CDS_mid",D$2)</f>
        <v>6.8188000000000004</v>
      </c>
      <c r="E12">
        <f ca="1">_xll.ciqfunctions.udf.CIQ($B12,"IQ_CDS_mid",E$2)</f>
        <v>6.875</v>
      </c>
      <c r="F12">
        <f ca="1">_xll.ciqfunctions.udf.CIQ($B12,"IQ_CDS_mid",F$2)</f>
        <v>6.75</v>
      </c>
      <c r="G12">
        <f ca="1">_xll.ciqfunctions.udf.CIQ($B12,"IQ_CDS_mid",G$2)</f>
        <v>6.75</v>
      </c>
      <c r="H12">
        <f ca="1">_xll.ciqfunctions.udf.CIQ($B12,"IQ_CDS_mid",H$2)</f>
        <v>6.75</v>
      </c>
      <c r="I12">
        <f ca="1">_xll.ciqfunctions.udf.CIQ($B12,"IQ_CDS_mid",I$2)</f>
        <v>6.5</v>
      </c>
      <c r="J12">
        <f ca="1">_xll.ciqfunctions.udf.CIQ($B12,"IQ_CDS_mid",J$2)</f>
        <v>7.125</v>
      </c>
      <c r="K12">
        <f ca="1">_xll.ciqfunctions.udf.CIQ($B12,"IQ_CDS_mid",K$2)</f>
        <v>7</v>
      </c>
      <c r="L12">
        <f ca="1">_xll.ciqfunctions.udf.CIQ($B12,"IQ_CDS_mid",L$2)</f>
        <v>7.4748999999999999</v>
      </c>
      <c r="M12">
        <f ca="1">_xll.ciqfunctions.udf.CIQ($B12,"IQ_CDS_mid",M$2)</f>
        <v>7.4962999999999997</v>
      </c>
      <c r="N12">
        <f ca="1">_xll.ciqfunctions.udf.CIQ($B12,"IQ_CDS_mid",N$2)</f>
        <v>7.4962999999999997</v>
      </c>
      <c r="O12">
        <f ca="1">_xll.ciqfunctions.udf.CIQ($B12,"IQ_CDS_mid",O$2)</f>
        <v>7.4962999999999997</v>
      </c>
      <c r="P12">
        <f ca="1">_xll.ciqfunctions.udf.CIQ($B12,"IQ_CDS_mid",P$2)</f>
        <v>7.4889000000000001</v>
      </c>
      <c r="Q12">
        <f ca="1">_xll.ciqfunctions.udf.CIQ($B12,"IQ_CDS_mid",Q$2)</f>
        <v>7.4759000000000002</v>
      </c>
      <c r="R12">
        <f ca="1">_xll.ciqfunctions.udf.CIQ($B12,"IQ_CDS_mid",R$2)</f>
        <v>7.5</v>
      </c>
      <c r="S12">
        <f ca="1">_xll.ciqfunctions.udf.CIQ($B12,"IQ_CDS_mid",S$2)</f>
        <v>8</v>
      </c>
      <c r="T12">
        <f t="shared" ca="1" si="1"/>
        <v>6.8800000000000416E-2</v>
      </c>
      <c r="U12">
        <f t="shared" ca="1" si="2"/>
        <v>-0.67749999999999932</v>
      </c>
      <c r="V12">
        <f t="shared" ca="1" si="3"/>
        <v>-0.6570999999999998</v>
      </c>
      <c r="W12">
        <f t="shared" ca="1" si="4"/>
        <v>-0.68119999999999958</v>
      </c>
      <c r="X12">
        <f t="shared" ca="1" si="0"/>
        <v>-1.1811999999999996</v>
      </c>
    </row>
    <row r="13" spans="1:26">
      <c r="A13" t="s">
        <v>205</v>
      </c>
      <c r="B13" s="25" t="s">
        <v>204</v>
      </c>
      <c r="C13">
        <f ca="1">_xll.ciqfunctions.udf.CIQ($B13,"IQ_CDS_mid",C$2)</f>
        <v>29.09</v>
      </c>
      <c r="D13">
        <f ca="1">_xll.ciqfunctions.udf.CIQ($B13,"IQ_CDS_mid",D$2)</f>
        <v>29.09</v>
      </c>
      <c r="E13">
        <f ca="1">_xll.ciqfunctions.udf.CIQ($B13,"IQ_CDS_mid",E$2)</f>
        <v>29.0625</v>
      </c>
      <c r="F13">
        <f ca="1">_xll.ciqfunctions.udf.CIQ($B13,"IQ_CDS_mid",F$2)</f>
        <v>29.05</v>
      </c>
      <c r="G13">
        <f ca="1">_xll.ciqfunctions.udf.CIQ($B13,"IQ_CDS_mid",G$2)</f>
        <v>29.05</v>
      </c>
      <c r="H13">
        <f ca="1">_xll.ciqfunctions.udf.CIQ($B13,"IQ_CDS_mid",H$2)</f>
        <v>29.05</v>
      </c>
      <c r="I13">
        <f ca="1">_xll.ciqfunctions.udf.CIQ($B13,"IQ_CDS_mid",I$2)</f>
        <v>28.880800000000001</v>
      </c>
      <c r="J13">
        <f ca="1">_xll.ciqfunctions.udf.CIQ($B13,"IQ_CDS_mid",J$2)</f>
        <v>29.1267</v>
      </c>
      <c r="K13">
        <f ca="1">_xll.ciqfunctions.udf.CIQ($B13,"IQ_CDS_mid",K$2)</f>
        <v>29.1875</v>
      </c>
      <c r="L13">
        <f ca="1">_xll.ciqfunctions.udf.CIQ($B13,"IQ_CDS_mid",L$2)</f>
        <v>29.0943</v>
      </c>
      <c r="M13">
        <f ca="1">_xll.ciqfunctions.udf.CIQ($B13,"IQ_CDS_mid",M$2)</f>
        <v>28.916699999999999</v>
      </c>
      <c r="N13">
        <f ca="1">_xll.ciqfunctions.udf.CIQ($B13,"IQ_CDS_mid",N$2)</f>
        <v>28.916699999999999</v>
      </c>
      <c r="O13">
        <f ca="1">_xll.ciqfunctions.udf.CIQ($B13,"IQ_CDS_mid",O$2)</f>
        <v>28.916699999999999</v>
      </c>
      <c r="P13">
        <f ca="1">_xll.ciqfunctions.udf.CIQ($B13,"IQ_CDS_mid",P$2)</f>
        <v>28.903700000000001</v>
      </c>
      <c r="Q13">
        <f ca="1">_xll.ciqfunctions.udf.CIQ($B13,"IQ_CDS_mid",Q$2)</f>
        <v>29.0045</v>
      </c>
      <c r="R13">
        <f ca="1">_xll.ciqfunctions.udf.CIQ($B13,"IQ_CDS_mid",R$2)</f>
        <v>28.416699999999999</v>
      </c>
      <c r="S13">
        <f ca="1">_xll.ciqfunctions.udf.CIQ($B13,"IQ_CDS_mid",S$2)</f>
        <v>40.800400000000003</v>
      </c>
      <c r="T13">
        <f t="shared" ca="1" si="1"/>
        <v>3.9999999999999147E-2</v>
      </c>
      <c r="U13">
        <f t="shared" ca="1" si="2"/>
        <v>0.17330000000000112</v>
      </c>
      <c r="V13">
        <f t="shared" ca="1" si="3"/>
        <v>8.5499999999999687E-2</v>
      </c>
      <c r="W13">
        <f t="shared" ca="1" si="4"/>
        <v>0.67330000000000112</v>
      </c>
      <c r="X13">
        <f t="shared" ca="1" si="0"/>
        <v>-11.710400000000003</v>
      </c>
    </row>
    <row r="14" spans="1:26">
      <c r="A14" t="s">
        <v>203</v>
      </c>
      <c r="B14" s="25" t="s">
        <v>202</v>
      </c>
      <c r="C14">
        <f ca="1">_xll.ciqfunctions.udf.CIQ($B14,"IQ_CDS_mid",C$2)</f>
        <v>14</v>
      </c>
      <c r="D14">
        <f ca="1">_xll.ciqfunctions.udf.CIQ($B14,"IQ_CDS_mid",D$2)</f>
        <v>14</v>
      </c>
      <c r="E14">
        <f ca="1">_xll.ciqfunctions.udf.CIQ($B14,"IQ_CDS_mid",E$2)</f>
        <v>14</v>
      </c>
      <c r="F14">
        <f ca="1">_xll.ciqfunctions.udf.CIQ($B14,"IQ_CDS_mid",F$2)</f>
        <v>14</v>
      </c>
      <c r="G14">
        <f ca="1">_xll.ciqfunctions.udf.CIQ($B14,"IQ_CDS_mid",G$2)</f>
        <v>14</v>
      </c>
      <c r="H14">
        <f ca="1">_xll.ciqfunctions.udf.CIQ($B14,"IQ_CDS_mid",H$2)</f>
        <v>14</v>
      </c>
      <c r="I14">
        <f ca="1">_xll.ciqfunctions.udf.CIQ($B14,"IQ_CDS_mid",I$2)</f>
        <v>14.166700000000001</v>
      </c>
      <c r="J14">
        <f ca="1">_xll.ciqfunctions.udf.CIQ($B14,"IQ_CDS_mid",J$2)</f>
        <v>14.166700000000001</v>
      </c>
      <c r="K14">
        <f ca="1">_xll.ciqfunctions.udf.CIQ($B14,"IQ_CDS_mid",K$2)</f>
        <v>14.166700000000001</v>
      </c>
      <c r="L14">
        <f ca="1">_xll.ciqfunctions.udf.CIQ($B14,"IQ_CDS_mid",L$2)</f>
        <v>14.39</v>
      </c>
      <c r="M14">
        <f ca="1">_xll.ciqfunctions.udf.CIQ($B14,"IQ_CDS_mid",M$2)</f>
        <v>14.314</v>
      </c>
      <c r="N14">
        <f ca="1">_xll.ciqfunctions.udf.CIQ($B14,"IQ_CDS_mid",N$2)</f>
        <v>14.314</v>
      </c>
      <c r="O14">
        <f ca="1">_xll.ciqfunctions.udf.CIQ($B14,"IQ_CDS_mid",O$2)</f>
        <v>14.314</v>
      </c>
      <c r="P14">
        <f ca="1">_xll.ciqfunctions.udf.CIQ($B14,"IQ_CDS_mid",P$2)</f>
        <v>14.32</v>
      </c>
      <c r="Q14">
        <f ca="1">_xll.ciqfunctions.udf.CIQ($B14,"IQ_CDS_mid",Q$2)</f>
        <v>14.3543</v>
      </c>
      <c r="R14">
        <f ca="1">_xll.ciqfunctions.udf.CIQ($B14,"IQ_CDS_mid",R$2)</f>
        <v>13.5</v>
      </c>
      <c r="S14">
        <f ca="1">_xll.ciqfunctions.udf.CIQ($B14,"IQ_CDS_mid",S$2)</f>
        <v>17.25</v>
      </c>
      <c r="T14">
        <f t="shared" ca="1" si="1"/>
        <v>0</v>
      </c>
      <c r="U14">
        <f t="shared" ca="1" si="2"/>
        <v>-0.31400000000000006</v>
      </c>
      <c r="V14">
        <f t="shared" ca="1" si="3"/>
        <v>-0.35430000000000028</v>
      </c>
      <c r="W14">
        <f t="shared" ca="1" si="4"/>
        <v>0.5</v>
      </c>
      <c r="X14">
        <f t="shared" ca="1" si="0"/>
        <v>-3.25</v>
      </c>
    </row>
    <row r="15" spans="1:26">
      <c r="A15" t="s">
        <v>201</v>
      </c>
      <c r="B15" s="25" t="s">
        <v>200</v>
      </c>
      <c r="C15">
        <f ca="1">_xll.ciqfunctions.udf.CIQ($B15,"IQ_CDS_mid",C$2)</f>
        <v>31.583300000000001</v>
      </c>
      <c r="D15">
        <f ca="1">_xll.ciqfunctions.udf.CIQ($B15,"IQ_CDS_mid",D$2)</f>
        <v>31.583300000000001</v>
      </c>
      <c r="E15">
        <f ca="1">_xll.ciqfunctions.udf.CIQ($B15,"IQ_CDS_mid",E$2)</f>
        <v>31.541699999999999</v>
      </c>
      <c r="F15">
        <f ca="1">_xll.ciqfunctions.udf.CIQ($B15,"IQ_CDS_mid",F$2)</f>
        <v>31.35</v>
      </c>
      <c r="G15">
        <f ca="1">_xll.ciqfunctions.udf.CIQ($B15,"IQ_CDS_mid",G$2)</f>
        <v>31.35</v>
      </c>
      <c r="H15">
        <f ca="1">_xll.ciqfunctions.udf.CIQ($B15,"IQ_CDS_mid",H$2)</f>
        <v>31.35</v>
      </c>
      <c r="I15">
        <f ca="1">_xll.ciqfunctions.udf.CIQ($B15,"IQ_CDS_mid",I$2)</f>
        <v>31.292300000000001</v>
      </c>
      <c r="J15">
        <f ca="1">_xll.ciqfunctions.udf.CIQ($B15,"IQ_CDS_mid",J$2)</f>
        <v>31.208300000000001</v>
      </c>
      <c r="K15">
        <f ca="1">_xll.ciqfunctions.udf.CIQ($B15,"IQ_CDS_mid",K$2)</f>
        <v>30.881599999999999</v>
      </c>
      <c r="L15">
        <f ca="1">_xll.ciqfunctions.udf.CIQ($B15,"IQ_CDS_mid",L$2)</f>
        <v>30.693999999999999</v>
      </c>
      <c r="M15">
        <f ca="1">_xll.ciqfunctions.udf.CIQ($B15,"IQ_CDS_mid",M$2)</f>
        <v>30.75</v>
      </c>
      <c r="N15">
        <f ca="1">_xll.ciqfunctions.udf.CIQ($B15,"IQ_CDS_mid",N$2)</f>
        <v>30.75</v>
      </c>
      <c r="O15">
        <f ca="1">_xll.ciqfunctions.udf.CIQ($B15,"IQ_CDS_mid",O$2)</f>
        <v>30.75</v>
      </c>
      <c r="P15">
        <f ca="1">_xll.ciqfunctions.udf.CIQ($B15,"IQ_CDS_mid",P$2)</f>
        <v>30.5</v>
      </c>
      <c r="Q15">
        <f ca="1">_xll.ciqfunctions.udf.CIQ($B15,"IQ_CDS_mid",Q$2)</f>
        <v>30.5625</v>
      </c>
      <c r="R15">
        <f ca="1">_xll.ciqfunctions.udf.CIQ($B15,"IQ_CDS_mid",R$2)</f>
        <v>29.1234</v>
      </c>
      <c r="S15">
        <f ca="1">_xll.ciqfunctions.udf.CIQ($B15,"IQ_CDS_mid",S$2)</f>
        <v>37.467700000000001</v>
      </c>
      <c r="T15">
        <f t="shared" ca="1" si="1"/>
        <v>0.23329999999999984</v>
      </c>
      <c r="U15">
        <f t="shared" ca="1" si="2"/>
        <v>0.83330000000000126</v>
      </c>
      <c r="V15">
        <f t="shared" ca="1" si="3"/>
        <v>1.0208000000000013</v>
      </c>
      <c r="W15">
        <f t="shared" ca="1" si="4"/>
        <v>2.4599000000000011</v>
      </c>
      <c r="X15">
        <f t="shared" ca="1" si="0"/>
        <v>-5.8843999999999994</v>
      </c>
    </row>
    <row r="16" spans="1:26">
      <c r="A16" t="s">
        <v>199</v>
      </c>
      <c r="B16" s="25" t="s">
        <v>198</v>
      </c>
      <c r="C16">
        <f ca="1">_xll.ciqfunctions.udf.CIQ($B16,"IQ_CDS_mid",C$2)</f>
        <v>9.9231999999999996</v>
      </c>
      <c r="D16">
        <f ca="1">_xll.ciqfunctions.udf.CIQ($B16,"IQ_CDS_mid",D$2)</f>
        <v>9.9231999999999996</v>
      </c>
      <c r="E16">
        <f ca="1">_xll.ciqfunctions.udf.CIQ($B16,"IQ_CDS_mid",E$2)</f>
        <v>9.9164999999999992</v>
      </c>
      <c r="F16">
        <f ca="1">_xll.ciqfunctions.udf.CIQ($B16,"IQ_CDS_mid",F$2)</f>
        <v>10.2447</v>
      </c>
      <c r="G16">
        <f ca="1">_xll.ciqfunctions.udf.CIQ($B16,"IQ_CDS_mid",G$2)</f>
        <v>10.2447</v>
      </c>
      <c r="H16">
        <f ca="1">_xll.ciqfunctions.udf.CIQ($B16,"IQ_CDS_mid",H$2)</f>
        <v>10.2447</v>
      </c>
      <c r="I16">
        <f ca="1">_xll.ciqfunctions.udf.CIQ($B16,"IQ_CDS_mid",I$2)</f>
        <v>10.0207</v>
      </c>
      <c r="J16">
        <f ca="1">_xll.ciqfunctions.udf.CIQ($B16,"IQ_CDS_mid",J$2)</f>
        <v>10.011799999999999</v>
      </c>
      <c r="K16">
        <f ca="1">_xll.ciqfunctions.udf.CIQ($B16,"IQ_CDS_mid",K$2)</f>
        <v>9.6563999999999997</v>
      </c>
      <c r="L16">
        <f ca="1">_xll.ciqfunctions.udf.CIQ($B16,"IQ_CDS_mid",L$2)</f>
        <v>9.8163999999999998</v>
      </c>
      <c r="M16">
        <f ca="1">_xll.ciqfunctions.udf.CIQ($B16,"IQ_CDS_mid",M$2)</f>
        <v>9.8336000000000006</v>
      </c>
      <c r="N16">
        <f ca="1">_xll.ciqfunctions.udf.CIQ($B16,"IQ_CDS_mid",N$2)</f>
        <v>9.8336000000000006</v>
      </c>
      <c r="O16">
        <f ca="1">_xll.ciqfunctions.udf.CIQ($B16,"IQ_CDS_mid",O$2)</f>
        <v>9.8336000000000006</v>
      </c>
      <c r="P16">
        <f ca="1">_xll.ciqfunctions.udf.CIQ($B16,"IQ_CDS_mid",P$2)</f>
        <v>9.8987999999999996</v>
      </c>
      <c r="Q16">
        <f ca="1">_xll.ciqfunctions.udf.CIQ($B16,"IQ_CDS_mid",Q$2)</f>
        <v>10.0223</v>
      </c>
      <c r="R16">
        <f ca="1">_xll.ciqfunctions.udf.CIQ($B16,"IQ_CDS_mid",R$2)</f>
        <v>10.0174</v>
      </c>
      <c r="S16">
        <f ca="1">_xll.ciqfunctions.udf.CIQ($B16,"IQ_CDS_mid",S$2)</f>
        <v>12.8184</v>
      </c>
      <c r="T16">
        <f t="shared" ca="1" si="1"/>
        <v>-0.32150000000000034</v>
      </c>
      <c r="U16">
        <f t="shared" ca="1" si="2"/>
        <v>8.9599999999999014E-2</v>
      </c>
      <c r="V16">
        <f t="shared" ca="1" si="3"/>
        <v>-9.9099999999999966E-2</v>
      </c>
      <c r="W16">
        <f t="shared" ca="1" si="4"/>
        <v>-9.4200000000000728E-2</v>
      </c>
      <c r="X16">
        <f t="shared" ca="1" si="0"/>
        <v>-2.8952000000000009</v>
      </c>
    </row>
    <row r="17" spans="1:24">
      <c r="A17" t="s">
        <v>197</v>
      </c>
      <c r="B17" s="25" t="s">
        <v>196</v>
      </c>
      <c r="C17">
        <f ca="1">_xll.ciqfunctions.udf.CIQ($B17,"IQ_CDS_mid",C$2)</f>
        <v>7.8727999999999998</v>
      </c>
      <c r="D17">
        <f ca="1">_xll.ciqfunctions.udf.CIQ($B17,"IQ_CDS_mid",D$2)</f>
        <v>7.8727999999999998</v>
      </c>
      <c r="E17">
        <f ca="1">_xll.ciqfunctions.udf.CIQ($B17,"IQ_CDS_mid",E$2)</f>
        <v>8</v>
      </c>
      <c r="F17">
        <f ca="1">_xll.ciqfunctions.udf.CIQ($B17,"IQ_CDS_mid",F$2)</f>
        <v>7.9290000000000003</v>
      </c>
      <c r="G17">
        <f ca="1">_xll.ciqfunctions.udf.CIQ($B17,"IQ_CDS_mid",G$2)</f>
        <v>7.9290000000000003</v>
      </c>
      <c r="H17">
        <f ca="1">_xll.ciqfunctions.udf.CIQ($B17,"IQ_CDS_mid",H$2)</f>
        <v>7.9290000000000003</v>
      </c>
      <c r="I17">
        <f ca="1">_xll.ciqfunctions.udf.CIQ($B17,"IQ_CDS_mid",I$2)</f>
        <v>8</v>
      </c>
      <c r="J17">
        <f ca="1">_xll.ciqfunctions.udf.CIQ($B17,"IQ_CDS_mid",J$2)</f>
        <v>7.9169</v>
      </c>
      <c r="K17">
        <f ca="1">_xll.ciqfunctions.udf.CIQ($B17,"IQ_CDS_mid",K$2)</f>
        <v>7.8333000000000004</v>
      </c>
      <c r="L17">
        <f ca="1">_xll.ciqfunctions.udf.CIQ($B17,"IQ_CDS_mid",L$2)</f>
        <v>7.9157000000000002</v>
      </c>
      <c r="M17">
        <f ca="1">_xll.ciqfunctions.udf.CIQ($B17,"IQ_CDS_mid",M$2)</f>
        <v>7.8472999999999997</v>
      </c>
      <c r="N17">
        <f ca="1">_xll.ciqfunctions.udf.CIQ($B17,"IQ_CDS_mid",N$2)</f>
        <v>7.8472999999999997</v>
      </c>
      <c r="O17">
        <f ca="1">_xll.ciqfunctions.udf.CIQ($B17,"IQ_CDS_mid",O$2)</f>
        <v>7.8472999999999997</v>
      </c>
      <c r="P17">
        <f ca="1">_xll.ciqfunctions.udf.CIQ($B17,"IQ_CDS_mid",P$2)</f>
        <v>7.8456999999999999</v>
      </c>
      <c r="Q17">
        <f ca="1">_xll.ciqfunctions.udf.CIQ($B17,"IQ_CDS_mid",Q$2)</f>
        <v>7.8456000000000001</v>
      </c>
      <c r="R17">
        <f ca="1">_xll.ciqfunctions.udf.CIQ($B17,"IQ_CDS_mid",R$2)</f>
        <v>7.8136000000000001</v>
      </c>
      <c r="S17">
        <f ca="1">_xll.ciqfunctions.udf.CIQ($B17,"IQ_CDS_mid",S$2)</f>
        <v>9.8536000000000001</v>
      </c>
      <c r="T17">
        <f t="shared" ca="1" si="1"/>
        <v>-5.6200000000000472E-2</v>
      </c>
      <c r="U17">
        <f t="shared" ca="1" si="2"/>
        <v>2.5500000000000078E-2</v>
      </c>
      <c r="V17">
        <f t="shared" ca="1" si="3"/>
        <v>2.7199999999999669E-2</v>
      </c>
      <c r="W17">
        <f t="shared" ca="1" si="4"/>
        <v>5.9199999999999697E-2</v>
      </c>
      <c r="X17">
        <f t="shared" ca="1" si="0"/>
        <v>-1.9808000000000003</v>
      </c>
    </row>
    <row r="18" spans="1:24">
      <c r="A18" t="s">
        <v>195</v>
      </c>
      <c r="B18" s="25" t="s">
        <v>194</v>
      </c>
      <c r="C18">
        <f ca="1">_xll.ciqfunctions.udf.CIQ($B18,"IQ_CDS_mid",C$2)</f>
        <v>14.0625</v>
      </c>
      <c r="D18">
        <f ca="1">_xll.ciqfunctions.udf.CIQ($B18,"IQ_CDS_mid",D$2)</f>
        <v>14.0625</v>
      </c>
      <c r="E18">
        <f ca="1">_xll.ciqfunctions.udf.CIQ($B18,"IQ_CDS_mid",E$2)</f>
        <v>14.041700000000001</v>
      </c>
      <c r="F18">
        <f ca="1">_xll.ciqfunctions.udf.CIQ($B18,"IQ_CDS_mid",F$2)</f>
        <v>14.1563</v>
      </c>
      <c r="G18">
        <f ca="1">_xll.ciqfunctions.udf.CIQ($B18,"IQ_CDS_mid",G$2)</f>
        <v>14.1563</v>
      </c>
      <c r="H18">
        <f ca="1">_xll.ciqfunctions.udf.CIQ($B18,"IQ_CDS_mid",H$2)</f>
        <v>14.1563</v>
      </c>
      <c r="I18">
        <f ca="1">_xll.ciqfunctions.udf.CIQ($B18,"IQ_CDS_mid",I$2)</f>
        <v>14.125</v>
      </c>
      <c r="J18">
        <f ca="1">_xll.ciqfunctions.udf.CIQ($B18,"IQ_CDS_mid",J$2)</f>
        <v>14.1021</v>
      </c>
      <c r="K18">
        <f ca="1">_xll.ciqfunctions.udf.CIQ($B18,"IQ_CDS_mid",K$2)</f>
        <v>14.208299999999999</v>
      </c>
      <c r="L18">
        <f ca="1">_xll.ciqfunctions.udf.CIQ($B18,"IQ_CDS_mid",L$2)</f>
        <v>13.133800000000001</v>
      </c>
      <c r="M18">
        <f ca="1">_xll.ciqfunctions.udf.CIQ($B18,"IQ_CDS_mid",M$2)</f>
        <v>14.041700000000001</v>
      </c>
      <c r="N18">
        <f ca="1">_xll.ciqfunctions.udf.CIQ($B18,"IQ_CDS_mid",N$2)</f>
        <v>14.041700000000001</v>
      </c>
      <c r="O18">
        <f ca="1">_xll.ciqfunctions.udf.CIQ($B18,"IQ_CDS_mid",O$2)</f>
        <v>14.041700000000001</v>
      </c>
      <c r="P18">
        <f ca="1">_xll.ciqfunctions.udf.CIQ($B18,"IQ_CDS_mid",P$2)</f>
        <v>14.083299999999999</v>
      </c>
      <c r="Q18">
        <f ca="1">_xll.ciqfunctions.udf.CIQ($B18,"IQ_CDS_mid",Q$2)</f>
        <v>14.0747</v>
      </c>
      <c r="R18">
        <f ca="1">_xll.ciqfunctions.udf.CIQ($B18,"IQ_CDS_mid",R$2)</f>
        <v>14.833299999999999</v>
      </c>
      <c r="S18">
        <f ca="1">_xll.ciqfunctions.udf.CIQ($B18,"IQ_CDS_mid",S$2)</f>
        <v>21.359500000000001</v>
      </c>
      <c r="T18">
        <f t="shared" ca="1" si="1"/>
        <v>-9.3799999999999883E-2</v>
      </c>
      <c r="U18">
        <f t="shared" ca="1" si="2"/>
        <v>2.0799999999999486E-2</v>
      </c>
      <c r="V18">
        <f t="shared" ca="1" si="3"/>
        <v>-1.2199999999999989E-2</v>
      </c>
      <c r="W18">
        <f t="shared" ca="1" si="4"/>
        <v>-0.77079999999999949</v>
      </c>
      <c r="X18">
        <f t="shared" ca="1" si="0"/>
        <v>-7.2970000000000006</v>
      </c>
    </row>
    <row r="19" spans="1:24">
      <c r="A19" t="s">
        <v>193</v>
      </c>
      <c r="B19" s="25" t="s">
        <v>192</v>
      </c>
      <c r="C19">
        <f ca="1">_xll.ciqfunctions.udf.CIQ($B19,"IQ_CDS_mid",C$2)</f>
        <v>35.347999999999999</v>
      </c>
      <c r="D19">
        <f ca="1">_xll.ciqfunctions.udf.CIQ($B19,"IQ_CDS_mid",D$2)</f>
        <v>35.347999999999999</v>
      </c>
      <c r="E19">
        <f ca="1">_xll.ciqfunctions.udf.CIQ($B19,"IQ_CDS_mid",E$2)</f>
        <v>35.334099999999999</v>
      </c>
      <c r="F19">
        <f ca="1">_xll.ciqfunctions.udf.CIQ($B19,"IQ_CDS_mid",F$2)</f>
        <v>35.946800000000003</v>
      </c>
      <c r="G19">
        <f ca="1">_xll.ciqfunctions.udf.CIQ($B19,"IQ_CDS_mid",G$2)</f>
        <v>35.946800000000003</v>
      </c>
      <c r="H19">
        <f ca="1">_xll.ciqfunctions.udf.CIQ($B19,"IQ_CDS_mid",H$2)</f>
        <v>35.946800000000003</v>
      </c>
      <c r="I19">
        <f ca="1">_xll.ciqfunctions.udf.CIQ($B19,"IQ_CDS_mid",I$2)</f>
        <v>35.310400000000001</v>
      </c>
      <c r="J19">
        <f ca="1">_xll.ciqfunctions.udf.CIQ($B19,"IQ_CDS_mid",J$2)</f>
        <v>35.915700000000001</v>
      </c>
      <c r="K19">
        <f ca="1">_xll.ciqfunctions.udf.CIQ($B19,"IQ_CDS_mid",K$2)</f>
        <v>35.451799999999999</v>
      </c>
      <c r="L19">
        <f ca="1">_xll.ciqfunctions.udf.CIQ($B19,"IQ_CDS_mid",L$2)</f>
        <v>35.499699999999997</v>
      </c>
      <c r="M19">
        <f ca="1">_xll.ciqfunctions.udf.CIQ($B19,"IQ_CDS_mid",M$2)</f>
        <v>36.020600000000002</v>
      </c>
      <c r="N19">
        <f ca="1">_xll.ciqfunctions.udf.CIQ($B19,"IQ_CDS_mid",N$2)</f>
        <v>36.020600000000002</v>
      </c>
      <c r="O19">
        <f ca="1">_xll.ciqfunctions.udf.CIQ($B19,"IQ_CDS_mid",O$2)</f>
        <v>36.020600000000002</v>
      </c>
      <c r="P19">
        <f ca="1">_xll.ciqfunctions.udf.CIQ($B19,"IQ_CDS_mid",P$2)</f>
        <v>35.450200000000002</v>
      </c>
      <c r="Q19">
        <f ca="1">_xll.ciqfunctions.udf.CIQ($B19,"IQ_CDS_mid",Q$2)</f>
        <v>35.948599999999999</v>
      </c>
      <c r="R19">
        <f ca="1">_xll.ciqfunctions.udf.CIQ($B19,"IQ_CDS_mid",R$2)</f>
        <v>37.613700000000001</v>
      </c>
      <c r="S19">
        <f ca="1">_xll.ciqfunctions.udf.CIQ($B19,"IQ_CDS_mid",S$2)</f>
        <v>30.666699999999999</v>
      </c>
      <c r="T19">
        <f t="shared" ca="1" si="1"/>
        <v>-0.59880000000000422</v>
      </c>
      <c r="U19">
        <f t="shared" ca="1" si="2"/>
        <v>-0.67260000000000275</v>
      </c>
      <c r="V19">
        <f t="shared" ca="1" si="3"/>
        <v>-0.60060000000000002</v>
      </c>
      <c r="W19">
        <f t="shared" ca="1" si="4"/>
        <v>-2.2657000000000025</v>
      </c>
      <c r="X19">
        <f t="shared" ca="1" si="0"/>
        <v>4.6813000000000002</v>
      </c>
    </row>
    <row r="20" spans="1:24">
      <c r="A20" t="s">
        <v>191</v>
      </c>
      <c r="B20" s="25" t="s">
        <v>190</v>
      </c>
      <c r="C20">
        <f ca="1">_xll.ciqfunctions.udf.CIQ($B20,"IQ_CDS_mid",C$2)</f>
        <v>15.3</v>
      </c>
      <c r="D20">
        <f ca="1">_xll.ciqfunctions.udf.CIQ($B20,"IQ_CDS_mid",D$2)</f>
        <v>15.3</v>
      </c>
      <c r="E20">
        <f ca="1">_xll.ciqfunctions.udf.CIQ($B20,"IQ_CDS_mid",E$2)</f>
        <v>15.1875</v>
      </c>
      <c r="F20">
        <f ca="1">_xll.ciqfunctions.udf.CIQ($B20,"IQ_CDS_mid",F$2)</f>
        <v>15.4375</v>
      </c>
      <c r="G20">
        <f ca="1">_xll.ciqfunctions.udf.CIQ($B20,"IQ_CDS_mid",G$2)</f>
        <v>15.4375</v>
      </c>
      <c r="H20">
        <f ca="1">_xll.ciqfunctions.udf.CIQ($B20,"IQ_CDS_mid",H$2)</f>
        <v>15.4375</v>
      </c>
      <c r="I20">
        <f ca="1">_xll.ciqfunctions.udf.CIQ($B20,"IQ_CDS_mid",I$2)</f>
        <v>15.5</v>
      </c>
      <c r="J20">
        <f ca="1">_xll.ciqfunctions.udf.CIQ($B20,"IQ_CDS_mid",J$2)</f>
        <v>15.5625</v>
      </c>
      <c r="K20">
        <f ca="1">_xll.ciqfunctions.udf.CIQ($B20,"IQ_CDS_mid",K$2)</f>
        <v>15.5</v>
      </c>
      <c r="L20">
        <f ca="1">_xll.ciqfunctions.udf.CIQ($B20,"IQ_CDS_mid",L$2)</f>
        <v>15.6976</v>
      </c>
      <c r="M20">
        <f ca="1">_xll.ciqfunctions.udf.CIQ($B20,"IQ_CDS_mid",M$2)</f>
        <v>15.733700000000001</v>
      </c>
      <c r="N20">
        <f ca="1">_xll.ciqfunctions.udf.CIQ($B20,"IQ_CDS_mid",N$2)</f>
        <v>15.733700000000001</v>
      </c>
      <c r="O20">
        <f ca="1">_xll.ciqfunctions.udf.CIQ($B20,"IQ_CDS_mid",O$2)</f>
        <v>15.733700000000001</v>
      </c>
      <c r="P20">
        <f ca="1">_xll.ciqfunctions.udf.CIQ($B20,"IQ_CDS_mid",P$2)</f>
        <v>15.701000000000001</v>
      </c>
      <c r="Q20">
        <f ca="1">_xll.ciqfunctions.udf.CIQ($B20,"IQ_CDS_mid",Q$2)</f>
        <v>15.6073</v>
      </c>
      <c r="R20">
        <f ca="1">_xll.ciqfunctions.udf.CIQ($B20,"IQ_CDS_mid",R$2)</f>
        <v>16</v>
      </c>
      <c r="S20">
        <f ca="1">_xll.ciqfunctions.udf.CIQ($B20,"IQ_CDS_mid",S$2)</f>
        <v>25.506399999999999</v>
      </c>
      <c r="T20">
        <f t="shared" ca="1" si="1"/>
        <v>-0.13749999999999929</v>
      </c>
      <c r="U20">
        <f t="shared" ca="1" si="2"/>
        <v>-0.43369999999999997</v>
      </c>
      <c r="V20">
        <f t="shared" ca="1" si="3"/>
        <v>-0.30729999999999968</v>
      </c>
      <c r="W20">
        <f t="shared" ca="1" si="4"/>
        <v>-0.69999999999999929</v>
      </c>
      <c r="X20">
        <f t="shared" ca="1" si="0"/>
        <v>-10.206399999999999</v>
      </c>
    </row>
    <row r="21" spans="1:24">
      <c r="A21" s="16" t="s">
        <v>189</v>
      </c>
      <c r="X21">
        <f t="shared" si="0"/>
        <v>0</v>
      </c>
    </row>
    <row r="22" spans="1:24">
      <c r="A22" t="s">
        <v>188</v>
      </c>
      <c r="B22" s="25" t="s">
        <v>187</v>
      </c>
      <c r="C22">
        <f ca="1">_xll.ciqfunctions.udf.CIQ($B22,"IQ_CDS_mid",C$2)</f>
        <v>17.95</v>
      </c>
      <c r="D22">
        <f ca="1">_xll.ciqfunctions.udf.CIQ($B22,"IQ_CDS_mid",D$2)</f>
        <v>17.95</v>
      </c>
      <c r="E22">
        <f ca="1">_xll.ciqfunctions.udf.CIQ($B22,"IQ_CDS_mid",E$2)</f>
        <v>17.8</v>
      </c>
      <c r="F22">
        <f ca="1">_xll.ciqfunctions.udf.CIQ($B22,"IQ_CDS_mid",F$2)</f>
        <v>17.899999999999999</v>
      </c>
      <c r="G22">
        <f ca="1">_xll.ciqfunctions.udf.CIQ($B22,"IQ_CDS_mid",G$2)</f>
        <v>17.899999999999999</v>
      </c>
      <c r="H22">
        <f ca="1">_xll.ciqfunctions.udf.CIQ($B22,"IQ_CDS_mid",H$2)</f>
        <v>17.899999999999999</v>
      </c>
      <c r="I22">
        <f ca="1">_xll.ciqfunctions.udf.CIQ($B22,"IQ_CDS_mid",I$2)</f>
        <v>18</v>
      </c>
      <c r="J22">
        <f ca="1">_xll.ciqfunctions.udf.CIQ($B22,"IQ_CDS_mid",J$2)</f>
        <v>18</v>
      </c>
      <c r="K22">
        <f ca="1">_xll.ciqfunctions.udf.CIQ($B22,"IQ_CDS_mid",K$2)</f>
        <v>17.968800000000002</v>
      </c>
      <c r="L22">
        <f ca="1">_xll.ciqfunctions.udf.CIQ($B22,"IQ_CDS_mid",L$2)</f>
        <v>17.9575</v>
      </c>
      <c r="M22">
        <f ca="1">_xll.ciqfunctions.udf.CIQ($B22,"IQ_CDS_mid",M$2)</f>
        <v>18.042300000000001</v>
      </c>
      <c r="N22">
        <f ca="1">_xll.ciqfunctions.udf.CIQ($B22,"IQ_CDS_mid",N$2)</f>
        <v>18.042300000000001</v>
      </c>
      <c r="O22">
        <f ca="1">_xll.ciqfunctions.udf.CIQ($B22,"IQ_CDS_mid",O$2)</f>
        <v>18.042300000000001</v>
      </c>
      <c r="P22">
        <f ca="1">_xll.ciqfunctions.udf.CIQ($B22,"IQ_CDS_mid",P$2)</f>
        <v>18.036000000000001</v>
      </c>
      <c r="Q22">
        <f ca="1">_xll.ciqfunctions.udf.CIQ($B22,"IQ_CDS_mid",Q$2)</f>
        <v>18.25</v>
      </c>
      <c r="R22">
        <f ca="1">_xll.ciqfunctions.udf.CIQ($B22,"IQ_CDS_mid",R$2)</f>
        <v>18.75</v>
      </c>
      <c r="S22">
        <f ca="1">_xll.ciqfunctions.udf.CIQ($B22,"IQ_CDS_mid",S$2)</f>
        <v>18.5</v>
      </c>
      <c r="T22">
        <f t="shared" ref="T22:T29" ca="1" si="5">C22-H22</f>
        <v>5.0000000000000711E-2</v>
      </c>
      <c r="U22">
        <f t="shared" ref="U22:U29" ca="1" si="6">C22-M22</f>
        <v>-9.2300000000001603E-2</v>
      </c>
      <c r="V22">
        <f t="shared" ref="V22:V29" ca="1" si="7">C22-Q22</f>
        <v>-0.30000000000000071</v>
      </c>
      <c r="W22">
        <f t="shared" ref="W22:W29" ca="1" si="8">C22-R22</f>
        <v>-0.80000000000000071</v>
      </c>
      <c r="X22">
        <f t="shared" ca="1" si="0"/>
        <v>-0.55000000000000071</v>
      </c>
    </row>
    <row r="23" spans="1:24">
      <c r="A23" t="s">
        <v>186</v>
      </c>
      <c r="B23" s="25" t="s">
        <v>185</v>
      </c>
      <c r="C23">
        <f ca="1">_xll.ciqfunctions.udf.CIQ($B23,"IQ_CDS_mid",C$2)</f>
        <v>30</v>
      </c>
      <c r="D23">
        <f ca="1">_xll.ciqfunctions.udf.CIQ($B23,"IQ_CDS_mid",D$2)</f>
        <v>30</v>
      </c>
      <c r="E23">
        <f ca="1">_xll.ciqfunctions.udf.CIQ($B23,"IQ_CDS_mid",E$2)</f>
        <v>30</v>
      </c>
      <c r="F23">
        <f ca="1">_xll.ciqfunctions.udf.CIQ($B23,"IQ_CDS_mid",F$2)</f>
        <v>29.595099999999999</v>
      </c>
      <c r="G23">
        <f ca="1">_xll.ciqfunctions.udf.CIQ($B23,"IQ_CDS_mid",G$2)</f>
        <v>29.595099999999999</v>
      </c>
      <c r="H23">
        <f ca="1">_xll.ciqfunctions.udf.CIQ($B23,"IQ_CDS_mid",H$2)</f>
        <v>29.595099999999999</v>
      </c>
      <c r="I23">
        <f ca="1">_xll.ciqfunctions.udf.CIQ($B23,"IQ_CDS_mid",I$2)</f>
        <v>29.575199999999999</v>
      </c>
      <c r="J23">
        <f ca="1">_xll.ciqfunctions.udf.CIQ($B23,"IQ_CDS_mid",J$2)</f>
        <v>29.598400000000002</v>
      </c>
      <c r="K23">
        <f ca="1">_xll.ciqfunctions.udf.CIQ($B23,"IQ_CDS_mid",K$2)</f>
        <v>30</v>
      </c>
      <c r="L23">
        <f ca="1">_xll.ciqfunctions.udf.CIQ($B23,"IQ_CDS_mid",L$2)</f>
        <v>19.702400000000001</v>
      </c>
      <c r="M23">
        <f ca="1">_xll.ciqfunctions.udf.CIQ($B23,"IQ_CDS_mid",M$2)</f>
        <v>19.751999999999999</v>
      </c>
      <c r="N23">
        <f ca="1">_xll.ciqfunctions.udf.CIQ($B23,"IQ_CDS_mid",N$2)</f>
        <v>19.751999999999999</v>
      </c>
      <c r="O23">
        <f ca="1">_xll.ciqfunctions.udf.CIQ($B23,"IQ_CDS_mid",O$2)</f>
        <v>19.751999999999999</v>
      </c>
      <c r="P23">
        <f ca="1">_xll.ciqfunctions.udf.CIQ($B23,"IQ_CDS_mid",P$2)</f>
        <v>19.875800000000002</v>
      </c>
      <c r="Q23">
        <f ca="1">_xll.ciqfunctions.udf.CIQ($B23,"IQ_CDS_mid",Q$2)</f>
        <v>19.963899999999999</v>
      </c>
      <c r="R23">
        <f ca="1">_xll.ciqfunctions.udf.CIQ($B23,"IQ_CDS_mid",R$2)</f>
        <v>28.874199999999998</v>
      </c>
      <c r="S23">
        <f ca="1">_xll.ciqfunctions.udf.CIQ($B23,"IQ_CDS_mid",S$2)</f>
        <v>24.036200000000001</v>
      </c>
      <c r="T23">
        <f t="shared" ca="1" si="5"/>
        <v>0.40490000000000137</v>
      </c>
      <c r="U23">
        <f t="shared" ca="1" si="6"/>
        <v>10.248000000000001</v>
      </c>
      <c r="V23">
        <f t="shared" ca="1" si="7"/>
        <v>10.036100000000001</v>
      </c>
      <c r="W23">
        <f t="shared" ca="1" si="8"/>
        <v>1.1258000000000017</v>
      </c>
      <c r="X23">
        <f t="shared" ca="1" si="0"/>
        <v>5.9637999999999991</v>
      </c>
    </row>
    <row r="24" spans="1:24">
      <c r="A24" t="s">
        <v>31</v>
      </c>
      <c r="B24" s="25" t="s">
        <v>184</v>
      </c>
      <c r="C24">
        <f ca="1">_xll.ciqfunctions.udf.CIQ($B24,"IQ_CDS_mid",C$2)</f>
        <v>8.125</v>
      </c>
      <c r="D24">
        <f ca="1">_xll.ciqfunctions.udf.CIQ($B24,"IQ_CDS_mid",D$2)</f>
        <v>8.125</v>
      </c>
      <c r="E24">
        <f ca="1">_xll.ciqfunctions.udf.CIQ($B24,"IQ_CDS_mid",E$2)</f>
        <v>8.125</v>
      </c>
      <c r="F24">
        <f ca="1">_xll.ciqfunctions.udf.CIQ($B24,"IQ_CDS_mid",F$2)</f>
        <v>8.125</v>
      </c>
      <c r="G24">
        <f ca="1">_xll.ciqfunctions.udf.CIQ($B24,"IQ_CDS_mid",G$2)</f>
        <v>8.125</v>
      </c>
      <c r="H24">
        <f ca="1">_xll.ciqfunctions.udf.CIQ($B24,"IQ_CDS_mid",H$2)</f>
        <v>8.125</v>
      </c>
      <c r="I24">
        <f ca="1">_xll.ciqfunctions.udf.CIQ($B24,"IQ_CDS_mid",I$2)</f>
        <v>8.0091999999999999</v>
      </c>
      <c r="J24">
        <f ca="1">_xll.ciqfunctions.udf.CIQ($B24,"IQ_CDS_mid",J$2)</f>
        <v>7.9047999999999998</v>
      </c>
      <c r="K24">
        <f ca="1">_xll.ciqfunctions.udf.CIQ($B24,"IQ_CDS_mid",K$2)</f>
        <v>7.9177999999999997</v>
      </c>
      <c r="L24">
        <f ca="1">_xll.ciqfunctions.udf.CIQ($B24,"IQ_CDS_mid",L$2)</f>
        <v>8.0139999999999993</v>
      </c>
      <c r="M24">
        <f ca="1">_xll.ciqfunctions.udf.CIQ($B24,"IQ_CDS_mid",M$2)</f>
        <v>8.0053000000000001</v>
      </c>
      <c r="N24">
        <f ca="1">_xll.ciqfunctions.udf.CIQ($B24,"IQ_CDS_mid",N$2)</f>
        <v>8.0053000000000001</v>
      </c>
      <c r="O24">
        <f ca="1">_xll.ciqfunctions.udf.CIQ($B24,"IQ_CDS_mid",O$2)</f>
        <v>8.0053000000000001</v>
      </c>
      <c r="P24">
        <f ca="1">_xll.ciqfunctions.udf.CIQ($B24,"IQ_CDS_mid",P$2)</f>
        <v>8.0132999999999992</v>
      </c>
      <c r="Q24">
        <f ca="1">_xll.ciqfunctions.udf.CIQ($B24,"IQ_CDS_mid",Q$2)</f>
        <v>8.0173000000000005</v>
      </c>
      <c r="R24">
        <f ca="1">_xll.ciqfunctions.udf.CIQ($B24,"IQ_CDS_mid",R$2)</f>
        <v>8.4167000000000005</v>
      </c>
      <c r="S24">
        <f ca="1">_xll.ciqfunctions.udf.CIQ($B24,"IQ_CDS_mid",S$2)</f>
        <v>8.75</v>
      </c>
      <c r="T24">
        <f t="shared" ca="1" si="5"/>
        <v>0</v>
      </c>
      <c r="U24">
        <f t="shared" ca="1" si="6"/>
        <v>0.11969999999999992</v>
      </c>
      <c r="V24">
        <f t="shared" ca="1" si="7"/>
        <v>0.10769999999999946</v>
      </c>
      <c r="W24">
        <f t="shared" ca="1" si="8"/>
        <v>-0.29170000000000051</v>
      </c>
      <c r="X24">
        <f t="shared" ca="1" si="0"/>
        <v>-0.625</v>
      </c>
    </row>
    <row r="25" spans="1:24">
      <c r="A25" t="s">
        <v>183</v>
      </c>
      <c r="B25" s="25" t="s">
        <v>182</v>
      </c>
      <c r="C25">
        <f ca="1">_xll.ciqfunctions.udf.CIQ($B25,"IQ_CDS_mid",C$2)</f>
        <v>4.6294000000000004</v>
      </c>
      <c r="D25">
        <f ca="1">_xll.ciqfunctions.udf.CIQ($B25,"IQ_CDS_mid",D$2)</f>
        <v>4.6294000000000004</v>
      </c>
      <c r="E25">
        <f ca="1">_xll.ciqfunctions.udf.CIQ($B25,"IQ_CDS_mid",E$2)</f>
        <v>4.6317000000000004</v>
      </c>
      <c r="F25">
        <f ca="1">_xll.ciqfunctions.udf.CIQ($B25,"IQ_CDS_mid",F$2)</f>
        <v>4.6558000000000002</v>
      </c>
      <c r="G25">
        <f ca="1">_xll.ciqfunctions.udf.CIQ($B25,"IQ_CDS_mid",G$2)</f>
        <v>4.6558000000000002</v>
      </c>
      <c r="H25">
        <f ca="1">_xll.ciqfunctions.udf.CIQ($B25,"IQ_CDS_mid",H$2)</f>
        <v>4.6558000000000002</v>
      </c>
      <c r="I25">
        <f ca="1">_xll.ciqfunctions.udf.CIQ($B25,"IQ_CDS_mid",I$2)</f>
        <v>4.67</v>
      </c>
      <c r="J25">
        <f ca="1">_xll.ciqfunctions.udf.CIQ($B25,"IQ_CDS_mid",J$2)</f>
        <v>4.6374000000000004</v>
      </c>
      <c r="K25">
        <f ca="1">_xll.ciqfunctions.udf.CIQ($B25,"IQ_CDS_mid",K$2)</f>
        <v>4.6590999999999996</v>
      </c>
      <c r="L25">
        <f ca="1">_xll.ciqfunctions.udf.CIQ($B25,"IQ_CDS_mid",L$2)</f>
        <v>4.8375000000000004</v>
      </c>
      <c r="M25">
        <f ca="1">_xll.ciqfunctions.udf.CIQ($B25,"IQ_CDS_mid",M$2)</f>
        <v>4.8212000000000002</v>
      </c>
      <c r="N25">
        <f ca="1">_xll.ciqfunctions.udf.CIQ($B25,"IQ_CDS_mid",N$2)</f>
        <v>4.8212000000000002</v>
      </c>
      <c r="O25">
        <f ca="1">_xll.ciqfunctions.udf.CIQ($B25,"IQ_CDS_mid",O$2)</f>
        <v>4.8212000000000002</v>
      </c>
      <c r="P25">
        <f ca="1">_xll.ciqfunctions.udf.CIQ($B25,"IQ_CDS_mid",P$2)</f>
        <v>4.8167</v>
      </c>
      <c r="Q25">
        <f ca="1">_xll.ciqfunctions.udf.CIQ($B25,"IQ_CDS_mid",Q$2)</f>
        <v>4.8141999999999996</v>
      </c>
      <c r="R25">
        <f ca="1">_xll.ciqfunctions.udf.CIQ($B25,"IQ_CDS_mid",R$2)</f>
        <v>4.9892000000000003</v>
      </c>
      <c r="S25">
        <f ca="1">_xll.ciqfunctions.udf.CIQ($B25,"IQ_CDS_mid",S$2)</f>
        <v>7.4069000000000003</v>
      </c>
      <c r="T25">
        <f t="shared" ca="1" si="5"/>
        <v>-2.6399999999999757E-2</v>
      </c>
      <c r="U25">
        <f t="shared" ca="1" si="6"/>
        <v>-0.19179999999999975</v>
      </c>
      <c r="V25">
        <f t="shared" ca="1" si="7"/>
        <v>-0.18479999999999919</v>
      </c>
      <c r="W25">
        <f t="shared" ca="1" si="8"/>
        <v>-0.3597999999999999</v>
      </c>
      <c r="X25">
        <f t="shared" ca="1" si="0"/>
        <v>-2.7774999999999999</v>
      </c>
    </row>
    <row r="26" spans="1:24">
      <c r="A26" t="s">
        <v>181</v>
      </c>
      <c r="B26" s="25" t="s">
        <v>180</v>
      </c>
      <c r="C26">
        <f ca="1">_xll.ciqfunctions.udf.CIQ($B26,"IQ_CDS_mid",C$2)</f>
        <v>50.575499999999998</v>
      </c>
      <c r="D26">
        <f ca="1">_xll.ciqfunctions.udf.CIQ($B26,"IQ_CDS_mid",D$2)</f>
        <v>50.575499999999998</v>
      </c>
      <c r="E26">
        <f ca="1">_xll.ciqfunctions.udf.CIQ($B26,"IQ_CDS_mid",E$2)</f>
        <v>50.744100000000003</v>
      </c>
      <c r="F26">
        <f ca="1">_xll.ciqfunctions.udf.CIQ($B26,"IQ_CDS_mid",F$2)</f>
        <v>50.789400000000001</v>
      </c>
      <c r="G26">
        <f ca="1">_xll.ciqfunctions.udf.CIQ($B26,"IQ_CDS_mid",G$2)</f>
        <v>50.789400000000001</v>
      </c>
      <c r="H26">
        <f ca="1">_xll.ciqfunctions.udf.CIQ($B26,"IQ_CDS_mid",H$2)</f>
        <v>50.789400000000001</v>
      </c>
      <c r="I26">
        <f ca="1">_xll.ciqfunctions.udf.CIQ($B26,"IQ_CDS_mid",I$2)</f>
        <v>50.417900000000003</v>
      </c>
      <c r="J26">
        <f ca="1">_xll.ciqfunctions.udf.CIQ($B26,"IQ_CDS_mid",J$2)</f>
        <v>50.444800000000001</v>
      </c>
      <c r="K26">
        <f ca="1">_xll.ciqfunctions.udf.CIQ($B26,"IQ_CDS_mid",K$2)</f>
        <v>50.25</v>
      </c>
      <c r="L26">
        <f ca="1">_xll.ciqfunctions.udf.CIQ($B26,"IQ_CDS_mid",L$2)</f>
        <v>49.7622</v>
      </c>
      <c r="M26">
        <f ca="1">_xll.ciqfunctions.udf.CIQ($B26,"IQ_CDS_mid",M$2)</f>
        <v>49.882100000000001</v>
      </c>
      <c r="N26">
        <f ca="1">_xll.ciqfunctions.udf.CIQ($B26,"IQ_CDS_mid",N$2)</f>
        <v>49.882100000000001</v>
      </c>
      <c r="O26">
        <f ca="1">_xll.ciqfunctions.udf.CIQ($B26,"IQ_CDS_mid",O$2)</f>
        <v>49.882100000000001</v>
      </c>
      <c r="P26">
        <f ca="1">_xll.ciqfunctions.udf.CIQ($B26,"IQ_CDS_mid",P$2)</f>
        <v>49.877699999999997</v>
      </c>
      <c r="Q26">
        <f ca="1">_xll.ciqfunctions.udf.CIQ($B26,"IQ_CDS_mid",Q$2)</f>
        <v>49.879600000000003</v>
      </c>
      <c r="R26">
        <f ca="1">_xll.ciqfunctions.udf.CIQ($B26,"IQ_CDS_mid",R$2)</f>
        <v>52.364100000000001</v>
      </c>
      <c r="S26">
        <f ca="1">_xll.ciqfunctions.udf.CIQ($B26,"IQ_CDS_mid",S$2)</f>
        <v>59.400100000000002</v>
      </c>
      <c r="T26">
        <f t="shared" ca="1" si="5"/>
        <v>-0.21390000000000242</v>
      </c>
      <c r="U26">
        <f t="shared" ca="1" si="6"/>
        <v>0.69339999999999691</v>
      </c>
      <c r="V26">
        <f t="shared" ca="1" si="7"/>
        <v>0.69589999999999463</v>
      </c>
      <c r="W26">
        <f t="shared" ca="1" si="8"/>
        <v>-1.7886000000000024</v>
      </c>
      <c r="X26">
        <f t="shared" ca="1" si="0"/>
        <v>-8.8246000000000038</v>
      </c>
    </row>
    <row r="27" spans="1:24">
      <c r="A27" t="s">
        <v>179</v>
      </c>
      <c r="B27" s="25" t="s">
        <v>178</v>
      </c>
      <c r="C27">
        <f ca="1">_xll.ciqfunctions.udf.CIQ($B27,"IQ_CDS_mid",C$2)</f>
        <v>5.8979999999999997</v>
      </c>
      <c r="D27">
        <f ca="1">_xll.ciqfunctions.udf.CIQ($B27,"IQ_CDS_mid",D$2)</f>
        <v>5.8979999999999997</v>
      </c>
      <c r="E27">
        <f ca="1">_xll.ciqfunctions.udf.CIQ($B27,"IQ_CDS_mid",E$2)</f>
        <v>5.9</v>
      </c>
      <c r="F27">
        <f ca="1">_xll.ciqfunctions.udf.CIQ($B27,"IQ_CDS_mid",F$2)</f>
        <v>5.8817000000000004</v>
      </c>
      <c r="G27">
        <f ca="1">_xll.ciqfunctions.udf.CIQ($B27,"IQ_CDS_mid",G$2)</f>
        <v>5.8817000000000004</v>
      </c>
      <c r="H27">
        <f ca="1">_xll.ciqfunctions.udf.CIQ($B27,"IQ_CDS_mid",H$2)</f>
        <v>5.8817000000000004</v>
      </c>
      <c r="I27">
        <f ca="1">_xll.ciqfunctions.udf.CIQ($B27,"IQ_CDS_mid",I$2)</f>
        <v>6.0545999999999998</v>
      </c>
      <c r="J27">
        <f ca="1">_xll.ciqfunctions.udf.CIQ($B27,"IQ_CDS_mid",J$2)</f>
        <v>5.7965</v>
      </c>
      <c r="K27">
        <f ca="1">_xll.ciqfunctions.udf.CIQ($B27,"IQ_CDS_mid",K$2)</f>
        <v>5.7370999999999999</v>
      </c>
      <c r="L27">
        <f ca="1">_xll.ciqfunctions.udf.CIQ($B27,"IQ_CDS_mid",L$2)</f>
        <v>5.4920999999999998</v>
      </c>
      <c r="M27">
        <f ca="1">_xll.ciqfunctions.udf.CIQ($B27,"IQ_CDS_mid",M$2)</f>
        <v>5.4888000000000003</v>
      </c>
      <c r="N27">
        <f ca="1">_xll.ciqfunctions.udf.CIQ($B27,"IQ_CDS_mid",N$2)</f>
        <v>5.4888000000000003</v>
      </c>
      <c r="O27">
        <f ca="1">_xll.ciqfunctions.udf.CIQ($B27,"IQ_CDS_mid",O$2)</f>
        <v>5.4888000000000003</v>
      </c>
      <c r="P27">
        <f ca="1">_xll.ciqfunctions.udf.CIQ($B27,"IQ_CDS_mid",P$2)</f>
        <v>5.5057999999999998</v>
      </c>
      <c r="Q27">
        <f ca="1">_xll.ciqfunctions.udf.CIQ($B27,"IQ_CDS_mid",Q$2)</f>
        <v>5.5206999999999997</v>
      </c>
      <c r="R27">
        <f ca="1">_xll.ciqfunctions.udf.CIQ($B27,"IQ_CDS_mid",R$2)</f>
        <v>7.75</v>
      </c>
      <c r="S27">
        <f ca="1">_xll.ciqfunctions.udf.CIQ($B27,"IQ_CDS_mid",S$2)</f>
        <v>9.375</v>
      </c>
      <c r="T27">
        <f t="shared" ca="1" si="5"/>
        <v>1.6299999999999315E-2</v>
      </c>
      <c r="U27">
        <f t="shared" ca="1" si="6"/>
        <v>0.40919999999999934</v>
      </c>
      <c r="V27">
        <f t="shared" ca="1" si="7"/>
        <v>0.37729999999999997</v>
      </c>
      <c r="W27">
        <f t="shared" ca="1" si="8"/>
        <v>-1.8520000000000003</v>
      </c>
      <c r="X27">
        <f t="shared" ca="1" si="0"/>
        <v>-3.4770000000000003</v>
      </c>
    </row>
    <row r="28" spans="1:24">
      <c r="A28" t="s">
        <v>21</v>
      </c>
      <c r="B28" s="25" t="s">
        <v>177</v>
      </c>
      <c r="C28">
        <f ca="1">_xll.ciqfunctions.udf.CIQ($B28,"IQ_CDS_mid",C$2)</f>
        <v>7.2401999999999997</v>
      </c>
      <c r="D28">
        <f ca="1">_xll.ciqfunctions.udf.CIQ($B28,"IQ_CDS_mid",D$2)</f>
        <v>7.2401999999999997</v>
      </c>
      <c r="E28">
        <f ca="1">_xll.ciqfunctions.udf.CIQ($B28,"IQ_CDS_mid",E$2)</f>
        <v>7.2396000000000003</v>
      </c>
      <c r="F28">
        <f ca="1">_xll.ciqfunctions.udf.CIQ($B28,"IQ_CDS_mid",F$2)</f>
        <v>7.2289000000000003</v>
      </c>
      <c r="G28">
        <f ca="1">_xll.ciqfunctions.udf.CIQ($B28,"IQ_CDS_mid",G$2)</f>
        <v>7.2289000000000003</v>
      </c>
      <c r="H28">
        <f ca="1">_xll.ciqfunctions.udf.CIQ($B28,"IQ_CDS_mid",H$2)</f>
        <v>7.2289000000000003</v>
      </c>
      <c r="I28">
        <f ca="1">_xll.ciqfunctions.udf.CIQ($B28,"IQ_CDS_mid",I$2)</f>
        <v>7.2206000000000001</v>
      </c>
      <c r="J28">
        <f ca="1">_xll.ciqfunctions.udf.CIQ($B28,"IQ_CDS_mid",J$2)</f>
        <v>7.1622000000000003</v>
      </c>
      <c r="K28">
        <f ca="1">_xll.ciqfunctions.udf.CIQ($B28,"IQ_CDS_mid",K$2)</f>
        <v>7.1593</v>
      </c>
      <c r="L28">
        <f ca="1">_xll.ciqfunctions.udf.CIQ($B28,"IQ_CDS_mid",L$2)</f>
        <v>7.1638999999999999</v>
      </c>
      <c r="M28">
        <f ca="1">_xll.ciqfunctions.udf.CIQ($B28,"IQ_CDS_mid",M$2)</f>
        <v>7.1544999999999996</v>
      </c>
      <c r="N28">
        <f ca="1">_xll.ciqfunctions.udf.CIQ($B28,"IQ_CDS_mid",N$2)</f>
        <v>7.1544999999999996</v>
      </c>
      <c r="O28">
        <f ca="1">_xll.ciqfunctions.udf.CIQ($B28,"IQ_CDS_mid",O$2)</f>
        <v>7.1544999999999996</v>
      </c>
      <c r="P28">
        <f ca="1">_xll.ciqfunctions.udf.CIQ($B28,"IQ_CDS_mid",P$2)</f>
        <v>7.1624999999999996</v>
      </c>
      <c r="Q28">
        <f ca="1">_xll.ciqfunctions.udf.CIQ($B28,"IQ_CDS_mid",Q$2)</f>
        <v>7.1631</v>
      </c>
      <c r="R28">
        <f ca="1">_xll.ciqfunctions.udf.CIQ($B28,"IQ_CDS_mid",R$2)</f>
        <v>7.0021000000000004</v>
      </c>
      <c r="S28">
        <f ca="1">_xll.ciqfunctions.udf.CIQ($B28,"IQ_CDS_mid",S$2)</f>
        <v>8.1224000000000007</v>
      </c>
      <c r="T28">
        <f t="shared" ca="1" si="5"/>
        <v>1.1299999999999422E-2</v>
      </c>
      <c r="U28">
        <f t="shared" ca="1" si="6"/>
        <v>8.5700000000000109E-2</v>
      </c>
      <c r="V28">
        <f t="shared" ca="1" si="7"/>
        <v>7.7099999999999724E-2</v>
      </c>
      <c r="W28">
        <f t="shared" ca="1" si="8"/>
        <v>0.23809999999999931</v>
      </c>
      <c r="X28">
        <f t="shared" ca="1" si="0"/>
        <v>-0.88220000000000098</v>
      </c>
    </row>
    <row r="29" spans="1:24">
      <c r="A29" t="s">
        <v>176</v>
      </c>
      <c r="B29" s="25" t="s">
        <v>175</v>
      </c>
      <c r="C29">
        <f ca="1">_xll.ciqfunctions.udf.CIQ($B29,"IQ_CDS_mid",C$2)</f>
        <v>769.52300000000002</v>
      </c>
      <c r="D29">
        <f ca="1">_xll.ciqfunctions.udf.CIQ($B29,"IQ_CDS_mid",D$2)</f>
        <v>769.52300000000002</v>
      </c>
      <c r="E29">
        <f ca="1">_xll.ciqfunctions.udf.CIQ($B29,"IQ_CDS_mid",E$2)</f>
        <v>769.48230000000001</v>
      </c>
      <c r="F29">
        <f ca="1">_xll.ciqfunctions.udf.CIQ($B29,"IQ_CDS_mid",F$2)</f>
        <v>768.76509999999996</v>
      </c>
      <c r="G29">
        <f ca="1">_xll.ciqfunctions.udf.CIQ($B29,"IQ_CDS_mid",G$2)</f>
        <v>768.76509999999996</v>
      </c>
      <c r="H29">
        <f ca="1">_xll.ciqfunctions.udf.CIQ($B29,"IQ_CDS_mid",H$2)</f>
        <v>768.76509999999996</v>
      </c>
      <c r="I29">
        <f ca="1">_xll.ciqfunctions.udf.CIQ($B29,"IQ_CDS_mid",I$2)</f>
        <v>769.07</v>
      </c>
      <c r="J29">
        <f ca="1">_xll.ciqfunctions.udf.CIQ($B29,"IQ_CDS_mid",J$2)</f>
        <v>769.02239999999995</v>
      </c>
      <c r="K29">
        <f ca="1">_xll.ciqfunctions.udf.CIQ($B29,"IQ_CDS_mid",K$2)</f>
        <v>768.23140000000001</v>
      </c>
      <c r="L29">
        <f ca="1">_xll.ciqfunctions.udf.CIQ($B29,"IQ_CDS_mid",L$2)</f>
        <v>768.23329999999999</v>
      </c>
      <c r="M29">
        <f ca="1">_xll.ciqfunctions.udf.CIQ($B29,"IQ_CDS_mid",M$2)</f>
        <v>766.40740000000005</v>
      </c>
      <c r="N29">
        <f ca="1">_xll.ciqfunctions.udf.CIQ($B29,"IQ_CDS_mid",N$2)</f>
        <v>766.40740000000005</v>
      </c>
      <c r="O29">
        <f ca="1">_xll.ciqfunctions.udf.CIQ($B29,"IQ_CDS_mid",O$2)</f>
        <v>766.40740000000005</v>
      </c>
      <c r="P29">
        <f ca="1">_xll.ciqfunctions.udf.CIQ($B29,"IQ_CDS_mid",P$2)</f>
        <v>766.55100000000004</v>
      </c>
      <c r="Q29">
        <f ca="1">_xll.ciqfunctions.udf.CIQ($B29,"IQ_CDS_mid",Q$2)</f>
        <v>766.00109999999995</v>
      </c>
      <c r="R29">
        <f ca="1">_xll.ciqfunctions.udf.CIQ($B29,"IQ_CDS_mid",R$2)</f>
        <v>756.30989999999997</v>
      </c>
      <c r="S29">
        <f ca="1">_xll.ciqfunctions.udf.CIQ($B29,"IQ_CDS_mid",S$2)</f>
        <v>14787.329299999999</v>
      </c>
      <c r="T29">
        <f t="shared" ca="1" si="5"/>
        <v>0.7579000000000633</v>
      </c>
      <c r="U29">
        <f t="shared" ca="1" si="6"/>
        <v>3.1155999999999722</v>
      </c>
      <c r="V29">
        <f t="shared" ca="1" si="7"/>
        <v>3.5219000000000733</v>
      </c>
      <c r="W29">
        <f t="shared" ca="1" si="8"/>
        <v>13.213100000000054</v>
      </c>
      <c r="X29">
        <f t="shared" ca="1" si="0"/>
        <v>-14017.8063</v>
      </c>
    </row>
    <row r="30" spans="1:24">
      <c r="A30" s="16" t="s">
        <v>174</v>
      </c>
      <c r="X30">
        <f t="shared" si="0"/>
        <v>0</v>
      </c>
    </row>
    <row r="31" spans="1:24">
      <c r="A31" t="s">
        <v>173</v>
      </c>
      <c r="B31" s="25" t="s">
        <v>172</v>
      </c>
      <c r="C31">
        <f ca="1">_xll.ciqfunctions.udf.CIQ($B31,"IQ_CDS_mid",C$2)</f>
        <v>13.9375</v>
      </c>
      <c r="D31">
        <f ca="1">_xll.ciqfunctions.udf.CIQ($B31,"IQ_CDS_mid",D$2)</f>
        <v>13.9375</v>
      </c>
      <c r="E31">
        <f ca="1">_xll.ciqfunctions.udf.CIQ($B31,"IQ_CDS_mid",E$2)</f>
        <v>14</v>
      </c>
      <c r="F31">
        <f ca="1">_xll.ciqfunctions.udf.CIQ($B31,"IQ_CDS_mid",F$2)</f>
        <v>13.9536</v>
      </c>
      <c r="G31">
        <f ca="1">_xll.ciqfunctions.udf.CIQ($B31,"IQ_CDS_mid",G$2)</f>
        <v>13.9536</v>
      </c>
      <c r="H31">
        <f ca="1">_xll.ciqfunctions.udf.CIQ($B31,"IQ_CDS_mid",H$2)</f>
        <v>13.9536</v>
      </c>
      <c r="I31">
        <f ca="1">_xll.ciqfunctions.udf.CIQ($B31,"IQ_CDS_mid",I$2)</f>
        <v>14.05</v>
      </c>
      <c r="J31">
        <f ca="1">_xll.ciqfunctions.udf.CIQ($B31,"IQ_CDS_mid",J$2)</f>
        <v>14.1974</v>
      </c>
      <c r="K31">
        <f ca="1">_xll.ciqfunctions.udf.CIQ($B31,"IQ_CDS_mid",K$2)</f>
        <v>14.1875</v>
      </c>
      <c r="L31">
        <f ca="1">_xll.ciqfunctions.udf.CIQ($B31,"IQ_CDS_mid",L$2)</f>
        <v>14.1884</v>
      </c>
      <c r="M31">
        <f ca="1">_xll.ciqfunctions.udf.CIQ($B31,"IQ_CDS_mid",M$2)</f>
        <v>14.1317</v>
      </c>
      <c r="N31">
        <f ca="1">_xll.ciqfunctions.udf.CIQ($B31,"IQ_CDS_mid",N$2)</f>
        <v>14.1317</v>
      </c>
      <c r="O31">
        <f ca="1">_xll.ciqfunctions.udf.CIQ($B31,"IQ_CDS_mid",O$2)</f>
        <v>14.1317</v>
      </c>
      <c r="P31">
        <f ca="1">_xll.ciqfunctions.udf.CIQ($B31,"IQ_CDS_mid",P$2)</f>
        <v>14.2728</v>
      </c>
      <c r="Q31">
        <f ca="1">_xll.ciqfunctions.udf.CIQ($B31,"IQ_CDS_mid",Q$2)</f>
        <v>14.352399999999999</v>
      </c>
      <c r="R31">
        <f ca="1">_xll.ciqfunctions.udf.CIQ($B31,"IQ_CDS_mid",R$2)</f>
        <v>13.989000000000001</v>
      </c>
      <c r="S31">
        <f ca="1">_xll.ciqfunctions.udf.CIQ($B31,"IQ_CDS_mid",S$2)</f>
        <v>10.438700000000001</v>
      </c>
      <c r="T31">
        <f t="shared" ref="T31:T40" ca="1" si="9">C31-H31</f>
        <v>-1.6099999999999781E-2</v>
      </c>
      <c r="U31">
        <f t="shared" ref="U31:U40" ca="1" si="10">C31-M31</f>
        <v>-0.19420000000000037</v>
      </c>
      <c r="V31">
        <f t="shared" ref="V31:V40" ca="1" si="11">C31-Q31</f>
        <v>-0.41489999999999938</v>
      </c>
      <c r="W31">
        <f t="shared" ref="W31:W40" ca="1" si="12">C31-R31</f>
        <v>-5.1500000000000767E-2</v>
      </c>
      <c r="X31">
        <f t="shared" ca="1" si="0"/>
        <v>3.4987999999999992</v>
      </c>
    </row>
    <row r="32" spans="1:24">
      <c r="A32" t="s">
        <v>171</v>
      </c>
      <c r="B32" s="25" t="s">
        <v>170</v>
      </c>
      <c r="C32">
        <f ca="1">_xll.ciqfunctions.udf.CIQ($B32,"IQ_CDS_mid",C$2)</f>
        <v>34.998899999999999</v>
      </c>
      <c r="D32">
        <f ca="1">_xll.ciqfunctions.udf.CIQ($B32,"IQ_CDS_mid",D$2)</f>
        <v>34.998899999999999</v>
      </c>
      <c r="E32">
        <f ca="1">_xll.ciqfunctions.udf.CIQ($B32,"IQ_CDS_mid",E$2)</f>
        <v>34.8947</v>
      </c>
      <c r="F32">
        <f ca="1">_xll.ciqfunctions.udf.CIQ($B32,"IQ_CDS_mid",F$2)</f>
        <v>34.8934</v>
      </c>
      <c r="G32">
        <f ca="1">_xll.ciqfunctions.udf.CIQ($B32,"IQ_CDS_mid",G$2)</f>
        <v>34.8934</v>
      </c>
      <c r="H32">
        <f ca="1">_xll.ciqfunctions.udf.CIQ($B32,"IQ_CDS_mid",H$2)</f>
        <v>34.8934</v>
      </c>
      <c r="I32">
        <f ca="1">_xll.ciqfunctions.udf.CIQ($B32,"IQ_CDS_mid",I$2)</f>
        <v>34.9634</v>
      </c>
      <c r="J32">
        <f ca="1">_xll.ciqfunctions.udf.CIQ($B32,"IQ_CDS_mid",J$2)</f>
        <v>35.142499999999998</v>
      </c>
      <c r="K32">
        <f ca="1">_xll.ciqfunctions.udf.CIQ($B32,"IQ_CDS_mid",K$2)</f>
        <v>35.156300000000002</v>
      </c>
      <c r="L32">
        <f ca="1">_xll.ciqfunctions.udf.CIQ($B32,"IQ_CDS_mid",L$2)</f>
        <v>35.193899999999999</v>
      </c>
      <c r="M32">
        <f ca="1">_xll.ciqfunctions.udf.CIQ($B32,"IQ_CDS_mid",M$2)</f>
        <v>35.107799999999997</v>
      </c>
      <c r="N32">
        <f ca="1">_xll.ciqfunctions.udf.CIQ($B32,"IQ_CDS_mid",N$2)</f>
        <v>35.107799999999997</v>
      </c>
      <c r="O32">
        <f ca="1">_xll.ciqfunctions.udf.CIQ($B32,"IQ_CDS_mid",O$2)</f>
        <v>35.107799999999997</v>
      </c>
      <c r="P32">
        <f ca="1">_xll.ciqfunctions.udf.CIQ($B32,"IQ_CDS_mid",P$2)</f>
        <v>34.970500000000001</v>
      </c>
      <c r="Q32">
        <f ca="1">_xll.ciqfunctions.udf.CIQ($B32,"IQ_CDS_mid",Q$2)</f>
        <v>35.165700000000001</v>
      </c>
      <c r="R32">
        <f ca="1">_xll.ciqfunctions.udf.CIQ($B32,"IQ_CDS_mid",R$2)</f>
        <v>40.171500000000002</v>
      </c>
      <c r="S32">
        <f ca="1">_xll.ciqfunctions.udf.CIQ($B32,"IQ_CDS_mid",S$2)</f>
        <v>41.734999999999999</v>
      </c>
      <c r="T32">
        <f t="shared" ca="1" si="9"/>
        <v>0.10549999999999926</v>
      </c>
      <c r="U32">
        <f t="shared" ca="1" si="10"/>
        <v>-0.10889999999999844</v>
      </c>
      <c r="V32">
        <f t="shared" ca="1" si="11"/>
        <v>-0.16680000000000206</v>
      </c>
      <c r="W32">
        <f t="shared" ca="1" si="12"/>
        <v>-5.1726000000000028</v>
      </c>
      <c r="X32">
        <f t="shared" ca="1" si="0"/>
        <v>-6.7361000000000004</v>
      </c>
    </row>
    <row r="33" spans="1:24">
      <c r="A33" t="s">
        <v>169</v>
      </c>
      <c r="B33" s="25" t="s">
        <v>168</v>
      </c>
      <c r="C33">
        <f ca="1">_xll.ciqfunctions.udf.CIQ($B33,"IQ_CDS_mid",C$2)</f>
        <v>19.988299999999999</v>
      </c>
      <c r="D33">
        <f ca="1">_xll.ciqfunctions.udf.CIQ($B33,"IQ_CDS_mid",D$2)</f>
        <v>19.988299999999999</v>
      </c>
      <c r="E33">
        <f ca="1">_xll.ciqfunctions.udf.CIQ($B33,"IQ_CDS_mid",E$2)</f>
        <v>19.985700000000001</v>
      </c>
      <c r="F33">
        <f ca="1">_xll.ciqfunctions.udf.CIQ($B33,"IQ_CDS_mid",F$2)</f>
        <v>19.985399999999998</v>
      </c>
      <c r="G33">
        <f ca="1">_xll.ciqfunctions.udf.CIQ($B33,"IQ_CDS_mid",G$2)</f>
        <v>19.985399999999998</v>
      </c>
      <c r="H33">
        <f ca="1">_xll.ciqfunctions.udf.CIQ($B33,"IQ_CDS_mid",H$2)</f>
        <v>19.985399999999998</v>
      </c>
      <c r="I33">
        <f ca="1">_xll.ciqfunctions.udf.CIQ($B33,"IQ_CDS_mid",I$2)</f>
        <v>20.003</v>
      </c>
      <c r="J33">
        <f ca="1">_xll.ciqfunctions.udf.CIQ($B33,"IQ_CDS_mid",J$2)</f>
        <v>19.987200000000001</v>
      </c>
      <c r="K33">
        <f ca="1">_xll.ciqfunctions.udf.CIQ($B33,"IQ_CDS_mid",K$2)</f>
        <v>19.9834</v>
      </c>
      <c r="L33">
        <f ca="1">_xll.ciqfunctions.udf.CIQ($B33,"IQ_CDS_mid",L$2)</f>
        <v>19.982299999999999</v>
      </c>
      <c r="M33">
        <f ca="1">_xll.ciqfunctions.udf.CIQ($B33,"IQ_CDS_mid",M$2)</f>
        <v>19.9893</v>
      </c>
      <c r="N33">
        <f ca="1">_xll.ciqfunctions.udf.CIQ($B33,"IQ_CDS_mid",N$2)</f>
        <v>19.9893</v>
      </c>
      <c r="O33">
        <f ca="1">_xll.ciqfunctions.udf.CIQ($B33,"IQ_CDS_mid",O$2)</f>
        <v>19.9893</v>
      </c>
      <c r="P33">
        <f ca="1">_xll.ciqfunctions.udf.CIQ($B33,"IQ_CDS_mid",P$2)</f>
        <v>19.994499999999999</v>
      </c>
      <c r="Q33">
        <f ca="1">_xll.ciqfunctions.udf.CIQ($B33,"IQ_CDS_mid",Q$2)</f>
        <v>20.026399999999999</v>
      </c>
      <c r="R33">
        <f ca="1">_xll.ciqfunctions.udf.CIQ($B33,"IQ_CDS_mid",R$2)</f>
        <v>24.931100000000001</v>
      </c>
      <c r="S33">
        <f ca="1">_xll.ciqfunctions.udf.CIQ($B33,"IQ_CDS_mid",S$2)</f>
        <v>32.928699999999999</v>
      </c>
      <c r="T33">
        <f t="shared" ca="1" si="9"/>
        <v>2.9000000000003467E-3</v>
      </c>
      <c r="U33">
        <f t="shared" ca="1" si="10"/>
        <v>-1.0000000000012221E-3</v>
      </c>
      <c r="V33">
        <f t="shared" ca="1" si="11"/>
        <v>-3.8100000000000023E-2</v>
      </c>
      <c r="W33">
        <f t="shared" ca="1" si="12"/>
        <v>-4.9428000000000019</v>
      </c>
      <c r="X33">
        <f t="shared" ca="1" si="0"/>
        <v>-12.9404</v>
      </c>
    </row>
    <row r="34" spans="1:24">
      <c r="A34" t="s">
        <v>167</v>
      </c>
      <c r="B34" s="25" t="s">
        <v>166</v>
      </c>
      <c r="C34">
        <f ca="1">_xll.ciqfunctions.udf.CIQ($B34,"IQ_CDS_mid",C$2)</f>
        <v>0</v>
      </c>
      <c r="D34">
        <f ca="1">_xll.ciqfunctions.udf.CIQ($B34,"IQ_CDS_mid",D$2)</f>
        <v>0</v>
      </c>
      <c r="E34">
        <f ca="1">_xll.ciqfunctions.udf.CIQ($B34,"IQ_CDS_mid",E$2)</f>
        <v>0</v>
      </c>
      <c r="F34">
        <f ca="1">_xll.ciqfunctions.udf.CIQ($B34,"IQ_CDS_mid",F$2)</f>
        <v>0</v>
      </c>
      <c r="G34">
        <f ca="1">_xll.ciqfunctions.udf.CIQ($B34,"IQ_CDS_mid",G$2)</f>
        <v>0</v>
      </c>
      <c r="H34">
        <f ca="1">_xll.ciqfunctions.udf.CIQ($B34,"IQ_CDS_mid",H$2)</f>
        <v>0</v>
      </c>
      <c r="I34">
        <f ca="1">_xll.ciqfunctions.udf.CIQ($B34,"IQ_CDS_mid",I$2)</f>
        <v>0</v>
      </c>
      <c r="J34">
        <f ca="1">_xll.ciqfunctions.udf.CIQ($B34,"IQ_CDS_mid",J$2)</f>
        <v>0</v>
      </c>
      <c r="K34">
        <f ca="1">_xll.ciqfunctions.udf.CIQ($B34,"IQ_CDS_mid",K$2)</f>
        <v>0</v>
      </c>
      <c r="L34">
        <f ca="1">_xll.ciqfunctions.udf.CIQ($B34,"IQ_CDS_mid",L$2)</f>
        <v>0</v>
      </c>
      <c r="M34">
        <f ca="1">_xll.ciqfunctions.udf.CIQ($B34,"IQ_CDS_mid",M$2)</f>
        <v>0</v>
      </c>
      <c r="N34">
        <f ca="1">_xll.ciqfunctions.udf.CIQ($B34,"IQ_CDS_mid",N$2)</f>
        <v>0</v>
      </c>
      <c r="O34">
        <f ca="1">_xll.ciqfunctions.udf.CIQ($B34,"IQ_CDS_mid",O$2)</f>
        <v>0</v>
      </c>
      <c r="P34">
        <f ca="1">_xll.ciqfunctions.udf.CIQ($B34,"IQ_CDS_mid",P$2)</f>
        <v>0</v>
      </c>
      <c r="Q34">
        <f ca="1">_xll.ciqfunctions.udf.CIQ($B34,"IQ_CDS_mid",Q$2)</f>
        <v>0</v>
      </c>
      <c r="R34">
        <f ca="1">_xll.ciqfunctions.udf.CIQ($B34,"IQ_CDS_mid",R$2)</f>
        <v>0</v>
      </c>
      <c r="S34">
        <f ca="1">_xll.ciqfunctions.udf.CIQ($B34,"IQ_CDS_mid",S$2)</f>
        <v>42.717199999999998</v>
      </c>
      <c r="T34">
        <f t="shared" ca="1" si="9"/>
        <v>0</v>
      </c>
      <c r="U34">
        <f t="shared" ca="1" si="10"/>
        <v>0</v>
      </c>
      <c r="V34">
        <f t="shared" ca="1" si="11"/>
        <v>0</v>
      </c>
      <c r="W34">
        <f t="shared" ca="1" si="12"/>
        <v>0</v>
      </c>
      <c r="X34">
        <f t="shared" ca="1" si="0"/>
        <v>-42.717199999999998</v>
      </c>
    </row>
    <row r="35" spans="1:24">
      <c r="A35" t="s">
        <v>33</v>
      </c>
      <c r="B35" s="25" t="s">
        <v>165</v>
      </c>
      <c r="C35">
        <f ca="1">_xll.ciqfunctions.udf.CIQ($B35,"IQ_CDS_mid",C$2)</f>
        <v>23.075099999999999</v>
      </c>
      <c r="D35">
        <f ca="1">_xll.ciqfunctions.udf.CIQ($B35,"IQ_CDS_mid",D$2)</f>
        <v>23.075099999999999</v>
      </c>
      <c r="E35">
        <f ca="1">_xll.ciqfunctions.udf.CIQ($B35,"IQ_CDS_mid",E$2)</f>
        <v>23.008099999999999</v>
      </c>
      <c r="F35">
        <f ca="1">_xll.ciqfunctions.udf.CIQ($B35,"IQ_CDS_mid",F$2)</f>
        <v>23.4254</v>
      </c>
      <c r="G35">
        <f ca="1">_xll.ciqfunctions.udf.CIQ($B35,"IQ_CDS_mid",G$2)</f>
        <v>23.4254</v>
      </c>
      <c r="H35">
        <f ca="1">_xll.ciqfunctions.udf.CIQ($B35,"IQ_CDS_mid",H$2)</f>
        <v>23.4254</v>
      </c>
      <c r="I35">
        <f ca="1">_xll.ciqfunctions.udf.CIQ($B35,"IQ_CDS_mid",I$2)</f>
        <v>23.9389</v>
      </c>
      <c r="J35">
        <f ca="1">_xll.ciqfunctions.udf.CIQ($B35,"IQ_CDS_mid",J$2)</f>
        <v>25.663900000000002</v>
      </c>
      <c r="K35">
        <f ca="1">_xll.ciqfunctions.udf.CIQ($B35,"IQ_CDS_mid",K$2)</f>
        <v>25.520299999999999</v>
      </c>
      <c r="L35">
        <f ca="1">_xll.ciqfunctions.udf.CIQ($B35,"IQ_CDS_mid",L$2)</f>
        <v>25.6052</v>
      </c>
      <c r="M35">
        <f ca="1">_xll.ciqfunctions.udf.CIQ($B35,"IQ_CDS_mid",M$2)</f>
        <v>25.261500000000002</v>
      </c>
      <c r="N35">
        <f ca="1">_xll.ciqfunctions.udf.CIQ($B35,"IQ_CDS_mid",N$2)</f>
        <v>25.261500000000002</v>
      </c>
      <c r="O35">
        <f ca="1">_xll.ciqfunctions.udf.CIQ($B35,"IQ_CDS_mid",O$2)</f>
        <v>25.261500000000002</v>
      </c>
      <c r="P35">
        <f ca="1">_xll.ciqfunctions.udf.CIQ($B35,"IQ_CDS_mid",P$2)</f>
        <v>25.428999999999998</v>
      </c>
      <c r="Q35">
        <f ca="1">_xll.ciqfunctions.udf.CIQ($B35,"IQ_CDS_mid",Q$2)</f>
        <v>26.388100000000001</v>
      </c>
      <c r="R35">
        <f ca="1">_xll.ciqfunctions.udf.CIQ($B35,"IQ_CDS_mid",R$2)</f>
        <v>27.6113</v>
      </c>
      <c r="S35">
        <f ca="1">_xll.ciqfunctions.udf.CIQ($B35,"IQ_CDS_mid",S$2)</f>
        <v>19.011399999999998</v>
      </c>
      <c r="T35">
        <f t="shared" ca="1" si="9"/>
        <v>-0.35030000000000072</v>
      </c>
      <c r="U35">
        <f t="shared" ca="1" si="10"/>
        <v>-2.1864000000000026</v>
      </c>
      <c r="V35">
        <f t="shared" ca="1" si="11"/>
        <v>-3.3130000000000024</v>
      </c>
      <c r="W35">
        <f t="shared" ca="1" si="12"/>
        <v>-4.5362000000000009</v>
      </c>
      <c r="X35">
        <f t="shared" ca="1" si="0"/>
        <v>4.0637000000000008</v>
      </c>
    </row>
    <row r="36" spans="1:24">
      <c r="A36" t="s">
        <v>164</v>
      </c>
      <c r="B36" s="25" t="s">
        <v>163</v>
      </c>
      <c r="C36">
        <f ca="1">_xll.ciqfunctions.udf.CIQ($B36,"IQ_CDS_mid",C$2)</f>
        <v>33.112499999999997</v>
      </c>
      <c r="D36">
        <f ca="1">_xll.ciqfunctions.udf.CIQ($B36,"IQ_CDS_mid",D$2)</f>
        <v>33.112499999999997</v>
      </c>
      <c r="E36">
        <f ca="1">_xll.ciqfunctions.udf.CIQ($B36,"IQ_CDS_mid",E$2)</f>
        <v>33.33</v>
      </c>
      <c r="F36">
        <f ca="1">_xll.ciqfunctions.udf.CIQ($B36,"IQ_CDS_mid",F$2)</f>
        <v>33.333300000000001</v>
      </c>
      <c r="G36">
        <f ca="1">_xll.ciqfunctions.udf.CIQ($B36,"IQ_CDS_mid",G$2)</f>
        <v>33.333300000000001</v>
      </c>
      <c r="H36">
        <f ca="1">_xll.ciqfunctions.udf.CIQ($B36,"IQ_CDS_mid",H$2)</f>
        <v>33.333300000000001</v>
      </c>
      <c r="I36">
        <f ca="1">_xll.ciqfunctions.udf.CIQ($B36,"IQ_CDS_mid",I$2)</f>
        <v>33.237499999999997</v>
      </c>
      <c r="J36">
        <f ca="1">_xll.ciqfunctions.udf.CIQ($B36,"IQ_CDS_mid",J$2)</f>
        <v>33.4375</v>
      </c>
      <c r="K36">
        <f ca="1">_xll.ciqfunctions.udf.CIQ($B36,"IQ_CDS_mid",K$2)</f>
        <v>33.450000000000003</v>
      </c>
      <c r="L36">
        <f ca="1">_xll.ciqfunctions.udf.CIQ($B36,"IQ_CDS_mid",L$2)</f>
        <v>33.439500000000002</v>
      </c>
      <c r="M36">
        <f ca="1">_xll.ciqfunctions.udf.CIQ($B36,"IQ_CDS_mid",M$2)</f>
        <v>33.35</v>
      </c>
      <c r="N36">
        <f ca="1">_xll.ciqfunctions.udf.CIQ($B36,"IQ_CDS_mid",N$2)</f>
        <v>33.35</v>
      </c>
      <c r="O36">
        <f ca="1">_xll.ciqfunctions.udf.CIQ($B36,"IQ_CDS_mid",O$2)</f>
        <v>33.35</v>
      </c>
      <c r="P36">
        <f ca="1">_xll.ciqfunctions.udf.CIQ($B36,"IQ_CDS_mid",P$2)</f>
        <v>33.380000000000003</v>
      </c>
      <c r="Q36">
        <f ca="1">_xll.ciqfunctions.udf.CIQ($B36,"IQ_CDS_mid",Q$2)</f>
        <v>33.43</v>
      </c>
      <c r="R36">
        <f ca="1">_xll.ciqfunctions.udf.CIQ($B36,"IQ_CDS_mid",R$2)</f>
        <v>35.352699999999999</v>
      </c>
      <c r="S36">
        <f ca="1">_xll.ciqfunctions.udf.CIQ($B36,"IQ_CDS_mid",S$2)</f>
        <v>39.299999999999997</v>
      </c>
      <c r="T36">
        <f t="shared" ca="1" si="9"/>
        <v>-0.2208000000000041</v>
      </c>
      <c r="U36">
        <f t="shared" ca="1" si="10"/>
        <v>-0.23750000000000426</v>
      </c>
      <c r="V36">
        <f t="shared" ca="1" si="11"/>
        <v>-0.31750000000000256</v>
      </c>
      <c r="W36">
        <f t="shared" ca="1" si="12"/>
        <v>-2.2402000000000015</v>
      </c>
      <c r="X36">
        <f t="shared" ca="1" si="0"/>
        <v>-6.1875</v>
      </c>
    </row>
    <row r="37" spans="1:24">
      <c r="A37" t="s">
        <v>162</v>
      </c>
      <c r="B37" s="25" t="s">
        <v>161</v>
      </c>
      <c r="C37">
        <f ca="1">_xll.ciqfunctions.udf.CIQ($B37,"IQ_CDS_mid",C$2)</f>
        <v>14.75</v>
      </c>
      <c r="D37">
        <f ca="1">_xll.ciqfunctions.udf.CIQ($B37,"IQ_CDS_mid",D$2)</f>
        <v>14.75</v>
      </c>
      <c r="E37">
        <f ca="1">_xll.ciqfunctions.udf.CIQ($B37,"IQ_CDS_mid",E$2)</f>
        <v>14.977</v>
      </c>
      <c r="F37">
        <f ca="1">_xll.ciqfunctions.udf.CIQ($B37,"IQ_CDS_mid",F$2)</f>
        <v>15.025</v>
      </c>
      <c r="G37">
        <f ca="1">_xll.ciqfunctions.udf.CIQ($B37,"IQ_CDS_mid",G$2)</f>
        <v>15.025</v>
      </c>
      <c r="H37">
        <f ca="1">_xll.ciqfunctions.udf.CIQ($B37,"IQ_CDS_mid",H$2)</f>
        <v>15.025</v>
      </c>
      <c r="I37">
        <f ca="1">_xll.ciqfunctions.udf.CIQ($B37,"IQ_CDS_mid",I$2)</f>
        <v>15.0985</v>
      </c>
      <c r="J37">
        <f ca="1">_xll.ciqfunctions.udf.CIQ($B37,"IQ_CDS_mid",J$2)</f>
        <v>15.093999999999999</v>
      </c>
      <c r="K37">
        <f ca="1">_xll.ciqfunctions.udf.CIQ($B37,"IQ_CDS_mid",K$2)</f>
        <v>15.093999999999999</v>
      </c>
      <c r="L37">
        <f ca="1">_xll.ciqfunctions.udf.CIQ($B37,"IQ_CDS_mid",L$2)</f>
        <v>15.066000000000001</v>
      </c>
      <c r="M37">
        <f ca="1">_xll.ciqfunctions.udf.CIQ($B37,"IQ_CDS_mid",M$2)</f>
        <v>15.5</v>
      </c>
      <c r="N37">
        <f ca="1">_xll.ciqfunctions.udf.CIQ($B37,"IQ_CDS_mid",N$2)</f>
        <v>15.5</v>
      </c>
      <c r="O37">
        <f ca="1">_xll.ciqfunctions.udf.CIQ($B37,"IQ_CDS_mid",O$2)</f>
        <v>15.5</v>
      </c>
      <c r="P37">
        <f ca="1">_xll.ciqfunctions.udf.CIQ($B37,"IQ_CDS_mid",P$2)</f>
        <v>15.176</v>
      </c>
      <c r="Q37">
        <f ca="1">_xll.ciqfunctions.udf.CIQ($B37,"IQ_CDS_mid",Q$2)</f>
        <v>15.196</v>
      </c>
      <c r="R37">
        <f ca="1">_xll.ciqfunctions.udf.CIQ($B37,"IQ_CDS_mid",R$2)</f>
        <v>15.3215</v>
      </c>
      <c r="S37">
        <f ca="1">_xll.ciqfunctions.udf.CIQ($B37,"IQ_CDS_mid",S$2)</f>
        <v>13.4975</v>
      </c>
      <c r="T37">
        <f t="shared" ca="1" si="9"/>
        <v>-0.27500000000000036</v>
      </c>
      <c r="U37">
        <f t="shared" ca="1" si="10"/>
        <v>-0.75</v>
      </c>
      <c r="V37">
        <f t="shared" ca="1" si="11"/>
        <v>-0.44599999999999973</v>
      </c>
      <c r="W37">
        <f t="shared" ca="1" si="12"/>
        <v>-0.57150000000000034</v>
      </c>
      <c r="X37">
        <f t="shared" ca="1" si="0"/>
        <v>1.2524999999999995</v>
      </c>
    </row>
    <row r="38" spans="1:24">
      <c r="A38" t="s">
        <v>160</v>
      </c>
      <c r="B38" s="25" t="s">
        <v>159</v>
      </c>
      <c r="C38">
        <f ca="1">_xll.ciqfunctions.udf.CIQ($B38,"IQ_CDS_mid",C$2)</f>
        <v>0</v>
      </c>
      <c r="D38">
        <f ca="1">_xll.ciqfunctions.udf.CIQ($B38,"IQ_CDS_mid",D$2)</f>
        <v>0</v>
      </c>
      <c r="E38">
        <f ca="1">_xll.ciqfunctions.udf.CIQ($B38,"IQ_CDS_mid",E$2)</f>
        <v>0</v>
      </c>
      <c r="F38">
        <f ca="1">_xll.ciqfunctions.udf.CIQ($B38,"IQ_CDS_mid",F$2)</f>
        <v>0</v>
      </c>
      <c r="G38">
        <f ca="1">_xll.ciqfunctions.udf.CIQ($B38,"IQ_CDS_mid",G$2)</f>
        <v>0</v>
      </c>
      <c r="H38">
        <f ca="1">_xll.ciqfunctions.udf.CIQ($B38,"IQ_CDS_mid",H$2)</f>
        <v>0</v>
      </c>
      <c r="I38">
        <f ca="1">_xll.ciqfunctions.udf.CIQ($B38,"IQ_CDS_mid",I$2)</f>
        <v>0</v>
      </c>
      <c r="J38">
        <f ca="1">_xll.ciqfunctions.udf.CIQ($B38,"IQ_CDS_mid",J$2)</f>
        <v>0</v>
      </c>
      <c r="K38">
        <f ca="1">_xll.ciqfunctions.udf.CIQ($B38,"IQ_CDS_mid",K$2)</f>
        <v>0</v>
      </c>
      <c r="L38">
        <f ca="1">_xll.ciqfunctions.udf.CIQ($B38,"IQ_CDS_mid",L$2)</f>
        <v>0</v>
      </c>
      <c r="M38">
        <f ca="1">_xll.ciqfunctions.udf.CIQ($B38,"IQ_CDS_mid",M$2)</f>
        <v>0</v>
      </c>
      <c r="N38">
        <f ca="1">_xll.ciqfunctions.udf.CIQ($B38,"IQ_CDS_mid",N$2)</f>
        <v>0</v>
      </c>
      <c r="O38">
        <f ca="1">_xll.ciqfunctions.udf.CIQ($B38,"IQ_CDS_mid",O$2)</f>
        <v>0</v>
      </c>
      <c r="P38">
        <f ca="1">_xll.ciqfunctions.udf.CIQ($B38,"IQ_CDS_mid",P$2)</f>
        <v>0</v>
      </c>
      <c r="Q38">
        <f ca="1">_xll.ciqfunctions.udf.CIQ($B38,"IQ_CDS_mid",Q$2)</f>
        <v>0</v>
      </c>
      <c r="R38">
        <f ca="1">_xll.ciqfunctions.udf.CIQ($B38,"IQ_CDS_mid",R$2)</f>
        <v>0</v>
      </c>
      <c r="S38">
        <f ca="1">_xll.ciqfunctions.udf.CIQ($B38,"IQ_CDS_mid",S$2)</f>
        <v>0</v>
      </c>
      <c r="T38">
        <f t="shared" ca="1" si="9"/>
        <v>0</v>
      </c>
      <c r="U38">
        <f t="shared" ca="1" si="10"/>
        <v>0</v>
      </c>
      <c r="V38">
        <f t="shared" ca="1" si="11"/>
        <v>0</v>
      </c>
      <c r="W38">
        <f t="shared" ca="1" si="12"/>
        <v>0</v>
      </c>
      <c r="X38">
        <f t="shared" ca="1" si="0"/>
        <v>0</v>
      </c>
    </row>
    <row r="39" spans="1:24">
      <c r="A39" t="s">
        <v>158</v>
      </c>
      <c r="B39" s="25" t="s">
        <v>157</v>
      </c>
      <c r="C39">
        <f ca="1">_xll.ciqfunctions.udf.CIQ($B39,"IQ_CDS_mid",C$2)</f>
        <v>2.2938999999999998</v>
      </c>
      <c r="D39">
        <f ca="1">_xll.ciqfunctions.udf.CIQ($B39,"IQ_CDS_mid",D$2)</f>
        <v>2.2938999999999998</v>
      </c>
      <c r="E39">
        <f ca="1">_xll.ciqfunctions.udf.CIQ($B39,"IQ_CDS_mid",E$2)</f>
        <v>2.2938999999999998</v>
      </c>
      <c r="F39">
        <f ca="1">_xll.ciqfunctions.udf.CIQ($B39,"IQ_CDS_mid",F$2)</f>
        <v>2.2938999999999998</v>
      </c>
      <c r="G39">
        <f ca="1">_xll.ciqfunctions.udf.CIQ($B39,"IQ_CDS_mid",G$2)</f>
        <v>2.2938999999999998</v>
      </c>
      <c r="H39">
        <f ca="1">_xll.ciqfunctions.udf.CIQ($B39,"IQ_CDS_mid",H$2)</f>
        <v>2.2938999999999998</v>
      </c>
      <c r="I39">
        <f ca="1">_xll.ciqfunctions.udf.CIQ($B39,"IQ_CDS_mid",I$2)</f>
        <v>2.2938999999999998</v>
      </c>
      <c r="J39">
        <f ca="1">_xll.ciqfunctions.udf.CIQ($B39,"IQ_CDS_mid",J$2)</f>
        <v>2.2938999999999998</v>
      </c>
      <c r="K39">
        <f ca="1">_xll.ciqfunctions.udf.CIQ($B39,"IQ_CDS_mid",K$2)</f>
        <v>2.2938999999999998</v>
      </c>
      <c r="L39">
        <f ca="1">_xll.ciqfunctions.udf.CIQ($B39,"IQ_CDS_mid",L$2)</f>
        <v>2.2938999999999998</v>
      </c>
      <c r="M39">
        <f ca="1">_xll.ciqfunctions.udf.CIQ($B39,"IQ_CDS_mid",M$2)</f>
        <v>2.2938999999999998</v>
      </c>
      <c r="N39">
        <f ca="1">_xll.ciqfunctions.udf.CIQ($B39,"IQ_CDS_mid",N$2)</f>
        <v>2.2938999999999998</v>
      </c>
      <c r="O39">
        <f ca="1">_xll.ciqfunctions.udf.CIQ($B39,"IQ_CDS_mid",O$2)</f>
        <v>2.2938999999999998</v>
      </c>
      <c r="P39">
        <f ca="1">_xll.ciqfunctions.udf.CIQ($B39,"IQ_CDS_mid",P$2)</f>
        <v>2.2938999999999998</v>
      </c>
      <c r="Q39">
        <f ca="1">_xll.ciqfunctions.udf.CIQ($B39,"IQ_CDS_mid",Q$2)</f>
        <v>2.2938999999999998</v>
      </c>
      <c r="R39">
        <f ca="1">_xll.ciqfunctions.udf.CIQ($B39,"IQ_CDS_mid",R$2)</f>
        <v>2.3334000000000001</v>
      </c>
      <c r="S39">
        <f ca="1">_xll.ciqfunctions.udf.CIQ($B39,"IQ_CDS_mid",S$2)</f>
        <v>3.2726000000000002</v>
      </c>
      <c r="T39">
        <f t="shared" ca="1" si="9"/>
        <v>0</v>
      </c>
      <c r="U39">
        <f t="shared" ca="1" si="10"/>
        <v>0</v>
      </c>
      <c r="V39">
        <f t="shared" ca="1" si="11"/>
        <v>0</v>
      </c>
      <c r="W39">
        <f t="shared" ca="1" si="12"/>
        <v>-3.9500000000000313E-2</v>
      </c>
      <c r="X39">
        <f t="shared" ca="1" si="0"/>
        <v>-0.97870000000000035</v>
      </c>
    </row>
    <row r="40" spans="1:24">
      <c r="A40" t="s">
        <v>156</v>
      </c>
      <c r="B40" s="25" t="s">
        <v>155</v>
      </c>
      <c r="C40">
        <f ca="1">_xll.ciqfunctions.udf.CIQ($B40,"IQ_CDS_mid",C$2)</f>
        <v>21.458300000000001</v>
      </c>
      <c r="D40">
        <f ca="1">_xll.ciqfunctions.udf.CIQ($B40,"IQ_CDS_mid",D$2)</f>
        <v>21.458300000000001</v>
      </c>
      <c r="E40">
        <f ca="1">_xll.ciqfunctions.udf.CIQ($B40,"IQ_CDS_mid",E$2)</f>
        <v>21.708300000000001</v>
      </c>
      <c r="F40">
        <f ca="1">_xll.ciqfunctions.udf.CIQ($B40,"IQ_CDS_mid",F$2)</f>
        <v>21.528500000000001</v>
      </c>
      <c r="G40">
        <f ca="1">_xll.ciqfunctions.udf.CIQ($B40,"IQ_CDS_mid",G$2)</f>
        <v>21.528500000000001</v>
      </c>
      <c r="H40">
        <f ca="1">_xll.ciqfunctions.udf.CIQ($B40,"IQ_CDS_mid",H$2)</f>
        <v>21.528500000000001</v>
      </c>
      <c r="I40">
        <f ca="1">_xll.ciqfunctions.udf.CIQ($B40,"IQ_CDS_mid",I$2)</f>
        <v>21.625</v>
      </c>
      <c r="J40">
        <f ca="1">_xll.ciqfunctions.udf.CIQ($B40,"IQ_CDS_mid",J$2)</f>
        <v>21.713000000000001</v>
      </c>
      <c r="K40">
        <f ca="1">_xll.ciqfunctions.udf.CIQ($B40,"IQ_CDS_mid",K$2)</f>
        <v>21.708300000000001</v>
      </c>
      <c r="L40">
        <f ca="1">_xll.ciqfunctions.udf.CIQ($B40,"IQ_CDS_mid",L$2)</f>
        <v>21.675000000000001</v>
      </c>
      <c r="M40">
        <f ca="1">_xll.ciqfunctions.udf.CIQ($B40,"IQ_CDS_mid",M$2)</f>
        <v>21.708300000000001</v>
      </c>
      <c r="N40">
        <f ca="1">_xll.ciqfunctions.udf.CIQ($B40,"IQ_CDS_mid",N$2)</f>
        <v>21.708300000000001</v>
      </c>
      <c r="O40">
        <f ca="1">_xll.ciqfunctions.udf.CIQ($B40,"IQ_CDS_mid",O$2)</f>
        <v>21.708300000000001</v>
      </c>
      <c r="P40">
        <f ca="1">_xll.ciqfunctions.udf.CIQ($B40,"IQ_CDS_mid",P$2)</f>
        <v>21.6172</v>
      </c>
      <c r="Q40">
        <f ca="1">_xll.ciqfunctions.udf.CIQ($B40,"IQ_CDS_mid",Q$2)</f>
        <v>21.845400000000001</v>
      </c>
      <c r="R40">
        <f ca="1">_xll.ciqfunctions.udf.CIQ($B40,"IQ_CDS_mid",R$2)</f>
        <v>23.269300000000001</v>
      </c>
      <c r="S40">
        <f ca="1">_xll.ciqfunctions.udf.CIQ($B40,"IQ_CDS_mid",S$2)</f>
        <v>18.863600000000002</v>
      </c>
      <c r="T40">
        <f t="shared" ca="1" si="9"/>
        <v>-7.0199999999999818E-2</v>
      </c>
      <c r="U40">
        <f t="shared" ca="1" si="10"/>
        <v>-0.25</v>
      </c>
      <c r="V40">
        <f t="shared" ca="1" si="11"/>
        <v>-0.38710000000000022</v>
      </c>
      <c r="W40">
        <f t="shared" ca="1" si="12"/>
        <v>-1.8109999999999999</v>
      </c>
      <c r="X40">
        <f t="shared" ca="1" si="0"/>
        <v>2.5946999999999996</v>
      </c>
    </row>
    <row r="41" spans="1:24">
      <c r="A41" t="s">
        <v>154</v>
      </c>
      <c r="B41" s="25"/>
    </row>
    <row r="42" spans="1:24">
      <c r="A42" t="s">
        <v>153</v>
      </c>
      <c r="B42" s="25" t="s">
        <v>152</v>
      </c>
      <c r="C42">
        <f ca="1">_xll.ciqfunctions.udf.CIQ($B42,"IQ_CDS_mid",C$2)</f>
        <v>40.041699999999999</v>
      </c>
      <c r="D42">
        <f ca="1">_xll.ciqfunctions.udf.CIQ($B42,"IQ_CDS_mid",D$2)</f>
        <v>40.041699999999999</v>
      </c>
      <c r="E42">
        <f ca="1">_xll.ciqfunctions.udf.CIQ($B42,"IQ_CDS_mid",E$2)</f>
        <v>40.083300000000001</v>
      </c>
      <c r="F42">
        <f ca="1">_xll.ciqfunctions.udf.CIQ($B42,"IQ_CDS_mid",F$2)</f>
        <v>40.375</v>
      </c>
      <c r="G42">
        <f ca="1">_xll.ciqfunctions.udf.CIQ($B42,"IQ_CDS_mid",G$2)</f>
        <v>40.375</v>
      </c>
      <c r="H42">
        <f ca="1">_xll.ciqfunctions.udf.CIQ($B42,"IQ_CDS_mid",H$2)</f>
        <v>40.375</v>
      </c>
      <c r="I42">
        <f ca="1">_xll.ciqfunctions.udf.CIQ($B42,"IQ_CDS_mid",I$2)</f>
        <v>40.417499999999997</v>
      </c>
      <c r="J42">
        <f ca="1">_xll.ciqfunctions.udf.CIQ($B42,"IQ_CDS_mid",J$2)</f>
        <v>40.825600000000001</v>
      </c>
      <c r="K42">
        <f ca="1">_xll.ciqfunctions.udf.CIQ($B42,"IQ_CDS_mid",K$2)</f>
        <v>40.333300000000001</v>
      </c>
      <c r="L42">
        <f ca="1">_xll.ciqfunctions.udf.CIQ($B42,"IQ_CDS_mid",L$2)</f>
        <v>40.056699999999999</v>
      </c>
      <c r="M42">
        <f ca="1">_xll.ciqfunctions.udf.CIQ($B42,"IQ_CDS_mid",M$2)</f>
        <v>40.166699999999999</v>
      </c>
      <c r="N42">
        <f ca="1">_xll.ciqfunctions.udf.CIQ($B42,"IQ_CDS_mid",N$2)</f>
        <v>40.166699999999999</v>
      </c>
      <c r="O42">
        <f ca="1">_xll.ciqfunctions.udf.CIQ($B42,"IQ_CDS_mid",O$2)</f>
        <v>40.166699999999999</v>
      </c>
      <c r="P42">
        <f ca="1">_xll.ciqfunctions.udf.CIQ($B42,"IQ_CDS_mid",P$2)</f>
        <v>40.166699999999999</v>
      </c>
      <c r="Q42">
        <f ca="1">_xll.ciqfunctions.udf.CIQ($B42,"IQ_CDS_mid",Q$2)</f>
        <v>40.166699999999999</v>
      </c>
      <c r="R42">
        <f ca="1">_xll.ciqfunctions.udf.CIQ($B42,"IQ_CDS_mid",R$2)</f>
        <v>48.444000000000003</v>
      </c>
      <c r="S42">
        <f ca="1">_xll.ciqfunctions.udf.CIQ($B42,"IQ_CDS_mid",S$2)</f>
        <v>38.0122</v>
      </c>
      <c r="T42">
        <f ca="1">C42-H42</f>
        <v>-0.33330000000000126</v>
      </c>
      <c r="U42">
        <f ca="1">C42-M42</f>
        <v>-0.125</v>
      </c>
      <c r="V42">
        <f ca="1">C42-Q42</f>
        <v>-0.125</v>
      </c>
      <c r="W42">
        <f ca="1">C42-R42</f>
        <v>-8.4023000000000039</v>
      </c>
      <c r="X42">
        <f t="shared" ref="X42:X84" ca="1" si="13">C42-S42</f>
        <v>2.0294999999999987</v>
      </c>
    </row>
    <row r="43" spans="1:24">
      <c r="A43" s="16" t="s">
        <v>151</v>
      </c>
      <c r="X43">
        <f t="shared" si="13"/>
        <v>0</v>
      </c>
    </row>
    <row r="44" spans="1:24">
      <c r="A44" t="s">
        <v>150</v>
      </c>
      <c r="B44" t="s">
        <v>149</v>
      </c>
      <c r="C44">
        <f ca="1">_xll.ciqfunctions.udf.CIQ($B44,"IQ_CDS_mid",C$2)</f>
        <v>114.5321</v>
      </c>
      <c r="D44">
        <f ca="1">_xll.ciqfunctions.udf.CIQ($B44,"IQ_CDS_mid",D$2)</f>
        <v>114.5321</v>
      </c>
      <c r="E44">
        <f ca="1">_xll.ciqfunctions.udf.CIQ($B44,"IQ_CDS_mid",E$2)</f>
        <v>114.6155</v>
      </c>
      <c r="F44">
        <f ca="1">_xll.ciqfunctions.udf.CIQ($B44,"IQ_CDS_mid",F$2)</f>
        <v>114.72110000000001</v>
      </c>
      <c r="G44">
        <f ca="1">_xll.ciqfunctions.udf.CIQ($B44,"IQ_CDS_mid",G$2)</f>
        <v>114.72110000000001</v>
      </c>
      <c r="H44">
        <f ca="1">_xll.ciqfunctions.udf.CIQ($B44,"IQ_CDS_mid",H$2)</f>
        <v>114.72110000000001</v>
      </c>
      <c r="I44">
        <f ca="1">_xll.ciqfunctions.udf.CIQ($B44,"IQ_CDS_mid",I$2)</f>
        <v>115.6433</v>
      </c>
      <c r="J44">
        <f ca="1">_xll.ciqfunctions.udf.CIQ($B44,"IQ_CDS_mid",J$2)</f>
        <v>116.1845</v>
      </c>
      <c r="K44">
        <f ca="1">_xll.ciqfunctions.udf.CIQ($B44,"IQ_CDS_mid",K$2)</f>
        <v>116.0081</v>
      </c>
      <c r="L44">
        <f ca="1">_xll.ciqfunctions.udf.CIQ($B44,"IQ_CDS_mid",L$2)</f>
        <v>114.5703</v>
      </c>
      <c r="M44">
        <f ca="1">_xll.ciqfunctions.udf.CIQ($B44,"IQ_CDS_mid",M$2)</f>
        <v>114.80929999999999</v>
      </c>
      <c r="N44">
        <f ca="1">_xll.ciqfunctions.udf.CIQ($B44,"IQ_CDS_mid",N$2)</f>
        <v>114.80929999999999</v>
      </c>
      <c r="O44">
        <f ca="1">_xll.ciqfunctions.udf.CIQ($B44,"IQ_CDS_mid",O$2)</f>
        <v>114.80929999999999</v>
      </c>
      <c r="P44">
        <f ca="1">_xll.ciqfunctions.udf.CIQ($B44,"IQ_CDS_mid",P$2)</f>
        <v>115.8913</v>
      </c>
      <c r="Q44">
        <f ca="1">_xll.ciqfunctions.udf.CIQ($B44,"IQ_CDS_mid",Q$2)</f>
        <v>117.1808</v>
      </c>
      <c r="R44">
        <f ca="1">_xll.ciqfunctions.udf.CIQ($B44,"IQ_CDS_mid",R$2)</f>
        <v>129.2569</v>
      </c>
      <c r="S44">
        <f ca="1">_xll.ciqfunctions.udf.CIQ($B44,"IQ_CDS_mid",S$2)</f>
        <v>166.67670000000001</v>
      </c>
      <c r="T44">
        <f ca="1">C44-H44</f>
        <v>-0.18900000000000716</v>
      </c>
      <c r="U44">
        <f ca="1">C44-M44</f>
        <v>-0.27719999999999345</v>
      </c>
      <c r="V44">
        <f ca="1">C44-Q44</f>
        <v>-2.6487000000000052</v>
      </c>
      <c r="W44">
        <f ca="1">C44-R44</f>
        <v>-14.724800000000002</v>
      </c>
      <c r="X44">
        <f t="shared" ca="1" si="13"/>
        <v>-52.144600000000011</v>
      </c>
    </row>
    <row r="45" spans="1:24">
      <c r="X45">
        <f t="shared" si="13"/>
        <v>0</v>
      </c>
    </row>
    <row r="46" spans="1:24">
      <c r="X46">
        <f t="shared" si="13"/>
        <v>0</v>
      </c>
    </row>
    <row r="47" spans="1:24" ht="15.5">
      <c r="A47" s="28" t="s">
        <v>8</v>
      </c>
      <c r="X47">
        <f t="shared" si="13"/>
        <v>0</v>
      </c>
    </row>
    <row r="48" spans="1:24" ht="15.5">
      <c r="A48" s="27" t="s">
        <v>10</v>
      </c>
      <c r="B48" s="25" t="s">
        <v>148</v>
      </c>
      <c r="C48">
        <f ca="1">_xll.ciqfunctions.udf.CIQ($B48,"IQ_CDS_mid",C$2)</f>
        <v>51.2239</v>
      </c>
      <c r="D48">
        <f ca="1">_xll.ciqfunctions.udf.CIQ($B48,"IQ_CDS_mid",D$2)</f>
        <v>51.2239</v>
      </c>
      <c r="E48">
        <f ca="1">_xll.ciqfunctions.udf.CIQ($B48,"IQ_CDS_mid",E$2)</f>
        <v>50.75</v>
      </c>
      <c r="F48">
        <f ca="1">_xll.ciqfunctions.udf.CIQ($B48,"IQ_CDS_mid",F$2)</f>
        <v>50.523499999999999</v>
      </c>
      <c r="G48">
        <f ca="1">_xll.ciqfunctions.udf.CIQ($B48,"IQ_CDS_mid",G$2)</f>
        <v>50.523499999999999</v>
      </c>
      <c r="H48">
        <f ca="1">_xll.ciqfunctions.udf.CIQ($B48,"IQ_CDS_mid",H$2)</f>
        <v>50.523499999999999</v>
      </c>
      <c r="I48">
        <f ca="1">_xll.ciqfunctions.udf.CIQ($B48,"IQ_CDS_mid",I$2)</f>
        <v>51.122199999999999</v>
      </c>
      <c r="J48">
        <f ca="1">_xll.ciqfunctions.udf.CIQ($B48,"IQ_CDS_mid",J$2)</f>
        <v>51.578400000000002</v>
      </c>
      <c r="K48">
        <f ca="1">_xll.ciqfunctions.udf.CIQ($B48,"IQ_CDS_mid",K$2)</f>
        <v>51.9818</v>
      </c>
      <c r="L48">
        <f ca="1">_xll.ciqfunctions.udf.CIQ($B48,"IQ_CDS_mid",L$2)</f>
        <v>51.680700000000002</v>
      </c>
      <c r="M48">
        <f ca="1">_xll.ciqfunctions.udf.CIQ($B48,"IQ_CDS_mid",M$2)</f>
        <v>51.0261</v>
      </c>
      <c r="N48">
        <f ca="1">_xll.ciqfunctions.udf.CIQ($B48,"IQ_CDS_mid",N$2)</f>
        <v>51.0261</v>
      </c>
      <c r="O48">
        <f ca="1">_xll.ciqfunctions.udf.CIQ($B48,"IQ_CDS_mid",O$2)</f>
        <v>51.0261</v>
      </c>
      <c r="P48">
        <f ca="1">_xll.ciqfunctions.udf.CIQ($B48,"IQ_CDS_mid",P$2)</f>
        <v>51.063699999999997</v>
      </c>
      <c r="Q48">
        <f ca="1">_xll.ciqfunctions.udf.CIQ($B48,"IQ_CDS_mid",Q$2)</f>
        <v>51.0366</v>
      </c>
      <c r="R48">
        <f ca="1">_xll.ciqfunctions.udf.CIQ($B48,"IQ_CDS_mid",R$2)</f>
        <v>54.713999999999999</v>
      </c>
      <c r="S48">
        <f ca="1">_xll.ciqfunctions.udf.CIQ($B48,"IQ_CDS_mid",S$2)</f>
        <v>52.833300000000001</v>
      </c>
      <c r="T48">
        <f t="shared" ref="T48:T54" ca="1" si="14">C48-H48</f>
        <v>0.70040000000000191</v>
      </c>
      <c r="U48">
        <f t="shared" ref="U48:U54" ca="1" si="15">C48-M48</f>
        <v>0.19780000000000086</v>
      </c>
      <c r="V48">
        <f t="shared" ref="V48:V54" ca="1" si="16">C48-Q48</f>
        <v>0.18730000000000047</v>
      </c>
      <c r="W48">
        <f t="shared" ref="W48:W54" ca="1" si="17">C48-R48</f>
        <v>-3.4900999999999982</v>
      </c>
      <c r="X48">
        <f t="shared" ca="1" si="13"/>
        <v>-1.6094000000000008</v>
      </c>
    </row>
    <row r="49" spans="1:24" ht="15.5">
      <c r="A49" s="27" t="s">
        <v>11</v>
      </c>
      <c r="B49" s="25" t="s">
        <v>147</v>
      </c>
      <c r="C49">
        <f ca="1">_xll.ciqfunctions.udf.CIQ($B49,"IQ_CDS_mid",C$2)</f>
        <v>52.221699999999998</v>
      </c>
      <c r="D49">
        <f ca="1">_xll.ciqfunctions.udf.CIQ($B49,"IQ_CDS_mid",D$2)</f>
        <v>52.221699999999998</v>
      </c>
      <c r="E49">
        <f ca="1">_xll.ciqfunctions.udf.CIQ($B49,"IQ_CDS_mid",E$2)</f>
        <v>52.353900000000003</v>
      </c>
      <c r="F49">
        <f ca="1">_xll.ciqfunctions.udf.CIQ($B49,"IQ_CDS_mid",F$2)</f>
        <v>52.115900000000003</v>
      </c>
      <c r="G49">
        <f ca="1">_xll.ciqfunctions.udf.CIQ($B49,"IQ_CDS_mid",G$2)</f>
        <v>52.115900000000003</v>
      </c>
      <c r="H49">
        <f ca="1">_xll.ciqfunctions.udf.CIQ($B49,"IQ_CDS_mid",H$2)</f>
        <v>52.115900000000003</v>
      </c>
      <c r="I49">
        <f ca="1">_xll.ciqfunctions.udf.CIQ($B49,"IQ_CDS_mid",I$2)</f>
        <v>52.223999999999997</v>
      </c>
      <c r="J49">
        <f ca="1">_xll.ciqfunctions.udf.CIQ($B49,"IQ_CDS_mid",J$2)</f>
        <v>53.031399999999998</v>
      </c>
      <c r="K49">
        <f ca="1">_xll.ciqfunctions.udf.CIQ($B49,"IQ_CDS_mid",K$2)</f>
        <v>53.4617</v>
      </c>
      <c r="L49">
        <f ca="1">_xll.ciqfunctions.udf.CIQ($B49,"IQ_CDS_mid",L$2)</f>
        <v>53.153199999999998</v>
      </c>
      <c r="M49">
        <f ca="1">_xll.ciqfunctions.udf.CIQ($B49,"IQ_CDS_mid",M$2)</f>
        <v>53.0747</v>
      </c>
      <c r="N49">
        <f ca="1">_xll.ciqfunctions.udf.CIQ($B49,"IQ_CDS_mid",N$2)</f>
        <v>53.0747</v>
      </c>
      <c r="O49">
        <f ca="1">_xll.ciqfunctions.udf.CIQ($B49,"IQ_CDS_mid",O$2)</f>
        <v>53.0747</v>
      </c>
      <c r="P49">
        <f ca="1">_xll.ciqfunctions.udf.CIQ($B49,"IQ_CDS_mid",P$2)</f>
        <v>53.291200000000003</v>
      </c>
      <c r="Q49">
        <f ca="1">_xll.ciqfunctions.udf.CIQ($B49,"IQ_CDS_mid",Q$2)</f>
        <v>53.244700000000002</v>
      </c>
      <c r="R49">
        <f ca="1">_xll.ciqfunctions.udf.CIQ($B49,"IQ_CDS_mid",R$2)</f>
        <v>56.285600000000002</v>
      </c>
      <c r="S49">
        <f ca="1">_xll.ciqfunctions.udf.CIQ($B49,"IQ_CDS_mid",S$2)</f>
        <v>52.8</v>
      </c>
      <c r="T49">
        <f t="shared" ca="1" si="14"/>
        <v>0.10579999999999501</v>
      </c>
      <c r="U49">
        <f t="shared" ca="1" si="15"/>
        <v>-0.85300000000000153</v>
      </c>
      <c r="V49">
        <f t="shared" ca="1" si="16"/>
        <v>-1.0230000000000032</v>
      </c>
      <c r="W49">
        <f t="shared" ca="1" si="17"/>
        <v>-4.0639000000000038</v>
      </c>
      <c r="X49">
        <f t="shared" ca="1" si="13"/>
        <v>-0.5782999999999987</v>
      </c>
    </row>
    <row r="50" spans="1:24" ht="15.5">
      <c r="A50" s="27" t="s">
        <v>146</v>
      </c>
      <c r="B50" s="25" t="s">
        <v>145</v>
      </c>
      <c r="C50">
        <f ca="1">_xll.ciqfunctions.udf.CIQ($B50,"IQ_CDS_mid",C$2)</f>
        <v>37.069600000000001</v>
      </c>
      <c r="D50">
        <f ca="1">_xll.ciqfunctions.udf.CIQ($B50,"IQ_CDS_mid",D$2)</f>
        <v>37.069600000000001</v>
      </c>
      <c r="E50">
        <f ca="1">_xll.ciqfunctions.udf.CIQ($B50,"IQ_CDS_mid",E$2)</f>
        <v>37.178100000000001</v>
      </c>
      <c r="F50">
        <f ca="1">_xll.ciqfunctions.udf.CIQ($B50,"IQ_CDS_mid",F$2)</f>
        <v>37.396999999999998</v>
      </c>
      <c r="G50">
        <f ca="1">_xll.ciqfunctions.udf.CIQ($B50,"IQ_CDS_mid",G$2)</f>
        <v>37.396999999999998</v>
      </c>
      <c r="H50">
        <f ca="1">_xll.ciqfunctions.udf.CIQ($B50,"IQ_CDS_mid",H$2)</f>
        <v>37.396999999999998</v>
      </c>
      <c r="I50">
        <f ca="1">_xll.ciqfunctions.udf.CIQ($B50,"IQ_CDS_mid",I$2)</f>
        <v>36.908799999999999</v>
      </c>
      <c r="J50">
        <f ca="1">_xll.ciqfunctions.udf.CIQ($B50,"IQ_CDS_mid",J$2)</f>
        <v>37.886600000000001</v>
      </c>
      <c r="K50">
        <f ca="1">_xll.ciqfunctions.udf.CIQ($B50,"IQ_CDS_mid",K$2)</f>
        <v>37.864400000000003</v>
      </c>
      <c r="L50">
        <f ca="1">_xll.ciqfunctions.udf.CIQ($B50,"IQ_CDS_mid",L$2)</f>
        <v>37.75</v>
      </c>
      <c r="M50">
        <f ca="1">_xll.ciqfunctions.udf.CIQ($B50,"IQ_CDS_mid",M$2)</f>
        <v>37.892200000000003</v>
      </c>
      <c r="N50">
        <f ca="1">_xll.ciqfunctions.udf.CIQ($B50,"IQ_CDS_mid",N$2)</f>
        <v>37.892200000000003</v>
      </c>
      <c r="O50">
        <f ca="1">_xll.ciqfunctions.udf.CIQ($B50,"IQ_CDS_mid",O$2)</f>
        <v>37.892200000000003</v>
      </c>
      <c r="P50">
        <f ca="1">_xll.ciqfunctions.udf.CIQ($B50,"IQ_CDS_mid",P$2)</f>
        <v>37.713700000000003</v>
      </c>
      <c r="Q50">
        <f ca="1">_xll.ciqfunctions.udf.CIQ($B50,"IQ_CDS_mid",Q$2)</f>
        <v>37.864199999999997</v>
      </c>
      <c r="R50">
        <f ca="1">_xll.ciqfunctions.udf.CIQ($B50,"IQ_CDS_mid",R$2)</f>
        <v>42.285400000000003</v>
      </c>
      <c r="S50">
        <f ca="1">_xll.ciqfunctions.udf.CIQ($B50,"IQ_CDS_mid",S$2)</f>
        <v>38.5</v>
      </c>
      <c r="T50">
        <f t="shared" ca="1" si="14"/>
        <v>-0.32739999999999725</v>
      </c>
      <c r="U50">
        <f t="shared" ca="1" si="15"/>
        <v>-0.82260000000000133</v>
      </c>
      <c r="V50">
        <f t="shared" ca="1" si="16"/>
        <v>-0.79459999999999553</v>
      </c>
      <c r="W50">
        <f t="shared" ca="1" si="17"/>
        <v>-5.2158000000000015</v>
      </c>
      <c r="X50">
        <f t="shared" ca="1" si="13"/>
        <v>-1.4303999999999988</v>
      </c>
    </row>
    <row r="51" spans="1:24" ht="15.5">
      <c r="A51" s="27" t="s">
        <v>144</v>
      </c>
      <c r="B51" s="25" t="s">
        <v>143</v>
      </c>
      <c r="C51">
        <f ca="1">_xll.ciqfunctions.udf.CIQ($B51,"IQ_CDS_mid",C$2)</f>
        <v>52.4133</v>
      </c>
      <c r="D51">
        <f ca="1">_xll.ciqfunctions.udf.CIQ($B51,"IQ_CDS_mid",D$2)</f>
        <v>52.4133</v>
      </c>
      <c r="E51">
        <f ca="1">_xll.ciqfunctions.udf.CIQ($B51,"IQ_CDS_mid",E$2)</f>
        <v>52.220999999999997</v>
      </c>
      <c r="F51">
        <f ca="1">_xll.ciqfunctions.udf.CIQ($B51,"IQ_CDS_mid",F$2)</f>
        <v>52.232799999999997</v>
      </c>
      <c r="G51">
        <f ca="1">_xll.ciqfunctions.udf.CIQ($B51,"IQ_CDS_mid",G$2)</f>
        <v>52.232799999999997</v>
      </c>
      <c r="H51">
        <f ca="1">_xll.ciqfunctions.udf.CIQ($B51,"IQ_CDS_mid",H$2)</f>
        <v>52.232799999999997</v>
      </c>
      <c r="I51">
        <f ca="1">_xll.ciqfunctions.udf.CIQ($B51,"IQ_CDS_mid",I$2)</f>
        <v>52.510100000000001</v>
      </c>
      <c r="J51">
        <f ca="1">_xll.ciqfunctions.udf.CIQ($B51,"IQ_CDS_mid",J$2)</f>
        <v>52.664400000000001</v>
      </c>
      <c r="K51">
        <f ca="1">_xll.ciqfunctions.udf.CIQ($B51,"IQ_CDS_mid",K$2)</f>
        <v>53.048099999999998</v>
      </c>
      <c r="L51">
        <f ca="1">_xll.ciqfunctions.udf.CIQ($B51,"IQ_CDS_mid",L$2)</f>
        <v>52.8</v>
      </c>
      <c r="M51">
        <f ca="1">_xll.ciqfunctions.udf.CIQ($B51,"IQ_CDS_mid",M$2)</f>
        <v>52.763199999999998</v>
      </c>
      <c r="N51">
        <f ca="1">_xll.ciqfunctions.udf.CIQ($B51,"IQ_CDS_mid",N$2)</f>
        <v>52.763199999999998</v>
      </c>
      <c r="O51">
        <f ca="1">_xll.ciqfunctions.udf.CIQ($B51,"IQ_CDS_mid",O$2)</f>
        <v>52.763199999999998</v>
      </c>
      <c r="P51">
        <f ca="1">_xll.ciqfunctions.udf.CIQ($B51,"IQ_CDS_mid",P$2)</f>
        <v>52.759300000000003</v>
      </c>
      <c r="Q51">
        <f ca="1">_xll.ciqfunctions.udf.CIQ($B51,"IQ_CDS_mid",Q$2)</f>
        <v>53.195799999999998</v>
      </c>
      <c r="R51">
        <f ca="1">_xll.ciqfunctions.udf.CIQ($B51,"IQ_CDS_mid",R$2)</f>
        <v>55.062199999999997</v>
      </c>
      <c r="S51">
        <f ca="1">_xll.ciqfunctions.udf.CIQ($B51,"IQ_CDS_mid",S$2)</f>
        <v>54.6875</v>
      </c>
      <c r="T51">
        <f t="shared" ca="1" si="14"/>
        <v>0.1805000000000021</v>
      </c>
      <c r="U51">
        <f t="shared" ca="1" si="15"/>
        <v>-0.3498999999999981</v>
      </c>
      <c r="V51">
        <f t="shared" ca="1" si="16"/>
        <v>-0.78249999999999886</v>
      </c>
      <c r="W51">
        <f t="shared" ca="1" si="17"/>
        <v>-2.6488999999999976</v>
      </c>
      <c r="X51">
        <f t="shared" ca="1" si="13"/>
        <v>-2.2742000000000004</v>
      </c>
    </row>
    <row r="52" spans="1:24" ht="15.5">
      <c r="A52" s="27" t="s">
        <v>14</v>
      </c>
      <c r="B52" s="25" t="s">
        <v>142</v>
      </c>
      <c r="C52">
        <f ca="1">_xll.ciqfunctions.udf.CIQ($B52,"IQ_CDS_mid",C$2)</f>
        <v>54.868899999999996</v>
      </c>
      <c r="D52">
        <f ca="1">_xll.ciqfunctions.udf.CIQ($B52,"IQ_CDS_mid",D$2)</f>
        <v>54.868899999999996</v>
      </c>
      <c r="E52">
        <f ca="1">_xll.ciqfunctions.udf.CIQ($B52,"IQ_CDS_mid",E$2)</f>
        <v>54.741100000000003</v>
      </c>
      <c r="F52">
        <f ca="1">_xll.ciqfunctions.udf.CIQ($B52,"IQ_CDS_mid",F$2)</f>
        <v>54.651899999999998</v>
      </c>
      <c r="G52">
        <f ca="1">_xll.ciqfunctions.udf.CIQ($B52,"IQ_CDS_mid",G$2)</f>
        <v>54.651899999999998</v>
      </c>
      <c r="H52">
        <f ca="1">_xll.ciqfunctions.udf.CIQ($B52,"IQ_CDS_mid",H$2)</f>
        <v>54.651899999999998</v>
      </c>
      <c r="I52">
        <f ca="1">_xll.ciqfunctions.udf.CIQ($B52,"IQ_CDS_mid",I$2)</f>
        <v>54.9602</v>
      </c>
      <c r="J52">
        <f ca="1">_xll.ciqfunctions.udf.CIQ($B52,"IQ_CDS_mid",J$2)</f>
        <v>55.272399999999998</v>
      </c>
      <c r="K52">
        <f ca="1">_xll.ciqfunctions.udf.CIQ($B52,"IQ_CDS_mid",K$2)</f>
        <v>55.602200000000003</v>
      </c>
      <c r="L52">
        <f ca="1">_xll.ciqfunctions.udf.CIQ($B52,"IQ_CDS_mid",L$2)</f>
        <v>55.666699999999999</v>
      </c>
      <c r="M52">
        <f ca="1">_xll.ciqfunctions.udf.CIQ($B52,"IQ_CDS_mid",M$2)</f>
        <v>54.839300000000001</v>
      </c>
      <c r="N52">
        <f ca="1">_xll.ciqfunctions.udf.CIQ($B52,"IQ_CDS_mid",N$2)</f>
        <v>54.839300000000001</v>
      </c>
      <c r="O52">
        <f ca="1">_xll.ciqfunctions.udf.CIQ($B52,"IQ_CDS_mid",O$2)</f>
        <v>54.839300000000001</v>
      </c>
      <c r="P52">
        <f ca="1">_xll.ciqfunctions.udf.CIQ($B52,"IQ_CDS_mid",P$2)</f>
        <v>54.8797</v>
      </c>
      <c r="Q52">
        <f ca="1">_xll.ciqfunctions.udf.CIQ($B52,"IQ_CDS_mid",Q$2)</f>
        <v>54.931699999999999</v>
      </c>
      <c r="R52">
        <f ca="1">_xll.ciqfunctions.udf.CIQ($B52,"IQ_CDS_mid",R$2)</f>
        <v>57.0625</v>
      </c>
      <c r="S52">
        <f ca="1">_xll.ciqfunctions.udf.CIQ($B52,"IQ_CDS_mid",S$2)</f>
        <v>51.881900000000002</v>
      </c>
      <c r="T52">
        <f t="shared" ca="1" si="14"/>
        <v>0.21699999999999875</v>
      </c>
      <c r="U52">
        <f t="shared" ca="1" si="15"/>
        <v>2.9599999999994964E-2</v>
      </c>
      <c r="V52">
        <f t="shared" ca="1" si="16"/>
        <v>-6.2800000000002854E-2</v>
      </c>
      <c r="W52">
        <f t="shared" ca="1" si="17"/>
        <v>-2.1936000000000035</v>
      </c>
      <c r="X52">
        <f t="shared" ca="1" si="13"/>
        <v>2.9869999999999948</v>
      </c>
    </row>
    <row r="53" spans="1:24" ht="15.5">
      <c r="A53" s="27" t="s">
        <v>15</v>
      </c>
      <c r="B53" s="25" t="s">
        <v>141</v>
      </c>
      <c r="C53">
        <f ca="1">_xll.ciqfunctions.udf.CIQ($B53,"IQ_CDS_mid",C$2)</f>
        <v>45.875</v>
      </c>
      <c r="D53">
        <f ca="1">_xll.ciqfunctions.udf.CIQ($B53,"IQ_CDS_mid",D$2)</f>
        <v>45.875</v>
      </c>
      <c r="E53">
        <f ca="1">_xll.ciqfunctions.udf.CIQ($B53,"IQ_CDS_mid",E$2)</f>
        <v>45.768999999999998</v>
      </c>
      <c r="F53">
        <f ca="1">_xll.ciqfunctions.udf.CIQ($B53,"IQ_CDS_mid",F$2)</f>
        <v>45.815399999999997</v>
      </c>
      <c r="G53">
        <f ca="1">_xll.ciqfunctions.udf.CIQ($B53,"IQ_CDS_mid",G$2)</f>
        <v>45.815399999999997</v>
      </c>
      <c r="H53">
        <f ca="1">_xll.ciqfunctions.udf.CIQ($B53,"IQ_CDS_mid",H$2)</f>
        <v>45.815399999999997</v>
      </c>
      <c r="I53">
        <f ca="1">_xll.ciqfunctions.udf.CIQ($B53,"IQ_CDS_mid",I$2)</f>
        <v>45.8232</v>
      </c>
      <c r="J53">
        <f ca="1">_xll.ciqfunctions.udf.CIQ($B53,"IQ_CDS_mid",J$2)</f>
        <v>46.593499999999999</v>
      </c>
      <c r="K53">
        <f ca="1">_xll.ciqfunctions.udf.CIQ($B53,"IQ_CDS_mid",K$2)</f>
        <v>46.737099999999998</v>
      </c>
      <c r="L53">
        <f ca="1">_xll.ciqfunctions.udf.CIQ($B53,"IQ_CDS_mid",L$2)</f>
        <v>46.317799999999998</v>
      </c>
      <c r="M53">
        <f ca="1">_xll.ciqfunctions.udf.CIQ($B53,"IQ_CDS_mid",M$2)</f>
        <v>46.095700000000001</v>
      </c>
      <c r="N53">
        <f ca="1">_xll.ciqfunctions.udf.CIQ($B53,"IQ_CDS_mid",N$2)</f>
        <v>46.095700000000001</v>
      </c>
      <c r="O53">
        <f ca="1">_xll.ciqfunctions.udf.CIQ($B53,"IQ_CDS_mid",O$2)</f>
        <v>46.095700000000001</v>
      </c>
      <c r="P53">
        <f ca="1">_xll.ciqfunctions.udf.CIQ($B53,"IQ_CDS_mid",P$2)</f>
        <v>46.037999999999997</v>
      </c>
      <c r="Q53">
        <f ca="1">_xll.ciqfunctions.udf.CIQ($B53,"IQ_CDS_mid",Q$2)</f>
        <v>46.4086</v>
      </c>
      <c r="R53">
        <f ca="1">_xll.ciqfunctions.udf.CIQ($B53,"IQ_CDS_mid",R$2)</f>
        <v>51.3367</v>
      </c>
      <c r="S53">
        <f ca="1">_xll.ciqfunctions.udf.CIQ($B53,"IQ_CDS_mid",S$2)</f>
        <v>45.911999999999999</v>
      </c>
      <c r="T53">
        <f t="shared" ca="1" si="14"/>
        <v>5.9600000000003206E-2</v>
      </c>
      <c r="U53">
        <f t="shared" ca="1" si="15"/>
        <v>-0.22070000000000078</v>
      </c>
      <c r="V53">
        <f t="shared" ca="1" si="16"/>
        <v>-0.53359999999999985</v>
      </c>
      <c r="W53">
        <f t="shared" ca="1" si="17"/>
        <v>-5.4617000000000004</v>
      </c>
      <c r="X53">
        <f t="shared" ca="1" si="13"/>
        <v>-3.6999999999999034E-2</v>
      </c>
    </row>
    <row r="54" spans="1:24" ht="15.5">
      <c r="A54" s="27" t="s">
        <v>140</v>
      </c>
      <c r="B54" s="25" t="s">
        <v>139</v>
      </c>
      <c r="C54">
        <f ca="1">_xll.ciqfunctions.udf.CIQ($B54,"IQ_CDS_mid",C$2)</f>
        <v>50.806699999999999</v>
      </c>
      <c r="D54">
        <f ca="1">_xll.ciqfunctions.udf.CIQ($B54,"IQ_CDS_mid",D$2)</f>
        <v>50.806699999999999</v>
      </c>
      <c r="E54">
        <f ca="1">_xll.ciqfunctions.udf.CIQ($B54,"IQ_CDS_mid",E$2)</f>
        <v>50.899700000000003</v>
      </c>
      <c r="F54">
        <f ca="1">_xll.ciqfunctions.udf.CIQ($B54,"IQ_CDS_mid",F$2)</f>
        <v>50.992800000000003</v>
      </c>
      <c r="G54">
        <f ca="1">_xll.ciqfunctions.udf.CIQ($B54,"IQ_CDS_mid",G$2)</f>
        <v>50.992800000000003</v>
      </c>
      <c r="H54">
        <f ca="1">_xll.ciqfunctions.udf.CIQ($B54,"IQ_CDS_mid",H$2)</f>
        <v>50.992800000000003</v>
      </c>
      <c r="I54">
        <f ca="1">_xll.ciqfunctions.udf.CIQ($B54,"IQ_CDS_mid",I$2)</f>
        <v>50.570900000000002</v>
      </c>
      <c r="J54">
        <f ca="1">_xll.ciqfunctions.udf.CIQ($B54,"IQ_CDS_mid",J$2)</f>
        <v>50.506900000000002</v>
      </c>
      <c r="K54">
        <f ca="1">_xll.ciqfunctions.udf.CIQ($B54,"IQ_CDS_mid",K$2)</f>
        <v>50.547800000000002</v>
      </c>
      <c r="L54">
        <f ca="1">_xll.ciqfunctions.udf.CIQ($B54,"IQ_CDS_mid",L$2)</f>
        <v>49.454900000000002</v>
      </c>
      <c r="M54">
        <f ca="1">_xll.ciqfunctions.udf.CIQ($B54,"IQ_CDS_mid",M$2)</f>
        <v>48.829300000000003</v>
      </c>
      <c r="N54">
        <f ca="1">_xll.ciqfunctions.udf.CIQ($B54,"IQ_CDS_mid",N$2)</f>
        <v>48.829300000000003</v>
      </c>
      <c r="O54">
        <f ca="1">_xll.ciqfunctions.udf.CIQ($B54,"IQ_CDS_mid",O$2)</f>
        <v>48.829300000000003</v>
      </c>
      <c r="P54">
        <f ca="1">_xll.ciqfunctions.udf.CIQ($B54,"IQ_CDS_mid",P$2)</f>
        <v>48.907600000000002</v>
      </c>
      <c r="Q54">
        <f ca="1">_xll.ciqfunctions.udf.CIQ($B54,"IQ_CDS_mid",Q$2)</f>
        <v>49.022399999999998</v>
      </c>
      <c r="R54">
        <f ca="1">_xll.ciqfunctions.udf.CIQ($B54,"IQ_CDS_mid",R$2)</f>
        <v>53.188600000000001</v>
      </c>
      <c r="S54">
        <f ca="1">_xll.ciqfunctions.udf.CIQ($B54,"IQ_CDS_mid",S$2)</f>
        <v>48.200099999999999</v>
      </c>
      <c r="T54">
        <f t="shared" ca="1" si="14"/>
        <v>-0.18610000000000326</v>
      </c>
      <c r="U54">
        <f t="shared" ca="1" si="15"/>
        <v>1.9773999999999958</v>
      </c>
      <c r="V54">
        <f t="shared" ca="1" si="16"/>
        <v>1.7843000000000018</v>
      </c>
      <c r="W54">
        <f t="shared" ca="1" si="17"/>
        <v>-2.3819000000000017</v>
      </c>
      <c r="X54">
        <f t="shared" ca="1" si="13"/>
        <v>2.6066000000000003</v>
      </c>
    </row>
    <row r="55" spans="1:24" ht="15.5">
      <c r="A55" s="28" t="s">
        <v>17</v>
      </c>
      <c r="X55">
        <f t="shared" si="13"/>
        <v>0</v>
      </c>
    </row>
    <row r="56" spans="1:24" ht="15.5">
      <c r="A56" s="27" t="s">
        <v>18</v>
      </c>
      <c r="B56" s="25" t="s">
        <v>138</v>
      </c>
      <c r="C56">
        <f ca="1">_xll.ciqfunctions.udf.CIQ($B56,"IQ_CDS_mid",C$2)</f>
        <v>42.166699999999999</v>
      </c>
      <c r="D56">
        <f ca="1">_xll.ciqfunctions.udf.CIQ($B56,"IQ_CDS_mid",D$2)</f>
        <v>42.166699999999999</v>
      </c>
      <c r="E56">
        <f ca="1">_xll.ciqfunctions.udf.CIQ($B56,"IQ_CDS_mid",E$2)</f>
        <v>41.958300000000001</v>
      </c>
      <c r="F56">
        <f ca="1">_xll.ciqfunctions.udf.CIQ($B56,"IQ_CDS_mid",F$2)</f>
        <v>41.904000000000003</v>
      </c>
      <c r="G56">
        <f ca="1">_xll.ciqfunctions.udf.CIQ($B56,"IQ_CDS_mid",G$2)</f>
        <v>41.904000000000003</v>
      </c>
      <c r="H56">
        <f ca="1">_xll.ciqfunctions.udf.CIQ($B56,"IQ_CDS_mid",H$2)</f>
        <v>41.904000000000003</v>
      </c>
      <c r="I56">
        <f ca="1">_xll.ciqfunctions.udf.CIQ($B56,"IQ_CDS_mid",I$2)</f>
        <v>42.080199999999998</v>
      </c>
      <c r="J56">
        <f ca="1">_xll.ciqfunctions.udf.CIQ($B56,"IQ_CDS_mid",J$2)</f>
        <v>42.424300000000002</v>
      </c>
      <c r="K56">
        <f ca="1">_xll.ciqfunctions.udf.CIQ($B56,"IQ_CDS_mid",K$2)</f>
        <v>42.239899999999999</v>
      </c>
      <c r="L56">
        <f ca="1">_xll.ciqfunctions.udf.CIQ($B56,"IQ_CDS_mid",L$2)</f>
        <v>41.2562</v>
      </c>
      <c r="M56">
        <f ca="1">_xll.ciqfunctions.udf.CIQ($B56,"IQ_CDS_mid",M$2)</f>
        <v>41.58</v>
      </c>
      <c r="N56">
        <f ca="1">_xll.ciqfunctions.udf.CIQ($B56,"IQ_CDS_mid",N$2)</f>
        <v>41.58</v>
      </c>
      <c r="O56">
        <f ca="1">_xll.ciqfunctions.udf.CIQ($B56,"IQ_CDS_mid",O$2)</f>
        <v>41.58</v>
      </c>
      <c r="P56">
        <f ca="1">_xll.ciqfunctions.udf.CIQ($B56,"IQ_CDS_mid",P$2)</f>
        <v>40.711100000000002</v>
      </c>
      <c r="Q56">
        <f ca="1">_xll.ciqfunctions.udf.CIQ($B56,"IQ_CDS_mid",Q$2)</f>
        <v>40.86</v>
      </c>
      <c r="R56">
        <f ca="1">_xll.ciqfunctions.udf.CIQ($B56,"IQ_CDS_mid",R$2)</f>
        <v>38.416699999999999</v>
      </c>
      <c r="S56">
        <f ca="1">_xll.ciqfunctions.udf.CIQ($B56,"IQ_CDS_mid",S$2)</f>
        <v>42.608899999999998</v>
      </c>
      <c r="T56">
        <f ca="1">C56-H56</f>
        <v>0.26269999999999527</v>
      </c>
      <c r="U56">
        <f ca="1">C56-M56</f>
        <v>0.58670000000000044</v>
      </c>
      <c r="V56">
        <f ca="1">C56-Q56</f>
        <v>1.3066999999999993</v>
      </c>
      <c r="W56">
        <f ca="1">C56-R56</f>
        <v>3.75</v>
      </c>
      <c r="X56">
        <f t="shared" ca="1" si="13"/>
        <v>-0.4421999999999997</v>
      </c>
    </row>
    <row r="57" spans="1:24" ht="15.5">
      <c r="A57" s="27" t="s">
        <v>19</v>
      </c>
      <c r="B57" s="25" t="s">
        <v>137</v>
      </c>
      <c r="C57">
        <f ca="1">_xll.ciqfunctions.udf.CIQ($B57,"IQ_CDS_mid",C$2)</f>
        <v>36.975000000000001</v>
      </c>
      <c r="D57">
        <f ca="1">_xll.ciqfunctions.udf.CIQ($B57,"IQ_CDS_mid",D$2)</f>
        <v>36.975000000000001</v>
      </c>
      <c r="E57">
        <f ca="1">_xll.ciqfunctions.udf.CIQ($B57,"IQ_CDS_mid",E$2)</f>
        <v>36.552500000000002</v>
      </c>
      <c r="F57">
        <f ca="1">_xll.ciqfunctions.udf.CIQ($B57,"IQ_CDS_mid",F$2)</f>
        <v>36.717799999999997</v>
      </c>
      <c r="G57">
        <f ca="1">_xll.ciqfunctions.udf.CIQ($B57,"IQ_CDS_mid",G$2)</f>
        <v>36.717799999999997</v>
      </c>
      <c r="H57">
        <f ca="1">_xll.ciqfunctions.udf.CIQ($B57,"IQ_CDS_mid",H$2)</f>
        <v>36.717799999999997</v>
      </c>
      <c r="I57">
        <f ca="1">_xll.ciqfunctions.udf.CIQ($B57,"IQ_CDS_mid",I$2)</f>
        <v>36.858499999999999</v>
      </c>
      <c r="J57">
        <f ca="1">_xll.ciqfunctions.udf.CIQ($B57,"IQ_CDS_mid",J$2)</f>
        <v>36.7684</v>
      </c>
      <c r="K57">
        <f ca="1">_xll.ciqfunctions.udf.CIQ($B57,"IQ_CDS_mid",K$2)</f>
        <v>36.564</v>
      </c>
      <c r="L57">
        <f ca="1">_xll.ciqfunctions.udf.CIQ($B57,"IQ_CDS_mid",L$2)</f>
        <v>35.976900000000001</v>
      </c>
      <c r="M57">
        <f ca="1">_xll.ciqfunctions.udf.CIQ($B57,"IQ_CDS_mid",M$2)</f>
        <v>35.892899999999997</v>
      </c>
      <c r="N57">
        <f ca="1">_xll.ciqfunctions.udf.CIQ($B57,"IQ_CDS_mid",N$2)</f>
        <v>35.892899999999997</v>
      </c>
      <c r="O57">
        <f ca="1">_xll.ciqfunctions.udf.CIQ($B57,"IQ_CDS_mid",O$2)</f>
        <v>35.892899999999997</v>
      </c>
      <c r="P57">
        <f ca="1">_xll.ciqfunctions.udf.CIQ($B57,"IQ_CDS_mid",P$2)</f>
        <v>35.112900000000003</v>
      </c>
      <c r="Q57">
        <f ca="1">_xll.ciqfunctions.udf.CIQ($B57,"IQ_CDS_mid",Q$2)</f>
        <v>35.137500000000003</v>
      </c>
      <c r="R57">
        <f ca="1">_xll.ciqfunctions.udf.CIQ($B57,"IQ_CDS_mid",R$2)</f>
        <v>32.5</v>
      </c>
      <c r="S57">
        <f ca="1">_xll.ciqfunctions.udf.CIQ($B57,"IQ_CDS_mid",S$2)</f>
        <v>39.46</v>
      </c>
      <c r="T57">
        <f ca="1">C57-H57</f>
        <v>0.25720000000000454</v>
      </c>
      <c r="U57">
        <f ca="1">C57-M57</f>
        <v>1.0821000000000041</v>
      </c>
      <c r="V57">
        <f ca="1">C57-Q57</f>
        <v>1.8374999999999986</v>
      </c>
      <c r="W57">
        <f ca="1">C57-R57</f>
        <v>4.4750000000000014</v>
      </c>
      <c r="X57">
        <f t="shared" ca="1" si="13"/>
        <v>-2.4849999999999994</v>
      </c>
    </row>
    <row r="58" spans="1:24" ht="15.5">
      <c r="A58" s="27" t="s">
        <v>136</v>
      </c>
      <c r="B58" s="25" t="s">
        <v>135</v>
      </c>
      <c r="C58">
        <f ca="1">_xll.ciqfunctions.udf.CIQ($B58,"IQ_CDS_mid",C$2)</f>
        <v>44.142899999999997</v>
      </c>
      <c r="D58">
        <f ca="1">_xll.ciqfunctions.udf.CIQ($B58,"IQ_CDS_mid",D$2)</f>
        <v>44.142899999999997</v>
      </c>
      <c r="E58">
        <f ca="1">_xll.ciqfunctions.udf.CIQ($B58,"IQ_CDS_mid",E$2)</f>
        <v>44.005000000000003</v>
      </c>
      <c r="F58">
        <f ca="1">_xll.ciqfunctions.udf.CIQ($B58,"IQ_CDS_mid",F$2)</f>
        <v>44.103900000000003</v>
      </c>
      <c r="G58">
        <f ca="1">_xll.ciqfunctions.udf.CIQ($B58,"IQ_CDS_mid",G$2)</f>
        <v>44.103900000000003</v>
      </c>
      <c r="H58">
        <f ca="1">_xll.ciqfunctions.udf.CIQ($B58,"IQ_CDS_mid",H$2)</f>
        <v>44.103900000000003</v>
      </c>
      <c r="I58">
        <f ca="1">_xll.ciqfunctions.udf.CIQ($B58,"IQ_CDS_mid",I$2)</f>
        <v>44.336100000000002</v>
      </c>
      <c r="J58">
        <f ca="1">_xll.ciqfunctions.udf.CIQ($B58,"IQ_CDS_mid",J$2)</f>
        <v>44.561300000000003</v>
      </c>
      <c r="K58">
        <f ca="1">_xll.ciqfunctions.udf.CIQ($B58,"IQ_CDS_mid",K$2)</f>
        <v>44.215400000000002</v>
      </c>
      <c r="L58">
        <f ca="1">_xll.ciqfunctions.udf.CIQ($B58,"IQ_CDS_mid",L$2)</f>
        <v>43.421700000000001</v>
      </c>
      <c r="M58">
        <f ca="1">_xll.ciqfunctions.udf.CIQ($B58,"IQ_CDS_mid",M$2)</f>
        <v>43.607100000000003</v>
      </c>
      <c r="N58">
        <f ca="1">_xll.ciqfunctions.udf.CIQ($B58,"IQ_CDS_mid",N$2)</f>
        <v>43.607100000000003</v>
      </c>
      <c r="O58">
        <f ca="1">_xll.ciqfunctions.udf.CIQ($B58,"IQ_CDS_mid",O$2)</f>
        <v>43.607100000000003</v>
      </c>
      <c r="P58">
        <f ca="1">_xll.ciqfunctions.udf.CIQ($B58,"IQ_CDS_mid",P$2)</f>
        <v>43.193899999999999</v>
      </c>
      <c r="Q58">
        <f ca="1">_xll.ciqfunctions.udf.CIQ($B58,"IQ_CDS_mid",Q$2)</f>
        <v>43</v>
      </c>
      <c r="R58">
        <f ca="1">_xll.ciqfunctions.udf.CIQ($B58,"IQ_CDS_mid",R$2)</f>
        <v>41.285699999999999</v>
      </c>
      <c r="S58">
        <f ca="1">_xll.ciqfunctions.udf.CIQ($B58,"IQ_CDS_mid",S$2)</f>
        <v>48.598300000000002</v>
      </c>
      <c r="T58">
        <f ca="1">C58-H58</f>
        <v>3.8999999999994373E-2</v>
      </c>
      <c r="U58">
        <f ca="1">C58-M58</f>
        <v>0.53579999999999472</v>
      </c>
      <c r="V58">
        <f ca="1">C58-Q58</f>
        <v>1.1428999999999974</v>
      </c>
      <c r="W58">
        <f ca="1">C58-R58</f>
        <v>2.8571999999999989</v>
      </c>
      <c r="X58">
        <f t="shared" ca="1" si="13"/>
        <v>-4.4554000000000045</v>
      </c>
    </row>
    <row r="59" spans="1:24" ht="15.5">
      <c r="A59" s="28" t="s">
        <v>21</v>
      </c>
      <c r="X59">
        <f t="shared" si="13"/>
        <v>0</v>
      </c>
    </row>
    <row r="60" spans="1:24" ht="15.5">
      <c r="A60" s="27" t="s">
        <v>134</v>
      </c>
      <c r="B60" s="25" t="s">
        <v>133</v>
      </c>
      <c r="C60">
        <f ca="1">_xll.ciqfunctions.udf.CIQ($B60,"IQ_CDS_mid",C$2)</f>
        <v>44.747199999999999</v>
      </c>
      <c r="D60">
        <f ca="1">_xll.ciqfunctions.udf.CIQ($B60,"IQ_CDS_mid",D$2)</f>
        <v>44.747199999999999</v>
      </c>
      <c r="E60">
        <f ca="1">_xll.ciqfunctions.udf.CIQ($B60,"IQ_CDS_mid",E$2)</f>
        <v>44.094999999999999</v>
      </c>
      <c r="F60">
        <f ca="1">_xll.ciqfunctions.udf.CIQ($B60,"IQ_CDS_mid",F$2)</f>
        <v>44.495199999999997</v>
      </c>
      <c r="G60">
        <f ca="1">_xll.ciqfunctions.udf.CIQ($B60,"IQ_CDS_mid",G$2)</f>
        <v>44.495199999999997</v>
      </c>
      <c r="H60">
        <f ca="1">_xll.ciqfunctions.udf.CIQ($B60,"IQ_CDS_mid",H$2)</f>
        <v>44.495199999999997</v>
      </c>
      <c r="I60">
        <f ca="1">_xll.ciqfunctions.udf.CIQ($B60,"IQ_CDS_mid",I$2)</f>
        <v>44.533099999999997</v>
      </c>
      <c r="J60">
        <f ca="1">_xll.ciqfunctions.udf.CIQ($B60,"IQ_CDS_mid",J$2)</f>
        <v>44.659500000000001</v>
      </c>
      <c r="K60">
        <f ca="1">_xll.ciqfunctions.udf.CIQ($B60,"IQ_CDS_mid",K$2)</f>
        <v>44.510899999999999</v>
      </c>
      <c r="L60">
        <f ca="1">_xll.ciqfunctions.udf.CIQ($B60,"IQ_CDS_mid",L$2)</f>
        <v>44.359499999999997</v>
      </c>
      <c r="M60">
        <f ca="1">_xll.ciqfunctions.udf.CIQ($B60,"IQ_CDS_mid",M$2)</f>
        <v>44.140999999999998</v>
      </c>
      <c r="N60">
        <f ca="1">_xll.ciqfunctions.udf.CIQ($B60,"IQ_CDS_mid",N$2)</f>
        <v>44.140999999999998</v>
      </c>
      <c r="O60">
        <f ca="1">_xll.ciqfunctions.udf.CIQ($B60,"IQ_CDS_mid",O$2)</f>
        <v>44.140999999999998</v>
      </c>
      <c r="P60">
        <f ca="1">_xll.ciqfunctions.udf.CIQ($B60,"IQ_CDS_mid",P$2)</f>
        <v>44.1098</v>
      </c>
      <c r="Q60">
        <f ca="1">_xll.ciqfunctions.udf.CIQ($B60,"IQ_CDS_mid",Q$2)</f>
        <v>43.959000000000003</v>
      </c>
      <c r="R60">
        <f ca="1">_xll.ciqfunctions.udf.CIQ($B60,"IQ_CDS_mid",R$2)</f>
        <v>50.068600000000004</v>
      </c>
      <c r="S60">
        <f ca="1">_xll.ciqfunctions.udf.CIQ($B60,"IQ_CDS_mid",S$2)</f>
        <v>45.212400000000002</v>
      </c>
      <c r="T60">
        <f ca="1">C60-H60</f>
        <v>0.25200000000000244</v>
      </c>
      <c r="U60">
        <f ca="1">C60-M60</f>
        <v>0.60620000000000118</v>
      </c>
      <c r="V60">
        <f ca="1">C60-Q60</f>
        <v>0.78819999999999624</v>
      </c>
      <c r="W60">
        <f ca="1">C60-R60</f>
        <v>-5.3214000000000041</v>
      </c>
      <c r="X60">
        <f t="shared" ca="1" si="13"/>
        <v>-0.46520000000000294</v>
      </c>
    </row>
    <row r="61" spans="1:24" ht="15.5">
      <c r="A61" s="27" t="s">
        <v>132</v>
      </c>
      <c r="B61" s="25" t="s">
        <v>131</v>
      </c>
      <c r="C61">
        <f ca="1">_xll.ciqfunctions.udf.CIQ($B61,"IQ_CDS_mid",C$2)</f>
        <v>0</v>
      </c>
      <c r="D61">
        <f ca="1">_xll.ciqfunctions.udf.CIQ($B61,"IQ_CDS_mid",D$2)</f>
        <v>0</v>
      </c>
      <c r="E61">
        <f ca="1">_xll.ciqfunctions.udf.CIQ($B61,"IQ_CDS_mid",E$2)</f>
        <v>0</v>
      </c>
      <c r="F61">
        <f ca="1">_xll.ciqfunctions.udf.CIQ($B61,"IQ_CDS_mid",F$2)</f>
        <v>0</v>
      </c>
      <c r="G61">
        <f ca="1">_xll.ciqfunctions.udf.CIQ($B61,"IQ_CDS_mid",G$2)</f>
        <v>0</v>
      </c>
      <c r="H61">
        <f ca="1">_xll.ciqfunctions.udf.CIQ($B61,"IQ_CDS_mid",H$2)</f>
        <v>0</v>
      </c>
      <c r="I61">
        <f ca="1">_xll.ciqfunctions.udf.CIQ($B61,"IQ_CDS_mid",I$2)</f>
        <v>0</v>
      </c>
      <c r="J61">
        <f ca="1">_xll.ciqfunctions.udf.CIQ($B61,"IQ_CDS_mid",J$2)</f>
        <v>0</v>
      </c>
      <c r="K61">
        <f ca="1">_xll.ciqfunctions.udf.CIQ($B61,"IQ_CDS_mid",K$2)</f>
        <v>0</v>
      </c>
      <c r="L61">
        <f ca="1">_xll.ciqfunctions.udf.CIQ($B61,"IQ_CDS_mid",L$2)</f>
        <v>0</v>
      </c>
      <c r="M61">
        <f ca="1">_xll.ciqfunctions.udf.CIQ($B61,"IQ_CDS_mid",M$2)</f>
        <v>0</v>
      </c>
      <c r="N61">
        <f ca="1">_xll.ciqfunctions.udf.CIQ($B61,"IQ_CDS_mid",N$2)</f>
        <v>0</v>
      </c>
      <c r="O61">
        <f ca="1">_xll.ciqfunctions.udf.CIQ($B61,"IQ_CDS_mid",O$2)</f>
        <v>0</v>
      </c>
      <c r="P61">
        <f ca="1">_xll.ciqfunctions.udf.CIQ($B61,"IQ_CDS_mid",P$2)</f>
        <v>0</v>
      </c>
      <c r="Q61">
        <f ca="1">_xll.ciqfunctions.udf.CIQ($B61,"IQ_CDS_mid",Q$2)</f>
        <v>0</v>
      </c>
      <c r="R61">
        <f ca="1">_xll.ciqfunctions.udf.CIQ($B61,"IQ_CDS_mid",R$2)</f>
        <v>0</v>
      </c>
      <c r="S61">
        <f ca="1">_xll.ciqfunctions.udf.CIQ($B61,"IQ_CDS_mid",S$2)</f>
        <v>0</v>
      </c>
      <c r="T61">
        <f ca="1">C61-H61</f>
        <v>0</v>
      </c>
      <c r="U61">
        <f ca="1">C61-M61</f>
        <v>0</v>
      </c>
      <c r="V61">
        <f ca="1">C61-Q61</f>
        <v>0</v>
      </c>
      <c r="W61">
        <f ca="1">C61-R61</f>
        <v>0</v>
      </c>
      <c r="X61">
        <f t="shared" ca="1" si="13"/>
        <v>0</v>
      </c>
    </row>
    <row r="62" spans="1:24" ht="15.5">
      <c r="A62" s="28" t="s">
        <v>23</v>
      </c>
      <c r="X62">
        <f t="shared" si="13"/>
        <v>0</v>
      </c>
    </row>
    <row r="63" spans="1:24" ht="15.5">
      <c r="A63" s="27" t="s">
        <v>24</v>
      </c>
      <c r="B63" s="25" t="s">
        <v>130</v>
      </c>
      <c r="C63">
        <f ca="1">_xll.ciqfunctions.udf.CIQ($B63,"IQ_CDS_mid",C$2)</f>
        <v>53.625</v>
      </c>
      <c r="D63">
        <f ca="1">_xll.ciqfunctions.udf.CIQ($B63,"IQ_CDS_mid",D$2)</f>
        <v>53.625</v>
      </c>
      <c r="E63">
        <f ca="1">_xll.ciqfunctions.udf.CIQ($B63,"IQ_CDS_mid",E$2)</f>
        <v>53.428600000000003</v>
      </c>
      <c r="F63">
        <f ca="1">_xll.ciqfunctions.udf.CIQ($B63,"IQ_CDS_mid",F$2)</f>
        <v>53.640900000000002</v>
      </c>
      <c r="G63">
        <f ca="1">_xll.ciqfunctions.udf.CIQ($B63,"IQ_CDS_mid",G$2)</f>
        <v>53.640900000000002</v>
      </c>
      <c r="H63">
        <f ca="1">_xll.ciqfunctions.udf.CIQ($B63,"IQ_CDS_mid",H$2)</f>
        <v>53.640900000000002</v>
      </c>
      <c r="I63">
        <f ca="1">_xll.ciqfunctions.udf.CIQ($B63,"IQ_CDS_mid",I$2)</f>
        <v>53.862200000000001</v>
      </c>
      <c r="J63">
        <f ca="1">_xll.ciqfunctions.udf.CIQ($B63,"IQ_CDS_mid",J$2)</f>
        <v>53.958399999999997</v>
      </c>
      <c r="K63">
        <f ca="1">_xll.ciqfunctions.udf.CIQ($B63,"IQ_CDS_mid",K$2)</f>
        <v>53.508099999999999</v>
      </c>
      <c r="L63">
        <f ca="1">_xll.ciqfunctions.udf.CIQ($B63,"IQ_CDS_mid",L$2)</f>
        <v>52.88</v>
      </c>
      <c r="M63">
        <f ca="1">_xll.ciqfunctions.udf.CIQ($B63,"IQ_CDS_mid",M$2)</f>
        <v>52.75</v>
      </c>
      <c r="N63">
        <f ca="1">_xll.ciqfunctions.udf.CIQ($B63,"IQ_CDS_mid",N$2)</f>
        <v>52.75</v>
      </c>
      <c r="O63">
        <f ca="1">_xll.ciqfunctions.udf.CIQ($B63,"IQ_CDS_mid",O$2)</f>
        <v>52.75</v>
      </c>
      <c r="P63">
        <f ca="1">_xll.ciqfunctions.udf.CIQ($B63,"IQ_CDS_mid",P$2)</f>
        <v>53.081800000000001</v>
      </c>
      <c r="Q63">
        <f ca="1">_xll.ciqfunctions.udf.CIQ($B63,"IQ_CDS_mid",Q$2)</f>
        <v>53.1</v>
      </c>
      <c r="R63">
        <f ca="1">_xll.ciqfunctions.udf.CIQ($B63,"IQ_CDS_mid",R$2)</f>
        <v>64.94</v>
      </c>
      <c r="S63">
        <f ca="1">_xll.ciqfunctions.udf.CIQ($B63,"IQ_CDS_mid",S$2)</f>
        <v>64.900999999999996</v>
      </c>
      <c r="T63">
        <f ca="1">C63-H63</f>
        <v>-1.5900000000002024E-2</v>
      </c>
      <c r="U63">
        <f ca="1">C63-M63</f>
        <v>0.875</v>
      </c>
      <c r="V63">
        <f ca="1">C63-Q63</f>
        <v>0.52499999999999858</v>
      </c>
      <c r="W63">
        <f ca="1">C63-R63</f>
        <v>-11.314999999999998</v>
      </c>
      <c r="X63">
        <f t="shared" ca="1" si="13"/>
        <v>-11.275999999999996</v>
      </c>
    </row>
    <row r="64" spans="1:24" ht="15.5">
      <c r="A64" s="27" t="s">
        <v>25</v>
      </c>
      <c r="B64" s="25" t="s">
        <v>129</v>
      </c>
      <c r="C64">
        <f ca="1">_xll.ciqfunctions.udf.CIQ($B64,"IQ_CDS_mid",C$2)</f>
        <v>35.4</v>
      </c>
      <c r="D64">
        <f ca="1">_xll.ciqfunctions.udf.CIQ($B64,"IQ_CDS_mid",D$2)</f>
        <v>35.4</v>
      </c>
      <c r="E64">
        <f ca="1">_xll.ciqfunctions.udf.CIQ($B64,"IQ_CDS_mid",E$2)</f>
        <v>35.625</v>
      </c>
      <c r="F64">
        <f ca="1">_xll.ciqfunctions.udf.CIQ($B64,"IQ_CDS_mid",F$2)</f>
        <v>35.656700000000001</v>
      </c>
      <c r="G64">
        <f ca="1">_xll.ciqfunctions.udf.CIQ($B64,"IQ_CDS_mid",G$2)</f>
        <v>35.656700000000001</v>
      </c>
      <c r="H64">
        <f ca="1">_xll.ciqfunctions.udf.CIQ($B64,"IQ_CDS_mid",H$2)</f>
        <v>35.656700000000001</v>
      </c>
      <c r="I64">
        <f ca="1">_xll.ciqfunctions.udf.CIQ($B64,"IQ_CDS_mid",I$2)</f>
        <v>36.068100000000001</v>
      </c>
      <c r="J64">
        <f ca="1">_xll.ciqfunctions.udf.CIQ($B64,"IQ_CDS_mid",J$2)</f>
        <v>36.200000000000003</v>
      </c>
      <c r="K64">
        <f ca="1">_xll.ciqfunctions.udf.CIQ($B64,"IQ_CDS_mid",K$2)</f>
        <v>36.014299999999999</v>
      </c>
      <c r="L64">
        <f ca="1">_xll.ciqfunctions.udf.CIQ($B64,"IQ_CDS_mid",L$2)</f>
        <v>35.332500000000003</v>
      </c>
      <c r="M64">
        <f ca="1">_xll.ciqfunctions.udf.CIQ($B64,"IQ_CDS_mid",M$2)</f>
        <v>35.108800000000002</v>
      </c>
      <c r="N64">
        <f ca="1">_xll.ciqfunctions.udf.CIQ($B64,"IQ_CDS_mid",N$2)</f>
        <v>35.108800000000002</v>
      </c>
      <c r="O64">
        <f ca="1">_xll.ciqfunctions.udf.CIQ($B64,"IQ_CDS_mid",O$2)</f>
        <v>35.108800000000002</v>
      </c>
      <c r="P64">
        <f ca="1">_xll.ciqfunctions.udf.CIQ($B64,"IQ_CDS_mid",P$2)</f>
        <v>35.654600000000002</v>
      </c>
      <c r="Q64">
        <f ca="1">_xll.ciqfunctions.udf.CIQ($B64,"IQ_CDS_mid",Q$2)</f>
        <v>35.460999999999999</v>
      </c>
      <c r="R64">
        <f ca="1">_xll.ciqfunctions.udf.CIQ($B64,"IQ_CDS_mid",R$2)</f>
        <v>41.341700000000003</v>
      </c>
      <c r="S64">
        <f ca="1">_xll.ciqfunctions.udf.CIQ($B64,"IQ_CDS_mid",S$2)</f>
        <v>45.788899999999998</v>
      </c>
      <c r="T64">
        <f ca="1">C64-H64</f>
        <v>-0.25670000000000215</v>
      </c>
      <c r="U64">
        <f ca="1">C64-M64</f>
        <v>0.29119999999999635</v>
      </c>
      <c r="V64">
        <f ca="1">C64-Q64</f>
        <v>-6.0999999999999943E-2</v>
      </c>
      <c r="W64">
        <f ca="1">C64-R64</f>
        <v>-5.9417000000000044</v>
      </c>
      <c r="X64">
        <f t="shared" ca="1" si="13"/>
        <v>-10.3889</v>
      </c>
    </row>
    <row r="65" spans="1:24" ht="15.5">
      <c r="A65" s="27" t="s">
        <v>26</v>
      </c>
      <c r="B65" s="25" t="s">
        <v>128</v>
      </c>
      <c r="C65">
        <f ca="1">_xll.ciqfunctions.udf.CIQ($B65,"IQ_CDS_mid",C$2)</f>
        <v>51.5625</v>
      </c>
      <c r="D65">
        <f ca="1">_xll.ciqfunctions.udf.CIQ($B65,"IQ_CDS_mid",D$2)</f>
        <v>51.5625</v>
      </c>
      <c r="E65">
        <f ca="1">_xll.ciqfunctions.udf.CIQ($B65,"IQ_CDS_mid",E$2)</f>
        <v>51.5</v>
      </c>
      <c r="F65">
        <f ca="1">_xll.ciqfunctions.udf.CIQ($B65,"IQ_CDS_mid",F$2)</f>
        <v>51.6462</v>
      </c>
      <c r="G65">
        <f ca="1">_xll.ciqfunctions.udf.CIQ($B65,"IQ_CDS_mid",G$2)</f>
        <v>51.6462</v>
      </c>
      <c r="H65">
        <f ca="1">_xll.ciqfunctions.udf.CIQ($B65,"IQ_CDS_mid",H$2)</f>
        <v>51.6462</v>
      </c>
      <c r="I65">
        <f ca="1">_xll.ciqfunctions.udf.CIQ($B65,"IQ_CDS_mid",I$2)</f>
        <v>51.848399999999998</v>
      </c>
      <c r="J65">
        <f ca="1">_xll.ciqfunctions.udf.CIQ($B65,"IQ_CDS_mid",J$2)</f>
        <v>52.226300000000002</v>
      </c>
      <c r="K65">
        <f ca="1">_xll.ciqfunctions.udf.CIQ($B65,"IQ_CDS_mid",K$2)</f>
        <v>51.746600000000001</v>
      </c>
      <c r="L65">
        <f ca="1">_xll.ciqfunctions.udf.CIQ($B65,"IQ_CDS_mid",L$2)</f>
        <v>50.981099999999998</v>
      </c>
      <c r="M65">
        <f ca="1">_xll.ciqfunctions.udf.CIQ($B65,"IQ_CDS_mid",M$2)</f>
        <v>51</v>
      </c>
      <c r="N65">
        <f ca="1">_xll.ciqfunctions.udf.CIQ($B65,"IQ_CDS_mid",N$2)</f>
        <v>51</v>
      </c>
      <c r="O65">
        <f ca="1">_xll.ciqfunctions.udf.CIQ($B65,"IQ_CDS_mid",O$2)</f>
        <v>51</v>
      </c>
      <c r="P65">
        <f ca="1">_xll.ciqfunctions.udf.CIQ($B65,"IQ_CDS_mid",P$2)</f>
        <v>50.931100000000001</v>
      </c>
      <c r="Q65">
        <f ca="1">_xll.ciqfunctions.udf.CIQ($B65,"IQ_CDS_mid",Q$2)</f>
        <v>50.8125</v>
      </c>
      <c r="R65">
        <f ca="1">_xll.ciqfunctions.udf.CIQ($B65,"IQ_CDS_mid",R$2)</f>
        <v>57.465000000000003</v>
      </c>
      <c r="S65">
        <f ca="1">_xll.ciqfunctions.udf.CIQ($B65,"IQ_CDS_mid",S$2)</f>
        <v>56.947200000000002</v>
      </c>
      <c r="T65">
        <f ca="1">C65-H65</f>
        <v>-8.370000000000033E-2</v>
      </c>
      <c r="U65">
        <f ca="1">C65-M65</f>
        <v>0.5625</v>
      </c>
      <c r="V65">
        <f ca="1">C65-Q65</f>
        <v>0.75</v>
      </c>
      <c r="W65">
        <f ca="1">C65-R65</f>
        <v>-5.9025000000000034</v>
      </c>
      <c r="X65">
        <f t="shared" ca="1" si="13"/>
        <v>-5.3847000000000023</v>
      </c>
    </row>
    <row r="66" spans="1:24" ht="15.5">
      <c r="A66" s="27" t="s">
        <v>127</v>
      </c>
      <c r="B66" s="25" t="s">
        <v>126</v>
      </c>
      <c r="C66">
        <f ca="1">_xll.ciqfunctions.udf.CIQ($B66,"IQ_CDS_mid",C$2)</f>
        <v>38.541699999999999</v>
      </c>
      <c r="D66">
        <f ca="1">_xll.ciqfunctions.udf.CIQ($B66,"IQ_CDS_mid",D$2)</f>
        <v>38.541699999999999</v>
      </c>
      <c r="E66">
        <f ca="1">_xll.ciqfunctions.udf.CIQ($B66,"IQ_CDS_mid",E$2)</f>
        <v>38.65</v>
      </c>
      <c r="F66">
        <f ca="1">_xll.ciqfunctions.udf.CIQ($B66,"IQ_CDS_mid",F$2)</f>
        <v>38.715200000000003</v>
      </c>
      <c r="G66">
        <f ca="1">_xll.ciqfunctions.udf.CIQ($B66,"IQ_CDS_mid",G$2)</f>
        <v>38.715200000000003</v>
      </c>
      <c r="H66">
        <f ca="1">_xll.ciqfunctions.udf.CIQ($B66,"IQ_CDS_mid",H$2)</f>
        <v>38.715200000000003</v>
      </c>
      <c r="I66">
        <f ca="1">_xll.ciqfunctions.udf.CIQ($B66,"IQ_CDS_mid",I$2)</f>
        <v>38.8598</v>
      </c>
      <c r="J66">
        <f ca="1">_xll.ciqfunctions.udf.CIQ($B66,"IQ_CDS_mid",J$2)</f>
        <v>39.113399999999999</v>
      </c>
      <c r="K66">
        <f ca="1">_xll.ciqfunctions.udf.CIQ($B66,"IQ_CDS_mid",K$2)</f>
        <v>38.820300000000003</v>
      </c>
      <c r="L66">
        <f ca="1">_xll.ciqfunctions.udf.CIQ($B66,"IQ_CDS_mid",L$2)</f>
        <v>38.234099999999998</v>
      </c>
      <c r="M66">
        <f ca="1">_xll.ciqfunctions.udf.CIQ($B66,"IQ_CDS_mid",M$2)</f>
        <v>38.245899999999999</v>
      </c>
      <c r="N66">
        <f ca="1">_xll.ciqfunctions.udf.CIQ($B66,"IQ_CDS_mid",N$2)</f>
        <v>38.245899999999999</v>
      </c>
      <c r="O66">
        <f ca="1">_xll.ciqfunctions.udf.CIQ($B66,"IQ_CDS_mid",O$2)</f>
        <v>38.245899999999999</v>
      </c>
      <c r="P66">
        <f ca="1">_xll.ciqfunctions.udf.CIQ($B66,"IQ_CDS_mid",P$2)</f>
        <v>38.139499999999998</v>
      </c>
      <c r="Q66">
        <f ca="1">_xll.ciqfunctions.udf.CIQ($B66,"IQ_CDS_mid",Q$2)</f>
        <v>37.7455</v>
      </c>
      <c r="R66">
        <f ca="1">_xll.ciqfunctions.udf.CIQ($B66,"IQ_CDS_mid",R$2)</f>
        <v>46.886200000000002</v>
      </c>
      <c r="S66">
        <f ca="1">_xll.ciqfunctions.udf.CIQ($B66,"IQ_CDS_mid",S$2)</f>
        <v>53.371400000000001</v>
      </c>
      <c r="T66">
        <f ca="1">C66-H66</f>
        <v>-0.17350000000000421</v>
      </c>
      <c r="U66">
        <f ca="1">C66-M66</f>
        <v>0.29579999999999984</v>
      </c>
      <c r="V66">
        <f ca="1">C66-Q66</f>
        <v>0.79619999999999891</v>
      </c>
      <c r="W66">
        <f ca="1">C66-R66</f>
        <v>-8.3445000000000036</v>
      </c>
      <c r="X66">
        <f t="shared" ca="1" si="13"/>
        <v>-14.829700000000003</v>
      </c>
    </row>
    <row r="67" spans="1:24" ht="15.5">
      <c r="A67" s="28" t="s">
        <v>28</v>
      </c>
      <c r="X67">
        <f t="shared" si="13"/>
        <v>0</v>
      </c>
    </row>
    <row r="68" spans="1:24" ht="15.5">
      <c r="A68" s="27" t="s">
        <v>125</v>
      </c>
      <c r="B68" s="25" t="s">
        <v>124</v>
      </c>
      <c r="C68">
        <f ca="1">_xll.ciqfunctions.udf.CIQ($B68,"IQ_CDS_mid",C$2)</f>
        <v>43.9</v>
      </c>
      <c r="D68">
        <f ca="1">_xll.ciqfunctions.udf.CIQ($B68,"IQ_CDS_mid",D$2)</f>
        <v>43.9</v>
      </c>
      <c r="E68">
        <f ca="1">_xll.ciqfunctions.udf.CIQ($B68,"IQ_CDS_mid",E$2)</f>
        <v>43.9</v>
      </c>
      <c r="F68">
        <f ca="1">_xll.ciqfunctions.udf.CIQ($B68,"IQ_CDS_mid",F$2)</f>
        <v>43.9619</v>
      </c>
      <c r="G68">
        <f ca="1">_xll.ciqfunctions.udf.CIQ($B68,"IQ_CDS_mid",G$2)</f>
        <v>43.9619</v>
      </c>
      <c r="H68">
        <f ca="1">_xll.ciqfunctions.udf.CIQ($B68,"IQ_CDS_mid",H$2)</f>
        <v>43.9619</v>
      </c>
      <c r="I68">
        <f ca="1">_xll.ciqfunctions.udf.CIQ($B68,"IQ_CDS_mid",I$2)</f>
        <v>44.1</v>
      </c>
      <c r="J68">
        <f ca="1">_xll.ciqfunctions.udf.CIQ($B68,"IQ_CDS_mid",J$2)</f>
        <v>44.45</v>
      </c>
      <c r="K68">
        <f ca="1">_xll.ciqfunctions.udf.CIQ($B68,"IQ_CDS_mid",K$2)</f>
        <v>44.398899999999998</v>
      </c>
      <c r="L68">
        <f ca="1">_xll.ciqfunctions.udf.CIQ($B68,"IQ_CDS_mid",L$2)</f>
        <v>43.842199999999998</v>
      </c>
      <c r="M68">
        <f ca="1">_xll.ciqfunctions.udf.CIQ($B68,"IQ_CDS_mid",M$2)</f>
        <v>43.8</v>
      </c>
      <c r="N68">
        <f ca="1">_xll.ciqfunctions.udf.CIQ($B68,"IQ_CDS_mid",N$2)</f>
        <v>43.8</v>
      </c>
      <c r="O68">
        <f ca="1">_xll.ciqfunctions.udf.CIQ($B68,"IQ_CDS_mid",O$2)</f>
        <v>43.8</v>
      </c>
      <c r="P68">
        <f ca="1">_xll.ciqfunctions.udf.CIQ($B68,"IQ_CDS_mid",P$2)</f>
        <v>43.8</v>
      </c>
      <c r="Q68">
        <f ca="1">_xll.ciqfunctions.udf.CIQ($B68,"IQ_CDS_mid",Q$2)</f>
        <v>43.624400000000001</v>
      </c>
      <c r="R68">
        <f ca="1">_xll.ciqfunctions.udf.CIQ($B68,"IQ_CDS_mid",R$2)</f>
        <v>53</v>
      </c>
      <c r="S68">
        <f ca="1">_xll.ciqfunctions.udf.CIQ($B68,"IQ_CDS_mid",S$2)</f>
        <v>53.709200000000003</v>
      </c>
      <c r="T68">
        <f ca="1">C68-H68</f>
        <v>-6.1900000000001398E-2</v>
      </c>
      <c r="U68">
        <f ca="1">C68-M68</f>
        <v>0.10000000000000142</v>
      </c>
      <c r="V68">
        <f ca="1">C68-Q68</f>
        <v>0.27559999999999718</v>
      </c>
      <c r="W68">
        <f ca="1">C68-R68</f>
        <v>-9.1000000000000014</v>
      </c>
      <c r="X68">
        <f t="shared" ca="1" si="13"/>
        <v>-9.8092000000000041</v>
      </c>
    </row>
    <row r="69" spans="1:24" ht="15.5">
      <c r="A69" s="29" t="s">
        <v>30</v>
      </c>
      <c r="B69" s="25" t="s">
        <v>123</v>
      </c>
      <c r="C69">
        <f ca="1">_xll.ciqfunctions.udf.CIQ($B69,"IQ_CDS_mid",C$2)</f>
        <v>32.799999999999997</v>
      </c>
      <c r="D69">
        <f ca="1">_xll.ciqfunctions.udf.CIQ($B69,"IQ_CDS_mid",D$2)</f>
        <v>32.799999999999997</v>
      </c>
      <c r="E69">
        <f ca="1">_xll.ciqfunctions.udf.CIQ($B69,"IQ_CDS_mid",E$2)</f>
        <v>32.85</v>
      </c>
      <c r="F69">
        <f ca="1">_xll.ciqfunctions.udf.CIQ($B69,"IQ_CDS_mid",F$2)</f>
        <v>33.049999999999997</v>
      </c>
      <c r="G69">
        <f ca="1">_xll.ciqfunctions.udf.CIQ($B69,"IQ_CDS_mid",G$2)</f>
        <v>33.049999999999997</v>
      </c>
      <c r="H69">
        <f ca="1">_xll.ciqfunctions.udf.CIQ($B69,"IQ_CDS_mid",H$2)</f>
        <v>33.049999999999997</v>
      </c>
      <c r="I69">
        <f ca="1">_xll.ciqfunctions.udf.CIQ($B69,"IQ_CDS_mid",I$2)</f>
        <v>32.950000000000003</v>
      </c>
      <c r="J69">
        <f ca="1">_xll.ciqfunctions.udf.CIQ($B69,"IQ_CDS_mid",J$2)</f>
        <v>33.416699999999999</v>
      </c>
      <c r="K69">
        <f ca="1">_xll.ciqfunctions.udf.CIQ($B69,"IQ_CDS_mid",K$2)</f>
        <v>33.416699999999999</v>
      </c>
      <c r="L69">
        <f ca="1">_xll.ciqfunctions.udf.CIQ($B69,"IQ_CDS_mid",L$2)</f>
        <v>33.486899999999999</v>
      </c>
      <c r="M69">
        <f ca="1">_xll.ciqfunctions.udf.CIQ($B69,"IQ_CDS_mid",M$2)</f>
        <v>33.083300000000001</v>
      </c>
      <c r="N69">
        <f ca="1">_xll.ciqfunctions.udf.CIQ($B69,"IQ_CDS_mid",N$2)</f>
        <v>33.083300000000001</v>
      </c>
      <c r="O69">
        <f ca="1">_xll.ciqfunctions.udf.CIQ($B69,"IQ_CDS_mid",O$2)</f>
        <v>33.083300000000001</v>
      </c>
      <c r="P69">
        <f ca="1">_xll.ciqfunctions.udf.CIQ($B69,"IQ_CDS_mid",P$2)</f>
        <v>33.375</v>
      </c>
      <c r="Q69">
        <f ca="1">_xll.ciqfunctions.udf.CIQ($B69,"IQ_CDS_mid",Q$2)</f>
        <v>32.8125</v>
      </c>
      <c r="R69">
        <f ca="1">_xll.ciqfunctions.udf.CIQ($B69,"IQ_CDS_mid",R$2)</f>
        <v>40.833300000000001</v>
      </c>
      <c r="S69">
        <f ca="1">_xll.ciqfunctions.udf.CIQ($B69,"IQ_CDS_mid",S$2)</f>
        <v>43.041600000000003</v>
      </c>
      <c r="T69">
        <f ca="1">C69-H69</f>
        <v>-0.25</v>
      </c>
      <c r="U69">
        <f ca="1">C69-M69</f>
        <v>-0.2833000000000041</v>
      </c>
      <c r="V69">
        <f ca="1">C69-Q69</f>
        <v>-1.2500000000002842E-2</v>
      </c>
      <c r="W69">
        <f ca="1">C69-R69</f>
        <v>-8.0333000000000041</v>
      </c>
      <c r="X69">
        <f t="shared" ca="1" si="13"/>
        <v>-10.241600000000005</v>
      </c>
    </row>
    <row r="70" spans="1:24" ht="15.5">
      <c r="A70" s="28" t="s">
        <v>31</v>
      </c>
      <c r="B70" s="25"/>
      <c r="X70">
        <f t="shared" si="13"/>
        <v>0</v>
      </c>
    </row>
    <row r="71" spans="1:24" ht="15.5">
      <c r="A71" s="29" t="s">
        <v>32</v>
      </c>
      <c r="B71" s="25" t="s">
        <v>122</v>
      </c>
      <c r="C71">
        <f ca="1">_xll.ciqfunctions.udf.CIQ($B71,"IQ_CDS_mid",C$2)</f>
        <v>23.466699999999999</v>
      </c>
      <c r="D71">
        <f ca="1">_xll.ciqfunctions.udf.CIQ($B71,"IQ_CDS_mid",D$2)</f>
        <v>23.466699999999999</v>
      </c>
      <c r="E71">
        <f ca="1">_xll.ciqfunctions.udf.CIQ($B71,"IQ_CDS_mid",E$2)</f>
        <v>23.824999999999999</v>
      </c>
      <c r="F71">
        <f ca="1">_xll.ciqfunctions.udf.CIQ($B71,"IQ_CDS_mid",F$2)</f>
        <v>23.078700000000001</v>
      </c>
      <c r="G71">
        <f ca="1">_xll.ciqfunctions.udf.CIQ($B71,"IQ_CDS_mid",G$2)</f>
        <v>23.078700000000001</v>
      </c>
      <c r="H71">
        <f ca="1">_xll.ciqfunctions.udf.CIQ($B71,"IQ_CDS_mid",H$2)</f>
        <v>23.078700000000001</v>
      </c>
      <c r="I71">
        <f ca="1">_xll.ciqfunctions.udf.CIQ($B71,"IQ_CDS_mid",I$2)</f>
        <v>23.7</v>
      </c>
      <c r="J71">
        <f ca="1">_xll.ciqfunctions.udf.CIQ($B71,"IQ_CDS_mid",J$2)</f>
        <v>24.007100000000001</v>
      </c>
      <c r="K71">
        <f ca="1">_xll.ciqfunctions.udf.CIQ($B71,"IQ_CDS_mid",K$2)</f>
        <v>23.47</v>
      </c>
      <c r="L71">
        <f ca="1">_xll.ciqfunctions.udf.CIQ($B71,"IQ_CDS_mid",L$2)</f>
        <v>23.620899999999999</v>
      </c>
      <c r="M71">
        <f ca="1">_xll.ciqfunctions.udf.CIQ($B71,"IQ_CDS_mid",M$2)</f>
        <v>23.324999999999999</v>
      </c>
      <c r="N71">
        <f ca="1">_xll.ciqfunctions.udf.CIQ($B71,"IQ_CDS_mid",N$2)</f>
        <v>23.324999999999999</v>
      </c>
      <c r="O71">
        <f ca="1">_xll.ciqfunctions.udf.CIQ($B71,"IQ_CDS_mid",O$2)</f>
        <v>23.324999999999999</v>
      </c>
      <c r="P71">
        <f ca="1">_xll.ciqfunctions.udf.CIQ($B71,"IQ_CDS_mid",P$2)</f>
        <v>23.433299999999999</v>
      </c>
      <c r="Q71">
        <f ca="1">_xll.ciqfunctions.udf.CIQ($B71,"IQ_CDS_mid",Q$2)</f>
        <v>23.324300000000001</v>
      </c>
      <c r="R71">
        <f ca="1">_xll.ciqfunctions.udf.CIQ($B71,"IQ_CDS_mid",R$2)</f>
        <v>26.3</v>
      </c>
      <c r="S71">
        <f ca="1">_xll.ciqfunctions.udf.CIQ($B71,"IQ_CDS_mid",S$2)</f>
        <v>33.842300000000002</v>
      </c>
      <c r="T71">
        <f ca="1">C71-H71</f>
        <v>0.38799999999999812</v>
      </c>
      <c r="U71">
        <f ca="1">C71-M71</f>
        <v>0.14170000000000016</v>
      </c>
      <c r="V71">
        <f ca="1">C71-Q71</f>
        <v>0.14239999999999853</v>
      </c>
      <c r="W71">
        <f ca="1">C71-R71</f>
        <v>-2.8333000000000013</v>
      </c>
      <c r="X71">
        <f t="shared" ca="1" si="13"/>
        <v>-10.375600000000002</v>
      </c>
    </row>
    <row r="72" spans="1:24" ht="15.5">
      <c r="A72" s="28" t="s">
        <v>33</v>
      </c>
      <c r="X72">
        <f t="shared" si="13"/>
        <v>0</v>
      </c>
    </row>
    <row r="73" spans="1:24" ht="15.5">
      <c r="A73" s="27" t="s">
        <v>35</v>
      </c>
      <c r="B73" s="25" t="s">
        <v>121</v>
      </c>
      <c r="C73">
        <f ca="1">_xll.ciqfunctions.udf.CIQ($B73,"IQ_CDS_mid",C$2)</f>
        <v>39.697600000000001</v>
      </c>
      <c r="D73">
        <f ca="1">_xll.ciqfunctions.udf.CIQ($B73,"IQ_CDS_mid",D$2)</f>
        <v>39.697600000000001</v>
      </c>
      <c r="E73">
        <f ca="1">_xll.ciqfunctions.udf.CIQ($B73,"IQ_CDS_mid",E$2)</f>
        <v>39.8018</v>
      </c>
      <c r="F73">
        <f ca="1">_xll.ciqfunctions.udf.CIQ($B73,"IQ_CDS_mid",F$2)</f>
        <v>39.399700000000003</v>
      </c>
      <c r="G73">
        <f ca="1">_xll.ciqfunctions.udf.CIQ($B73,"IQ_CDS_mid",G$2)</f>
        <v>39.399700000000003</v>
      </c>
      <c r="H73">
        <f ca="1">_xll.ciqfunctions.udf.CIQ($B73,"IQ_CDS_mid",H$2)</f>
        <v>39.399700000000003</v>
      </c>
      <c r="I73">
        <f ca="1">_xll.ciqfunctions.udf.CIQ($B73,"IQ_CDS_mid",I$2)</f>
        <v>39.1999</v>
      </c>
      <c r="J73">
        <f ca="1">_xll.ciqfunctions.udf.CIQ($B73,"IQ_CDS_mid",J$2)</f>
        <v>38.771500000000003</v>
      </c>
      <c r="K73">
        <f ca="1">_xll.ciqfunctions.udf.CIQ($B73,"IQ_CDS_mid",K$2)</f>
        <v>39.015799999999999</v>
      </c>
      <c r="L73">
        <f ca="1">_xll.ciqfunctions.udf.CIQ($B73,"IQ_CDS_mid",L$2)</f>
        <v>39.427</v>
      </c>
      <c r="M73">
        <f ca="1">_xll.ciqfunctions.udf.CIQ($B73,"IQ_CDS_mid",M$2)</f>
        <v>39.293900000000001</v>
      </c>
      <c r="N73">
        <f ca="1">_xll.ciqfunctions.udf.CIQ($B73,"IQ_CDS_mid",N$2)</f>
        <v>39.293900000000001</v>
      </c>
      <c r="O73">
        <f ca="1">_xll.ciqfunctions.udf.CIQ($B73,"IQ_CDS_mid",O$2)</f>
        <v>39.293900000000001</v>
      </c>
      <c r="P73">
        <f ca="1">_xll.ciqfunctions.udf.CIQ($B73,"IQ_CDS_mid",P$2)</f>
        <v>39.775300000000001</v>
      </c>
      <c r="Q73">
        <f ca="1">_xll.ciqfunctions.udf.CIQ($B73,"IQ_CDS_mid",Q$2)</f>
        <v>40.444000000000003</v>
      </c>
      <c r="R73">
        <f ca="1">_xll.ciqfunctions.udf.CIQ($B73,"IQ_CDS_mid",R$2)</f>
        <v>39.950600000000001</v>
      </c>
      <c r="S73">
        <f ca="1">_xll.ciqfunctions.udf.CIQ($B73,"IQ_CDS_mid",S$2)</f>
        <v>34.029000000000003</v>
      </c>
      <c r="T73">
        <f ca="1">C73-H73</f>
        <v>0.2978999999999985</v>
      </c>
      <c r="U73">
        <f ca="1">C73-M73</f>
        <v>0.40370000000000061</v>
      </c>
      <c r="V73">
        <f ca="1">C73-Q73</f>
        <v>-0.74640000000000128</v>
      </c>
      <c r="W73">
        <f ca="1">C73-R73</f>
        <v>-0.25300000000000011</v>
      </c>
      <c r="X73">
        <f t="shared" ca="1" si="13"/>
        <v>5.6685999999999979</v>
      </c>
    </row>
    <row r="74" spans="1:24" ht="15.5">
      <c r="A74" s="27" t="s">
        <v>36</v>
      </c>
      <c r="B74" s="25" t="s">
        <v>120</v>
      </c>
      <c r="C74">
        <f ca="1">_xll.ciqfunctions.udf.CIQ($B74,"IQ_CDS_mid",C$2)</f>
        <v>41.086399999999998</v>
      </c>
      <c r="D74">
        <f ca="1">_xll.ciqfunctions.udf.CIQ($B74,"IQ_CDS_mid",D$2)</f>
        <v>41.086399999999998</v>
      </c>
      <c r="E74">
        <f ca="1">_xll.ciqfunctions.udf.CIQ($B74,"IQ_CDS_mid",E$2)</f>
        <v>40.249899999999997</v>
      </c>
      <c r="F74">
        <f ca="1">_xll.ciqfunctions.udf.CIQ($B74,"IQ_CDS_mid",F$2)</f>
        <v>40.6417</v>
      </c>
      <c r="G74">
        <f ca="1">_xll.ciqfunctions.udf.CIQ($B74,"IQ_CDS_mid",G$2)</f>
        <v>40.6417</v>
      </c>
      <c r="H74">
        <f ca="1">_xll.ciqfunctions.udf.CIQ($B74,"IQ_CDS_mid",H$2)</f>
        <v>40.6417</v>
      </c>
      <c r="I74">
        <f ca="1">_xll.ciqfunctions.udf.CIQ($B74,"IQ_CDS_mid",I$2)</f>
        <v>40.654299999999999</v>
      </c>
      <c r="J74">
        <f ca="1">_xll.ciqfunctions.udf.CIQ($B74,"IQ_CDS_mid",J$2)</f>
        <v>40.610500000000002</v>
      </c>
      <c r="K74">
        <f ca="1">_xll.ciqfunctions.udf.CIQ($B74,"IQ_CDS_mid",K$2)</f>
        <v>40.592700000000001</v>
      </c>
      <c r="L74">
        <f ca="1">_xll.ciqfunctions.udf.CIQ($B74,"IQ_CDS_mid",L$2)</f>
        <v>40.298499999999997</v>
      </c>
      <c r="M74">
        <f ca="1">_xll.ciqfunctions.udf.CIQ($B74,"IQ_CDS_mid",M$2)</f>
        <v>41.637599999999999</v>
      </c>
      <c r="N74">
        <f ca="1">_xll.ciqfunctions.udf.CIQ($B74,"IQ_CDS_mid",N$2)</f>
        <v>41.637599999999999</v>
      </c>
      <c r="O74">
        <f ca="1">_xll.ciqfunctions.udf.CIQ($B74,"IQ_CDS_mid",O$2)</f>
        <v>41.637599999999999</v>
      </c>
      <c r="P74">
        <f ca="1">_xll.ciqfunctions.udf.CIQ($B74,"IQ_CDS_mid",P$2)</f>
        <v>41.443300000000001</v>
      </c>
      <c r="Q74">
        <f ca="1">_xll.ciqfunctions.udf.CIQ($B74,"IQ_CDS_mid",Q$2)</f>
        <v>41.639600000000002</v>
      </c>
      <c r="R74">
        <f ca="1">_xll.ciqfunctions.udf.CIQ($B74,"IQ_CDS_mid",R$2)</f>
        <v>43.667299999999997</v>
      </c>
      <c r="S74">
        <f ca="1">_xll.ciqfunctions.udf.CIQ($B74,"IQ_CDS_mid",S$2)</f>
        <v>27.794599999999999</v>
      </c>
      <c r="T74">
        <f ca="1">C74-H74</f>
        <v>0.44469999999999743</v>
      </c>
      <c r="U74">
        <f ca="1">C74-M74</f>
        <v>-0.55120000000000147</v>
      </c>
      <c r="V74">
        <f ca="1">C74-Q74</f>
        <v>-0.55320000000000391</v>
      </c>
      <c r="W74">
        <f ca="1">C74-R74</f>
        <v>-2.5808999999999997</v>
      </c>
      <c r="X74">
        <f t="shared" ca="1" si="13"/>
        <v>13.291799999999999</v>
      </c>
    </row>
    <row r="75" spans="1:24" ht="15.5">
      <c r="A75" s="27" t="s">
        <v>37</v>
      </c>
      <c r="B75" s="25" t="s">
        <v>119</v>
      </c>
      <c r="C75">
        <f ca="1">_xll.ciqfunctions.udf.CIQ($B75,"IQ_CDS_mid",C$2)</f>
        <v>53.200699999999998</v>
      </c>
      <c r="D75">
        <f ca="1">_xll.ciqfunctions.udf.CIQ($B75,"IQ_CDS_mid",D$2)</f>
        <v>53.200699999999998</v>
      </c>
      <c r="E75">
        <f ca="1">_xll.ciqfunctions.udf.CIQ($B75,"IQ_CDS_mid",E$2)</f>
        <v>54.026000000000003</v>
      </c>
      <c r="F75">
        <f ca="1">_xll.ciqfunctions.udf.CIQ($B75,"IQ_CDS_mid",F$2)</f>
        <v>54.065899999999999</v>
      </c>
      <c r="G75">
        <f ca="1">_xll.ciqfunctions.udf.CIQ($B75,"IQ_CDS_mid",G$2)</f>
        <v>54.065899999999999</v>
      </c>
      <c r="H75">
        <f ca="1">_xll.ciqfunctions.udf.CIQ($B75,"IQ_CDS_mid",H$2)</f>
        <v>54.065899999999999</v>
      </c>
      <c r="I75">
        <f ca="1">_xll.ciqfunctions.udf.CIQ($B75,"IQ_CDS_mid",I$2)</f>
        <v>54.035600000000002</v>
      </c>
      <c r="J75">
        <f ca="1">_xll.ciqfunctions.udf.CIQ($B75,"IQ_CDS_mid",J$2)</f>
        <v>53.9208</v>
      </c>
      <c r="K75">
        <f ca="1">_xll.ciqfunctions.udf.CIQ($B75,"IQ_CDS_mid",K$2)</f>
        <v>53.9328</v>
      </c>
      <c r="L75">
        <f ca="1">_xll.ciqfunctions.udf.CIQ($B75,"IQ_CDS_mid",L$2)</f>
        <v>53.968400000000003</v>
      </c>
      <c r="M75">
        <f ca="1">_xll.ciqfunctions.udf.CIQ($B75,"IQ_CDS_mid",M$2)</f>
        <v>53.971899999999998</v>
      </c>
      <c r="N75">
        <f ca="1">_xll.ciqfunctions.udf.CIQ($B75,"IQ_CDS_mid",N$2)</f>
        <v>53.971899999999998</v>
      </c>
      <c r="O75">
        <f ca="1">_xll.ciqfunctions.udf.CIQ($B75,"IQ_CDS_mid",O$2)</f>
        <v>53.971899999999998</v>
      </c>
      <c r="P75">
        <f ca="1">_xll.ciqfunctions.udf.CIQ($B75,"IQ_CDS_mid",P$2)</f>
        <v>53.980699999999999</v>
      </c>
      <c r="Q75">
        <f ca="1">_xll.ciqfunctions.udf.CIQ($B75,"IQ_CDS_mid",Q$2)</f>
        <v>53.9968</v>
      </c>
      <c r="R75">
        <f ca="1">_xll.ciqfunctions.udf.CIQ($B75,"IQ_CDS_mid",R$2)</f>
        <v>44.276000000000003</v>
      </c>
      <c r="S75">
        <f ca="1">_xll.ciqfunctions.udf.CIQ($B75,"IQ_CDS_mid",S$2)</f>
        <v>55.084299999999999</v>
      </c>
      <c r="T75">
        <f ca="1">C75-H75</f>
        <v>-0.86520000000000152</v>
      </c>
      <c r="U75">
        <f ca="1">C75-M75</f>
        <v>-0.77120000000000033</v>
      </c>
      <c r="V75">
        <f ca="1">C75-Q75</f>
        <v>-0.79610000000000269</v>
      </c>
      <c r="W75">
        <f ca="1">C75-R75</f>
        <v>8.9246999999999943</v>
      </c>
      <c r="X75">
        <f t="shared" ca="1" si="13"/>
        <v>-1.8836000000000013</v>
      </c>
    </row>
    <row r="76" spans="1:24" ht="15.5">
      <c r="A76" s="29" t="s">
        <v>38</v>
      </c>
      <c r="B76" s="25" t="s">
        <v>118</v>
      </c>
      <c r="C76">
        <f ca="1">_xll.ciqfunctions.udf.CIQ($B76,"IQ_CDS_mid",C$2)</f>
        <v>62.576500000000003</v>
      </c>
      <c r="D76">
        <f ca="1">_xll.ciqfunctions.udf.CIQ($B76,"IQ_CDS_mid",D$2)</f>
        <v>62.576500000000003</v>
      </c>
      <c r="E76">
        <f ca="1">_xll.ciqfunctions.udf.CIQ($B76,"IQ_CDS_mid",E$2)</f>
        <v>62.089100000000002</v>
      </c>
      <c r="F76">
        <f ca="1">_xll.ciqfunctions.udf.CIQ($B76,"IQ_CDS_mid",F$2)</f>
        <v>62.069499999999998</v>
      </c>
      <c r="G76">
        <f ca="1">_xll.ciqfunctions.udf.CIQ($B76,"IQ_CDS_mid",G$2)</f>
        <v>62.069499999999998</v>
      </c>
      <c r="H76">
        <f ca="1">_xll.ciqfunctions.udf.CIQ($B76,"IQ_CDS_mid",H$2)</f>
        <v>62.069499999999998</v>
      </c>
      <c r="I76">
        <f ca="1">_xll.ciqfunctions.udf.CIQ($B76,"IQ_CDS_mid",I$2)</f>
        <v>62.328099999999999</v>
      </c>
      <c r="J76">
        <f ca="1">_xll.ciqfunctions.udf.CIQ($B76,"IQ_CDS_mid",J$2)</f>
        <v>61.565199999999997</v>
      </c>
      <c r="K76">
        <f ca="1">_xll.ciqfunctions.udf.CIQ($B76,"IQ_CDS_mid",K$2)</f>
        <v>62.872199999999999</v>
      </c>
      <c r="L76">
        <f ca="1">_xll.ciqfunctions.udf.CIQ($B76,"IQ_CDS_mid",L$2)</f>
        <v>62.991500000000002</v>
      </c>
      <c r="M76">
        <f ca="1">_xll.ciqfunctions.udf.CIQ($B76,"IQ_CDS_mid",M$2)</f>
        <v>63.020299999999999</v>
      </c>
      <c r="N76">
        <f ca="1">_xll.ciqfunctions.udf.CIQ($B76,"IQ_CDS_mid",N$2)</f>
        <v>63.020299999999999</v>
      </c>
      <c r="O76">
        <f ca="1">_xll.ciqfunctions.udf.CIQ($B76,"IQ_CDS_mid",O$2)</f>
        <v>63.020299999999999</v>
      </c>
      <c r="P76">
        <f ca="1">_xll.ciqfunctions.udf.CIQ($B76,"IQ_CDS_mid",P$2)</f>
        <v>63.078400000000002</v>
      </c>
      <c r="Q76">
        <f ca="1">_xll.ciqfunctions.udf.CIQ($B76,"IQ_CDS_mid",Q$2)</f>
        <v>63.551099999999998</v>
      </c>
      <c r="R76">
        <f ca="1">_xll.ciqfunctions.udf.CIQ($B76,"IQ_CDS_mid",R$2)</f>
        <v>67.052499999999995</v>
      </c>
      <c r="S76">
        <f ca="1">_xll.ciqfunctions.udf.CIQ($B76,"IQ_CDS_mid",S$2)</f>
        <v>66.628699999999995</v>
      </c>
      <c r="T76">
        <f ca="1">C76-H76</f>
        <v>0.507000000000005</v>
      </c>
      <c r="U76">
        <f ca="1">C76-M76</f>
        <v>-0.44379999999999598</v>
      </c>
      <c r="V76">
        <f ca="1">C76-Q76</f>
        <v>-0.97459999999999525</v>
      </c>
      <c r="W76">
        <f ca="1">C76-R76</f>
        <v>-4.475999999999992</v>
      </c>
      <c r="X76">
        <f t="shared" ca="1" si="13"/>
        <v>-4.052199999999992</v>
      </c>
    </row>
    <row r="77" spans="1:24" ht="15.5">
      <c r="A77" s="29" t="s">
        <v>39</v>
      </c>
      <c r="B77" s="25" t="s">
        <v>117</v>
      </c>
      <c r="C77">
        <f ca="1">_xll.ciqfunctions.udf.CIQ($B77,"IQ_CDS_mid",C$2)</f>
        <v>73.229900000000001</v>
      </c>
      <c r="D77">
        <f ca="1">_xll.ciqfunctions.udf.CIQ($B77,"IQ_CDS_mid",D$2)</f>
        <v>73.229900000000001</v>
      </c>
      <c r="E77">
        <f ca="1">_xll.ciqfunctions.udf.CIQ($B77,"IQ_CDS_mid",E$2)</f>
        <v>73.224299999999999</v>
      </c>
      <c r="F77">
        <f ca="1">_xll.ciqfunctions.udf.CIQ($B77,"IQ_CDS_mid",F$2)</f>
        <v>73.223600000000005</v>
      </c>
      <c r="G77">
        <f ca="1">_xll.ciqfunctions.udf.CIQ($B77,"IQ_CDS_mid",G$2)</f>
        <v>73.223600000000005</v>
      </c>
      <c r="H77">
        <f ca="1">_xll.ciqfunctions.udf.CIQ($B77,"IQ_CDS_mid",H$2)</f>
        <v>73.223600000000005</v>
      </c>
      <c r="I77">
        <f ca="1">_xll.ciqfunctions.udf.CIQ($B77,"IQ_CDS_mid",I$2)</f>
        <v>73.8767</v>
      </c>
      <c r="J77">
        <f ca="1">_xll.ciqfunctions.udf.CIQ($B77,"IQ_CDS_mid",J$2)</f>
        <v>75.556200000000004</v>
      </c>
      <c r="K77">
        <f ca="1">_xll.ciqfunctions.udf.CIQ($B77,"IQ_CDS_mid",K$2)</f>
        <v>75.540499999999994</v>
      </c>
      <c r="L77">
        <f ca="1">_xll.ciqfunctions.udf.CIQ($B77,"IQ_CDS_mid",L$2)</f>
        <v>75.542599999999993</v>
      </c>
      <c r="M77">
        <f ca="1">_xll.ciqfunctions.udf.CIQ($B77,"IQ_CDS_mid",M$2)</f>
        <v>75.538399999999996</v>
      </c>
      <c r="N77">
        <f ca="1">_xll.ciqfunctions.udf.CIQ($B77,"IQ_CDS_mid",N$2)</f>
        <v>75.538399999999996</v>
      </c>
      <c r="O77">
        <f ca="1">_xll.ciqfunctions.udf.CIQ($B77,"IQ_CDS_mid",O$2)</f>
        <v>75.538399999999996</v>
      </c>
      <c r="P77">
        <f ca="1">_xll.ciqfunctions.udf.CIQ($B77,"IQ_CDS_mid",P$2)</f>
        <v>75.552000000000007</v>
      </c>
      <c r="Q77">
        <f ca="1">_xll.ciqfunctions.udf.CIQ($B77,"IQ_CDS_mid",Q$2)</f>
        <v>75.546199999999999</v>
      </c>
      <c r="R77">
        <f ca="1">_xll.ciqfunctions.udf.CIQ($B77,"IQ_CDS_mid",R$2)</f>
        <v>75.881699999999995</v>
      </c>
      <c r="S77">
        <f ca="1">_xll.ciqfunctions.udf.CIQ($B77,"IQ_CDS_mid",S$2)</f>
        <v>70.891000000000005</v>
      </c>
      <c r="T77">
        <f ca="1">C77-H77</f>
        <v>6.2999999999959755E-3</v>
      </c>
      <c r="U77">
        <f ca="1">C77-M77</f>
        <v>-2.3084999999999951</v>
      </c>
      <c r="V77">
        <f ca="1">C77-Q77</f>
        <v>-2.3162999999999982</v>
      </c>
      <c r="W77">
        <f ca="1">C77-R77</f>
        <v>-2.6517999999999944</v>
      </c>
      <c r="X77">
        <f t="shared" ca="1" si="13"/>
        <v>2.3388999999999953</v>
      </c>
    </row>
    <row r="78" spans="1:24" ht="15.5">
      <c r="A78" s="28" t="s">
        <v>40</v>
      </c>
      <c r="X78">
        <f t="shared" si="13"/>
        <v>0</v>
      </c>
    </row>
    <row r="79" spans="1:24" ht="15.5">
      <c r="A79" s="27" t="s">
        <v>42</v>
      </c>
      <c r="B79" s="25" t="s">
        <v>116</v>
      </c>
      <c r="C79">
        <f ca="1">_xll.ciqfunctions.udf.CIQ($B79,"IQ_CDS_mid",C$2)</f>
        <v>61.666699999999999</v>
      </c>
      <c r="D79">
        <f ca="1">_xll.ciqfunctions.udf.CIQ($B79,"IQ_CDS_mid",D$2)</f>
        <v>61.666699999999999</v>
      </c>
      <c r="E79">
        <f ca="1">_xll.ciqfunctions.udf.CIQ($B79,"IQ_CDS_mid",E$2)</f>
        <v>61.333300000000001</v>
      </c>
      <c r="F79">
        <f ca="1">_xll.ciqfunctions.udf.CIQ($B79,"IQ_CDS_mid",F$2)</f>
        <v>61.333300000000001</v>
      </c>
      <c r="G79">
        <f ca="1">_xll.ciqfunctions.udf.CIQ($B79,"IQ_CDS_mid",G$2)</f>
        <v>61.333300000000001</v>
      </c>
      <c r="H79">
        <f ca="1">_xll.ciqfunctions.udf.CIQ($B79,"IQ_CDS_mid",H$2)</f>
        <v>61.333300000000001</v>
      </c>
      <c r="I79">
        <f ca="1">_xll.ciqfunctions.udf.CIQ($B79,"IQ_CDS_mid",I$2)</f>
        <v>61.333300000000001</v>
      </c>
      <c r="J79">
        <f ca="1">_xll.ciqfunctions.udf.CIQ($B79,"IQ_CDS_mid",J$2)</f>
        <v>61.5</v>
      </c>
      <c r="K79">
        <f ca="1">_xll.ciqfunctions.udf.CIQ($B79,"IQ_CDS_mid",K$2)</f>
        <v>61.333300000000001</v>
      </c>
      <c r="L79">
        <f ca="1">_xll.ciqfunctions.udf.CIQ($B79,"IQ_CDS_mid",L$2)</f>
        <v>59.5</v>
      </c>
      <c r="M79">
        <f ca="1">_xll.ciqfunctions.udf.CIQ($B79,"IQ_CDS_mid",M$2)</f>
        <v>59.833300000000001</v>
      </c>
      <c r="N79">
        <f ca="1">_xll.ciqfunctions.udf.CIQ($B79,"IQ_CDS_mid",N$2)</f>
        <v>59.833300000000001</v>
      </c>
      <c r="O79">
        <f ca="1">_xll.ciqfunctions.udf.CIQ($B79,"IQ_CDS_mid",O$2)</f>
        <v>59.833300000000001</v>
      </c>
      <c r="P79">
        <f ca="1">_xll.ciqfunctions.udf.CIQ($B79,"IQ_CDS_mid",P$2)</f>
        <v>59.833300000000001</v>
      </c>
      <c r="Q79">
        <f ca="1">_xll.ciqfunctions.udf.CIQ($B79,"IQ_CDS_mid",Q$2)</f>
        <v>59.833300000000001</v>
      </c>
      <c r="R79">
        <f ca="1">_xll.ciqfunctions.udf.CIQ($B79,"IQ_CDS_mid",R$2)</f>
        <v>64.5</v>
      </c>
      <c r="S79">
        <f ca="1">_xll.ciqfunctions.udf.CIQ($B79,"IQ_CDS_mid",S$2)</f>
        <v>43.531199999999998</v>
      </c>
      <c r="T79">
        <f t="shared" ref="T79:T84" ca="1" si="18">C79-H79</f>
        <v>0.33339999999999748</v>
      </c>
      <c r="U79">
        <f t="shared" ref="U79:U84" ca="1" si="19">C79-M79</f>
        <v>1.8333999999999975</v>
      </c>
      <c r="V79">
        <f t="shared" ref="V79:V84" ca="1" si="20">C79-Q79</f>
        <v>1.8333999999999975</v>
      </c>
      <c r="W79">
        <f t="shared" ref="W79:W84" ca="1" si="21">C79-R79</f>
        <v>-2.8333000000000013</v>
      </c>
      <c r="X79">
        <f t="shared" ca="1" si="13"/>
        <v>18.1355</v>
      </c>
    </row>
    <row r="80" spans="1:24" ht="15.5">
      <c r="A80" s="27" t="s">
        <v>43</v>
      </c>
      <c r="B80" s="25" t="s">
        <v>115</v>
      </c>
      <c r="C80">
        <f ca="1">_xll.ciqfunctions.udf.CIQ($B80,"IQ_CDS_mid",C$2)</f>
        <v>54.808500000000002</v>
      </c>
      <c r="D80">
        <f ca="1">_xll.ciqfunctions.udf.CIQ($B80,"IQ_CDS_mid",D$2)</f>
        <v>54.808500000000002</v>
      </c>
      <c r="E80">
        <f ca="1">_xll.ciqfunctions.udf.CIQ($B80,"IQ_CDS_mid",E$2)</f>
        <v>54.808999999999997</v>
      </c>
      <c r="F80">
        <f ca="1">_xll.ciqfunctions.udf.CIQ($B80,"IQ_CDS_mid",F$2)</f>
        <v>54.810600000000001</v>
      </c>
      <c r="G80">
        <f ca="1">_xll.ciqfunctions.udf.CIQ($B80,"IQ_CDS_mid",G$2)</f>
        <v>54.810600000000001</v>
      </c>
      <c r="H80">
        <f ca="1">_xll.ciqfunctions.udf.CIQ($B80,"IQ_CDS_mid",H$2)</f>
        <v>54.810600000000001</v>
      </c>
      <c r="I80">
        <f ca="1">_xll.ciqfunctions.udf.CIQ($B80,"IQ_CDS_mid",I$2)</f>
        <v>54.811</v>
      </c>
      <c r="J80">
        <f ca="1">_xll.ciqfunctions.udf.CIQ($B80,"IQ_CDS_mid",J$2)</f>
        <v>55.1447</v>
      </c>
      <c r="K80">
        <f ca="1">_xll.ciqfunctions.udf.CIQ($B80,"IQ_CDS_mid",K$2)</f>
        <v>55.478900000000003</v>
      </c>
      <c r="L80">
        <f ca="1">_xll.ciqfunctions.udf.CIQ($B80,"IQ_CDS_mid",L$2)</f>
        <v>56.479399999999998</v>
      </c>
      <c r="M80">
        <f ca="1">_xll.ciqfunctions.udf.CIQ($B80,"IQ_CDS_mid",M$2)</f>
        <v>56.814900000000002</v>
      </c>
      <c r="N80">
        <f ca="1">_xll.ciqfunctions.udf.CIQ($B80,"IQ_CDS_mid",N$2)</f>
        <v>56.814900000000002</v>
      </c>
      <c r="O80">
        <f ca="1">_xll.ciqfunctions.udf.CIQ($B80,"IQ_CDS_mid",O$2)</f>
        <v>56.814900000000002</v>
      </c>
      <c r="P80">
        <f ca="1">_xll.ciqfunctions.udf.CIQ($B80,"IQ_CDS_mid",P$2)</f>
        <v>56.8155</v>
      </c>
      <c r="Q80">
        <f ca="1">_xll.ciqfunctions.udf.CIQ($B80,"IQ_CDS_mid",Q$2)</f>
        <v>56.816299999999998</v>
      </c>
      <c r="R80">
        <f ca="1">_xll.ciqfunctions.udf.CIQ($B80,"IQ_CDS_mid",R$2)</f>
        <v>56.5</v>
      </c>
      <c r="S80">
        <f ca="1">_xll.ciqfunctions.udf.CIQ($B80,"IQ_CDS_mid",S$2)</f>
        <v>46.912799999999997</v>
      </c>
      <c r="T80">
        <f t="shared" ca="1" si="18"/>
        <v>-2.0999999999986585E-3</v>
      </c>
      <c r="U80">
        <f t="shared" ca="1" si="19"/>
        <v>-2.0063999999999993</v>
      </c>
      <c r="V80">
        <f t="shared" ca="1" si="20"/>
        <v>-2.007799999999996</v>
      </c>
      <c r="W80">
        <f t="shared" ca="1" si="21"/>
        <v>-1.6914999999999978</v>
      </c>
      <c r="X80">
        <f t="shared" ca="1" si="13"/>
        <v>7.895700000000005</v>
      </c>
    </row>
    <row r="81" spans="1:24" ht="15.5">
      <c r="A81" s="27" t="s">
        <v>44</v>
      </c>
      <c r="B81" t="s">
        <v>114</v>
      </c>
      <c r="C81">
        <f ca="1">_xll.ciqfunctions.udf.CIQ($B81,"IQ_CDS_mid",C$2)</f>
        <v>59.863700000000001</v>
      </c>
      <c r="D81">
        <f ca="1">_xll.ciqfunctions.udf.CIQ($B81,"IQ_CDS_mid",D$2)</f>
        <v>59.863700000000001</v>
      </c>
      <c r="E81">
        <f ca="1">_xll.ciqfunctions.udf.CIQ($B81,"IQ_CDS_mid",E$2)</f>
        <v>59.747999999999998</v>
      </c>
      <c r="F81">
        <f ca="1">_xll.ciqfunctions.udf.CIQ($B81,"IQ_CDS_mid",F$2)</f>
        <v>59.8992</v>
      </c>
      <c r="G81">
        <f ca="1">_xll.ciqfunctions.udf.CIQ($B81,"IQ_CDS_mid",G$2)</f>
        <v>59.8992</v>
      </c>
      <c r="H81">
        <f ca="1">_xll.ciqfunctions.udf.CIQ($B81,"IQ_CDS_mid",H$2)</f>
        <v>59.8992</v>
      </c>
      <c r="I81">
        <f ca="1">_xll.ciqfunctions.udf.CIQ($B81,"IQ_CDS_mid",I$2)</f>
        <v>59.862099999999998</v>
      </c>
      <c r="J81">
        <f ca="1">_xll.ciqfunctions.udf.CIQ($B81,"IQ_CDS_mid",J$2)</f>
        <v>60.333300000000001</v>
      </c>
      <c r="K81">
        <f ca="1">_xll.ciqfunctions.udf.CIQ($B81,"IQ_CDS_mid",K$2)</f>
        <v>60.197000000000003</v>
      </c>
      <c r="L81">
        <f ca="1">_xll.ciqfunctions.udf.CIQ($B81,"IQ_CDS_mid",L$2)</f>
        <v>59.863599999999998</v>
      </c>
      <c r="M81">
        <f ca="1">_xll.ciqfunctions.udf.CIQ($B81,"IQ_CDS_mid",M$2)</f>
        <v>60.380200000000002</v>
      </c>
      <c r="N81">
        <f ca="1">_xll.ciqfunctions.udf.CIQ($B81,"IQ_CDS_mid",N$2)</f>
        <v>60.380200000000002</v>
      </c>
      <c r="O81">
        <f ca="1">_xll.ciqfunctions.udf.CIQ($B81,"IQ_CDS_mid",O$2)</f>
        <v>60.380200000000002</v>
      </c>
      <c r="P81">
        <f ca="1">_xll.ciqfunctions.udf.CIQ($B81,"IQ_CDS_mid",P$2)</f>
        <v>60.3812</v>
      </c>
      <c r="Q81">
        <f ca="1">_xll.ciqfunctions.udf.CIQ($B81,"IQ_CDS_mid",Q$2)</f>
        <v>60.3842</v>
      </c>
      <c r="R81">
        <f ca="1">_xll.ciqfunctions.udf.CIQ($B81,"IQ_CDS_mid",R$2)</f>
        <v>61.590299999999999</v>
      </c>
      <c r="S81">
        <f ca="1">_xll.ciqfunctions.udf.CIQ($B81,"IQ_CDS_mid",S$2)</f>
        <v>44.5625</v>
      </c>
      <c r="T81">
        <f t="shared" ca="1" si="18"/>
        <v>-3.5499999999998977E-2</v>
      </c>
      <c r="U81">
        <f t="shared" ca="1" si="19"/>
        <v>-0.51650000000000063</v>
      </c>
      <c r="V81">
        <f t="shared" ca="1" si="20"/>
        <v>-0.52049999999999841</v>
      </c>
      <c r="W81">
        <f t="shared" ca="1" si="21"/>
        <v>-1.7265999999999977</v>
      </c>
      <c r="X81">
        <f t="shared" ca="1" si="13"/>
        <v>15.301200000000001</v>
      </c>
    </row>
    <row r="82" spans="1:24" ht="15.5">
      <c r="A82" s="27" t="s">
        <v>45</v>
      </c>
      <c r="B82" s="25" t="s">
        <v>113</v>
      </c>
      <c r="C82">
        <f ca="1">_xll.ciqfunctions.udf.CIQ($B82,"IQ_CDS_mid",C$2)</f>
        <v>57.666699999999999</v>
      </c>
      <c r="D82">
        <f ca="1">_xll.ciqfunctions.udf.CIQ($B82,"IQ_CDS_mid",D$2)</f>
        <v>57.666699999999999</v>
      </c>
      <c r="E82">
        <f ca="1">_xll.ciqfunctions.udf.CIQ($B82,"IQ_CDS_mid",E$2)</f>
        <v>57.497399999999999</v>
      </c>
      <c r="F82">
        <f ca="1">_xll.ciqfunctions.udf.CIQ($B82,"IQ_CDS_mid",F$2)</f>
        <v>57.494999999999997</v>
      </c>
      <c r="G82">
        <f ca="1">_xll.ciqfunctions.udf.CIQ($B82,"IQ_CDS_mid",G$2)</f>
        <v>57.494999999999997</v>
      </c>
      <c r="H82">
        <f ca="1">_xll.ciqfunctions.udf.CIQ($B82,"IQ_CDS_mid",H$2)</f>
        <v>57.494999999999997</v>
      </c>
      <c r="I82">
        <f ca="1">_xll.ciqfunctions.udf.CIQ($B82,"IQ_CDS_mid",I$2)</f>
        <v>57.333300000000001</v>
      </c>
      <c r="J82">
        <f ca="1">_xll.ciqfunctions.udf.CIQ($B82,"IQ_CDS_mid",J$2)</f>
        <v>57.5</v>
      </c>
      <c r="K82">
        <f ca="1">_xll.ciqfunctions.udf.CIQ($B82,"IQ_CDS_mid",K$2)</f>
        <v>57.333300000000001</v>
      </c>
      <c r="L82">
        <f ca="1">_xll.ciqfunctions.udf.CIQ($B82,"IQ_CDS_mid",L$2)</f>
        <v>56.666699999999999</v>
      </c>
      <c r="M82">
        <f ca="1">_xll.ciqfunctions.udf.CIQ($B82,"IQ_CDS_mid",M$2)</f>
        <v>57</v>
      </c>
      <c r="N82">
        <f ca="1">_xll.ciqfunctions.udf.CIQ($B82,"IQ_CDS_mid",N$2)</f>
        <v>57</v>
      </c>
      <c r="O82">
        <f ca="1">_xll.ciqfunctions.udf.CIQ($B82,"IQ_CDS_mid",O$2)</f>
        <v>57</v>
      </c>
      <c r="P82">
        <f ca="1">_xll.ciqfunctions.udf.CIQ($B82,"IQ_CDS_mid",P$2)</f>
        <v>55.666699999999999</v>
      </c>
      <c r="Q82">
        <f ca="1">_xll.ciqfunctions.udf.CIQ($B82,"IQ_CDS_mid",Q$2)</f>
        <v>56</v>
      </c>
      <c r="R82">
        <f ca="1">_xll.ciqfunctions.udf.CIQ($B82,"IQ_CDS_mid",R$2)</f>
        <v>56.5</v>
      </c>
      <c r="S82">
        <f ca="1">_xll.ciqfunctions.udf.CIQ($B82,"IQ_CDS_mid",S$2)</f>
        <v>41.7121</v>
      </c>
      <c r="T82">
        <f t="shared" ca="1" si="18"/>
        <v>0.1717000000000013</v>
      </c>
      <c r="U82">
        <f t="shared" ca="1" si="19"/>
        <v>0.66669999999999874</v>
      </c>
      <c r="V82">
        <f t="shared" ca="1" si="20"/>
        <v>1.6666999999999987</v>
      </c>
      <c r="W82">
        <f t="shared" ca="1" si="21"/>
        <v>1.1666999999999987</v>
      </c>
      <c r="X82">
        <f t="shared" ca="1" si="13"/>
        <v>15.954599999999999</v>
      </c>
    </row>
    <row r="83" spans="1:24" ht="15.5">
      <c r="A83" s="27" t="s">
        <v>46</v>
      </c>
      <c r="B83" s="25" t="s">
        <v>112</v>
      </c>
      <c r="C83">
        <f ca="1">_xll.ciqfunctions.udf.CIQ($B83,"IQ_CDS_mid",C$2)</f>
        <v>60.0715</v>
      </c>
      <c r="D83">
        <f ca="1">_xll.ciqfunctions.udf.CIQ($B83,"IQ_CDS_mid",D$2)</f>
        <v>60.0715</v>
      </c>
      <c r="E83">
        <f ca="1">_xll.ciqfunctions.udf.CIQ($B83,"IQ_CDS_mid",E$2)</f>
        <v>60.106099999999998</v>
      </c>
      <c r="F83">
        <f ca="1">_xll.ciqfunctions.udf.CIQ($B83,"IQ_CDS_mid",F$2)</f>
        <v>60.158299999999997</v>
      </c>
      <c r="G83">
        <f ca="1">_xll.ciqfunctions.udf.CIQ($B83,"IQ_CDS_mid",G$2)</f>
        <v>60.158299999999997</v>
      </c>
      <c r="H83">
        <f ca="1">_xll.ciqfunctions.udf.CIQ($B83,"IQ_CDS_mid",H$2)</f>
        <v>60.158299999999997</v>
      </c>
      <c r="I83">
        <f ca="1">_xll.ciqfunctions.udf.CIQ($B83,"IQ_CDS_mid",I$2)</f>
        <v>60.255899999999997</v>
      </c>
      <c r="J83">
        <f ca="1">_xll.ciqfunctions.udf.CIQ($B83,"IQ_CDS_mid",J$2)</f>
        <v>60.462800000000001</v>
      </c>
      <c r="K83">
        <f ca="1">_xll.ciqfunctions.udf.CIQ($B83,"IQ_CDS_mid",K$2)</f>
        <v>60.408200000000001</v>
      </c>
      <c r="L83">
        <f ca="1">_xll.ciqfunctions.udf.CIQ($B83,"IQ_CDS_mid",L$2)</f>
        <v>60.269599999999997</v>
      </c>
      <c r="M83">
        <f ca="1">_xll.ciqfunctions.udf.CIQ($B83,"IQ_CDS_mid",M$2)</f>
        <v>60.515900000000002</v>
      </c>
      <c r="N83">
        <f ca="1">_xll.ciqfunctions.udf.CIQ($B83,"IQ_CDS_mid",N$2)</f>
        <v>60.515900000000002</v>
      </c>
      <c r="O83">
        <f ca="1">_xll.ciqfunctions.udf.CIQ($B83,"IQ_CDS_mid",O$2)</f>
        <v>60.515900000000002</v>
      </c>
      <c r="P83">
        <f ca="1">_xll.ciqfunctions.udf.CIQ($B83,"IQ_CDS_mid",P$2)</f>
        <v>60.505000000000003</v>
      </c>
      <c r="Q83">
        <f ca="1">_xll.ciqfunctions.udf.CIQ($B83,"IQ_CDS_mid",Q$2)</f>
        <v>60.490099999999998</v>
      </c>
      <c r="R83">
        <f ca="1">_xll.ciqfunctions.udf.CIQ($B83,"IQ_CDS_mid",R$2)</f>
        <v>58.412199999999999</v>
      </c>
      <c r="S83">
        <f ca="1">_xll.ciqfunctions.udf.CIQ($B83,"IQ_CDS_mid",S$2)</f>
        <v>50.5</v>
      </c>
      <c r="T83">
        <f t="shared" ca="1" si="18"/>
        <v>-8.6799999999996658E-2</v>
      </c>
      <c r="U83">
        <f t="shared" ca="1" si="19"/>
        <v>-0.44440000000000168</v>
      </c>
      <c r="V83">
        <f t="shared" ca="1" si="20"/>
        <v>-0.41859999999999786</v>
      </c>
      <c r="W83">
        <f t="shared" ca="1" si="21"/>
        <v>1.6593000000000018</v>
      </c>
      <c r="X83">
        <f t="shared" ca="1" si="13"/>
        <v>9.5715000000000003</v>
      </c>
    </row>
    <row r="84" spans="1:24" ht="15.5">
      <c r="A84" s="27" t="s">
        <v>47</v>
      </c>
      <c r="B84" t="s">
        <v>111</v>
      </c>
      <c r="C84">
        <f ca="1">_xll.ciqfunctions.udf.CIQ($B84,"IQ_CDS_mid",C$2)</f>
        <v>56.3414</v>
      </c>
      <c r="D84">
        <f ca="1">_xll.ciqfunctions.udf.CIQ($B84,"IQ_CDS_mid",D$2)</f>
        <v>56.3414</v>
      </c>
      <c r="E84">
        <f ca="1">_xll.ciqfunctions.udf.CIQ($B84,"IQ_CDS_mid",E$2)</f>
        <v>56.355800000000002</v>
      </c>
      <c r="F84">
        <f ca="1">_xll.ciqfunctions.udf.CIQ($B84,"IQ_CDS_mid",F$2)</f>
        <v>56.5289</v>
      </c>
      <c r="G84">
        <f ca="1">_xll.ciqfunctions.udf.CIQ($B84,"IQ_CDS_mid",G$2)</f>
        <v>56.5289</v>
      </c>
      <c r="H84">
        <f ca="1">_xll.ciqfunctions.udf.CIQ($B84,"IQ_CDS_mid",H$2)</f>
        <v>56.5289</v>
      </c>
      <c r="I84">
        <f ca="1">_xll.ciqfunctions.udf.CIQ($B84,"IQ_CDS_mid",I$2)</f>
        <v>56.932499999999997</v>
      </c>
      <c r="J84">
        <f ca="1">_xll.ciqfunctions.udf.CIQ($B84,"IQ_CDS_mid",J$2)</f>
        <v>57.562199999999997</v>
      </c>
      <c r="K84">
        <f ca="1">_xll.ciqfunctions.udf.CIQ($B84,"IQ_CDS_mid",K$2)</f>
        <v>57.907699999999998</v>
      </c>
      <c r="L84">
        <f ca="1">_xll.ciqfunctions.udf.CIQ($B84,"IQ_CDS_mid",L$2)</f>
        <v>58.928199999999997</v>
      </c>
      <c r="M84">
        <f ca="1">_xll.ciqfunctions.udf.CIQ($B84,"IQ_CDS_mid",M$2)</f>
        <v>59.395600000000002</v>
      </c>
      <c r="N84">
        <f ca="1">_xll.ciqfunctions.udf.CIQ($B84,"IQ_CDS_mid",N$2)</f>
        <v>59.395600000000002</v>
      </c>
      <c r="O84">
        <f ca="1">_xll.ciqfunctions.udf.CIQ($B84,"IQ_CDS_mid",O$2)</f>
        <v>59.395600000000002</v>
      </c>
      <c r="P84">
        <f ca="1">_xll.ciqfunctions.udf.CIQ($B84,"IQ_CDS_mid",P$2)</f>
        <v>59.441800000000001</v>
      </c>
      <c r="Q84">
        <f ca="1">_xll.ciqfunctions.udf.CIQ($B84,"IQ_CDS_mid",Q$2)</f>
        <v>59.4574</v>
      </c>
      <c r="R84">
        <f ca="1">_xll.ciqfunctions.udf.CIQ($B84,"IQ_CDS_mid",R$2)</f>
        <v>55.516300000000001</v>
      </c>
      <c r="S84">
        <f ca="1">_xll.ciqfunctions.udf.CIQ($B84,"IQ_CDS_mid",S$2)</f>
        <v>48.052900000000001</v>
      </c>
      <c r="T84">
        <f t="shared" ca="1" si="18"/>
        <v>-0.1875</v>
      </c>
      <c r="U84">
        <f t="shared" ca="1" si="19"/>
        <v>-3.0542000000000016</v>
      </c>
      <c r="V84">
        <f t="shared" ca="1" si="20"/>
        <v>-3.1159999999999997</v>
      </c>
      <c r="W84">
        <f t="shared" ca="1" si="21"/>
        <v>0.82509999999999906</v>
      </c>
      <c r="X84">
        <f t="shared" ca="1" si="13"/>
        <v>8.2884999999999991</v>
      </c>
    </row>
    <row r="85" spans="1:24" ht="15.5">
      <c r="A85" s="26" t="s">
        <v>48</v>
      </c>
      <c r="B85" s="25"/>
    </row>
  </sheetData>
  <conditionalFormatting sqref="O3:S6 C3:N15 O8:S15 C16:S16 O17:S20 C17:N44 O22:S29 O31:S42 O44:S44 C45:C52 D48:S52 C53:S84">
    <cfRule type="cellIs" dxfId="1" priority="2" operator="greaterThan">
      <formula>150</formula>
    </cfRule>
    <cfRule type="cellIs" priority="3" operator="greaterThan">
      <formula>150</formula>
    </cfRule>
  </conditionalFormatting>
  <conditionalFormatting sqref="T3:U84">
    <cfRule type="cellIs" dxfId="0" priority="1" operator="greaterThan">
      <formula>10</formula>
    </cfRule>
  </conditionalFormatting>
  <pageMargins left="0.7" right="0.7" top="0.75" bottom="0.75" header="0.3" footer="0.3"/>
  <headerFooter>
    <oddHeader>&amp;R&amp;"Aptos"&amp;10&amp;K000000 Category/Catégorie: Non-Sensitive/Non-Délicat&amp;1#_x000D_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Risk Score Model</vt:lpstr>
      <vt:lpstr>CDS from CapitalIQ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Evangelista</dc:creator>
  <cp:lastModifiedBy>Josh Evangelista</cp:lastModifiedBy>
  <dcterms:created xsi:type="dcterms:W3CDTF">2026-06-08T17:51:02Z</dcterms:created>
  <dcterms:modified xsi:type="dcterms:W3CDTF">2026-09-09T16:05:14Z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bacc78-dcc9-4733-835b-33704aeb5fb9_Enabled">
    <vt:lpwstr>true</vt:lpwstr>
  </property>
  <property fmtid="{D5CDD505-2E9C-101B-9397-08002B2CF9AE}" pid="3" name="MSIP_Label_aebacc78-dcc9-4733-835b-33704aeb5fb9_SetDate">
    <vt:lpwstr>2026-07-20T17:11:27Z</vt:lpwstr>
  </property>
  <property fmtid="{D5CDD505-2E9C-101B-9397-08002B2CF9AE}" pid="4" name="MSIP_Label_aebacc78-dcc9-4733-835b-33704aeb5fb9_Method">
    <vt:lpwstr>Privileged</vt:lpwstr>
  </property>
  <property fmtid="{D5CDD505-2E9C-101B-9397-08002B2CF9AE}" pid="5" name="MSIP_Label_aebacc78-dcc9-4733-835b-33704aeb5fb9_Name">
    <vt:lpwstr>Non-Sensitive - Non-Délicat</vt:lpwstr>
  </property>
  <property fmtid="{D5CDD505-2E9C-101B-9397-08002B2CF9AE}" pid="6" name="MSIP_Label_aebacc78-dcc9-4733-835b-33704aeb5fb9_SiteId">
    <vt:lpwstr>164f988b-a2f4-4584-aeaa-21bd4a0234bc</vt:lpwstr>
  </property>
  <property fmtid="{D5CDD505-2E9C-101B-9397-08002B2CF9AE}" pid="7" name="MSIP_Label_aebacc78-dcc9-4733-835b-33704aeb5fb9_ActionId">
    <vt:lpwstr>01940038-6609-4fb7-8904-5c361468ad28</vt:lpwstr>
  </property>
  <property fmtid="{D5CDD505-2E9C-101B-9397-08002B2CF9AE}" pid="8" name="MSIP_Label_aebacc78-dcc9-4733-835b-33704aeb5fb9_ContentBits">
    <vt:lpwstr>1</vt:lpwstr>
  </property>
  <property fmtid="{D5CDD505-2E9C-101B-9397-08002B2CF9AE}" pid="9" name="MSIP_Label_aebacc78-dcc9-4733-835b-33704aeb5fb9_Tag">
    <vt:lpwstr>10, 0, 1, 1</vt:lpwstr>
  </property>
</Properties>
</file>