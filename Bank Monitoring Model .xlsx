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nkofcanada-my.sharepoint.com/personal/evjo_bank-banque-canada_ca/Documents/Monitoring Database/"/>
    </mc:Choice>
  </mc:AlternateContent>
  <xr:revisionPtr revIDLastSave="11243" documentId="8_{CDDB89CF-5CE4-4A65-99F7-7EF0C0A12C4C}" xr6:coauthVersionLast="47" xr6:coauthVersionMax="47" xr10:uidLastSave="{9EDEA3E8-53C1-49DF-A790-4ECE8F05F0FB}"/>
  <bookViews>
    <workbookView xWindow="-110" yWindow="-110" windowWidth="19420" windowHeight="11500" firstSheet="1" activeTab="1" xr2:uid="{A93B9CC2-92A3-4946-B0CF-93E1751ADFB7}"/>
  </bookViews>
  <sheets>
    <sheet name="_CIQHiddenCacheSheet" sheetId="545" state="veryHidden" r:id="rId1"/>
    <sheet name="Report" sheetId="1" r:id="rId2"/>
    <sheet name="Risk Score Model" sheetId="466" r:id="rId3"/>
    <sheet name="CDS from CapitalIQ" sheetId="3" r:id="rId4"/>
  </sheets>
  <externalReferences>
    <externalReference r:id="rId5"/>
  </externalReferences>
  <definedNames>
    <definedName name="bank_bloom">'[1]Bloomberg Codes'!$N$2:$U$23</definedName>
    <definedName name="CIQWBGuid" hidden="1">"973167ce-87b7-4ea6-96f6-d8a930da4405"</definedName>
    <definedName name="CIQWBInfo" hidden="1">"{ ""CIQVersion"":""9.51.3510.3078"" }"</definedName>
    <definedName name="date_cds">OFFSET(#REF!,0,0,1,COUNTA(#REF!))</definedName>
    <definedName name="date_fx">OFFSET(#REF!,0,0,1,COUNTA(#REF!))</definedName>
    <definedName name="date_lookup">'[1]Sovereign Indicators'!$C$1</definedName>
    <definedName name="date_stock">OFFSET(#REF!,0,0,1,COUNTA(#REF!))</definedName>
    <definedName name="graph_cds_change">OFFSET(#REF!,0,0,1,COUNTA(#REF!))</definedName>
    <definedName name="graph_cds_level">OFFSET(#REF!,0,0,1,COUNTA(#REF!))</definedName>
    <definedName name="graph_fx_change">OFFSET(#REF!,0,0,1,COUNTA(#REF!))</definedName>
    <definedName name="graph_stock_change">OFFSET(#REF!,0,0,1,COUNTA(#REF!))</definedName>
    <definedName name="IQ_CH">110000</definedName>
    <definedName name="IQ_CQ">5000</definedName>
    <definedName name="IQ_CY">10000</definedName>
    <definedName name="IQ_DAILY">500000</definedName>
    <definedName name="IQ_DNTM" hidden="1">700000</definedName>
    <definedName name="IQ_FH">100000</definedName>
    <definedName name="IQ_FQ">500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FY">1000</definedName>
    <definedName name="IQ_LATESTK" hidden="1">1000</definedName>
    <definedName name="IQ_LATESTQ" hidden="1">500</definedName>
    <definedName name="IQ_LTM">2000</definedName>
    <definedName name="IQ_LTMMONTH" hidden="1">120000</definedName>
    <definedName name="IQ_MONTH">15000</definedName>
    <definedName name="IQ_MTD" hidden="1">800000</definedName>
    <definedName name="IQ_NAMES_REVISION_DATE_" hidden="1">"06/17/2026 20:53:41"</definedName>
    <definedName name="IQ_NTM">6000</definedName>
    <definedName name="IQ_QTD" hidden="1">750000</definedName>
    <definedName name="IQ_TODAY" hidden="1">0</definedName>
    <definedName name="IQ_WEEK">50000</definedName>
    <definedName name="IQ_YTD">3000</definedName>
    <definedName name="IQ_YTDMONTH" hidden="1">130000</definedName>
    <definedName name="sov_bloom">'[1]Bloomberg Codes'!$A$3:$J$43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2" i="3" l="1"/>
  <c r="D2" i="3"/>
  <c r="E2" i="3"/>
  <c r="F2" i="3"/>
  <c r="G2" i="3"/>
  <c r="H2" i="3"/>
  <c r="I2" i="3"/>
  <c r="J2" i="3"/>
  <c r="K2" i="3"/>
  <c r="L2" i="3"/>
  <c r="M2" i="3"/>
  <c r="N2" i="3"/>
  <c r="O2" i="3"/>
  <c r="P2" i="3"/>
  <c r="Q2" i="3"/>
  <c r="R2" i="3"/>
  <c r="S2" i="3"/>
  <c r="X7" i="3"/>
  <c r="X21" i="3"/>
  <c r="X30" i="3"/>
  <c r="X43" i="3"/>
  <c r="X45" i="3"/>
  <c r="X46" i="3"/>
  <c r="X47" i="3"/>
  <c r="X55" i="3"/>
  <c r="X59" i="3"/>
  <c r="X62" i="3"/>
  <c r="X67" i="3"/>
  <c r="X70" i="3"/>
  <c r="X72" i="3"/>
  <c r="X78" i="3"/>
  <c r="C3" i="3"/>
  <c r="C4" i="3"/>
  <c r="C5" i="3"/>
  <c r="C6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2" i="3"/>
  <c r="C23" i="3"/>
  <c r="C24" i="3"/>
  <c r="C25" i="3"/>
  <c r="C26" i="3"/>
  <c r="C27" i="3"/>
  <c r="C28" i="3"/>
  <c r="C29" i="3"/>
  <c r="C31" i="3"/>
  <c r="C32" i="3"/>
  <c r="C33" i="3"/>
  <c r="C34" i="3"/>
  <c r="C35" i="3"/>
  <c r="C36" i="3"/>
  <c r="C37" i="3"/>
  <c r="C38" i="3"/>
  <c r="C39" i="3"/>
  <c r="C40" i="3"/>
  <c r="C42" i="3"/>
  <c r="C44" i="3"/>
  <c r="C48" i="3"/>
  <c r="C49" i="3"/>
  <c r="C50" i="3"/>
  <c r="C51" i="3"/>
  <c r="C52" i="3"/>
  <c r="C53" i="3"/>
  <c r="C54" i="3"/>
  <c r="C56" i="3"/>
  <c r="C57" i="3"/>
  <c r="C58" i="3"/>
  <c r="C60" i="3"/>
  <c r="C61" i="3"/>
  <c r="C63" i="3"/>
  <c r="C64" i="3"/>
  <c r="C65" i="3"/>
  <c r="C66" i="3"/>
  <c r="C68" i="3"/>
  <c r="C69" i="3"/>
  <c r="C71" i="3"/>
  <c r="C73" i="3"/>
  <c r="C74" i="3"/>
  <c r="C75" i="3"/>
  <c r="C76" i="3"/>
  <c r="C77" i="3"/>
  <c r="C79" i="3"/>
  <c r="C80" i="3"/>
  <c r="C81" i="3"/>
  <c r="C82" i="3"/>
  <c r="C83" i="3"/>
  <c r="C84" i="3"/>
  <c r="E3" i="3"/>
  <c r="E4" i="3"/>
  <c r="E5" i="3"/>
  <c r="E6" i="3"/>
  <c r="E8" i="3"/>
  <c r="E9" i="3"/>
  <c r="E10" i="3"/>
  <c r="E11" i="3"/>
  <c r="E12" i="3"/>
  <c r="E13" i="3"/>
  <c r="E14" i="3"/>
  <c r="E15" i="3"/>
  <c r="E16" i="3"/>
  <c r="E17" i="3"/>
  <c r="E18" i="3"/>
  <c r="E19" i="3"/>
  <c r="E20" i="3"/>
  <c r="E22" i="3"/>
  <c r="E23" i="3"/>
  <c r="E24" i="3"/>
  <c r="E25" i="3"/>
  <c r="E26" i="3"/>
  <c r="E27" i="3"/>
  <c r="E28" i="3"/>
  <c r="E29" i="3"/>
  <c r="E31" i="3"/>
  <c r="E32" i="3"/>
  <c r="E33" i="3"/>
  <c r="E34" i="3"/>
  <c r="E35" i="3"/>
  <c r="E36" i="3"/>
  <c r="E37" i="3"/>
  <c r="E38" i="3"/>
  <c r="E39" i="3"/>
  <c r="E40" i="3"/>
  <c r="E42" i="3"/>
  <c r="E44" i="3"/>
  <c r="E48" i="3"/>
  <c r="E49" i="3"/>
  <c r="E50" i="3"/>
  <c r="E51" i="3"/>
  <c r="E52" i="3"/>
  <c r="E53" i="3"/>
  <c r="E54" i="3"/>
  <c r="E56" i="3"/>
  <c r="E57" i="3"/>
  <c r="E58" i="3"/>
  <c r="E60" i="3"/>
  <c r="E61" i="3"/>
  <c r="E63" i="3"/>
  <c r="E64" i="3"/>
  <c r="E65" i="3"/>
  <c r="E66" i="3"/>
  <c r="E68" i="3"/>
  <c r="E69" i="3"/>
  <c r="E71" i="3"/>
  <c r="E73" i="3"/>
  <c r="E74" i="3"/>
  <c r="E75" i="3"/>
  <c r="E76" i="3"/>
  <c r="E77" i="3"/>
  <c r="E79" i="3"/>
  <c r="E80" i="3"/>
  <c r="E81" i="3"/>
  <c r="E82" i="3"/>
  <c r="E83" i="3"/>
  <c r="E84" i="3"/>
  <c r="G3" i="3"/>
  <c r="G4" i="3"/>
  <c r="G5" i="3"/>
  <c r="G6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2" i="3"/>
  <c r="G23" i="3"/>
  <c r="G24" i="3"/>
  <c r="G25" i="3"/>
  <c r="G26" i="3"/>
  <c r="G27" i="3"/>
  <c r="G28" i="3"/>
  <c r="G29" i="3"/>
  <c r="G31" i="3"/>
  <c r="G32" i="3"/>
  <c r="G33" i="3"/>
  <c r="G34" i="3"/>
  <c r="G35" i="3"/>
  <c r="G36" i="3"/>
  <c r="G37" i="3"/>
  <c r="G38" i="3"/>
  <c r="G39" i="3"/>
  <c r="G40" i="3"/>
  <c r="G42" i="3"/>
  <c r="G44" i="3"/>
  <c r="G48" i="3"/>
  <c r="G49" i="3"/>
  <c r="G50" i="3"/>
  <c r="G51" i="3"/>
  <c r="G52" i="3"/>
  <c r="G53" i="3"/>
  <c r="G54" i="3"/>
  <c r="G56" i="3"/>
  <c r="G57" i="3"/>
  <c r="G58" i="3"/>
  <c r="G60" i="3"/>
  <c r="G61" i="3"/>
  <c r="G63" i="3"/>
  <c r="G64" i="3"/>
  <c r="G65" i="3"/>
  <c r="G66" i="3"/>
  <c r="G68" i="3"/>
  <c r="G69" i="3"/>
  <c r="G71" i="3"/>
  <c r="G73" i="3"/>
  <c r="G74" i="3"/>
  <c r="G75" i="3"/>
  <c r="G76" i="3"/>
  <c r="G77" i="3"/>
  <c r="G79" i="3"/>
  <c r="G80" i="3"/>
  <c r="G81" i="3"/>
  <c r="G82" i="3"/>
  <c r="G83" i="3"/>
  <c r="G84" i="3"/>
  <c r="F3" i="3"/>
  <c r="F4" i="3"/>
  <c r="F5" i="3"/>
  <c r="F6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2" i="3"/>
  <c r="F23" i="3"/>
  <c r="F24" i="3"/>
  <c r="F25" i="3"/>
  <c r="F26" i="3"/>
  <c r="F27" i="3"/>
  <c r="F28" i="3"/>
  <c r="F29" i="3"/>
  <c r="F31" i="3"/>
  <c r="F32" i="3"/>
  <c r="F33" i="3"/>
  <c r="F34" i="3"/>
  <c r="F35" i="3"/>
  <c r="F36" i="3"/>
  <c r="F37" i="3"/>
  <c r="F38" i="3"/>
  <c r="F39" i="3"/>
  <c r="F40" i="3"/>
  <c r="F42" i="3"/>
  <c r="F44" i="3"/>
  <c r="F48" i="3"/>
  <c r="F49" i="3"/>
  <c r="F50" i="3"/>
  <c r="F51" i="3"/>
  <c r="F52" i="3"/>
  <c r="F53" i="3"/>
  <c r="F54" i="3"/>
  <c r="F56" i="3"/>
  <c r="F57" i="3"/>
  <c r="F58" i="3"/>
  <c r="F60" i="3"/>
  <c r="F61" i="3"/>
  <c r="F63" i="3"/>
  <c r="F64" i="3"/>
  <c r="F65" i="3"/>
  <c r="F66" i="3"/>
  <c r="F68" i="3"/>
  <c r="F69" i="3"/>
  <c r="F71" i="3"/>
  <c r="F73" i="3"/>
  <c r="F74" i="3"/>
  <c r="F75" i="3"/>
  <c r="F76" i="3"/>
  <c r="F77" i="3"/>
  <c r="F79" i="3"/>
  <c r="F80" i="3"/>
  <c r="F81" i="3"/>
  <c r="F82" i="3"/>
  <c r="F83" i="3"/>
  <c r="F84" i="3"/>
  <c r="H3" i="3"/>
  <c r="H4" i="3"/>
  <c r="H5" i="3"/>
  <c r="H6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2" i="3"/>
  <c r="H23" i="3"/>
  <c r="H24" i="3"/>
  <c r="H25" i="3"/>
  <c r="H26" i="3"/>
  <c r="H27" i="3"/>
  <c r="H28" i="3"/>
  <c r="H29" i="3"/>
  <c r="H31" i="3"/>
  <c r="H32" i="3"/>
  <c r="H33" i="3"/>
  <c r="H34" i="3"/>
  <c r="H35" i="3"/>
  <c r="H36" i="3"/>
  <c r="H37" i="3"/>
  <c r="H38" i="3"/>
  <c r="H39" i="3"/>
  <c r="H40" i="3"/>
  <c r="H42" i="3"/>
  <c r="H44" i="3"/>
  <c r="H48" i="3"/>
  <c r="H49" i="3"/>
  <c r="H50" i="3"/>
  <c r="H51" i="3"/>
  <c r="H52" i="3"/>
  <c r="H53" i="3"/>
  <c r="H54" i="3"/>
  <c r="H56" i="3"/>
  <c r="H57" i="3"/>
  <c r="H58" i="3"/>
  <c r="H60" i="3"/>
  <c r="H61" i="3"/>
  <c r="H63" i="3"/>
  <c r="H64" i="3"/>
  <c r="H65" i="3"/>
  <c r="H66" i="3"/>
  <c r="H68" i="3"/>
  <c r="H69" i="3"/>
  <c r="H71" i="3"/>
  <c r="H73" i="3"/>
  <c r="H74" i="3"/>
  <c r="H75" i="3"/>
  <c r="H76" i="3"/>
  <c r="H77" i="3"/>
  <c r="H79" i="3"/>
  <c r="H80" i="3"/>
  <c r="H81" i="3"/>
  <c r="H82" i="3"/>
  <c r="H83" i="3"/>
  <c r="H84" i="3"/>
  <c r="I3" i="3"/>
  <c r="I4" i="3"/>
  <c r="I5" i="3"/>
  <c r="I6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2" i="3"/>
  <c r="I23" i="3"/>
  <c r="I24" i="3"/>
  <c r="I25" i="3"/>
  <c r="I26" i="3"/>
  <c r="I27" i="3"/>
  <c r="I28" i="3"/>
  <c r="I29" i="3"/>
  <c r="I31" i="3"/>
  <c r="I32" i="3"/>
  <c r="I33" i="3"/>
  <c r="I34" i="3"/>
  <c r="I35" i="3"/>
  <c r="I36" i="3"/>
  <c r="I37" i="3"/>
  <c r="I38" i="3"/>
  <c r="I39" i="3"/>
  <c r="I40" i="3"/>
  <c r="I42" i="3"/>
  <c r="I44" i="3"/>
  <c r="I48" i="3"/>
  <c r="I49" i="3"/>
  <c r="I50" i="3"/>
  <c r="I51" i="3"/>
  <c r="I52" i="3"/>
  <c r="I53" i="3"/>
  <c r="I54" i="3"/>
  <c r="I56" i="3"/>
  <c r="I57" i="3"/>
  <c r="I58" i="3"/>
  <c r="I60" i="3"/>
  <c r="I61" i="3"/>
  <c r="I63" i="3"/>
  <c r="I64" i="3"/>
  <c r="I65" i="3"/>
  <c r="I66" i="3"/>
  <c r="I68" i="3"/>
  <c r="I69" i="3"/>
  <c r="I71" i="3"/>
  <c r="I73" i="3"/>
  <c r="I74" i="3"/>
  <c r="I75" i="3"/>
  <c r="I76" i="3"/>
  <c r="I77" i="3"/>
  <c r="I79" i="3"/>
  <c r="I80" i="3"/>
  <c r="I81" i="3"/>
  <c r="I82" i="3"/>
  <c r="I83" i="3"/>
  <c r="I84" i="3"/>
  <c r="M3" i="3"/>
  <c r="M4" i="3"/>
  <c r="M5" i="3"/>
  <c r="M6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2" i="3"/>
  <c r="M23" i="3"/>
  <c r="M24" i="3"/>
  <c r="M25" i="3"/>
  <c r="M26" i="3"/>
  <c r="M27" i="3"/>
  <c r="M28" i="3"/>
  <c r="M29" i="3"/>
  <c r="M31" i="3"/>
  <c r="M32" i="3"/>
  <c r="M33" i="3"/>
  <c r="M34" i="3"/>
  <c r="M35" i="3"/>
  <c r="M36" i="3"/>
  <c r="M37" i="3"/>
  <c r="M38" i="3"/>
  <c r="M39" i="3"/>
  <c r="M40" i="3"/>
  <c r="M42" i="3"/>
  <c r="M44" i="3"/>
  <c r="M48" i="3"/>
  <c r="M49" i="3"/>
  <c r="M50" i="3"/>
  <c r="M51" i="3"/>
  <c r="M52" i="3"/>
  <c r="M53" i="3"/>
  <c r="M54" i="3"/>
  <c r="M56" i="3"/>
  <c r="M57" i="3"/>
  <c r="M58" i="3"/>
  <c r="M60" i="3"/>
  <c r="M61" i="3"/>
  <c r="M63" i="3"/>
  <c r="M64" i="3"/>
  <c r="M65" i="3"/>
  <c r="M66" i="3"/>
  <c r="M68" i="3"/>
  <c r="M69" i="3"/>
  <c r="M71" i="3"/>
  <c r="M73" i="3"/>
  <c r="M74" i="3"/>
  <c r="M75" i="3"/>
  <c r="M76" i="3"/>
  <c r="M77" i="3"/>
  <c r="M79" i="3"/>
  <c r="M80" i="3"/>
  <c r="M81" i="3"/>
  <c r="M82" i="3"/>
  <c r="M83" i="3"/>
  <c r="M84" i="3"/>
  <c r="N3" i="3"/>
  <c r="N4" i="3"/>
  <c r="N5" i="3"/>
  <c r="N6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2" i="3"/>
  <c r="N23" i="3"/>
  <c r="N24" i="3"/>
  <c r="N25" i="3"/>
  <c r="N26" i="3"/>
  <c r="N27" i="3"/>
  <c r="N28" i="3"/>
  <c r="N29" i="3"/>
  <c r="N31" i="3"/>
  <c r="N32" i="3"/>
  <c r="N33" i="3"/>
  <c r="N34" i="3"/>
  <c r="N35" i="3"/>
  <c r="N36" i="3"/>
  <c r="N37" i="3"/>
  <c r="N38" i="3"/>
  <c r="N39" i="3"/>
  <c r="N40" i="3"/>
  <c r="N42" i="3"/>
  <c r="N44" i="3"/>
  <c r="N48" i="3"/>
  <c r="N49" i="3"/>
  <c r="N50" i="3"/>
  <c r="N51" i="3"/>
  <c r="N52" i="3"/>
  <c r="N53" i="3"/>
  <c r="N54" i="3"/>
  <c r="N56" i="3"/>
  <c r="N57" i="3"/>
  <c r="N58" i="3"/>
  <c r="N60" i="3"/>
  <c r="N61" i="3"/>
  <c r="N63" i="3"/>
  <c r="N64" i="3"/>
  <c r="N65" i="3"/>
  <c r="N66" i="3"/>
  <c r="N68" i="3"/>
  <c r="N69" i="3"/>
  <c r="N71" i="3"/>
  <c r="N73" i="3"/>
  <c r="N74" i="3"/>
  <c r="N75" i="3"/>
  <c r="N76" i="3"/>
  <c r="N77" i="3"/>
  <c r="N79" i="3"/>
  <c r="N80" i="3"/>
  <c r="N81" i="3"/>
  <c r="N82" i="3"/>
  <c r="N83" i="3"/>
  <c r="N84" i="3"/>
  <c r="O3" i="3"/>
  <c r="O4" i="3"/>
  <c r="O5" i="3"/>
  <c r="O6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2" i="3"/>
  <c r="O23" i="3"/>
  <c r="O24" i="3"/>
  <c r="O25" i="3"/>
  <c r="O26" i="3"/>
  <c r="O27" i="3"/>
  <c r="O28" i="3"/>
  <c r="O29" i="3"/>
  <c r="O31" i="3"/>
  <c r="O32" i="3"/>
  <c r="O33" i="3"/>
  <c r="O34" i="3"/>
  <c r="O35" i="3"/>
  <c r="O36" i="3"/>
  <c r="O37" i="3"/>
  <c r="O38" i="3"/>
  <c r="O39" i="3"/>
  <c r="O40" i="3"/>
  <c r="O42" i="3"/>
  <c r="O44" i="3"/>
  <c r="O48" i="3"/>
  <c r="O49" i="3"/>
  <c r="O50" i="3"/>
  <c r="O51" i="3"/>
  <c r="O52" i="3"/>
  <c r="O53" i="3"/>
  <c r="O54" i="3"/>
  <c r="O56" i="3"/>
  <c r="O57" i="3"/>
  <c r="O58" i="3"/>
  <c r="O60" i="3"/>
  <c r="O61" i="3"/>
  <c r="O63" i="3"/>
  <c r="O64" i="3"/>
  <c r="O65" i="3"/>
  <c r="O66" i="3"/>
  <c r="O68" i="3"/>
  <c r="O69" i="3"/>
  <c r="O71" i="3"/>
  <c r="O73" i="3"/>
  <c r="O74" i="3"/>
  <c r="O75" i="3"/>
  <c r="O76" i="3"/>
  <c r="O77" i="3"/>
  <c r="O79" i="3"/>
  <c r="O80" i="3"/>
  <c r="O81" i="3"/>
  <c r="O82" i="3"/>
  <c r="O83" i="3"/>
  <c r="O84" i="3"/>
  <c r="P3" i="3"/>
  <c r="P4" i="3"/>
  <c r="P5" i="3"/>
  <c r="P6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2" i="3"/>
  <c r="P23" i="3"/>
  <c r="P24" i="3"/>
  <c r="P25" i="3"/>
  <c r="P26" i="3"/>
  <c r="P27" i="3"/>
  <c r="P28" i="3"/>
  <c r="P29" i="3"/>
  <c r="P31" i="3"/>
  <c r="P32" i="3"/>
  <c r="P33" i="3"/>
  <c r="P34" i="3"/>
  <c r="P35" i="3"/>
  <c r="P36" i="3"/>
  <c r="P37" i="3"/>
  <c r="P38" i="3"/>
  <c r="P39" i="3"/>
  <c r="P40" i="3"/>
  <c r="P42" i="3"/>
  <c r="P44" i="3"/>
  <c r="P48" i="3"/>
  <c r="P49" i="3"/>
  <c r="P50" i="3"/>
  <c r="P51" i="3"/>
  <c r="P52" i="3"/>
  <c r="P53" i="3"/>
  <c r="P54" i="3"/>
  <c r="P56" i="3"/>
  <c r="P57" i="3"/>
  <c r="P58" i="3"/>
  <c r="P60" i="3"/>
  <c r="P61" i="3"/>
  <c r="P63" i="3"/>
  <c r="P64" i="3"/>
  <c r="P65" i="3"/>
  <c r="P66" i="3"/>
  <c r="P68" i="3"/>
  <c r="P69" i="3"/>
  <c r="P71" i="3"/>
  <c r="P73" i="3"/>
  <c r="P74" i="3"/>
  <c r="P75" i="3"/>
  <c r="P76" i="3"/>
  <c r="P77" i="3"/>
  <c r="P79" i="3"/>
  <c r="P80" i="3"/>
  <c r="P81" i="3"/>
  <c r="P82" i="3"/>
  <c r="P83" i="3"/>
  <c r="P84" i="3"/>
  <c r="D3" i="3"/>
  <c r="D4" i="3"/>
  <c r="D5" i="3"/>
  <c r="D6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3" i="3"/>
  <c r="D24" i="3"/>
  <c r="D25" i="3"/>
  <c r="D26" i="3"/>
  <c r="D27" i="3"/>
  <c r="D28" i="3"/>
  <c r="D29" i="3"/>
  <c r="D31" i="3"/>
  <c r="D32" i="3"/>
  <c r="D33" i="3"/>
  <c r="D34" i="3"/>
  <c r="D35" i="3"/>
  <c r="D36" i="3"/>
  <c r="D37" i="3"/>
  <c r="D38" i="3"/>
  <c r="D39" i="3"/>
  <c r="D40" i="3"/>
  <c r="D42" i="3"/>
  <c r="D44" i="3"/>
  <c r="D48" i="3"/>
  <c r="D49" i="3"/>
  <c r="D50" i="3"/>
  <c r="D51" i="3"/>
  <c r="D52" i="3"/>
  <c r="D53" i="3"/>
  <c r="D54" i="3"/>
  <c r="D56" i="3"/>
  <c r="D57" i="3"/>
  <c r="D58" i="3"/>
  <c r="D60" i="3"/>
  <c r="D61" i="3"/>
  <c r="D63" i="3"/>
  <c r="D64" i="3"/>
  <c r="D65" i="3"/>
  <c r="D66" i="3"/>
  <c r="D68" i="3"/>
  <c r="D69" i="3"/>
  <c r="D71" i="3"/>
  <c r="D73" i="3"/>
  <c r="D74" i="3"/>
  <c r="D75" i="3"/>
  <c r="D76" i="3"/>
  <c r="D77" i="3"/>
  <c r="D79" i="3"/>
  <c r="D80" i="3"/>
  <c r="D81" i="3"/>
  <c r="D82" i="3"/>
  <c r="D83" i="3"/>
  <c r="D84" i="3"/>
  <c r="J3" i="3"/>
  <c r="J4" i="3"/>
  <c r="J5" i="3"/>
  <c r="J6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2" i="3"/>
  <c r="J23" i="3"/>
  <c r="J24" i="3"/>
  <c r="J25" i="3"/>
  <c r="J26" i="3"/>
  <c r="J27" i="3"/>
  <c r="J28" i="3"/>
  <c r="J29" i="3"/>
  <c r="J31" i="3"/>
  <c r="J32" i="3"/>
  <c r="J33" i="3"/>
  <c r="J34" i="3"/>
  <c r="J35" i="3"/>
  <c r="J36" i="3"/>
  <c r="J37" i="3"/>
  <c r="J38" i="3"/>
  <c r="J39" i="3"/>
  <c r="J40" i="3"/>
  <c r="J42" i="3"/>
  <c r="J44" i="3"/>
  <c r="J48" i="3"/>
  <c r="J49" i="3"/>
  <c r="J50" i="3"/>
  <c r="J51" i="3"/>
  <c r="J52" i="3"/>
  <c r="J53" i="3"/>
  <c r="J54" i="3"/>
  <c r="J56" i="3"/>
  <c r="J57" i="3"/>
  <c r="J58" i="3"/>
  <c r="J60" i="3"/>
  <c r="J61" i="3"/>
  <c r="J63" i="3"/>
  <c r="J64" i="3"/>
  <c r="J65" i="3"/>
  <c r="J66" i="3"/>
  <c r="J68" i="3"/>
  <c r="J69" i="3"/>
  <c r="J71" i="3"/>
  <c r="J73" i="3"/>
  <c r="J74" i="3"/>
  <c r="J75" i="3"/>
  <c r="J76" i="3"/>
  <c r="J77" i="3"/>
  <c r="J79" i="3"/>
  <c r="J80" i="3"/>
  <c r="J81" i="3"/>
  <c r="J82" i="3"/>
  <c r="J83" i="3"/>
  <c r="J84" i="3"/>
  <c r="Q3" i="3"/>
  <c r="Q4" i="3"/>
  <c r="Q5" i="3"/>
  <c r="Q6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1" i="3"/>
  <c r="Q32" i="3"/>
  <c r="Q33" i="3"/>
  <c r="Q34" i="3"/>
  <c r="Q35" i="3"/>
  <c r="Q36" i="3"/>
  <c r="Q37" i="3"/>
  <c r="Q38" i="3"/>
  <c r="Q39" i="3"/>
  <c r="Q40" i="3"/>
  <c r="Q42" i="3"/>
  <c r="Q44" i="3"/>
  <c r="Q48" i="3"/>
  <c r="Q49" i="3"/>
  <c r="Q50" i="3"/>
  <c r="Q51" i="3"/>
  <c r="Q52" i="3"/>
  <c r="Q53" i="3"/>
  <c r="Q54" i="3"/>
  <c r="Q56" i="3"/>
  <c r="Q57" i="3"/>
  <c r="Q58" i="3"/>
  <c r="Q60" i="3"/>
  <c r="Q61" i="3"/>
  <c r="Q63" i="3"/>
  <c r="Q64" i="3"/>
  <c r="Q65" i="3"/>
  <c r="Q66" i="3"/>
  <c r="Q68" i="3"/>
  <c r="Q69" i="3"/>
  <c r="Q71" i="3"/>
  <c r="Q73" i="3"/>
  <c r="Q74" i="3"/>
  <c r="Q75" i="3"/>
  <c r="Q76" i="3"/>
  <c r="Q77" i="3"/>
  <c r="Q79" i="3"/>
  <c r="Q80" i="3"/>
  <c r="Q81" i="3"/>
  <c r="Q82" i="3"/>
  <c r="Q83" i="3"/>
  <c r="Q84" i="3"/>
  <c r="R3" i="3"/>
  <c r="R4" i="3"/>
  <c r="R5" i="3"/>
  <c r="R6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2" i="3"/>
  <c r="R23" i="3"/>
  <c r="R24" i="3"/>
  <c r="R25" i="3"/>
  <c r="R26" i="3"/>
  <c r="R27" i="3"/>
  <c r="R28" i="3"/>
  <c r="R29" i="3"/>
  <c r="R31" i="3"/>
  <c r="R32" i="3"/>
  <c r="R33" i="3"/>
  <c r="R34" i="3"/>
  <c r="R35" i="3"/>
  <c r="R36" i="3"/>
  <c r="R37" i="3"/>
  <c r="R38" i="3"/>
  <c r="R39" i="3"/>
  <c r="R40" i="3"/>
  <c r="R42" i="3"/>
  <c r="R44" i="3"/>
  <c r="R48" i="3"/>
  <c r="R49" i="3"/>
  <c r="R50" i="3"/>
  <c r="R51" i="3"/>
  <c r="R52" i="3"/>
  <c r="R53" i="3"/>
  <c r="R54" i="3"/>
  <c r="R56" i="3"/>
  <c r="R57" i="3"/>
  <c r="R58" i="3"/>
  <c r="R60" i="3"/>
  <c r="R61" i="3"/>
  <c r="R63" i="3"/>
  <c r="R64" i="3"/>
  <c r="R65" i="3"/>
  <c r="R66" i="3"/>
  <c r="R68" i="3"/>
  <c r="R69" i="3"/>
  <c r="R71" i="3"/>
  <c r="R73" i="3"/>
  <c r="R74" i="3"/>
  <c r="R75" i="3"/>
  <c r="R76" i="3"/>
  <c r="R77" i="3"/>
  <c r="R79" i="3"/>
  <c r="R80" i="3"/>
  <c r="R81" i="3"/>
  <c r="R82" i="3"/>
  <c r="R83" i="3"/>
  <c r="R84" i="3"/>
  <c r="K3" i="3"/>
  <c r="K4" i="3"/>
  <c r="K5" i="3"/>
  <c r="K6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2" i="3"/>
  <c r="K23" i="3"/>
  <c r="K24" i="3"/>
  <c r="K25" i="3"/>
  <c r="K26" i="3"/>
  <c r="K27" i="3"/>
  <c r="K28" i="3"/>
  <c r="K29" i="3"/>
  <c r="K31" i="3"/>
  <c r="K32" i="3"/>
  <c r="K33" i="3"/>
  <c r="K34" i="3"/>
  <c r="K35" i="3"/>
  <c r="K36" i="3"/>
  <c r="K37" i="3"/>
  <c r="K38" i="3"/>
  <c r="K39" i="3"/>
  <c r="K40" i="3"/>
  <c r="K42" i="3"/>
  <c r="K44" i="3"/>
  <c r="K48" i="3"/>
  <c r="K49" i="3"/>
  <c r="K50" i="3"/>
  <c r="K51" i="3"/>
  <c r="K52" i="3"/>
  <c r="K53" i="3"/>
  <c r="K54" i="3"/>
  <c r="K56" i="3"/>
  <c r="K57" i="3"/>
  <c r="K58" i="3"/>
  <c r="K60" i="3"/>
  <c r="K61" i="3"/>
  <c r="K63" i="3"/>
  <c r="K64" i="3"/>
  <c r="K65" i="3"/>
  <c r="K66" i="3"/>
  <c r="K68" i="3"/>
  <c r="K69" i="3"/>
  <c r="K71" i="3"/>
  <c r="K73" i="3"/>
  <c r="K74" i="3"/>
  <c r="K75" i="3"/>
  <c r="K76" i="3"/>
  <c r="K77" i="3"/>
  <c r="K79" i="3"/>
  <c r="K80" i="3"/>
  <c r="K81" i="3"/>
  <c r="K82" i="3"/>
  <c r="K83" i="3"/>
  <c r="K84" i="3"/>
  <c r="L3" i="3"/>
  <c r="L4" i="3"/>
  <c r="L5" i="3"/>
  <c r="L6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2" i="3"/>
  <c r="L23" i="3"/>
  <c r="L24" i="3"/>
  <c r="L25" i="3"/>
  <c r="L26" i="3"/>
  <c r="L27" i="3"/>
  <c r="L28" i="3"/>
  <c r="L29" i="3"/>
  <c r="L31" i="3"/>
  <c r="L32" i="3"/>
  <c r="L33" i="3"/>
  <c r="L34" i="3"/>
  <c r="L35" i="3"/>
  <c r="L36" i="3"/>
  <c r="L37" i="3"/>
  <c r="L38" i="3"/>
  <c r="L39" i="3"/>
  <c r="L40" i="3"/>
  <c r="L42" i="3"/>
  <c r="L44" i="3"/>
  <c r="L48" i="3"/>
  <c r="L49" i="3"/>
  <c r="L50" i="3"/>
  <c r="L51" i="3"/>
  <c r="L52" i="3"/>
  <c r="L53" i="3"/>
  <c r="L54" i="3"/>
  <c r="L56" i="3"/>
  <c r="L57" i="3"/>
  <c r="L58" i="3"/>
  <c r="L60" i="3"/>
  <c r="L61" i="3"/>
  <c r="L63" i="3"/>
  <c r="L64" i="3"/>
  <c r="L65" i="3"/>
  <c r="L66" i="3"/>
  <c r="L68" i="3"/>
  <c r="L69" i="3"/>
  <c r="L71" i="3"/>
  <c r="L73" i="3"/>
  <c r="L74" i="3"/>
  <c r="L75" i="3"/>
  <c r="L76" i="3"/>
  <c r="L77" i="3"/>
  <c r="L79" i="3"/>
  <c r="L80" i="3"/>
  <c r="L81" i="3"/>
  <c r="L82" i="3"/>
  <c r="L83" i="3"/>
  <c r="L84" i="3"/>
  <c r="S3" i="3"/>
  <c r="S4" i="3"/>
  <c r="S5" i="3"/>
  <c r="S6" i="3"/>
  <c r="S8" i="3"/>
  <c r="S9" i="3"/>
  <c r="S10" i="3"/>
  <c r="S11" i="3"/>
  <c r="S12" i="3"/>
  <c r="S13" i="3"/>
  <c r="S14" i="3"/>
  <c r="S15" i="3"/>
  <c r="S16" i="3"/>
  <c r="S17" i="3"/>
  <c r="S18" i="3"/>
  <c r="S19" i="3"/>
  <c r="S20" i="3"/>
  <c r="S22" i="3"/>
  <c r="S23" i="3"/>
  <c r="S24" i="3"/>
  <c r="S25" i="3"/>
  <c r="S26" i="3"/>
  <c r="S27" i="3"/>
  <c r="S28" i="3"/>
  <c r="S29" i="3"/>
  <c r="S31" i="3"/>
  <c r="S32" i="3"/>
  <c r="S33" i="3"/>
  <c r="S34" i="3"/>
  <c r="S35" i="3"/>
  <c r="S36" i="3"/>
  <c r="S37" i="3"/>
  <c r="S38" i="3"/>
  <c r="S39" i="3"/>
  <c r="S40" i="3"/>
  <c r="S42" i="3"/>
  <c r="S44" i="3"/>
  <c r="S48" i="3"/>
  <c r="S49" i="3"/>
  <c r="S50" i="3"/>
  <c r="S51" i="3"/>
  <c r="S52" i="3"/>
  <c r="S53" i="3"/>
  <c r="S54" i="3"/>
  <c r="S56" i="3"/>
  <c r="S57" i="3"/>
  <c r="S58" i="3"/>
  <c r="S60" i="3"/>
  <c r="S61" i="3"/>
  <c r="S63" i="3"/>
  <c r="S64" i="3"/>
  <c r="S65" i="3"/>
  <c r="S66" i="3"/>
  <c r="S68" i="3"/>
  <c r="S69" i="3"/>
  <c r="S71" i="3"/>
  <c r="S73" i="3"/>
  <c r="S74" i="3"/>
  <c r="S75" i="3"/>
  <c r="S76" i="3"/>
  <c r="S77" i="3"/>
  <c r="S79" i="3"/>
  <c r="S80" i="3"/>
  <c r="S81" i="3"/>
  <c r="S82" i="3"/>
  <c r="S83" i="3"/>
  <c r="S84" i="3"/>
  <c r="M2" i="1" a="1"/>
  <c r="U84" i="3" l="1"/>
  <c r="W84" i="3"/>
  <c r="V84" i="3"/>
  <c r="X84" i="3"/>
  <c r="T84" i="3"/>
  <c r="X83" i="3"/>
  <c r="T83" i="3"/>
  <c r="U83" i="3"/>
  <c r="W83" i="3"/>
  <c r="V83" i="3"/>
  <c r="T82" i="3"/>
  <c r="U82" i="3"/>
  <c r="X82" i="3"/>
  <c r="V82" i="3"/>
  <c r="W82" i="3"/>
  <c r="T81" i="3"/>
  <c r="X81" i="3"/>
  <c r="W81" i="3"/>
  <c r="U81" i="3"/>
  <c r="V81" i="3"/>
  <c r="U80" i="3"/>
  <c r="X80" i="3"/>
  <c r="V80" i="3"/>
  <c r="W80" i="3"/>
  <c r="T80" i="3"/>
  <c r="X79" i="3"/>
  <c r="U79" i="3"/>
  <c r="V79" i="3"/>
  <c r="W79" i="3"/>
  <c r="T79" i="3"/>
  <c r="T77" i="3"/>
  <c r="U77" i="3"/>
  <c r="V77" i="3"/>
  <c r="W77" i="3"/>
  <c r="X77" i="3"/>
  <c r="U76" i="3"/>
  <c r="T76" i="3"/>
  <c r="X76" i="3"/>
  <c r="V76" i="3"/>
  <c r="W76" i="3"/>
  <c r="T75" i="3"/>
  <c r="V75" i="3"/>
  <c r="X75" i="3"/>
  <c r="W75" i="3"/>
  <c r="U75" i="3"/>
  <c r="T74" i="3"/>
  <c r="V74" i="3"/>
  <c r="U74" i="3"/>
  <c r="W74" i="3"/>
  <c r="X74" i="3"/>
  <c r="T73" i="3"/>
  <c r="U73" i="3"/>
  <c r="V73" i="3"/>
  <c r="X73" i="3"/>
  <c r="W73" i="3"/>
  <c r="U71" i="3"/>
  <c r="T71" i="3"/>
  <c r="V71" i="3"/>
  <c r="W71" i="3"/>
  <c r="X71" i="3"/>
  <c r="V69" i="3"/>
  <c r="X69" i="3"/>
  <c r="W69" i="3"/>
  <c r="T69" i="3"/>
  <c r="U69" i="3"/>
  <c r="T68" i="3"/>
  <c r="U68" i="3"/>
  <c r="V68" i="3"/>
  <c r="W68" i="3"/>
  <c r="X68" i="3"/>
  <c r="W66" i="3"/>
  <c r="X66" i="3"/>
  <c r="V66" i="3"/>
  <c r="U66" i="3"/>
  <c r="T66" i="3"/>
  <c r="T65" i="3"/>
  <c r="X65" i="3"/>
  <c r="U65" i="3"/>
  <c r="V65" i="3"/>
  <c r="W65" i="3"/>
  <c r="W64" i="3"/>
  <c r="U64" i="3"/>
  <c r="V64" i="3"/>
  <c r="X64" i="3"/>
  <c r="T64" i="3"/>
  <c r="T63" i="3"/>
  <c r="W63" i="3"/>
  <c r="X63" i="3"/>
  <c r="U63" i="3"/>
  <c r="V63" i="3"/>
  <c r="T61" i="3"/>
  <c r="X61" i="3"/>
  <c r="W61" i="3"/>
  <c r="V61" i="3"/>
  <c r="U61" i="3"/>
  <c r="U60" i="3"/>
  <c r="X60" i="3"/>
  <c r="V60" i="3"/>
  <c r="W60" i="3"/>
  <c r="T60" i="3"/>
  <c r="W58" i="3"/>
  <c r="T58" i="3"/>
  <c r="U58" i="3"/>
  <c r="V58" i="3"/>
  <c r="X58" i="3"/>
  <c r="T57" i="3"/>
  <c r="U57" i="3"/>
  <c r="V57" i="3"/>
  <c r="X57" i="3"/>
  <c r="W57" i="3"/>
  <c r="T56" i="3"/>
  <c r="U56" i="3"/>
  <c r="W56" i="3"/>
  <c r="X56" i="3"/>
  <c r="V56" i="3"/>
  <c r="U54" i="3"/>
  <c r="W54" i="3"/>
  <c r="X54" i="3"/>
  <c r="T54" i="3"/>
  <c r="V54" i="3"/>
  <c r="X53" i="3"/>
  <c r="U53" i="3"/>
  <c r="T53" i="3"/>
  <c r="V53" i="3"/>
  <c r="W53" i="3"/>
  <c r="U52" i="3"/>
  <c r="V52" i="3"/>
  <c r="W52" i="3"/>
  <c r="T52" i="3"/>
  <c r="X52" i="3"/>
  <c r="V51" i="3"/>
  <c r="T51" i="3"/>
  <c r="U51" i="3"/>
  <c r="W51" i="3"/>
  <c r="X51" i="3"/>
  <c r="U50" i="3"/>
  <c r="W50" i="3"/>
  <c r="X50" i="3"/>
  <c r="T50" i="3"/>
  <c r="V50" i="3"/>
  <c r="T49" i="3"/>
  <c r="U49" i="3"/>
  <c r="W49" i="3"/>
  <c r="X49" i="3"/>
  <c r="V49" i="3"/>
  <c r="U48" i="3"/>
  <c r="V48" i="3"/>
  <c r="W48" i="3"/>
  <c r="T48" i="3"/>
  <c r="X48" i="3"/>
  <c r="U44" i="3"/>
  <c r="W44" i="3"/>
  <c r="X44" i="3"/>
  <c r="V44" i="3"/>
  <c r="T44" i="3"/>
  <c r="U42" i="3"/>
  <c r="T42" i="3"/>
  <c r="V42" i="3"/>
  <c r="W42" i="3"/>
  <c r="X42" i="3"/>
  <c r="T40" i="3"/>
  <c r="U40" i="3"/>
  <c r="V40" i="3"/>
  <c r="X40" i="3"/>
  <c r="W40" i="3"/>
  <c r="U39" i="3"/>
  <c r="T39" i="3"/>
  <c r="V39" i="3"/>
  <c r="W39" i="3"/>
  <c r="X39" i="3"/>
  <c r="T38" i="3"/>
  <c r="V38" i="3"/>
  <c r="W38" i="3"/>
  <c r="X38" i="3"/>
  <c r="U38" i="3"/>
  <c r="W37" i="3"/>
  <c r="X37" i="3"/>
  <c r="T37" i="3"/>
  <c r="V37" i="3"/>
  <c r="U37" i="3"/>
  <c r="T36" i="3"/>
  <c r="U36" i="3"/>
  <c r="V36" i="3"/>
  <c r="W36" i="3"/>
  <c r="X36" i="3"/>
  <c r="T35" i="3"/>
  <c r="U35" i="3"/>
  <c r="W35" i="3"/>
  <c r="X35" i="3"/>
  <c r="V35" i="3"/>
  <c r="T34" i="3"/>
  <c r="V34" i="3"/>
  <c r="W34" i="3"/>
  <c r="X34" i="3"/>
  <c r="U34" i="3"/>
  <c r="T33" i="3"/>
  <c r="U33" i="3"/>
  <c r="V33" i="3"/>
  <c r="W33" i="3"/>
  <c r="X33" i="3"/>
  <c r="T32" i="3"/>
  <c r="U32" i="3"/>
  <c r="V32" i="3"/>
  <c r="W32" i="3"/>
  <c r="X32" i="3"/>
  <c r="T31" i="3"/>
  <c r="U31" i="3"/>
  <c r="V31" i="3"/>
  <c r="X31" i="3"/>
  <c r="W31" i="3"/>
  <c r="U29" i="3"/>
  <c r="W29" i="3"/>
  <c r="X29" i="3"/>
  <c r="T29" i="3"/>
  <c r="V29" i="3"/>
  <c r="X28" i="3"/>
  <c r="W28" i="3"/>
  <c r="U28" i="3"/>
  <c r="T28" i="3"/>
  <c r="V28" i="3"/>
  <c r="U27" i="3"/>
  <c r="V27" i="3"/>
  <c r="W27" i="3"/>
  <c r="X27" i="3"/>
  <c r="T27" i="3"/>
  <c r="T26" i="3"/>
  <c r="U26" i="3"/>
  <c r="V26" i="3"/>
  <c r="W26" i="3"/>
  <c r="X26" i="3"/>
  <c r="U25" i="3"/>
  <c r="W25" i="3"/>
  <c r="X25" i="3"/>
  <c r="T25" i="3"/>
  <c r="V25" i="3"/>
  <c r="X24" i="3"/>
  <c r="T24" i="3"/>
  <c r="U24" i="3"/>
  <c r="V24" i="3"/>
  <c r="W24" i="3"/>
  <c r="U23" i="3"/>
  <c r="V23" i="3"/>
  <c r="W23" i="3"/>
  <c r="X23" i="3"/>
  <c r="T23" i="3"/>
  <c r="U22" i="3"/>
  <c r="V22" i="3"/>
  <c r="T22" i="3"/>
  <c r="X22" i="3"/>
  <c r="W22" i="3"/>
  <c r="V20" i="3"/>
  <c r="X20" i="3"/>
  <c r="W20" i="3"/>
  <c r="U20" i="3"/>
  <c r="T20" i="3"/>
  <c r="T19" i="3"/>
  <c r="U19" i="3"/>
  <c r="V19" i="3"/>
  <c r="X19" i="3"/>
  <c r="W19" i="3"/>
  <c r="V18" i="3"/>
  <c r="W18" i="3"/>
  <c r="X18" i="3"/>
  <c r="T18" i="3"/>
  <c r="U18" i="3"/>
  <c r="V17" i="3"/>
  <c r="T17" i="3"/>
  <c r="U17" i="3"/>
  <c r="W17" i="3"/>
  <c r="X17" i="3"/>
  <c r="V16" i="3"/>
  <c r="X16" i="3"/>
  <c r="U16" i="3"/>
  <c r="T16" i="3"/>
  <c r="W16" i="3"/>
  <c r="T15" i="3"/>
  <c r="V15" i="3"/>
  <c r="X15" i="3"/>
  <c r="U15" i="3"/>
  <c r="W15" i="3"/>
  <c r="V14" i="3"/>
  <c r="W14" i="3"/>
  <c r="X14" i="3"/>
  <c r="U14" i="3"/>
  <c r="T14" i="3"/>
  <c r="W13" i="3"/>
  <c r="T13" i="3"/>
  <c r="U13" i="3"/>
  <c r="V13" i="3"/>
  <c r="X13" i="3"/>
  <c r="V12" i="3"/>
  <c r="X12" i="3"/>
  <c r="W12" i="3"/>
  <c r="U12" i="3"/>
  <c r="T12" i="3"/>
  <c r="T11" i="3"/>
  <c r="U11" i="3"/>
  <c r="X11" i="3"/>
  <c r="V11" i="3"/>
  <c r="W11" i="3"/>
  <c r="V10" i="3"/>
  <c r="W10" i="3"/>
  <c r="X10" i="3"/>
  <c r="T10" i="3"/>
  <c r="U10" i="3"/>
  <c r="V9" i="3"/>
  <c r="T9" i="3"/>
  <c r="U9" i="3"/>
  <c r="W9" i="3"/>
  <c r="X9" i="3"/>
  <c r="V8" i="3"/>
  <c r="X8" i="3"/>
  <c r="U8" i="3"/>
  <c r="T8" i="3"/>
  <c r="W8" i="3"/>
  <c r="T6" i="3"/>
  <c r="U6" i="3"/>
  <c r="V6" i="3"/>
  <c r="W6" i="3"/>
  <c r="X6" i="3"/>
  <c r="W5" i="3"/>
  <c r="X5" i="3"/>
  <c r="T5" i="3"/>
  <c r="U5" i="3"/>
  <c r="V5" i="3"/>
  <c r="T4" i="3"/>
  <c r="W4" i="3"/>
  <c r="X4" i="3"/>
  <c r="U4" i="3"/>
  <c r="V4" i="3"/>
  <c r="W3" i="3"/>
  <c r="X3" i="3"/>
  <c r="U3" i="3"/>
  <c r="T3" i="3"/>
  <c r="V3" i="3"/>
  <c r="M2" i="1"/>
  <c r="M5" i="1" a="1"/>
  <c r="M5" i="1"/>
  <c r="C8" i="1"/>
  <c r="C8" i="466" s="1"/>
  <c r="D8" i="1"/>
  <c r="E8" i="1"/>
  <c r="F8" i="1"/>
  <c r="G8" i="1"/>
  <c r="H8" i="1" a="1"/>
  <c r="H8" i="1" l="1"/>
  <c r="I8" i="1" a="1"/>
  <c r="I8" i="1"/>
  <c r="D8" i="466" s="1"/>
  <c r="J8" i="1" a="1"/>
  <c r="J8" i="1" l="1"/>
  <c r="K8" i="1" a="1"/>
  <c r="K8" i="1"/>
  <c r="C9" i="1"/>
  <c r="C9" i="466" s="1"/>
  <c r="D9" i="1"/>
  <c r="E9" i="1"/>
  <c r="F9" i="1"/>
  <c r="G9" i="1"/>
  <c r="H9" i="1" a="1"/>
  <c r="H9" i="1" l="1"/>
  <c r="I9" i="1" a="1"/>
  <c r="I9" i="1"/>
  <c r="D9" i="466" s="1"/>
  <c r="J9" i="1" a="1"/>
  <c r="J9" i="1" l="1"/>
  <c r="K9" i="1" a="1"/>
  <c r="K9" i="1"/>
  <c r="C10" i="1"/>
  <c r="C10" i="466" s="1"/>
  <c r="D10" i="1"/>
  <c r="E10" i="1"/>
  <c r="F10" i="1"/>
  <c r="G10" i="1"/>
  <c r="H10" i="1" a="1"/>
  <c r="H10" i="1" l="1"/>
  <c r="I10" i="1" a="1"/>
  <c r="I10" i="1"/>
  <c r="D10" i="466" s="1"/>
  <c r="J10" i="1" a="1"/>
  <c r="J10" i="1" l="1"/>
  <c r="K10" i="1" a="1"/>
  <c r="K10" i="1"/>
  <c r="C11" i="1"/>
  <c r="C11" i="466" s="1"/>
  <c r="D11" i="1"/>
  <c r="E11" i="1"/>
  <c r="F11" i="1"/>
  <c r="G11" i="1"/>
  <c r="H11" i="1" a="1"/>
  <c r="H11" i="1" l="1"/>
  <c r="I11" i="1" a="1"/>
  <c r="I11" i="1"/>
  <c r="D11" i="466" s="1"/>
  <c r="J11" i="1" a="1"/>
  <c r="J11" i="1" l="1"/>
  <c r="K11" i="1" a="1"/>
  <c r="K11" i="1"/>
  <c r="C12" i="1"/>
  <c r="C12" i="466" s="1"/>
  <c r="D12" i="1"/>
  <c r="E12" i="1"/>
  <c r="F12" i="1"/>
  <c r="G12" i="1"/>
  <c r="H12" i="1" a="1"/>
  <c r="H12" i="1" l="1"/>
  <c r="I12" i="1" a="1"/>
  <c r="I12" i="1"/>
  <c r="D12" i="466" s="1"/>
  <c r="J12" i="1" a="1"/>
  <c r="J12" i="1" l="1"/>
  <c r="K12" i="1" a="1"/>
  <c r="K12" i="1"/>
  <c r="C13" i="1"/>
  <c r="C13" i="466" s="1"/>
  <c r="D13" i="1"/>
  <c r="E13" i="1"/>
  <c r="F13" i="1"/>
  <c r="G13" i="1"/>
  <c r="H13" i="1" a="1"/>
  <c r="H13" i="1" l="1"/>
  <c r="I13" i="1" a="1"/>
  <c r="I13" i="1"/>
  <c r="D13" i="466" s="1"/>
  <c r="J13" i="1" a="1"/>
  <c r="J13" i="1" l="1"/>
  <c r="K13" i="1" a="1"/>
  <c r="K13" i="1"/>
  <c r="C14" i="1"/>
  <c r="C14" i="466" s="1"/>
  <c r="D14" i="1"/>
  <c r="E14" i="1"/>
  <c r="F14" i="1"/>
  <c r="G14" i="1"/>
  <c r="H14" i="1" a="1"/>
  <c r="E14" i="466" l="1"/>
  <c r="E8" i="466"/>
  <c r="E13" i="466"/>
  <c r="E10" i="466"/>
  <c r="E9" i="466"/>
  <c r="E11" i="466"/>
  <c r="E12" i="466"/>
  <c r="H14" i="1"/>
  <c r="I14" i="1" a="1"/>
  <c r="I14" i="1" l="1"/>
  <c r="D14" i="466" s="1"/>
  <c r="J14" i="1" a="1"/>
  <c r="F14" i="466" l="1"/>
  <c r="G14" i="466" s="1"/>
  <c r="H14" i="466" s="1"/>
  <c r="F8" i="466"/>
  <c r="G8" i="466" s="1"/>
  <c r="H8" i="466" s="1"/>
  <c r="F13" i="466"/>
  <c r="G13" i="466" s="1"/>
  <c r="H13" i="466" s="1"/>
  <c r="F11" i="466"/>
  <c r="G11" i="466" s="1"/>
  <c r="H11" i="466" s="1"/>
  <c r="F10" i="466"/>
  <c r="G10" i="466" s="1"/>
  <c r="H10" i="466" s="1"/>
  <c r="F9" i="466"/>
  <c r="G9" i="466" s="1"/>
  <c r="H9" i="466" s="1"/>
  <c r="F12" i="466"/>
  <c r="G12" i="466" s="1"/>
  <c r="H12" i="466" s="1"/>
  <c r="J14" i="1"/>
  <c r="K14" i="1" a="1"/>
  <c r="K14" i="1"/>
  <c r="C16" i="1"/>
  <c r="C16" i="466" s="1"/>
  <c r="D16" i="1"/>
  <c r="E16" i="1"/>
  <c r="F16" i="1"/>
  <c r="G16" i="1"/>
  <c r="H16" i="1" a="1"/>
  <c r="H16" i="1" l="1"/>
  <c r="I16" i="1" a="1"/>
  <c r="I16" i="1"/>
  <c r="D16" i="466" s="1"/>
  <c r="J16" i="1" a="1"/>
  <c r="J16" i="1" l="1"/>
  <c r="K16" i="1" a="1"/>
  <c r="K16" i="1"/>
  <c r="C17" i="1"/>
  <c r="C17" i="466" s="1"/>
  <c r="D17" i="1"/>
  <c r="E17" i="1"/>
  <c r="F17" i="1"/>
  <c r="G17" i="1"/>
  <c r="H17" i="1" a="1"/>
  <c r="H17" i="1" l="1"/>
  <c r="I17" i="1" a="1"/>
  <c r="I17" i="1"/>
  <c r="D17" i="466" s="1"/>
  <c r="J17" i="1" a="1"/>
  <c r="J17" i="1" l="1"/>
  <c r="K17" i="1" a="1"/>
  <c r="K17" i="1"/>
  <c r="C18" i="1"/>
  <c r="C18" i="466" s="1"/>
  <c r="D18" i="1"/>
  <c r="E18" i="1"/>
  <c r="F18" i="1"/>
  <c r="G18" i="1"/>
  <c r="H18" i="1" a="1"/>
  <c r="E18" i="466" l="1"/>
  <c r="E16" i="466"/>
  <c r="E17" i="466"/>
  <c r="H18" i="1"/>
  <c r="I18" i="1" a="1"/>
  <c r="I18" i="1" l="1"/>
  <c r="D18" i="466" s="1"/>
  <c r="J18" i="1" a="1"/>
  <c r="F18" i="466" l="1"/>
  <c r="G18" i="466" s="1"/>
  <c r="H18" i="466" s="1"/>
  <c r="F17" i="466"/>
  <c r="G17" i="466" s="1"/>
  <c r="H17" i="466" s="1"/>
  <c r="F16" i="466"/>
  <c r="G16" i="466" s="1"/>
  <c r="H16" i="466" s="1"/>
  <c r="J18" i="1"/>
  <c r="K18" i="1" a="1"/>
  <c r="K18" i="1"/>
  <c r="C20" i="1"/>
  <c r="C20" i="466" s="1"/>
  <c r="E20" i="466" s="1"/>
  <c r="D20" i="1"/>
  <c r="E20" i="1"/>
  <c r="F20" i="1"/>
  <c r="G20" i="1"/>
  <c r="H20" i="1" a="1"/>
  <c r="H20" i="1" l="1"/>
  <c r="I20" i="1" a="1"/>
  <c r="I20" i="1"/>
  <c r="D20" i="466" s="1"/>
  <c r="F20" i="466" s="1"/>
  <c r="G20" i="466" s="1"/>
  <c r="H20" i="466" s="1"/>
  <c r="J20" i="1" a="1"/>
  <c r="J20" i="1"/>
  <c r="K20" i="1" a="1"/>
  <c r="K20" i="1"/>
  <c r="C22" i="1"/>
  <c r="C22" i="466" s="1"/>
  <c r="D22" i="1"/>
  <c r="E22" i="1"/>
  <c r="F22" i="1"/>
  <c r="G22" i="1"/>
  <c r="H22" i="1" a="1"/>
  <c r="H22" i="1" l="1"/>
  <c r="I22" i="1" a="1"/>
  <c r="I22" i="1"/>
  <c r="D22" i="466" s="1"/>
  <c r="J22" i="1" a="1"/>
  <c r="J22" i="1" l="1"/>
  <c r="K22" i="1" a="1"/>
  <c r="K22" i="1"/>
  <c r="C23" i="1"/>
  <c r="C23" i="466" s="1"/>
  <c r="D23" i="1"/>
  <c r="E23" i="1"/>
  <c r="F23" i="1"/>
  <c r="G23" i="1"/>
  <c r="H23" i="1" a="1"/>
  <c r="H23" i="1" l="1"/>
  <c r="I23" i="1" a="1"/>
  <c r="I23" i="1"/>
  <c r="D23" i="466" s="1"/>
  <c r="J23" i="1" a="1"/>
  <c r="J23" i="1" l="1"/>
  <c r="K23" i="1" a="1"/>
  <c r="K23" i="1"/>
  <c r="C24" i="1"/>
  <c r="C24" i="466" s="1"/>
  <c r="D24" i="1"/>
  <c r="E24" i="1"/>
  <c r="F24" i="1"/>
  <c r="G24" i="1"/>
  <c r="H24" i="1" a="1"/>
  <c r="H24" i="1" l="1"/>
  <c r="I24" i="1" a="1"/>
  <c r="I24" i="1"/>
  <c r="D24" i="466" s="1"/>
  <c r="J24" i="1" a="1"/>
  <c r="J24" i="1" l="1"/>
  <c r="K24" i="1" a="1"/>
  <c r="K24" i="1"/>
  <c r="C25" i="1"/>
  <c r="C25" i="466" s="1"/>
  <c r="D25" i="1"/>
  <c r="E25" i="1"/>
  <c r="F25" i="1"/>
  <c r="G25" i="1"/>
  <c r="H25" i="1" a="1"/>
  <c r="E25" i="466" l="1"/>
  <c r="E24" i="466"/>
  <c r="E23" i="466"/>
  <c r="E22" i="466"/>
  <c r="H25" i="1"/>
  <c r="I25" i="1" a="1"/>
  <c r="I25" i="1" l="1"/>
  <c r="D25" i="466" s="1"/>
  <c r="J25" i="1" a="1"/>
  <c r="F25" i="466" l="1"/>
  <c r="G25" i="466" s="1"/>
  <c r="H25" i="466" s="1"/>
  <c r="F23" i="466"/>
  <c r="G23" i="466" s="1"/>
  <c r="H23" i="466" s="1"/>
  <c r="F24" i="466"/>
  <c r="G24" i="466" s="1"/>
  <c r="H24" i="466" s="1"/>
  <c r="F22" i="466"/>
  <c r="G22" i="466" s="1"/>
  <c r="H22" i="466" s="1"/>
  <c r="J25" i="1"/>
  <c r="K25" i="1" a="1"/>
  <c r="K25" i="1"/>
  <c r="C27" i="1"/>
  <c r="C27" i="466" s="1"/>
  <c r="D27" i="1"/>
  <c r="E27" i="1"/>
  <c r="F27" i="1"/>
  <c r="G27" i="1"/>
  <c r="H27" i="1" a="1"/>
  <c r="H27" i="1" l="1"/>
  <c r="I27" i="1" a="1"/>
  <c r="I27" i="1"/>
  <c r="D27" i="466" s="1"/>
  <c r="J27" i="1" a="1"/>
  <c r="J27" i="1" l="1"/>
  <c r="K27" i="1" a="1"/>
  <c r="K27" i="1"/>
  <c r="C28" i="1"/>
  <c r="C28" i="466" s="1"/>
  <c r="D28" i="1"/>
  <c r="E28" i="1"/>
  <c r="F28" i="1"/>
  <c r="G28" i="1"/>
  <c r="H28" i="1" a="1"/>
  <c r="E28" i="466" l="1"/>
  <c r="E27" i="466"/>
  <c r="H28" i="1"/>
  <c r="I28" i="1" a="1"/>
  <c r="I28" i="1" l="1"/>
  <c r="D28" i="466" s="1"/>
  <c r="J28" i="1" a="1"/>
  <c r="F28" i="466" l="1"/>
  <c r="G28" i="466" s="1"/>
  <c r="H28" i="466" s="1"/>
  <c r="F27" i="466"/>
  <c r="G27" i="466" s="1"/>
  <c r="H27" i="466" s="1"/>
  <c r="J28" i="1"/>
  <c r="K28" i="1" a="1"/>
  <c r="K28" i="1"/>
  <c r="C30" i="1"/>
  <c r="C30" i="466" s="1"/>
  <c r="E30" i="466" s="1"/>
  <c r="D30" i="1"/>
  <c r="E30" i="1"/>
  <c r="F30" i="1"/>
  <c r="G30" i="1"/>
  <c r="H30" i="1" a="1"/>
  <c r="H30" i="1" l="1"/>
  <c r="I30" i="1" a="1"/>
  <c r="I30" i="1"/>
  <c r="D30" i="466" s="1"/>
  <c r="F30" i="466" s="1"/>
  <c r="G30" i="466" s="1"/>
  <c r="H30" i="466" s="1"/>
  <c r="J30" i="1" a="1"/>
  <c r="J30" i="1"/>
  <c r="K30" i="1" a="1"/>
  <c r="K30" i="1"/>
  <c r="C32" i="1"/>
  <c r="C32" i="466" s="1"/>
  <c r="D32" i="1"/>
  <c r="E32" i="1"/>
  <c r="F32" i="1"/>
  <c r="G32" i="1"/>
  <c r="H32" i="1" a="1"/>
  <c r="H32" i="1" l="1"/>
  <c r="I32" i="1" a="1"/>
  <c r="I32" i="1"/>
  <c r="D32" i="466" s="1"/>
  <c r="J32" i="1" a="1"/>
  <c r="J32" i="1" l="1"/>
  <c r="K32" i="1" a="1"/>
  <c r="K32" i="1"/>
  <c r="C33" i="1"/>
  <c r="C33" i="466" s="1"/>
  <c r="D33" i="1"/>
  <c r="E33" i="1"/>
  <c r="F33" i="1"/>
  <c r="G33" i="1"/>
  <c r="H33" i="1" a="1"/>
  <c r="H33" i="1" l="1"/>
  <c r="I33" i="1" a="1"/>
  <c r="I33" i="1"/>
  <c r="D33" i="466" s="1"/>
  <c r="J33" i="1" a="1"/>
  <c r="J33" i="1" l="1"/>
  <c r="K33" i="1" a="1"/>
  <c r="K33" i="1"/>
  <c r="C34" i="1"/>
  <c r="C34" i="466" s="1"/>
  <c r="D34" i="1"/>
  <c r="E34" i="1"/>
  <c r="F34" i="1"/>
  <c r="G34" i="1"/>
  <c r="H34" i="1" a="1"/>
  <c r="H34" i="1" l="1"/>
  <c r="I34" i="1" a="1"/>
  <c r="I34" i="1"/>
  <c r="D34" i="466" s="1"/>
  <c r="J34" i="1" a="1"/>
  <c r="J34" i="1" l="1"/>
  <c r="K34" i="1" a="1"/>
  <c r="K34" i="1"/>
  <c r="C35" i="1"/>
  <c r="C35" i="466" s="1"/>
  <c r="D35" i="1"/>
  <c r="E35" i="1"/>
  <c r="F35" i="1"/>
  <c r="G35" i="1"/>
  <c r="H35" i="1" a="1"/>
  <c r="H35" i="1" l="1"/>
  <c r="I35" i="1" a="1"/>
  <c r="I35" i="1"/>
  <c r="D35" i="466" s="1"/>
  <c r="J35" i="1" a="1"/>
  <c r="J35" i="1" l="1"/>
  <c r="K35" i="1" a="1"/>
  <c r="K35" i="1"/>
  <c r="C36" i="1"/>
  <c r="C36" i="466" s="1"/>
  <c r="D36" i="1"/>
  <c r="E36" i="1"/>
  <c r="F36" i="1"/>
  <c r="G36" i="1"/>
  <c r="H36" i="1" a="1"/>
  <c r="E36" i="466" l="1"/>
  <c r="E35" i="466"/>
  <c r="E33" i="466"/>
  <c r="E32" i="466"/>
  <c r="E34" i="466"/>
  <c r="H36" i="1"/>
  <c r="I36" i="1" a="1"/>
  <c r="I36" i="1" l="1"/>
  <c r="D36" i="466" s="1"/>
  <c r="J36" i="1" a="1"/>
  <c r="F36" i="466" l="1"/>
  <c r="G36" i="466" s="1"/>
  <c r="H36" i="466" s="1"/>
  <c r="F35" i="466"/>
  <c r="G35" i="466" s="1"/>
  <c r="H35" i="466" s="1"/>
  <c r="F33" i="466"/>
  <c r="G33" i="466" s="1"/>
  <c r="H33" i="466" s="1"/>
  <c r="F32" i="466"/>
  <c r="G32" i="466" s="1"/>
  <c r="H32" i="466" s="1"/>
  <c r="F34" i="466"/>
  <c r="G34" i="466" s="1"/>
  <c r="H34" i="466" s="1"/>
  <c r="J36" i="1"/>
  <c r="K36" i="1" a="1"/>
  <c r="K36" i="1"/>
  <c r="C38" i="1"/>
  <c r="C38" i="466" s="1"/>
  <c r="D38" i="1"/>
  <c r="E38" i="1"/>
  <c r="F38" i="1"/>
  <c r="G38" i="1"/>
  <c r="H38" i="1" a="1"/>
  <c r="H38" i="1" l="1"/>
  <c r="I38" i="1" a="1"/>
  <c r="I38" i="1"/>
  <c r="D38" i="466" s="1"/>
  <c r="J38" i="1" a="1"/>
  <c r="J38" i="1" l="1"/>
  <c r="K38" i="1" a="1"/>
  <c r="K38" i="1"/>
  <c r="C39" i="1"/>
  <c r="C39" i="466" s="1"/>
  <c r="D39" i="1"/>
  <c r="E39" i="1"/>
  <c r="F39" i="1"/>
  <c r="G39" i="1"/>
  <c r="H39" i="1" a="1"/>
  <c r="H39" i="1" l="1"/>
  <c r="I39" i="1" a="1"/>
  <c r="I39" i="1"/>
  <c r="D39" i="466" s="1"/>
  <c r="J39" i="1" a="1"/>
  <c r="J39" i="1" l="1"/>
  <c r="K39" i="1" a="1"/>
  <c r="K39" i="1"/>
  <c r="C40" i="1"/>
  <c r="C40" i="466" s="1"/>
  <c r="D40" i="1"/>
  <c r="E40" i="1"/>
  <c r="F40" i="1"/>
  <c r="G40" i="1"/>
  <c r="H40" i="1" a="1"/>
  <c r="H40" i="1" l="1"/>
  <c r="I40" i="1" a="1"/>
  <c r="I40" i="1"/>
  <c r="D40" i="466" s="1"/>
  <c r="J40" i="1" a="1"/>
  <c r="J40" i="1" l="1"/>
  <c r="K40" i="1" a="1"/>
  <c r="K40" i="1"/>
  <c r="C41" i="1"/>
  <c r="C41" i="466" s="1"/>
  <c r="D41" i="1"/>
  <c r="E41" i="1"/>
  <c r="F41" i="1"/>
  <c r="G41" i="1"/>
  <c r="H41" i="1" a="1"/>
  <c r="H41" i="1" l="1"/>
  <c r="I41" i="1" a="1"/>
  <c r="I41" i="1"/>
  <c r="D41" i="466" s="1"/>
  <c r="J41" i="1" a="1"/>
  <c r="J41" i="1" l="1"/>
  <c r="K41" i="1" a="1"/>
  <c r="K41" i="1"/>
  <c r="C42" i="1"/>
  <c r="C42" i="466" s="1"/>
  <c r="D42" i="1" a="1"/>
  <c r="D42" i="1" l="1"/>
  <c r="E42" i="1"/>
  <c r="F42" i="1"/>
  <c r="G42" i="1"/>
  <c r="H42" i="1" a="1"/>
  <c r="H42" i="1"/>
  <c r="I42" i="1" a="1"/>
  <c r="I42" i="1"/>
  <c r="D42" i="466" s="1"/>
  <c r="J42" i="1" a="1"/>
  <c r="J42" i="1" l="1"/>
  <c r="K42" i="1" a="1"/>
  <c r="K42" i="1"/>
  <c r="C43" i="1"/>
  <c r="C43" i="466" s="1"/>
  <c r="D43" i="1"/>
  <c r="E43" i="1"/>
  <c r="F43" i="1"/>
  <c r="G43" i="1"/>
  <c r="H43" i="1" a="1"/>
  <c r="E43" i="466" l="1"/>
  <c r="E42" i="466"/>
  <c r="E44" i="466"/>
  <c r="G44" i="466" s="1"/>
  <c r="H44" i="466" s="1"/>
  <c r="E41" i="466"/>
  <c r="E38" i="466"/>
  <c r="E40" i="466"/>
  <c r="E39" i="466"/>
  <c r="H43" i="1"/>
  <c r="I43" i="1" a="1"/>
  <c r="I43" i="1" l="1"/>
  <c r="D43" i="466" s="1"/>
  <c r="J43" i="1" a="1"/>
  <c r="F43" i="466" l="1"/>
  <c r="G43" i="466" s="1"/>
  <c r="H43" i="466" s="1"/>
  <c r="F42" i="466"/>
  <c r="G42" i="466" s="1"/>
  <c r="H42" i="466" s="1"/>
  <c r="F39" i="466"/>
  <c r="G39" i="466" s="1"/>
  <c r="H39" i="466" s="1"/>
  <c r="F38" i="466"/>
  <c r="G38" i="466" s="1"/>
  <c r="H38" i="466" s="1"/>
  <c r="F40" i="466"/>
  <c r="G40" i="466" s="1"/>
  <c r="H40" i="466" s="1"/>
  <c r="F41" i="466"/>
  <c r="G41" i="466" s="1"/>
  <c r="H41" i="466" s="1"/>
  <c r="J43" i="1"/>
  <c r="K43" i="1" a="1"/>
  <c r="K43" i="1"/>
  <c r="C44" i="1" a="1"/>
  <c r="C44" i="1"/>
  <c r="D44" i="1" a="1"/>
  <c r="D44" i="1"/>
  <c r="E44" i="1"/>
  <c r="F44" i="1"/>
  <c r="G44" i="1"/>
  <c r="H44" i="1" a="1"/>
  <c r="H44" i="1"/>
  <c r="I44" i="1" a="1"/>
  <c r="I44" i="1"/>
  <c r="J44" i="1" a="1"/>
  <c r="J44" i="1"/>
  <c r="K44" i="1" a="1"/>
  <c r="K44" i="1"/>
  <c r="H46" i="1"/>
  <c r="I46" i="1"/>
  <c r="J46" i="1"/>
  <c r="K46" i="1"/>
  <c r="H47" i="1"/>
  <c r="I47" i="1"/>
  <c r="J47" i="1"/>
  <c r="K47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<sst xmlns="http://schemas.openxmlformats.org/spreadsheetml/2006/main" count="563" uniqueCount="395">
  <si>
    <t>CDS (bps)</t>
  </si>
  <si>
    <t>Equity Price (%)</t>
  </si>
  <si>
    <t>Bank</t>
  </si>
  <si>
    <t>Now</t>
  </si>
  <si>
    <t>5d Δ</t>
  </si>
  <si>
    <t>2wk Δ</t>
  </si>
  <si>
    <t>3m Δ</t>
  </si>
  <si>
    <t>1yr Δ</t>
  </si>
  <si>
    <t>America</t>
  </si>
  <si>
    <t>Dow Jones US Banks Index</t>
  </si>
  <si>
    <t>Citigroup</t>
  </si>
  <si>
    <t>Bank of America</t>
  </si>
  <si>
    <t>JPMorgan Chase</t>
  </si>
  <si>
    <t>Goldman Sachs</t>
  </si>
  <si>
    <t>Morgan Stanley</t>
  </si>
  <si>
    <t>Wells Fargo</t>
  </si>
  <si>
    <t>State Street Bank</t>
  </si>
  <si>
    <t>France</t>
  </si>
  <si>
    <t>BNP Paribas SA</t>
  </si>
  <si>
    <t>Credit Agricole SA</t>
  </si>
  <si>
    <t>Societe Generale</t>
  </si>
  <si>
    <t>Switzerland</t>
  </si>
  <si>
    <t>UBS Group AG</t>
  </si>
  <si>
    <t>U.K.</t>
  </si>
  <si>
    <t>Barclays Bank PLC</t>
  </si>
  <si>
    <t>HSBC Holdings PLC</t>
  </si>
  <si>
    <t>RBS Group PLC</t>
  </si>
  <si>
    <t>Standard Chartered</t>
  </si>
  <si>
    <t>Germany</t>
  </si>
  <si>
    <t>Deutsche Bank AG</t>
  </si>
  <si>
    <t>Commerzbank</t>
  </si>
  <si>
    <t>Denmark</t>
  </si>
  <si>
    <t>Danske</t>
  </si>
  <si>
    <t>Japan</t>
  </si>
  <si>
    <t>TOPIX Banks Index</t>
  </si>
  <si>
    <t>Mitsubishi</t>
  </si>
  <si>
    <t>Sumitomo</t>
  </si>
  <si>
    <t>Mizuho</t>
  </si>
  <si>
    <t>Daiwa</t>
  </si>
  <si>
    <t>Nomura</t>
  </si>
  <si>
    <t>Canada</t>
  </si>
  <si>
    <t>S&amp;P/TSX Composite Banks Index</t>
  </si>
  <si>
    <t>Bank of Nova Scotia</t>
  </si>
  <si>
    <t>BMO</t>
  </si>
  <si>
    <t>CIBC</t>
  </si>
  <si>
    <t>TD</t>
  </si>
  <si>
    <t>RBC</t>
  </si>
  <si>
    <t>Nationale</t>
  </si>
  <si>
    <t>Laurentian</t>
  </si>
  <si>
    <t>Equity RIC</t>
  </si>
  <si>
    <t>C.N</t>
  </si>
  <si>
    <t>BAC.N</t>
  </si>
  <si>
    <t>JPM.N</t>
  </si>
  <si>
    <t>GS.N</t>
  </si>
  <si>
    <t>MS.N</t>
  </si>
  <si>
    <t>WFC.N</t>
  </si>
  <si>
    <t>STT.N</t>
  </si>
  <si>
    <t>BNPP.PA</t>
  </si>
  <si>
    <t>CAGR.PA</t>
  </si>
  <si>
    <t>SOGN.PA</t>
  </si>
  <si>
    <t>UBSG.S</t>
  </si>
  <si>
    <t>BARC.L</t>
  </si>
  <si>
    <t>HSBA.L</t>
  </si>
  <si>
    <t>NWG.L</t>
  </si>
  <si>
    <t>STAN.L</t>
  </si>
  <si>
    <t>DBKGn.DE</t>
  </si>
  <si>
    <t>CBKG.DE</t>
  </si>
  <si>
    <t>DANSKE.CO</t>
  </si>
  <si>
    <t>Mitsubishi UFJ</t>
  </si>
  <si>
    <t>8306.T</t>
  </si>
  <si>
    <t>8316.T</t>
  </si>
  <si>
    <t>8411.T</t>
  </si>
  <si>
    <t>8601.T</t>
  </si>
  <si>
    <t>8604.T</t>
  </si>
  <si>
    <t>BNS.TO</t>
  </si>
  <si>
    <t>BMO.TO</t>
  </si>
  <si>
    <t>CM.TO</t>
  </si>
  <si>
    <t>TD.TO</t>
  </si>
  <si>
    <t>RY.TO</t>
  </si>
  <si>
    <t>NA.TO</t>
  </si>
  <si>
    <t>LB.TO</t>
  </si>
  <si>
    <t>C5YUSAX=R</t>
  </si>
  <si>
    <t>BAC5YUSAX=R</t>
  </si>
  <si>
    <t>JPM5YUSAX=R</t>
  </si>
  <si>
    <t>GS5YUSAX=R</t>
  </si>
  <si>
    <t>MS5YUSAX=R</t>
  </si>
  <si>
    <t>WFC5YUSAX=R</t>
  </si>
  <si>
    <t>STT5YUSAX=R</t>
  </si>
  <si>
    <t>FORB5YEUAM=R</t>
  </si>
  <si>
    <t>CAGR5YEUAM=R</t>
  </si>
  <si>
    <t>SG5YEUAM=R</t>
  </si>
  <si>
    <t>UBSJ5YEUAM=R</t>
  </si>
  <si>
    <t>BARC5YEUAM=R</t>
  </si>
  <si>
    <t>STAN5YEUAM=R</t>
  </si>
  <si>
    <t>HSBA5YEUAM=R</t>
  </si>
  <si>
    <t>RBS5YEUAM=R</t>
  </si>
  <si>
    <t>DB5YEUAM=R</t>
  </si>
  <si>
    <t>CBKG5YEUAM=R</t>
  </si>
  <si>
    <t>DDBA5YEUAM=R</t>
  </si>
  <si>
    <t>MTFB5YJPAC=R</t>
  </si>
  <si>
    <t>SANG5YJPAC=R</t>
  </si>
  <si>
    <t>MZFC5YUSAC=R</t>
  </si>
  <si>
    <t>DWAS5YJPAC=R</t>
  </si>
  <si>
    <t>NMH5YJPAC=R</t>
  </si>
  <si>
    <t>BNS5YUSAX=R</t>
  </si>
  <si>
    <t>CM5YUSAX=R</t>
  </si>
  <si>
    <t>RY5YUSAX=R</t>
  </si>
  <si>
    <t>NA5YUSAX=R</t>
  </si>
  <si>
    <t>BMO5YUSAX=FN</t>
  </si>
  <si>
    <t>TD5YUSAX=FN</t>
  </si>
  <si>
    <t>LB5YUSAX=FN</t>
  </si>
  <si>
    <t>IQT313313524</t>
  </si>
  <si>
    <t>IQT313317344</t>
  </si>
  <si>
    <t>IQT46220329</t>
  </si>
  <si>
    <t>IQT313315429</t>
  </si>
  <si>
    <t>IQT313314976</t>
  </si>
  <si>
    <t>IQT313310854</t>
  </si>
  <si>
    <t>IQT62270106</t>
  </si>
  <si>
    <t>IQT46200317</t>
  </si>
  <si>
    <t>IQT79634901</t>
  </si>
  <si>
    <t>IQT62270107</t>
  </si>
  <si>
    <t xml:space="preserve">IQT46225715 </t>
  </si>
  <si>
    <t>IQT46200364</t>
  </si>
  <si>
    <t>IQT46225083</t>
  </si>
  <si>
    <t>IQT46200412</t>
  </si>
  <si>
    <t>Deutche Bank AG</t>
  </si>
  <si>
    <t>IQT254955233</t>
  </si>
  <si>
    <t>Standard Chartered Bank</t>
  </si>
  <si>
    <t>IQT263213132</t>
  </si>
  <si>
    <t>IQT46225374</t>
  </si>
  <si>
    <t>IQT286096131</t>
  </si>
  <si>
    <t>IQT46199841</t>
  </si>
  <si>
    <t>Credit Suisse Group AG</t>
  </si>
  <si>
    <t>IQT528936812</t>
  </si>
  <si>
    <t>UBS Group AG**</t>
  </si>
  <si>
    <t>IQT46226132</t>
  </si>
  <si>
    <t>Societe Generale SA</t>
  </si>
  <si>
    <t>IQT46224740</t>
  </si>
  <si>
    <t>IQT46225006</t>
  </si>
  <si>
    <t>IQT323680130</t>
  </si>
  <si>
    <t>State Street Bank &amp; Trust</t>
  </si>
  <si>
    <t>IQT46223646</t>
  </si>
  <si>
    <t>IQT46470877</t>
  </si>
  <si>
    <t>IQT46204957</t>
  </si>
  <si>
    <t>Goldman Sachs Group</t>
  </si>
  <si>
    <t>IQT46207872</t>
  </si>
  <si>
    <t>JPMorgan Chase &amp; Co</t>
  </si>
  <si>
    <t>IQT46195491</t>
  </si>
  <si>
    <t>IQT46197694</t>
  </si>
  <si>
    <t>IQT46218674</t>
  </si>
  <si>
    <t>South Africa</t>
  </si>
  <si>
    <t>Africa</t>
  </si>
  <si>
    <t>IQT46220803</t>
  </si>
  <si>
    <t>Thailand</t>
  </si>
  <si>
    <t>Taiwan</t>
  </si>
  <si>
    <t>IQT46208634</t>
  </si>
  <si>
    <t>South Korea</t>
  </si>
  <si>
    <t>IQT313305879</t>
  </si>
  <si>
    <t>Singapore</t>
  </si>
  <si>
    <t>IQT46216986</t>
  </si>
  <si>
    <t>Russia</t>
  </si>
  <si>
    <t>IQT46213472</t>
  </si>
  <si>
    <t>New Zealand</t>
  </si>
  <si>
    <t>IQT46210032</t>
  </si>
  <si>
    <t>Malaysia</t>
  </si>
  <si>
    <t>IQT46207789</t>
  </si>
  <si>
    <t>IQT60388057</t>
  </si>
  <si>
    <t>India</t>
  </si>
  <si>
    <t>IQT79639953</t>
  </si>
  <si>
    <t>Hong Kong</t>
  </si>
  <si>
    <t>IQT46215111</t>
  </si>
  <si>
    <t>China</t>
  </si>
  <si>
    <t>IQT51023260</t>
  </si>
  <si>
    <t>Australia</t>
  </si>
  <si>
    <t>Asia/Pacific</t>
  </si>
  <si>
    <t>IQT46222292</t>
  </si>
  <si>
    <t>Ukraine</t>
  </si>
  <si>
    <t>IQT60389516</t>
  </si>
  <si>
    <t>IQT46219922</t>
  </si>
  <si>
    <t>Sweden</t>
  </si>
  <si>
    <t>IQT46214879</t>
  </si>
  <si>
    <t>Poland</t>
  </si>
  <si>
    <t>IQT51023480</t>
  </si>
  <si>
    <t>Norway</t>
  </si>
  <si>
    <t>IQT79639913</t>
  </si>
  <si>
    <t>IQT46200276</t>
  </si>
  <si>
    <t>Czech Republic</t>
  </si>
  <si>
    <t>IQT46262378</t>
  </si>
  <si>
    <t>United Kingdom</t>
  </si>
  <si>
    <t>Rest of Europe</t>
  </si>
  <si>
    <t>IQT46206779</t>
  </si>
  <si>
    <t>Spain</t>
  </si>
  <si>
    <t>IQT46218516</t>
  </si>
  <si>
    <t>Slovenia</t>
  </si>
  <si>
    <t>IQT46214954</t>
  </si>
  <si>
    <t>Portugal</t>
  </si>
  <si>
    <t>IQT79640024</t>
  </si>
  <si>
    <t>Netherlands</t>
  </si>
  <si>
    <t>IQT644701797</t>
  </si>
  <si>
    <t>Luxembourg</t>
  </si>
  <si>
    <t>IQT46207571</t>
  </si>
  <si>
    <t>Italy</t>
  </si>
  <si>
    <t>IQT46207308</t>
  </si>
  <si>
    <t>Ireland</t>
  </si>
  <si>
    <t>IQT46204884</t>
  </si>
  <si>
    <t>Greece</t>
  </si>
  <si>
    <t>IQT46204300</t>
  </si>
  <si>
    <t>IQT46203714</t>
  </si>
  <si>
    <t>IQT46203332</t>
  </si>
  <si>
    <t>Finland</t>
  </si>
  <si>
    <t>IQT46196225</t>
  </si>
  <si>
    <t>Belgium</t>
  </si>
  <si>
    <t>IQT46194995</t>
  </si>
  <si>
    <t>Austria</t>
  </si>
  <si>
    <t>Euro Area</t>
  </si>
  <si>
    <t>IQT49751196</t>
  </si>
  <si>
    <t>United States</t>
  </si>
  <si>
    <t>IQT46210560</t>
  </si>
  <si>
    <t>Mexico</t>
  </si>
  <si>
    <t>IQT313310184</t>
  </si>
  <si>
    <t>CDS Change</t>
  </si>
  <si>
    <t>CDS</t>
  </si>
  <si>
    <t>IQT46197138</t>
  </si>
  <si>
    <t>Brazil</t>
  </si>
  <si>
    <t>Thresholds</t>
  </si>
  <si>
    <t>1 year change</t>
  </si>
  <si>
    <t>3 month change</t>
  </si>
  <si>
    <t>14 day change</t>
  </si>
  <si>
    <t>10 day change</t>
  </si>
  <si>
    <t xml:space="preserve"> 5 Day Change</t>
  </si>
  <si>
    <t>Americas</t>
  </si>
  <si>
    <t>CIQ Code</t>
  </si>
  <si>
    <t>Country</t>
  </si>
  <si>
    <t>CDS RIC</t>
  </si>
  <si>
    <t>CDS Change (%)</t>
  </si>
  <si>
    <t>Threshold Green</t>
  </si>
  <si>
    <t>Threshold Red</t>
  </si>
  <si>
    <t>Distribution</t>
  </si>
  <si>
    <t>US</t>
  </si>
  <si>
    <t>High</t>
  </si>
  <si>
    <t>&gt;75–100</t>
  </si>
  <si>
    <t>Elevated</t>
  </si>
  <si>
    <t>&gt;50–75</t>
  </si>
  <si>
    <t>Moderate</t>
  </si>
  <si>
    <t>&gt;25–50</t>
  </si>
  <si>
    <t>Low</t>
  </si>
  <si>
    <t>0–25</t>
  </si>
  <si>
    <t>Risk Category</t>
  </si>
  <si>
    <t>Score</t>
  </si>
  <si>
    <t>Composite Risk Score</t>
  </si>
  <si>
    <t>Equity Risk Percentile</t>
  </si>
  <si>
    <t>CDS Risk Percentile</t>
  </si>
  <si>
    <t>2-Week Equity Return (%)</t>
  </si>
  <si>
    <t>5Y CDS (bps)</t>
  </si>
  <si>
    <t>Region</t>
  </si>
  <si>
    <t>Within-region percentile</t>
  </si>
  <si>
    <t>Scoring Basis</t>
  </si>
  <si>
    <t>2-week return</t>
  </si>
  <si>
    <t>Equity Horizon</t>
  </si>
  <si>
    <t>Equity Weight</t>
  </si>
  <si>
    <t>CDS Weight</t>
  </si>
  <si>
    <t>Model Assumptions</t>
  </si>
  <si>
    <t>Bank Market Risk Monitor — CDS &amp; Equity Composite Score</t>
  </si>
  <si>
    <t xml:space="preserve">America </t>
  </si>
  <si>
    <t>Europe Stoxx 600 Banks Index</t>
  </si>
  <si>
    <t>Asia</t>
  </si>
  <si>
    <t xml:space="preserve">Other Euro </t>
  </si>
  <si>
    <t>BAABTAVMT0NBTAFI/////wFQtgQAACNDSVEuSVFUNDYyMDQ4ODQuSVFfQ0RTX01JRC4yNy8wOS8yNgEAAACBUcABAgAAAAYzNS42MDgAX1IHts0i3wiv3E3IzSLfCCNDSVEuSVFUNDYyMDc3ODkuSVFfQ0RTX01JRC4yNy8wOS8yNgEAAAAqWKMBAgAAAAcyNC42NzA2AF9SB7bNIt8Iz4lOyM0i3wgkQ0lRLklRVDI4NjA5NjEzMS5JUV9DRFNfTUlELjI3LzA5LzI2AQAAADvxBAACAAAABzY0LjcyMzEA1NrOtc0i3wjPiU7IzSLfCCNDSVEuSVFUNDYyMTA1NjAuSVFfQ0RTX01JRC4yNi8wOS8yNgEAAAD2GjcAAgAAAAY4OS4wOTcAX1IHts0i3whNSU/IzSLfCCNDSVEuSVFUNDYyMTk5MjIuSVFfQ0RTX01JRC4yNi8wOS8yNgEAAADWRzkBAgAAAAY3LjgyNDIAX1IHts0i3whNSU/IzSLfCCNDSVEuSVFUNDYyMjM2NDYuSVFfQ0RTX01JRC4yNi8wOS8yNgEAAAAbeAQAAgAAAAc1NC42MDY5ABAWCLbNIt8ITUlPyM0i3wgkQ0lRLklRVDMxMzMxNDk3Ni5JUV9DRFNfTUlELjI2LzA5LzI2AQAAAG1KAAACAAAABzU0LjE2MDMAX1IHts0i3wguG1DIzSLfCCNDSVEuSVFUNDYyMTg1MTYuSVFfQ0RTX01JRC4yNS8wOS8yNgEAAACmVaMBAgAAAAc0Mi4wOTM0AF9SB7bNIt8Ioi9EyM0i3wgjQ0lRLklRVDQ2MjIwODAzLklRX0NEU19NSUQuMjUvMDkvMjYBAAAA1sk2AAIAAAAHNDAuMTMxNAAQFgi2zSLfCKIvRMjNIt8II0NJ</t>
  </si>
  <si>
    <t>US5JUVQ0NjIwMDM2NC5JUV9DRFNfTUlELjI1LzA5LzI2AQAAAFeGCAACAAAABDI3LjUAX1IHts0i3whJZUXIzSLfCCNDSVEuSVFUNDYyMDQzMDAuSVFfQ0RTX01JRC4yNC8wOS8yNgEAAAD2JX0AAgAAAAU4Ljg3NQBfUge2zSLfCEllRcjNIt8II0NJUS5JUVQ2MDM4ODA1Ny5JUV9DRFNfTUlELjI0LzA5LzI2AQAAAN/JfQEDAAAAAABfUge2zSLfCNYFRsjNIt8II0NJUS5JUVQ0NjE5OTg0MS5JUV9DRFNfTUlELjI0LzA5LzI2AQAAAOswBgADAAAAAADU2s61zSLfCNYFRsjNIt8IJENJUS5JUVQzMTMzMTAxODQuSVFfQ0RTX01JRC4wMy8xMC8yNgEAAABgRD4AAgAAAAcxMi40MDk5AF9SB7bNIt8ItcE9yM0i3wgjQ0lRLklRVDQ2MjE0ODc5LklRX0NEU19NSUQuMDMvMTAvMjYBAAAA9Ro3AAIAAAAHNTYuODMzOABfUge2zSLfCP5JP8jNIt8II0NJUS5JUVQ0NjQ3MDg3Ny5JUV9DRFNfTUlELjAzLzEwLzI2AQAAAEI3BwACAAAABzY0LjI2NzUAEBYIts0i3wj+ST/IzSLfCCRDSVEuSVFUMzEzMzEwODU0LklRX0NEU19NSUQuMDMvMTAvMjYBAAAAr1QNAAIAAAAHNjQuMzg2NwBfUge2zSLfCP5JP8jNIt8II0NJUS5JUVQ0NjIxNDk1NC5JUV9DRFNfTUlELjAyLzEwLzI2AQAAADo9OQECAAAABzIyLjYzMjYAX1IHts0i3wjI0UDIzSLfCCNDSVEuSVFUNDYyMDg2MzQuSVFfQ0RTX01JRC4wMi8xMC8yNgEAAAADH8IA</t>
  </si>
  <si>
    <t>AgAAAAcyNC4yNTE2ABAWCLbNIt8IyNFAyM0i3wgjQ0lRLklRVDQ2MjI1MDgzLklRX0NEU19NSUQuMDIvMTAvMjYBAAAAVkQGAAIAAAAHNDMuODg3MwBfUge2zSLfCAC/QcjNIt8II0NJUS5JUVQ0NjIwMzcxNC5JUV9DRFNfTUlELjAxLzEwLzI2AQAAAF8FNQACAAAABzc2LjUwNzQAX1IHts0i3wj+ST/IzSLfCCNDSVEuSVFUNzk2Mzk5NTMuSVFfQ0RTX01JRC4wMS8xMC8yNgEAAAA0m1YBAgAAAAcyMS45NDM4AF9SB7bNIt8I/kk/yM0i3wgkQ0lRLklRVDUyODkzNjgxMi5JUV9DRFNfTUlELjAxLzEwLzI2AQAAAGxbBgACAAAABzU2LjY2MjQA1NrOtc0i3wj+ST/IzSLfCCNDSVEuSVFUNDYxOTcxMzguSVFfQ0RTX01JRC4zMC8wOS8yNgEAAADulDgBAgAAAAgxMzAuNjY2MQBfUge2zSLfCBhQQsjNIt8II0NJUS5JUVQ1MTAyMzQ4MC5JUV9DRFNfTUlELjMwLzA5LzI2AQAAAMJF8QECAAAABjYuMTEwNwBfUge2zSLfCBhQQsjNIt8II0NJUS5JUVQ0NjIwNDk1Ny5JUV9DRFNfTUlELjMwLzA5LzI2AQAAACEVBgACAAAABzYxLjQyNzIAEBYIts0i3wgYUELIzSLfCCNDSVEuSVFUNjIyNzAxMDYuSVFfQ0RTX01JRC4zMC8wOS8yNgEAAACtd4MAAgAAAAc3NC43NDk1AF9SB7bNIt8IGFBCyM0i3wgjQ0lRLklRVDc5NjQwMDI0LklRX0NEU19NSUQuMjkvMDkvMjYBAAAANY+bAQIAAAAHMTAuMzk4NABfUge2zSLfCBhQ</t>
  </si>
  <si>
    <t>QsjNIt8IJENJUS5JUVQzMTMzMDU4NzkuSVFfQ0RTX01JRC4yOS8wOS8yNgEAAACE1twBAgAAAAYyLjI5MzkAEBYIts0i3wj+3EPIzSLfCCNDSVEuSVFUNDYyMDA0MTIuSVFfQ0RTX01JRC4yOS8wOS8yNgEAAABjQwYAAgAAAAc1My44MzAzAF9SB7bNIt8Ioi9EyM0i3wgjQ0lRLklRVDQ2MjAzMzMyLklRX0NEU19NSUQuMjgvMDkvMjYBAAAAXx43AAIAAAAHMTEuOTA3NQBfUge2zSLfCIMBSsjNIt8II0NJUS5JUVQ0NjIxNTExMS5JUV9DRFNfTUlELjI4LzA5LzI2AQAAAKBLsgECAAAABTM0LjM0AF9SB7bNIt8IgwFKyM0i3wgjQ0lRLklRVDQ2MjI2MTMyLklRX0NEU19NSUQuMjgvMDkvMjYBAAAA3VkAAAIAAAAHNTkuNTg3NgDU2s61zSLfCIMBSsjNIt8IJENJUS5JUVQzMTMzMTM1MjQuSVFfQ0RTX01JRC4yOC8wOS8yNgEAAADvVQ0AAgAAAAc1Ni4zNzAxAF9SB7bNIt8I1ndLyM0i3wgjQ0lRLklRVDc5NjM5OTEzLklRX0NEU19NSUQuMjMvMDkvMjYBAAAAIGMcAgIAAAAGOC44MzMzAF9SB7bNIt8I1/RGyM0i3wgjQ0lRLklRVDQ2MjA3ODcyLklRX0NEU19NSUQuMjMvMDkvMjYBAAAAWA0KAAIAAAAHNDAuNjAwNgAQFgi2zSLfCNf0RsjNIt8II0NJUS5JUVQ0NjIwMDMxNy5JUV9DRFNfTUlELjIzLzA5LzI2AQAAAP5UDQACAAAABzU4Ljc0OTMAX1IHts0i3wjX9EbIzSLfCCRDSVEuSVFUNjQ0NzAxNzk3LklR</t>
  </si>
  <si>
    <t>X0NEU19NSUQuMjIvMDkvMjYBAAAAUz99AQIAAAAHMTAuMzc0OABfUge2zSLfCGlxSMjNIt8II0NJUS5JUVQ0NjE5NjIyNS5JUV9DRFNfTUlELjIxLzA5LzI2AQAAAL5VowECAAAABjE5LjU3NQBfUge2zSLfCNZ3S8jNIt8II0NJUS5JUVQ0NjIyNDc0MC5JUV9DRFNfTUlELjIxLzA5LzI2AQAAANNyCAACAAAABzQ1LjA3MzgA1NrOtc0i3wjWd0vIzSLfCCNDSVEuSVFUNDYxOTU0OTEuSVFfQ0RTX01JRC4wNS8wNy8yNgEAAABpSgAAAgAAAAc1NC45NzEzABAWCLbNIt8I5gdNyM0i3wgkQ0lRLklRVDI2MzIxMzEzMi5JUV9DRFNfTUlELjA1LzEwLzI1AQAAAOGaCAACAAAABzU4Ljk0ODIAX1IHts0i3wjvRVDIzSLfCCNDSVEuSVFUNDYyMjIyOTIuSVFfQ0RTX01JRC4wNS8xMC8yNgEAAADRkZsBAgAAAAg3NTQuMjkxNwBfUge2zSLfCLXBPcjNIt8II0NJUS5JUVQ0NjIyNTAwNi5JUV9DRFNfTUlELjA1LzEwLzI2AQAAAPhVDQACAAAABzY3LjIwOTgA1NrOtc0i3wi1wT3IzSLfCCNDSVEuSVFUNDYyMjAzMjkuSVFfQ0RTX01JRC4wNS8xMC8yNgEAAADbWwAAAgAAAAQ2MC41AF9SB7bNIt8ItcE9yM0i3wgjQ0lRLklRVDQ2MjEwMDMyLklRX0NEU19NSUQuMjcvMDkvMjYBAAAAj1WjAQIAAAAGMzQuODI1AF9SB7bNIt8Iz4lOyM0i3wgjQ0lRLklRVDYwMzg5NTE2LklRX0NEU19NSUQuMjYvMDkvMjYBAAAApfDDAQIA</t>
  </si>
  <si>
    <t>AAAGNy4zODIxAF9SB7bNIt8ITUlPyM0i3wgkQ0lRLklRVDMyMzY4MDEzMC5JUV9DRFNfTUlELjI2LzA5LzI2AQAAAHHhAgACAAAABjU1LjkwMQDU2s61zSLfCE1JT8jNIt8IJENJUS5JUVQzMTMzMTU0MjkuSVFfQ0RTX01JRC4yNi8wOS8yNgEAAAA55wUAAgAAAAc2My44MzE3AF9SB7bNIt8ILhtQyM0i3wgjQ0lRLklRVDQ2MjE5OTIyLklRX0NEU19NSUQuMDMvMTAvMjYBAAAA1kc5AQIAAAAFOC45NzUAX1IHts0i3wj+ST/IzSLfCCRDSVEuSVFUMzEzMzE0OTc2LklRX0NEU19NSUQuMDMvMTAvMjYBAAAAbUoAAAIAAAAHNTMuODk1NwBfUge2zSLfCP5JP8jNIt8II0NJUS5JUVQ0NjIxODUxNi5JUV9DRFNfTUlELjAyLzEwLzI2AQAAAKZVowECAAAABzQ0LjEzOTMAX1IHts0i3wjI0UDIzSLfCCNDSVEuSVFUNDYxOTk4NDEuSVFfQ0RTX01JRC4wMS8xMC8yNgEAAADrMAYAAwAAAAAA1NrOtc0i3wj+ST/IzSLfCCRDSVEuSVFUMzEzMzEwMTg0LklRX0NEU19NSUQuMzAvMDkvMjYBAAAAYEQ+AAIAAAAHMTEuNzA4OABfUge2zSLfCBhQQsjNIt8II0NJUS5JUVQ0NjE5NjIyNS5JUV9DRFNfTUlELjA1LzEwLzI2AQAAAL5VowECAAAABTI3Ljk2AF9SB7bNIt8ItcE9yM0i3wgjQ0lRLklRVDUxMDIzMjYwLklRX0NEU19NSUQuMDUvMTAvMjYBAAAAsRF/AQIAAAAHMTUuODQyMwBfUge2zSLfCLXBPcjNIt8II0NJUS5J</t>
  </si>
  <si>
    <t>UVQ0NjIyNDc0MC5JUV9DRFNfTUlELjA1LzEwLzI2AQAAANNyCAACAAAABzYyLjM1OTEA1NrOtc0i3wi1wT3IzSLfCCRDSVEuSVFUMzEzMzE3MzQ0LklRX0NEU19NSUQuMDUvMTAvMjYBAAAA8awBAAIAAAAHNjEuNDg0MgBfUge2zSLfCLXBPcjNIt8II0NJUS5JUVQ0NjIwMDI3Ni5JUV9DRFNfTUlELjA0LzEwLzI2AQAAAJZ3fAECAAAABTMzLjQ4AF9SB7bNIt8IkBZJyM0i3wgjQ0lRLklRVDQ2MTk1NDkxLklRX0NEU19NSUQuMDQvMTAvMjYBAAAAaUoAAAIAAAAHNjMuODYyMQAQFgi2zSLfCIMBSsjNIt8II0NJUS5JUVQ3OTYzNDkwMS5JUV9DRFNfTUlELjA0LzEwLzI2AQAAAJwGEAACAAAABzU2LjQ5ODMAX1IHts0i3wiDAUrIzSLfCCNDSVEuSVFUNDYyMDc1NzEuSVFfQ0RTX01JRC4yNy8wOS8yNgEAAABt7zUAAgAAAAc0NC40MTg2AF9SB7bNIt8Ir9xNyM0i3wgjQ0lRLklRVDQ2MjEzNDcyLklRX0NEU19NSUQuMjcvMDkvMjYBAAAAuVo4AAIAAAAFMTQuMjUAEBYIts0i3wjPiU7IzSLfCCNDSVEuSVFUNDYyMDMzMzIuSVFfQ0RTX01JRC4wNS8xMC8yNgEAAABfHjcAAgAAAAcxMy4xODk4AF9SB7bNIt8ItcE9yM0i3wgjQ0lRLklRVDQ2MjE1MTExLklRX0NEU19NSUQuMDUvMTAvMjYBAAAAoEuyAQIAAAAHMzYuODcyNgBfUge2zSLfCLXBPcjNIt8II0NJUS5JUVQ0NjIyNjEzMi5JUV9DRFNfTUlELjA1LzEw</t>
  </si>
  <si>
    <t>LzI2AQAAAN1ZAAACAAAABzY5LjY4MDkA1NrOtc0i3wi1wT3IzSLfCCNDSVEuSVFUNDYyMjU3MTUuSVFfQ0RTX01JRC4wNC8xMC8yNgEAAAC35QQAAgAAAAc0My4wMTM1AF9SB7bNIt8IgwFKyM0i3wgkQ0lRLklRVDMxMzMxMzUyNC5JUV9DRFNfTUlELjA1LzEwLzI2AQAAAO9VDQACAAAABzU0LjgwODUAX1IHts0i3wi1wT3IzSLfCCNDSVEuSVFUNDk3NTExOTYuSVFfQ0RTX01JRC4yMy8wOS8yNgEAAADNmb0AAgAAAAczNi43NTQxAF9SB7bNIt8I1/RGyM0i3wgjQ0lRLklRVDc5NjM5OTEzLklRX0NEU19NSUQuMDQvMTAvMjYBAAAAIGMcAgIAAAAGOS42OTA5AF9SB7bNIt8IkBZJyM0i3wgjQ0lRLklRVDYwMzg5NTE2LklRX0NEU19NSUQuMjMvMDkvMjYBAAAApfDDAQIAAAAGNy4zNDc1AF9SB7bNIt8I1/RGyM0i3wgkQ0lRLklRVDMyMzY4MDEzMC5JUV9DRFNfTUlELjIzLzA5LzI2AQAAAHHhAgACAAAABzUyLjkwMDEA1NrOtc0i3wjX9EbIzSLfCCRDSVEuSVFUMzEzMzE1NDI5LklRX0NEU19NSUQuMjMvMDkvMjYBAAAAOecFAAIAAAAGNjMuMTI1AF9SB7bNIt8I1/RGyM0i3wgjQ0lRLklRVDQ2MjA2Nzc5LklRX0NEU19NSUQuMjIvMDkvMjYBAAAA/O82AAIAAAAEMTcuOABfUge2zSLfCGlxSMjNIt8II0NJUS5JUVQ0NjIxODY3NC5JUV9DRFNfTUlELjIyLzA5LzI2AQAAAFfKNgACAAAACDEyMy40NjExABAW</t>
  </si>
  <si>
    <t>CLbNIt8IaXFIyM0i3wgjQ0lRLklRVDQ2MjI1NzE1LklRX0NEU19NSUQuMjIvMDkvMjYBAAAAt+UEAAIAAAAHNDEuODExNgBfUge2zSLfCJAWScjNIt8II0NJUS5JUVQ0NjIwNDg4NC5JUV9DRFNfTUlELjIxLzA5LzI2AQAAAIFRwAECAAAABzMzLjQwOTgAX1IHts0i3wjWd0vIzSLfCCNDSVEuSVFUNDYyMDc3ODkuSVFfQ0RTX01JRC4yMS8wOS8yNgEAAAAqWKMBAgAAAAcyNC4wNzQ2AF9SB7bNIt8I1ndLyM0i3wgkQ0lRLklRVDI4NjA5NjEzMS5JUV9DRFNfTUlELjIxLzA5LzI2AQAAADvxBAACAAAABzYyLjAzMTgA1NrOtc0i3wjWd0vIzSLfCCNDSVEuSVFUNDYyMTA1NjAuSVFfQ0RTX01JRC4wNS8wNy8yNgEAAAD2GjcAAgAAAAc4Ni4zODI0AF9SB7bNIt8I1ndLyM0i3wgjQ0lRLklRVDQ2MjAzNzE0LklRX0NEU19NSUQuMDUvMTAvMjYBAAAAXwU1AAIAAAAHODQuMTg2MQBfUge2zSLfCLXBPcjNIt8II0NJUS5JUVQ3OTYzOTk1My5JUV9DRFNfTUlELjA1LzEwLzI2AQAAADSbVgECAAAABzIxLjkzOTEAX1IHts0i3wi1wT3IzSLfCCRDSVEuSVFUNTI4OTM2ODEyLklRX0NEU19NSUQuMDUvMTAvMjYBAAAAbFsGAAIAAAAHNTcuNTIzOQDU2s61zSLfCLXBPcjNIt8II0NJUS5JUVQ0NjE5NzEzOC5JUV9DRFNfTUlELjA0LzEwLzI2AQAAAO6UOAECAAAACDEzMi43ODYzAF9SB7bNIt8IkBZJyM0i3wgjQ0lRLklR</t>
  </si>
  <si>
    <t>VDUxMDIzNDgwLklRX0NEU19NSUQuMDQvMTAvMjYBAAAAwkXxAQIAAAAGNy4xOTc1AF9SB7bNIt8IkBZJyM0i3wgjQ0lRLklRVDQ2MjA0OTU3LklRX0NEU19NSUQuMDQvMTAvMjYBAAAAIRUGAAIAAAAHNjIuMDg3MQAQFgi2zSLfCIMBSsjNIt8II0NJUS5JUVQ2MjI3MDEwNi5JUV9DRFNfTUlELjA0LzEwLzI2AQAAAK13gwACAAAABzc0Ljc1NjMAX1IHts0i3wiDAUrIzSLfCCNDSVEuSVFUNzk2NDAwMjQuSVFfQ0RTX01JRC4yNy8wOS8yNgEAAAA1j5sBAgAAAAY5LjcwMzMAX1IHts0i3wiv3E3IzSLfCCRDSVEuSVFUMzEzMzA1ODc5LklRX0NEU19NSUQuMjcvMDkvMjYBAAAAhNbcAQIAAAAGMi4yOTM5ABAWCLbNIt8Iz4lOyM0i3wgjQ0lRLklRVDQ2MjAwNDEyLklRX0NEU19NSUQuMjcvMDkvMjYBAAAAY0MGAAIAAAAHNTEuNzQ0OABfUge2zSLfCM+JTsjNIt8II0NJUS5JUVQ0NjIwMzMzMi5JUV9DRFNfTUlELjI2LzA5LzI2AQAAAF8eNwACAAAABTExLjg2AF9SB7bNIt8ITUlPyM0i3wgjQ0lRLklRVDQ2MjE1MTExLklRX0NEU19NSUQuMjYvMDkvMjYBAAAAoEuyAQIAAAAHMzMuODgxNgBfUge2zSLfCE1JT8jNIt8II0NJUS5JUVQ0NjIyNjEzMi5JUV9DRFNfTUlELjI2LzA5LzI2AQAAAN1ZAAACAAAABjU4LjYzOQDU2s61zSLfCE1JT8jNIt8IJENJUS5JUVQzMTMzMTM1MjQuSVFfQ0RTX01JRC4yNi8wOS8y</t>
  </si>
  <si>
    <t>NgEAAADvVQ0AAgAAAAc1NC44Mzc4AF9SB7bNIt8ILhtQyM0i3wgjQ0lRLklRVDc5NjM5OTEzLklRX0NEU19NSUQuMjUvMDkvMjYBAAAAIGMcAgIAAAAFOC43NjUAX1IHts0i3wiiL0TIzSLfCCNDSVEuSVFUNDYyMDc4NzIuSVFfQ0RTX01JRC4yNS8wOS8yNgEAAABYDQoAAgAAAAc0Mi4wODQ2ABAWCLbNIt8Ioi9EyM0i3wgjQ0lRLklRVDQ2MjAwMzE3LklRX0NEU19NSUQuMjUvMDkvMjYBAAAA/lQNAAIAAAAHNjYuOTczOABfUge2zSLfCEllRcjNIt8IJENJUS5JUVQ2NDQ3MDE3OTcuSVFfQ0RTX01JRC4yNC8wOS8yNgEAAABTP30BAgAAAAcxMS4xMzM3AF9SB7bNIt8ISWVFyM0i3wgjQ0lRLklRVDQ2MjE2OTg2LklRX0NEU19NSUQuMjQvMDkvMjYBAAAAzkQ4AQMAAAAAABAWCLbNIt8I1gVGyM0i3wgkQ0lRLklRVDI1NDk1NTIzMy5JUV9DRFNfTUlELjI0LzA5LzI2AQAAADlWCgACAAAABzQ2LjU3MDIAX1IHts0i3wjWBUbIzSLfCCNDSVEuSVFUNDYxOTYyMjUuSVFfQ0RTX01JRC4wMy8xMC8yNgEAAAC+VaMBAgAAAAUyNy45NgBfUge2zSLfCLXBPcjNIt8II0NJUS5JUVQ1MTAyMzI2MC5JUV9DRFNfTUlELjAzLzEwLzI2AQAAALERfwECAAAABzE1Ljg0MjMAX1IHts0i3wj+ST/IzSLfCCNDSVEuSVFUNDYyMDg2MzQuSVFfQ0RTX01JRC4yNy8wOS8yNgEAAAADH8IAAgAAAAcyMy4zNzg3ABAWCLbNIt8Iz4lO</t>
  </si>
  <si>
    <t>yM0i3wgjQ0lRLklRVDQ2MjA0OTU3LklRX0NEU19NSUQuMjUvMDkvMjYBAAAAIRUGAAIAAAAHNjAuNDA0OAAQFgi2zSLfCKIvRMjNIt8II0NJUS5JUVQ0NjE5NTQ5MS5JUV9DRFNfTUlELjAzLzEwLzI2AQAAAGlKAAACAAAABzYzLjg2MjEAEBYIts0i3wj+ST/IzSLfCCNDSVEuSVFUNDYxOTQ5OTUuSVFfQ0RTX01JRC4wMS8xMC8yNgEAAABuEDEAAgAAAAcxNS4zMDk1AF9SB7bNIt8I/kk/yM0i3wgjQ0lRLklRVDQ2MTk3Njk0LklRX0NEU19NSUQuMzAvMDkvMjYBAAAAB/oFAAIAAAAHNjEuMzY3OAAQFgi2zSLfCBhQQsjNIt8IJENJUS5JUVQzMTMzMTU0MjkuSVFfQ0RTX01JRC4yOS8wOS8yNgEAAAA55wUAAgAAAAc2My44NzczAF9SB7bNIt8Ioi9EyM0i3wgjQ0lRLklRVDQ2MjA0ODg0LklRX0NEU19NSUQuMjMvMDkvMjYBAAAAgVHAAQIAAAAGMzMuNzU1AF9SB7bNIt8I1/RGyM0i3wgjQ0lRLklRVDc5NjQwMDI0LklRX0NEU19NSUQuMjIvMDkvMjYBAAAANY+bAQIAAAAGOC44MDE2AF9SB7bNIt8IaXFIyM0i3wgjQ0lRLklRVDQ5NzUxMTk2LklRX0NEU19NSUQuMjEvMDkvMjYBAAAAzZm9AAIAAAAHMzUuNzA2NgBfUge2zSLfCNZ3S8jNIt8IJENJUS5JUVQzMTMzMTQ5NzYuSVFfQ0RTX01JRC4yMS8wOS8yNgEAAABtSgAAAgAAAAc1Ni41NTA1AF9SB7bNIt8I1ndLyM0i3wgkQ0lRLklRVDMyMzY4MDEzMC5J</t>
  </si>
  <si>
    <t>UV9DRFNfTUlELjA1LzA3LzI2AQAAAHHhAgACAAAABzUxLjQ5NDkA1NrOtc0i3wjmB03IzSLfCCNDSVEuSVFUNDYyMDc3ODkuSVFfQ0RTX01JRC4wNS8xMC8yNQEAAAAqWKMBAgAAAAcxOC44Mjk0AF9SB7bNIt8I70VQyM0i3wgkQ0lRLklRVDI2MzIxMzEzMi5JUV9DRFNfTUlELjI3LzA5LzI2AQAAAOGaCAACAAAABzYyLjA4NDUAX1IHts0i3wjPiU7IzSLfCCNDSVEuSVFUNDYyMDA0MTIuSVFfQ0RTX01JRC4yNS8wOS8yNgEAAABjQwYAAgAAAAc1MS43NDQ4AF9SB7bNIt8ISWVFyM0i3wgjQ0lRLklRVDQ2MjA3ODcyLklRX0NEU19NSUQuMDMvMTAvMjYBAAAAWA0KAAIAAAAHNDQuMTMyMQAQFgi2zSLfCP5JP8jNIt8II0NJUS5JUVQ0NjE5NjIyNS5JUV9DRFNfTUlELjAxLzEwLzI2AQAAAL5VowECAAAABzI2LjU2NjUAX1IHts0i3wj+ST/IzSLfCCNDSVEuSVFUNDYxOTU0OTEuSVFfQ0RTX01JRC4zMC8wOS8yNgEAAABpSgAAAgAAAAc2Mi4zMTYzABAWCLbNIt8IGFBCyM0i3wgjQ0lRLklRVDQ5NzUxMTk2LklRX0NEU19NSUQuMjgvMDkvMjYBAAAAzZm9AAIAAAAHMzguODEzNQBfUge2zSLfCIMBSsjNIt8II0NJUS5JUVQ0NjIwNjc3OS5JUV9DRFNfTUlELjIzLzA5LzI2AQAAAPzvNgACAAAABzE4LjE2NjcAX1IHts0i3wjX9EbIzSLfCCNDSVEuSVFUNDYyMTQ5NTQuSVFfQ0RTX01JRC4yMi8wOS8yNgEAAAA6</t>
  </si>
  <si>
    <t>PTkBAgAAAAcxNS44MDYzAF9SB7bNIt8IaXFIyM0i3wgjQ0lRLklRVDQ2MjAzMzMyLklRX0NEU19NSUQuMjEvMDkvMjYBAAAAXx43AAIAAAAFMTEuNzUAX1IHts0i3wjWd0vIzSLfCCRDSVEuSVFUMzEzMzE1NDI5LklRX0NEU19NSUQuMjEvMDkvMjYBAAAAOecFAAIAAAAHNjIuNzQ5NABfUge2zSLfCNZ3S8jNIt8II0NJUS5JUVQ0NjIyNTAwNi5JUV9DRFNfTUlELjA1LzA3LzI2AQAAAPhVDQACAAAABzQxLjIxNTMA1NrOtc0i3wjmB03IzSLfCCNDSVEuSVFUNDYyMTY5ODYuSVFfQ0RTX01JRC4wNS8xMC8yNQEAAADORDgBAwAAAAAAEBYIts0i3wjvRVDIzSLfCCNDSVEuSVFUNDYyMjUwODMuSVFfQ0RTX01JRC4yNy8wOS8yNgEAAABWRAYAAgAAAAczOC44NzA3AF9SB7bNIt8Iz4lOyM0i3wgjQ0lRLklRVDYyMjcwMTA3LklRX0NEU19NSUQuMjUvMDkvMjYBAAAAFVkAAAIAAAAHNDIuNzUxOABfUge2zSLfCEllRcjNIt8IJENJUS5JUVQzMjM2ODAxMzAuSVFfQ0RTX01JRC4wMy8xMC8yNgEAAABx4QIAAgAAAAc1OC41MjE0ANTazrXNIt8I/kk/yM0i3wgjQ0lRLklRVDQ2MjA0ODg0LklRX0NEU19NSUQuMDEvMTAvMjYBAAAAgVHAAQIAAAAHNDIuNjg0OQBfUge2zSLfCP5JP8jNIt8II0NJUS5JUVQ0NjIyMzY0Ni5JUV9DRFNfTUlELjMwLzA5LzI2AQAAABt4BAACAAAABzU2LjA5NTkAEBYIts0i3wgYUELIzSLf</t>
  </si>
  <si>
    <t>CCNDSVEuSVFUNDYxOTQ5OTUuSVFfQ0RTX01JRC4yOC8wOS8yNgEAAABuEDEAAgAAAAcxMy41NjUyAF9SB7bNIt8IgwFKyM0i3wgjQ0lRLklRVDQ2MjYyMzc4LklRX0NEU19NSUQuMjMvMDkvMjYBAAAAQNKJAQIAAAAHMjAuMTIxNgBfUge2zSLfCNf0RsjNIt8II0NJUS5JUVQ0NjI2MjM3OC5JUV9DRFNfTUlELjIyLzA5LzI2AQAAAEDSiQECAAAABzIwLjIwNjEAX1IHts0i3whpcUjIzSLfCCNDSVEuSVFUNDYyMDM3MTQuSVFfQ0RTX01JRC4yMS8wOS8yNgEAAABfBTUAAgAAAAc0Ni43MjI2AF9SB7bNIt8I1ndLyM0i3wgkQ0lRLklRVDMxMzMxMzUyNC5JUV9DRFNfTUlELjIxLzA5LzI2AQAAAO9VDQACAAAABzU3LjQ3MzUAX1IHts0i3wjWd0vIzSLfCCNDSVEuSVFUNDYxOTk4NDEuSVFfQ0RTX01JRC4wNS8wNy8yNgEAAADrMAYAAwAAAAAA1NrOtc0i3wjmB03IzSLfCCRDSVEuSVFUMzEzMzA1ODc5LklRX0NEU19NSUQuMDUvMTAvMjUBAAAAhNbcAQIAAAAGMy4yNzI2ABAWCLbNIt8I70VQyM0i3wgjQ0lRLklRVDQ2MTk3MTM4LklRX0NEU19NSUQuMjYvMDkvMjYBAAAA7pQ4AQIAAAAIMTI2Ljc4NjkAX1IHts0i3whNSU/IzSLfCCNDSVEuSVFUNjIyNzAxMDYuSVFfQ0RTX01JRC4yNS8wOS8yNgEAAACtd4MAAgAAAAc3My42MTIzAF9SB7bNIt8ISWVFyM0i3wgjQ0lRLklRVDQ2MjI2MTMyLklRX0NEU19NSUQu</t>
  </si>
  <si>
    <t>MDMvMTAvMjYBAAAA3VkAAAIAAAAHNjkuNjgwOQDU2s61zSLfCP5JP8jNIt8IJENJUS5JUVQ2NDQ3MDE3OTcuSVFfQ0RTX01JRC4wMS8xMC8yNgEAAABTP30BAgAAAAcxMi4wNjIyAF9SB7bNIt8I/kk/yM0i3wgjQ0lRLklRVDQ2MjI0NzQwLklRX0NEU19NSUQuMzAvMDkvMjYBAAAA03IIAAIAAAAHNTYuNjA5NADU2s61zSLfCBhQQsjNIt8II0NJUS5JUVQ0NjIwNDMwMC5JUV9DRFNfTUlELjI4LzA5LzI2AQAAAPYlfQACAAAABjkuMTE2OABfUge2zSLfCIMBSsjNIt8II0NJUS5JUVQ0NjIxNDg3OS5JUV9DRFNfTUlELjIzLzA5LzI2AQAAAPUaNwACAAAABzU1LjA5NzcAX1IHts0i3wjX9EbIzSLfCCNDSVEuSVFUNDYyMDAyNzYuSVFfQ0RTX01JRC4yMi8wOS8yNgEAAACWd3wBAgAAAAczMi4xMjc1AF9SB7bNIt8IaXFIyM0i3wgjQ0lRLklRVDQ2MjA3MzA4LklRX0NEU19NSUQuMjEvMDkvMjYBAAAAOYl6AQIAAAAFMTUuMDUAX1IHts0i3wjWd0vIzSLfCCNDSVEuSVFUNDYxOTcxMzguSVFfQ0RTX01JRC4wNS8wNy8yNgEAAADulDgBAgAAAAgxMjUuMzY2NwBfUge2zSLfCNZ3S8jNIt8II0NJUS5JUVQ0NjIwMDM2NC5JUV9DRFNfTUlELjA1LzA3LzI2AQAAAFeGCAACAAAABjI0Ljg3NQBfUge2zSLfCOYHTcjNIt8II0NJUS5JUVQ0NjIyMDgwMy5JUV9DRFNfTUlELjA1LzEwLzI1AQAAANbJNgACAAAABzM5LjQ2</t>
  </si>
  <si>
    <t>NjYAEBYIts0i3wjvRVDIzSLfCCNDSVEuSVFUNDk3NTExOTYuSVFfQ0RTX01JRC4wNS8wNy8yNgEAAADNmb0AAgAAAAc0Mi4wNzE1AF9SB7bNIt8I5gdNyM0i3wgjQ0lRLklRVDQ2MjI1NzE1LklRX0NEU19NSUQuMDUvMDcvMjYBAAAAt+UEAAIAAAAHMzkuNDM2MQBfUge2zSLfCK/cTcjNIt8II0NJUS5JUVQ0NjIxNTExMS5JUV9DRFNfTUlELjI0LzA5LzI2AQAAAKBLsgECAAAABzMzLjc0MTEAX1IHts0i3wjWBUbIzSLfCCNDSVEuSVFUNjAzODk1MTYuSVFfQ0RTX01JRC4yMS8wOS8yNgEAAACl8MMBAgAAAAY3LjY0MzcAX1IHts0i3wjWd0vIzSLfCCNDSVEuSVFUNDYyMDAzNjQuSVFfQ0RTX01JRC4wNS8xMC8yNQEAAABXhggAAgAAAAczNC40OTE1AF9SB7bNIt8I70VQyM0i3wgkQ0lRLklRVDI4NjA5NjEzMS5JUV9DRFNfTUlELjIyLzA5LzI2AQAAADvxBAACAAAABjYyLjE1MwDU2s61zSLfCJAWScjNIt8II0NJUS5JUVQ0NjIyNTcxNS5JUV9DRFNfTUlELjA1LzEwLzI1AQAAALflBAACAAAABzMzLjk1ODEAX1IHts0i3wjvRVDIzSLfCCNDSVEuSVFUNDYyMTY5ODYuSVFfQ0RTX01JRC4wMi8xMC8yNgEAAADORDgBAwAAAAAAEBYIts0i3wjI0UDIzSLfCCNDSVEuSVFUNjIyNzAxMDYuSVFfQ0RTX01JRC4yMy8wOS8yNgEAAACtd4MAAgAAAAc3Mi40OTk0AF9SB7bNIt8I1/RGyM0i3wgjQ0lRLklRVDYyMjcw</t>
  </si>
  <si>
    <t>MTA3LklRX0NEU19NSUQuMDUvMTAvMjUBAAAAFVkAAAIAAAAHMjguOTU3MQBfUge2zSLfCO9FUMjNIt8II0NJUS5JUVQ2MDM4ODA1Ny5JUV9DRFNfTUlELjA1LzA3LzI2AQAAAN/JfQEDAAAAAABfUge2zSLfCOYHTcjNIt8II0NJUS5JUVQ0NjE5NTQ5MS5JUV9DRFNfTUlELjI5LzA5LzI2AQAAAGlKAAACAAAABjYxLjk4NAAQFgi2zSLfCP7cQ8jNIt8II0NJUS5JUVQ0NjE5NDk5NS5JUV9DRFNfTUlELjI2LzA5LzI2AQAAAG4QMQACAAAABzEzLjM5MTQAX1IHts0i3whNSU/IzSLfCCNDSVEuSVFUNDYyMDMzMzIuSVFfQ0RTX01JRC4yNC8wOS8yNgEAAABfHjcAAgAAAAcxMS44MzMzAF9SB7bNIt8ISWVFyM0i3wgjQ0lRLklRVDc5NjM0OTAxLklRX0NEU19NSUQuMDMvMTAvMjYBAAAAnAYQAAIAAAAHNTYuNDk4MwBfUge2zSLfCP5JP8jNIt8II0NJUS5JUVQ0NjIyMjI5Mi5JUV9DRFNfTUlELjAxLzEwLzI2AQAAANGRmwECAAAACDU4Ny4zNDEyAF9SB7bNIt8I/kk/yM0i3wgjQ0lRLklRVDYyMjcwMTA3LklRX0NEU19NSUQuMzAvMDkvMjYBAAAAFVkAAAIAAAAHNDMuNzU0NwBfUge2zSLfCBhQQsjNIt8II0NJUS5JUVQ0NjIwNzU3MS5JUV9DRFNfTUlELjI4LzA5LzI2AQAAAG3vNQACAAAABzQ3LjA4NjYAX1IHts0i3wiDAUrIzSLfCCNDSVEuSVFUNDYyMjIyOTIuSVFfQ0RTX01JRC4yMy8wOS8yNgEAAADRkZsB</t>
  </si>
  <si>
    <t>AgAAAAg3NTIuMDU2OQBfUge2zSLfCNf0RsjNIt8II0NJUS5JUVQ0NjIxOTkyMi5JUV9DRFNfTUlELjIyLzA5LzI2AQAAANZHOQECAAAABjcuMjY1MwBfUge2zSLfCGlxSMjNIt8II0NJUS5JUVQ0NjIwNzU3MS5JUV9DRFNfTUlELjIxLzA5LzI2AQAAAG3vNQACAAAABzM4Ljc3NjEAX1IHts0i3wjWd0vIzSLfCCNDSVEuSVFUNDYyMTg2NzQuSVFfQ0RTX01JRC4wNS8xMC8yNQEAAABXyjYAAgAAAAcxNjMuMzI1ABAWCLbNIt8I70VQyM0i3wgjQ0lRLklRVDQ2MjE4NTE2LklRX0NEU19NSUQuMjEvMDkvMjYBAAAAplWjAQIAAAAHMzYuNDY0NQBfUge2zSLfCNZ3S8jNIt8II0NJUS5JUVQ0NjE5NDk5NS5JUV9DRFNfTUlELjA1LzA3LzI2AQAAAG4QMQACAAAAAjExAF9SB7bNIt8I5gdNyM0i3wgjQ0lRLklRVDQ2MjAwMzE3LklRX0NEU19NSUQuMDUvMDcvMjYBAAAA/lQNAAIAAAAHNjQuODM0NwBfUge2zSLfCK/cTcjNIt8II0NJUS5JUVQ0NjE5NzY5NC5JUV9DRFNfTUlELjA1LzEwLzI1AQAAAAf6BQACAAAABzU2LjM2MDIAEBYIts0i3wjvRVDIzSLfCCNDSVEuSVFUNDYyMTk5MjIuSVFfQ0RTX01JRC4yMS8wOS8yNgEAAADWRzkBAgAAAAU3LjE3NQBfUge2zSLfCNZ3S8jNIt8II0NJUS5JUVQ2MjI3MDEwNi5JUV9DRFNfTUlELjA1LzA3LzI2AQAAAK13gwACAAAABzc1Ljg3ODIAX1IHts0i3wiv3E3IzSLfCCND</t>
  </si>
  <si>
    <t>SVEuSVFUNDY0NzA4NzcuSVFfQ0RTX01JRC4wNS8xMC8yNQEAAABCNwcAAgAAAAc1NC42NDYzABAWCLbNIt8I70VQyM0i3wgkQ0lRLklRVDMxMzMxMzUyNC5JUV9DRFNfTUlELjAzLzEwLzI2AQAAAO9VDQACAAAABzU0LjgwODUAX1IHts0i3wj+ST/IzSLfCCRDSVEuSVFUMzEzMzE3MzQ0LklRX0NEU19NSUQuMzAvMDkvMjYBAAAA8awBAAIAAAAHNjIuNzA5NwBfUge2zSLfCBhQQsjNIt8IJENJUS5JUVQzMTMzMDU4NzkuSVFfQ0RTX01JRC4yMi8wOS8yNgEAAACE1twBAgAAAAYyLjI5MzkAEBYIts0i3whpcUjIzSLfCCNDSVEuSVFUNDYyMTUxMTEuSVFfQ0RTX01JRC4yMS8wOS8yNgEAAACgS7IBAgAAAAczNC4yNzgzAF9SB7bNIt8I1ndLyM0i3wgkQ0lRLklRVDMxMzMxNTQyOS5JUV9DRFNfTUlELjA1LzA3LzI2AQAAADnnBQACAAAABzYxLjE3MzQAX1IHts0i3wiv3E3IzSLfCCRDSVEuSVFUMjg2MDk2MTMxLklRX0NEU19NSUQuMDUvMTAvMjUBAAAAO/EEAAIAAAAHNjguNDM4OADU2s61zSLfCO9FUMjNIt8II0NJUS5JUVQ0NjIxMzQ3Mi5JUV9DRFNfTUlELjI4LzA5LzI2AQAAALlaOAACAAAABjE1Ljc2NwAQFgi2zSLfCIMBSsjNIt8II0NJUS5JUVQ0NjIyMDMyOS5JUV9DRFNfTUlELjA1LzA3LzI2AQAAANtbAAACAAAAAjU2AF9SB7bNIt8Ir9xNyM0i3wgjQ0lRLklRVDQ2MjEwMDMyLklRX0NEU19NSUQu</t>
  </si>
  <si>
    <t>MjEvMDkvMjYBAAAAj1WjAQIAAAAHMzUuMjE2OAAQFgi2zSLfCNZ3S8jNIt8II0NJUS5JUVQ0NjIwMDQxMi5JUV9DRFNfTUlELjA1LzEwLzI1AQAAAGNDBgACAAAABDU1LjUAX1IHts0i3wjvRVDIzSLfCCNDSVEuSVFUNjAzODgwNTcuSVFfQ0RTX01JRC4wNS8xMC8yNgEAAADfyX0BAwAAAAAAX1IHts0i3wi1wT3IzSLfCCNDSVEuSVFUNDYyMTM0NzIuSVFfQ0RTX01JRC4yOS8wOS8yNgEAAAC5WjgAAgAAAAcxNS43ODE1ABAWCLbNIt8I/txDyM0i3wgjQ0lRLklRVDQ2MjA3ODcyLklRX0NEU19NSUQuMDQvMTAvMjYBAAAAWA0KAAIAAAAHNDQuMTMyMQAQFgi2zSLfCIMBSsjNIt8IJENJUS5JUVQzMTMzMTA4NTQuSVFfQ0RTX01JRC4yMy8wOS8yNgEAAACvVA0AAgAAAAc2Mi45Njk0AF9SB7bNIt8I1/RGyM0i3wgjQ0lRLklRVDQ2MjAwMzE3LklRX0NEU19NSUQuMDQvMTAvMjYBAAAA/lQNAAIAAAAHNzAuMjA0NgBfUge2zSLfCIMBSsjNIt8II0NJUS5JUVQ0NjIwMDQxMi5JUV9DRFNfTUlELjIyLzA5LzI2AQAAAGNDBgACAAAABjUwLjEyNQBfUge2zSLfCJAWScjNIt8IJENJUS5JUVQ2NDQ3MDE3OTcuSVFfQ0RTX01JRC4yNy8wOS8yNgEAAABTP30BAgAAAAcxMS4wMzM0AF9SB7bNIt8Ir9xNyM0i3wgkQ0lRLklRVDMyMzY4MDEzMC5JUV9DRFNfTUlELjIxLzA5LzI2AQAAAHHhAgACAAAABzUxLjIyNzgA1NrO</t>
  </si>
  <si>
    <t>tc0i3wjWd0vIzSLfCCNDSVEuSVFUNDYyMTY5ODYuSVFfQ0RTX01JRC4yNy8wOS8yNgEAAADORDgBAwAAAAAAEBYIts0i3wjPiU7IzSLfCCRDSVEuSVFUMzEzMzE0OTc2LklRX0NEU19NSUQuMjIvMDkvMjYBAAAAbUoAAAIAAAAHNTYuMjE2OQBfUge2zSLfCJAWScjNIt8IJENJUS5JUVQyNTQ5NTUyMzMuSVFfQ0RTX01JRC4yNy8wOS8yNgEAAAA5VgoAAgAAAAc0Ny4wMzM1AF9SB7bNIt8Iz4lOyM0i3wgjQ0lRLklRVDQ2MjE0ODc5LklRX0NEU19NSUQuMDUvMTAvMjUBAAAA9Ro3AAIAAAAHNjQuNjYyNQBfUge2zSLfCO9FUMjNIt8II0NJUS5JUVQ0NjE5NjIyNS5JUV9DRFNfTUlELjI2LzA5LzI2AQAAAL5VowECAAAAAjIyAF9SB7bNIt8ITUlPyM0i3wgjQ0lRLklRVDQ2MjE1MTExLklRX0NEU19NSUQuMDMvMTAvMjYBAAAAoEuyAQIAAAAHMzYuODcyNgBfUge2zSLfCP5JP8jNIt8II0NJUS5JUVQ1MTAyMzI2MC5JUV9DRFNfTUlELjI2LzA5LzI2AQAAALERfwECAAAABzE1LjAzMzcAX1IHts0i3whNSU/IzSLfCCNDSVEuSVFUNDYyMDM3MTQuSVFfQ0RTX01JRC4yNi8wOS8yNgEAAABfBTUAAgAAAAY1OC40NjIAX1IHts0i3whNSU/IzSLfCCNDSVEuSVFUNDYyMjQ3NDAuSVFfQ0RTX01JRC4yNi8wOS8yNgEAAADTcggAAgAAAAc1MS42MDY3ANTazrXNIt8ITUlPyM0i3wgjQ0lRLklRVDQ2MjA3MzA4LklRX0NE</t>
  </si>
  <si>
    <t>U19NSUQuMjQvMDkvMjYBAAAAOYl6AQIAAAAEMTUuNQBfUge2zSLfCEllRcjNIt8IJENJUS5JUVQzMTMzMTczNDQuSVFfQ0RTX01JRC4yNi8wOS8yNgEAAADxrAEAAgAAAAc2Mi44ODM2AF9SB7bNIt8ILhtQyM0i3wgjQ0lRLklRVDQ2MjAwMzE3LklRX0NEU19NSUQuMDMvMTAvMjYBAAAA/lQNAAIAAAAHNzAuMjA0NgBfUge2zSLfCP5JP8jNIt8II0NJUS5JUVQ0NjIwMDI3Ni5JUV9DRFNfTUlELjI1LzA5LzI2AQAAAJZ3fAECAAAABzMyLjU5NzMAX1IHts0i3wiiL0TIzSLfCCNDSVEuSVFUNTEwMjMyNjAuSVFfQ0RTX01JRC4wMS8xMC8yNgEAAACxEX8BAgAAAAcxNS42MjgzAF9SB7bNIt8I/kk/yM0i3wgjQ0lRLklRVDQ2MTk1NDkxLklRX0NEU19NSUQuMjUvMDkvMjYBAAAAaUoAAAIAAAAGNjAuNzExABAWCLbNIt8Ioi9EyM0i3wgjQ0lRLklRVDc5NjM0OTAxLklRX0NEU19NSUQuMzAvMDkvMjYBAAAAnAYQAAIAAAAHNTYuMTM5NgBfUge2zSLfCBhQQsjNIt8II0NJUS5JUVQ3OTYzNDkwMS5JUV9DRFNfTUlELjI1LzA5LzI2AQAAAJwGEAACAAAABzU0LjkzOTkAX1IHts0i3whJZUXIzSLfCCNDSVEuSVFUNDYyMDY3NzkuSVFfQ0RTX01JRC4yOC8wOS8yNgEAAAD87zYAAgAAAAcxOS4zNDI2AF9SB7bNIt8IgwFKyM0i3wgjQ0lRLklRVDQ2MjA3NTcxLklRX0NEU19NSUQuMjQvMDkvMjYBAAAAbe81AAIAAAAH</t>
  </si>
  <si>
    <t>NDMuODE2MgBfUge2zSLfCEllRcjNIt8II0NJUS5JUVQ0NjIwNzc4OS5JUV9DRFNfTUlELjIzLzA5LzI2AQAAACpYowECAAAABzIzLjkwMTkAX1IHts0i3wjX9EbIzSLfCCNDSVEuSVFUNDYyMTM0NzIuSVFfQ0RTX01JRC4yNC8wOS8yNgEAAAC5WjgAAgAAAAcxNS43Nzg1ABAWCLbNIt8I1gVGyM0i3wgjQ0lRLklRVDQ2MjA3Nzg5LklRX0NEU19NSUQuMjIvMDkvMjYBAAAAKlijAQIAAAAHMjQuMjk2OQBfUge2zSLfCGlxSMjNIt8IJENJUS5JUVQyNjMyMTMxMzIuSVFfQ0RTX01JRC4yNC8wOS8yNgEAAADhmggAAgAAAAc2MS4wNzcyAF9SB7bNIt8I1gVGyM0i3wgjQ0lRLklRVDQ2MjE4NTE2LklRX0NEU19NSUQuMDUvMDcvMjYBAAAAplWjAQIAAAAHMzcuNTUxNwBfUge2zSLfCOYHTcjNIt8II0NJUS5JUVQ0NjE5NDk5NS5JUV9DRFNfTUlELjAzLzEwLzI2AQAAAG4QMQACAAAABzE2Ljg1MzUAX1IHts0i3wi1wT3IzSLfCCNDSVEuSVFUNDYyMDQzMDAuSVFfQ0RTX01JRC4wNS8xMC8yNQEAAAD2JX0AAgAAAAY4Ljc2NzMAX1IHts0i3wjvRVDIzSLfCCNDSVEuSVFUNDYyMjIyOTIuSVFfQ0RTX01JRC4wMy8xMC8yNgEAAADRkZsBAgAAAAg3NTQuMjkxNwBfUge2zSLfCP5JP8jNIt8II0NJUS5JUVQ2MDM4OTUxNi5JUV9DRFNfTUlELjA1LzA3LzI2AQAAAKXwwwECAAAABjcuMjQxMQBfUge2zSLfCOYHTcjNIt8I</t>
  </si>
  <si>
    <t>I0NJUS5JUVQ0NjIyNTAwNi5JUV9DRFNfTUlELjAzLzEwLzI2AQAAAPhVDQACAAAABzY3LjIwOTgA1NrOtc0i3wj+ST/IzSLfCCNDSVEuSVFUNDYxOTk4NDEuSVFfQ0RTX01JRC4yOC8wOS8yNgEAAADrMAYAAwAAAAAA1NrOtc0i3wjWd0vIzSLfCCNDSVEuSVFUNDYyMjAzMjkuSVFfQ0RTX01JRC4wMy8xMC8yNgEAAADbWwAAAgAAAAQ2MC41AF9SB7bNIt8I/kk/yM0i3wgjQ0lRLklRVDQ2MjIzNjQ2LklRX0NEU19NSUQuMjEvMDkvMjYBAAAAG3gEAAIAAAAHNTAuMjg1NwDU2s61zSLfCNZ3S8jNIt8II0NJUS5JUVQ0NjI2MjM3OC5JUV9DRFNfTUlELjAyLzEwLzI2AQAAAEDSiQECAAAABzI2Ljc5ODMAX1IHts0i3wjI0UDIzSLfCCNDSVEuSVFUNDYyMjIyOTIuSVFfQ0RTX01JRC4wNS8wNy8yNgEAAADRkZsBAgAAAAg3NTguODMyNgBfUge2zSLfCOYHTcjNIt8II0NJUS5JUVQ0NjE5NzY5NC5JUV9DRFNfTUlELjAyLzEwLzI2AQAAAAf6BQACAAAABzYxLjg1NzEAEBYIts0i3wjI0UDIzSLfCCNDSVEuSVFUNDYyMjA4MDMuSVFfQ0RTX01JRC4yOS8wOS8yNgEAAADWyTYAAgAAAAQ0MC41ABAWCLbNIt8I/txDyM0i3wgjQ0lRLklRVDYyMjcwMTA3LklRX0NEU19NSUQuMDIvMTAvMjYBAAAAFVkAAAIAAAAHNDUuMjgwNQBfUge2zSLfCAC/QcjNIt8IJENJUS5JUVQyNjMyMTMxMzIuSVFfQ0RTX01JRC4yOC8wOS8y</t>
  </si>
  <si>
    <t>NgEAAADhmggAAgAAAAc2My45MTk3AF9SB7bNIt8I1ndLyM0i3wgjQ0lRLklRVDQ2MjA3MzA4LklRX0NEU19NSUQuMDEvMTAvMjYBAAAAOYl6AQIAAAAHMTcuMjY2NwBfUge2zSLfCP5JP8jNIt8II0NJUS5JUVQ2MjI3MDEwNy5JUV9DRFNfTUlELjIyLzA5LzI2AQAAABVZAAACAAAABzQwLjc3NzYAX1IHts0i3wiQFknIzSLfCCNDSVEuSVFUNDYyMTAwMzIuSVFfQ0RTX01JRC4wMS8xMC8yNgEAAACPVaMBAgAAAAczNi40Mjc2AF9SB7bNIt8I/kk/yM0i3wgjQ0lRLklRVDQ2MjA2Nzc5LklRX0NEU19NSUQuMDUvMTAvMjUBAAAA/O82AAIAAAAGMjUuMzA4AF9SB7bNIt8I70VQyM0i3wgjQ0lRLklRVDQ2MjI1Mzc0LklRX0NEU19NSUQuMDEvMTAvMjYBAAAAtdYFAAIAAAAHNDguNjgxMwDU2s61zSLfCMjRQMjNIt8II0NJUS5JUVQ0NjIyMDMyOS5JUV9DRFNfTUlELjI4LzA5LzI2AQAAANtbAAACAAAABDYwLjUAX1IHts0i3wjWd0vIzSLfCCNDSVEuSVFUNDk3NTExOTYuSVFfQ0RTX01JRC4zMC8wOS8yNgEAAADNmb0AAgAAAAc0MC41ODA4AF9SB7bNIt8IGFBCyM0i3wgjQ0lRLklRVDQ2MjI1Mzc0LklRX0NEU19NSUQuMjEvMDkvMjYBAAAAtdYFAAIAAAAGNDEuMjA4AF9SB7bNIt8I1ndLyM0i3wgjQ0lRLklRVDYwMzg5NTE2LklRX0NEU19NSUQuMzAvMDkvMjYBAAAApfDDAQIAAAAGNy4yOTQ3AF9SB7bNIt8I</t>
  </si>
  <si>
    <t>GFBCyM0i3wgkQ0lRLklRVDMxMzMwNTg3OS5JUV9DRFNfTUlELjI1LzA5LzI2AQAAAITW3AECAAAABjIuMjkzOQAQFgi2zSLfCKIvRMjNIt8IJENJUS5JUVQzMjM2ODAxMzAuSVFfQ0RTX01JRC4zMC8wOS8yNgEAAABx4QIAAgAAAAc1Ny4zNTg3ANTazrXNIt8IGFBCyM0i3wgjQ0lRLklRVDQ2MjE5OTIyLklRX0NEU19NSUQuMzAvMDkvMjYBAAAA1kc5AQIAAAAEOC4yNQBfUge2zSLfCBhQQsjNIt8IJENJUS5JUVQzMTMzMTU0MjkuSVFfQ0RTX01JRC4zMC8wOS8yNgEAAAA55wUAAgAAAAc2My42Mjk1AF9SB7bNIt8IGFBCyM0i3wgjQ0lRLklRVDQ2MjA0ODg0LklRX0NEU19NSUQuMjIvMDkvMjYBAAAAgVHAAQIAAAAEMzQuOABfUge2zSLfCNf0RsjNIt8II0NJUS5JUVQ0NjIwNjc3OS5JUV9DRFNfTUlELjI5LzA5LzI2AQAAAPzvNgACAAAABzIxLjQ3MzQAX1IHts0i3wgYUELIzSLfCCNDSVEuSVFUNDYyMTQ5NTQuSVFfQ0RTX01JRC4yNy8wOS8yNgEAAAA6PTkBAgAAAAUxNi4yNQBfUge2zSLfCK/cTcjNIt8II0NJUS5JUVQ0NjIxODY3NC5JUV9DRFNfTUlELjI5LzA5LzI2AQAAAFfKNgACAAAACDEzMi4yNjc0ABAWCLbNIt8I/txDyM0i3wgjQ0lRLklRVDUxMDIzNDgwLklRX0NEU19NSUQuMjYvMDkvMjYBAAAAwkXxAQIAAAAGNS43MjExAF9SB7bNIt8ITUlPyM0i3wgjQ0lRLklRVDQ2MjI1NzE1LklRX0NE</t>
  </si>
  <si>
    <t>U19NSUQuMjkvMDkvMjYBAAAAt+UEAAIAAAAHNDMuMzQzNwBfUge2zSLfCKIvRMjNIt8II0NJUS5JUVQ3OTY0MDAyNC5JUV9DRFNfTUlELjI0LzA5LzI2AQAAADWPmwECAAAABTkuMzc1AF9SB7bNIt8ISWVFyM0i3wgjQ0lRLklRVDQ2MjA0ODg0LklRX0NEU19NSUQuMjgvMDkvMjYBAAAAgVHAAQIAAAAEMzYuMQBfUge2zSLfCIMBSsjNIt8IJENJUS5JUVQzMTMzMTU0MjkuSVFfQ0RTX01JRC4wMy8xMC8yNgEAAAA55wUAAgAAAAY2My44NzkAX1IHts0i3wj+ST/IzSLfCCNDSVEuSVFUNDYyMDc3ODkuSVFfQ0RTX01JRC4yOC8wOS8yNgEAAAAqWKMBAgAAAAcyNC43NzUzAF9SB7bNIt8IgwFKyM0i3wgjQ0lRLklRVDQ2MjA3Nzg5LklRX0NEU19NSUQuMDEvMTAvMjYBAAAAKlijAQIAAAAHMjcuNjEyNABfUge2zSLfCP5JP8jNIt8IJENJUS5JUVQyODYwOTYxMzEuSVFfQ0RTX01JRC4yOC8wOS8yNgEAAAA78QQAAgAAAAc2Ni45NjU1ANTazrXNIt8I1ndLyM0i3wgjQ0lRLklRVDQ2MjEwNTYwLklRX0NEU19NSUQuMjMvMDkvMjYBAAAA9ho3AAIAAAAHODcuMDIyNwBfUge2zSLfCAamRsjNIt8IJENJUS5JUVQzMTMzMTQ5NzYuSVFfQ0RTX01JRC4zMC8wOS8yNgEAAABtSgAAAgAAAAc1NS44NzE3AF9SB7bNIt8IGFBCyM0i3wgjQ0lRLklRVDQ2MjE5OTIyLklRX0NEU19NSUQuMjMvMDkvMjYBAAAA1kc5AQIAAAAF</t>
  </si>
  <si>
    <t>Ny44NzUAX1IHts0i3wjX9EbIzSLfCCNDSVEuSVFUNjAzODk1MTYuSVFfQ0RTX01JRC4yOC8wOS8yNgEAAACl8MMBAgAAAAY3LjI5ODYAX1IHts0i3wiDAUrIzSLfCCNDSVEuSVFUNDYyMjM2NDYuSVFfQ0RTX01JRC4yMy8wOS8yNgEAAAAbeAQAAgAAAAc1MS44NjIzANTazrXNIt8I1/RGyM0i3wgjQ0lRLklRVDQ2MjE4Njc0LklRX0NEU19NSUQuMjMvMDkvMjYBAAAAV8o2AAIAAAAIMTI1LjcyOTYAEBYIts0i3wjX9EbIzSLfCCRDSVEuSVFUMzEzMzE0OTc2LklRX0NEU19NSUQuMjMvMDkvMjYBAAAAbUoAAAIAAAAHNTUuODgzMQBfUge2zSLfCNf0RsjNIt8II0NJUS5JUVQ0NjIxMDAzMi5JUV9DRFNfTUlELjIyLzA5LzI2AQAAAI9VowECAAAABzM0LjU2MDQAEBYIts0i3whpcUjIzSLfCCNDSVEuSVFUNDYyMTg1MTYuSVFfQ0RTX01JRC4yMi8wOS8yNgEAAACmVaMBAgAAAAczOC45ODExAF9SB7bNIt8IaXFIyM0i3wgjQ0lRLklRVDQ2MjA0MzAwLklRX0NEU19NSUQuMDUvMDcvMjYBAAAA9iV9AAIAAAAGNy4wMTY1AF9SB7bNIt8I5gdNyM0i3wgjQ0lRLklRVDQ2MjIwODAzLklRX0NEU19NSUQuMjIvMDkvMjYBAAAA1sk2AAIAAAAENDEuNwAQFgi2zSLfCGlxSMjNIt8II0NJUS5JUVQ0NjIxNjk4Ni5JUV9DRFNfTUlELjAxLzEwLzI2AQAAAM5EOAEDAAAAAAAQFgi2zSLfCP5JP8jNIt8II0NJUS5JUVQ0NjIw</t>
  </si>
  <si>
    <t>MDM2NC5JUV9DRFNfTUlELjIyLzA5LzI2AQAAAFeGCAACAAAABzI3LjAwNjEAX1IHts0i3wiQFknIzSLfCCNDSVEuSVFUNDYxOTc2OTQuSVFfQ0RTX01JRC4yMy8wOS8yNgEAAAAH+gUAAgAAAAc1Ni44MDA4ABAWCLbNIt8I1/RGyM0i3wgjQ0lRLklRVDQ2MjA0MzAwLklRX0NEU19NSUQuMjEvMDkvMjYBAAAA9iV9AAIAAAAGOC41NzE3AF9SB7bNIt8I1ndLyM0i3wgjQ0lRLklRVDQ2MjA3ODcyLklRX0NEU19NSUQuMDIvMTAvMjYBAAAAWA0KAAIAAAAHNDQuMTMyMQAQFgi2zSLfCAC/QcjNIt8II0NJUS5JUVQ2MDM4ODA1Ny5JUV9DRFNfTUlELjIxLzA5LzI2AQAAAN/JfQEDAAAAAABfUge2zSLfCNZ3S8jNIt8II0NJUS5JUVQ0NjIxODUxNi5JUV9DRFNfTUlELjA1LzEwLzI1AQAAAKZVowECAAAABzM3LjAwNzUAX1IHts0i3wjvRVDIzSLfCCNDSVEuSVFUNDYxOTk4NDEuSVFfQ0RTX01JRC4yMS8wOS8yNgEAAADrMAYAAwAAAAAA1NrOtc0i3wjWd0vIzSLfCCNDSVEuSVFUNDYyMDMzMzIuSVFfQ0RTX01JRC4wMy8xMC8yNgEAAABfHjcAAgAAAAcxMy4xODk4AF9SB7bNIt8ItcE9yM0i3wgkQ0lRLklRVDMxMzMxMDE4NC5JUV9DRFNfTUlELjA1LzA3LzI2AQAAAGBEPgACAAAABjExLjM0OABfUge2zSLfCNZ3S8jNIt8II0NJUS5JUVQ0NjIxNDg3OS5JUV9DRFNfTUlELjA1LzA3LzI2AQAAAPUaNwACAAAABzUw</t>
  </si>
  <si>
    <t>LjU0ODYAX1IHts0i3wjmB03IzSLfCCNDSVEuSVFUNDYyNjIzNzguSVFfQ0RTX01JRC4zMC8wOS8yNgEAAABA0okBAgAAAAYyMi4xMzUAX1IHts0i3wgYUELIzSLfCCNDSVEuSVFUNDY0NzA4NzcuSVFfQ0RTX01JRC4wNS8wNy8yNgEAAABCNwcAAgAAAAc1NS4wODM5ABAWCLbNIt8I5gdNyM0i3wgkQ0lRLklRVDMxMzMxNTQyOS5JUV9DRFNfTUlELjI4LzA5LzI2AQAAADnnBQACAAAABzY0LjUwOTUAX1IHts0i3wjWd0vIzSLfCCRDSVEuSVFUMzEzMzEwODU0LklRX0NEU19NSUQuMDUvMDcvMjYBAAAAr1QNAAIAAAAHNjEuMzMzMwBfUge2zSLfCK/cTcjNIt8IJENJUS5JUVQ1Mjg5MzY4MTIuSVFfQ0RTX01JRC4yMS8wOS8yNgEAAABsWwYAAgAAAAc1MC4zODgyANTazrXNIt8I1ndLyM0i3wgjQ0lRLklRVDQ2MjE0OTU0LklRX0NEU19NSUQuMDUvMTAvMjUBAAAAOj05AQIAAAAHMjEuMzMzMwBfUge2zSLfCO9FUMjNIt8II0NJUS5JUVQ0NjIxMDU2MC5JUV9DRFNfTUlELjIyLzA5LzI2AQAAAPYaNwACAAAABjgzLjYyNABfUge2zSLfCNf0RsjNIt8II0NJUS5JUVQ0NjIwODYzNC5JUV9DRFNfTUlELjA1LzEwLzI1AQAAAAMfwgACAAAABDIzLjYAEBYIts0i3wjvRVDIzSLfCCNDSVEuSVFUNDYyMDc4NzIuSVFfQ0RTX01JRC4wNS8wNy8yNgEAAABYDQoAAgAAAAc0MC4wMDQyABAWCLbNIt8I5gdNyM0i3wgjQ0lR</t>
  </si>
  <si>
    <t>LklRVDQ2MjI1MDgzLklRX0NEU19NSUQuMDUvMTAvMjUBAAAAVkQGAAIAAAAHNDIuNTcxNABfUge2zSLfCO9FUMjNIt8II0NJUS5JUVQ2MDM4OTUxNi5JUV9DRFNfTUlELjAzLzEwLzI2AQAAAKXwwwECAAAABjcuMjkyNABfUge2zSLfCP5JP8jNIt8II0NJUS5JUVQ0NjIyNDc0MC5JUV9DRFNfTUlELjAzLzEwLzI2AQAAANNyCAACAAAABzYyLjM1OTEA1NrOtc0i3wj+ST/IzSLfCCNDSVEuSVFUNDYyMDAzNjQuSVFfQ0RTX01JRC4yOS8wOS8yNgEAAABXhggAAgAAAAcyOC4yNTgzAF9SB7bNIt8Ioi9EyM0i3wgkQ0lRLklRVDMxMzMxNzM0NC5JUV9DRFNfTUlELjAzLzEwLzI2AQAAAPGsAQACAAAABzYxLjQ4NDIAX1IHts0i3wj+ST/IzSLfCCNDSVEuSVFUNDYyMDAyNzYuSVFfQ0RTX01JRC4wMi8xMC8yNgEAAACWd3wBAgAAAAUzMy40OABfUge2zSLfCMjRQMjNIt8II0NJUS5JUVQ0NjE5NDk5NS5JUV9DRFNfTUlELjIzLzA5LzI2AQAAAG4QMQACAAAABzEyLjQ1NDMAX1IHts0i3wjX9EbIzSLfCCNDSVEuSVFUNDYxOTU0OTEuSVFfQ0RTX01JRC4wMi8xMC8yNgEAAABpSgAAAgAAAAc2My44NjIxABAWCLbNIt8IAL9ByM0i3wgjQ0lRLklRVDYwMzg4MDU3LklRX0NEU19NSUQuMDUvMTAvMjUBAAAA38l9AQIAAAAHNDMuMTU1MwBfUge2zSLfCO9FUMjNIt8II0NJUS5JUVQ3OTYzNDkwMS5JUV9DRFNfTUlELjAy</t>
  </si>
  <si>
    <t>LzEwLzI2AQAAAJwGEAACAAAABzU2LjQ5ODMAX1IHts0i3wgAv0HIzSLfCCNDSVEuSVFUNDYyMjIyOTIuSVFfQ0RTX01JRC4yNi8wOS8yNgEAAADRkZsBAgAAAAg3NTQuODE0OABfUge2zSLfCE1JT8jNIt8II0NJUS5JUVQ0NjIwNzU3MS5JUV9DRFNfTUlELjAxLzEwLzI2AQAAAG3vNQACAAAABzYyLjUzNjMAX1IHts0i3wj+ST/IzSLfCCNDSVEuSVFUNDYyMjIyOTIuSVFfQ0RTX01JRC4yOC8wOS8yNgEAAADRkZsBAgAAAAg3NTQuMDM3MgBfUge2zSLfCIMBSsjNIt8II0NJUS5JUVQ0NjIxMzQ3Mi5JUV9DRFNfTUlELjAxLzEwLzI2AQAAALlaOAACAAAABzE2LjAwODUAEBYIts0i3wj+ST/IzSLfCCRDSVEuSVFUMzEzMzE0OTc2LklRX0NEU19NSUQuMDUvMDcvMjYBAAAAbUoAAAIAAAACNTYAX1IHts0i3wiv3E3IzSLfCCRDSVEuSVFUMjYzMjEzMTMyLklRX0NEU19NSUQuMDEvMTAvMjYBAAAA4ZoIAAIAAAAHNjcuNzQ2MwBfUge2zSLfCMjRQMjNIt8II0NJUS5JUVQ0NjE5OTg0MS5JUV9DRFNfTUlELjA1LzEwLzI1AQAAAOswBgADAAAAAADU2s61zSLfCO9FUMjNIt8II0NJUS5JUVQ0NjE5NDk5NS5JUV9DRFNfTUlELjMwLzA5LzI2AQAAAG4QMQACAAAABzE0LjI2MjgAX1IHts0i3wgYUELIzSLfCCNDSVEuSVFUNDYyMDY3NzkuSVFfQ0RTX01JRC4wNS8wNy8yNgEAAAD87zYAAgAAAAcxNS44MTI1AF9SB7bN</t>
  </si>
  <si>
    <t>It8I5gdNyM0i3wgjQ0lRLklRVDQ2MjIyMjkyLklRX0NEU19NSUQuMzAvMDkvMjYBAAAA0ZGbAQIAAAAINzU1LjA4NTcAX1IHts0i3wgYUELIzSLfCCNDSVEuSVFUNDYyMDc1NzEuSVFfQ0RTX01JRC4yOS8wOS8yNgEAAABt7zUAAgAAAAc0OC44NjQzAF9SB7bNIt8IGFBCyM0i3wgjQ0lRLklRVDQ2MjI1MDA2LklRX0NEU19NSUQuMzAvMDkvMjYBAAAA+FUNAAIAAAAHNjEuODM1MwDU2s61zSLfCBhQQsjNIt8II0NJUS5JUVQ0NjE5NzY5NC5JUV9DRFNfTUlELjIyLzA5LzI2AQAAAAf6BQACAAAABzU2LjM3OTIAEBYIts0i3whpcUjIzSLfCCNDSVEuSVFUNDYyMjAzMjkuSVFfQ0RTX01JRC4zMC8wOS8yNgEAAADbWwAAAgAAAAQ2MC41AF9SB7bNIt8IGFBCyM0i3wgjQ0lRLklRVDc5NjM5OTEzLklRX0NEU19NSUQuMDUvMDcvMjYBAAAAIGMcAgIAAAAFOC4xMjUAX1IHts0i3wjmB03IzSLfCCNDSVEuSVFUNDYyNjIzNzguSVFfQ0RTX01JRC4yOS8wOS8yNgEAAABA0okBAgAAAAcyMS4yNzM1AF9SB7bNIt8IGFBCyM0i3wgkQ0lRLklRVDI1NDk1NTIzMy5JUV9DRFNfTUlELjA1LzEwLzI1AQAAADlWCgACAAAABzUzLjE5NzkAX1IHts0i3wjvRVDIzSLfCCNDSVEuSVFUNDYxOTc2OTQuSVFfQ0RTX01JRC4yOS8wOS8yNgEAAAAH+gUAAgAAAAY2MS4zODIAEBYIts0i3wj+3EPIzSLfCCRDSVEuSVFUMzEzMzEwMTg0</t>
  </si>
  <si>
    <t>LklRX0NEU19NSUQuMDUvMTAvMjUBAAAAYEQ+AAIAAAAGMTguMzkzAF9SB7bNIt8I70VQyM0i3wgjQ0lRLklRVDYyMjcwMTA3LklRX0NEU19NSUQuMjkvMDkvMjYBAAAAFVkAAAIAAAAHNDQuMTI1OABfUge2zSLfCKIvRMjNIt8II0NJUS5JUVQ0NjIyNjEzMi5JUV9DRFNfTUlELjI0LzA5LzI2AQAAAN1ZAAACAAAABzU3Ljk3MTUA1NrOtc0i3wjWBUbIzSLfCCNDSVEuSVFUNzk2Mzk5MTMuSVFfQ0RTX01JRC4wMi8xMC8yNgEAAAAgYxwCAgAAAAY5LjY5MDkAX1IHts0i3wjI0UDIzSLfCCNDSVEuSVFUNDYyMDczMDguSVFfQ0RTX01JRC4yOC8wOS8yNgEAAAA5iXoBAgAAAAcxNS42NzY3AF9SB7bNIt8IgwFKyM0i3wgkQ0lRLklRVDI1NDk1NTIzMy5JUV9DRFNfTUlELjAxLzEwLzI2AQAAADlWCgACAAAABzUzLjI0ODIAX1IHts0i3wjI0UDIzSLfCCNDSVEuSVFUNDYyMTAwMzIuSVFfQ0RTX01JRC4yOC8wOS8yNgEAAACPVaMBAgAAAAczNS40NTA4AF9SB7bNIt8IgwFKyM0i3wgkQ0lRLklRVDMyMzY4MDEzMC5JUV9DRFNfTUlELjI4LzA5LzI2AQAAAHHhAgACAAAABjU3LjI3OQDU2s61zSLfCIMBSsjNIt8II0NJUS5JUVQ0NjIyNTM3NC5JUV9DRFNfTUlELjI4LzA5LzI2AQAAALXWBQACAAAABzQ1LjI2OTIA1NrOtc0i3wjWd0vIzSLfCCNDSVEuSVFUNDYyMTM0NzIuSVFfQ0RTX01JRC4yMS8wOS8yNgEAAAC5</t>
  </si>
  <si>
    <t>WjgAAgAAAAcxNS45NjU1ABAWCLbNIt8I1ndLyM0i3wgkQ0lRLklRVDMxMzMxMDg1NC5JUV9DRFNfTUlELjA1LzEwLzI1AQAAAK9UDQACAAAABzQzLjcxNjkAX1IHts0i3wjvRVDIzSLfCCNDSVEuSVFUNDYyMTQ4NzkuSVFfQ0RTX01JRC4wNC8xMC8yNgEAAAD1GjcAAgAAAAc1Ni44MzM4AF9SB7bNIt8IkBZJyM0i3wgjQ0lRLklRVDQ2MjI1Mzc0LklRX0NEU19NSUQuMjkvMDkvMjYBAAAAtdYFAAIAAAAHNDUuNzk1NwDU2s61zSLfCKIvRMjNIt8IJENJUS5JUVQzMTMzMTczNDQuSVFfQ0RTX01JRC4yMy8wOS8yNgEAAADxrAEAAgAAAAc2My4yMzQ3AF9SB7bNIt8I1/RGyM0i3wgkQ0lRLklRVDMxMzMxMDg1NC5JUV9DRFNfTUlELjA0LzEwLzI2AQAAAK9UDQACAAAABzY0LjM4NjcAX1IHts0i3wiDAUrIzSLfCCRDSVEuSVFUMzEzMzEwMTg0LklRX0NEU19NSUQuMjMvMDkvMjYBAAAAYEQ+AAIAAAAHMTEuMzUzNgBfUge2zSLfCAamRsjNIt8IJENJUS5JUVQyNjMyMTMxMzIuSVFfQ0RTX01JRC4yMS8wOS8yNgEAAADhmggAAgAAAAc1OS40MjI1AF9SB7bNIt8I1ndLyM0i3wgjQ0lRLklRVDUxMDIzMjYwLklRX0NEU19NSUQuMzAvMDkvMjYBAAAAsRF/AQIAAAAHMTUuNTE3MQBfUge2zSLfCBhQQsjNIt8II0NJUS5JUVQ0NjIxMDU2MC5JUV9DRFNfTUlELjIxLzA5LzI2AQAAAPYaNwACAAAABzgzLjkxNzIAX1IH</t>
  </si>
  <si>
    <t>ts0i3wjWd0vIzSLfCCNDSVEuSVFUNDYyMjM2NDYuSVFfQ0RTX01JRC4wNS8wNy8yNgEAAAAbeAQAAgAAAAc0OC4zODQ3ANTazrXNIt8I5gdNyM0i3wgjQ0lRLklRVDc5NjM5OTUzLklRX0NEU19NSUQuMjYvMDkvMjYBAAAANJtWAQIAAAAHMjEuMTc4OABfUge2zSLfCE1JT8jNIt8II0NJUS5JUVQ0NjIxMDAzMi5JUV9DRFNfTUlELjI0LzA5LzI2AQAAAI9VowECAAAABzM0Ljg0MDMAEBYIts0i3wjWBUbIzSLfCCNDSVEuSVFUNDYyMDc1NzEuSVFfQ0RTX01JRC4wMi8xMC8yNgEAAABt7zUAAgAAAAc3Mi40NTgxAF9SB7bNIt8IyNFAyM0i3wgjQ0lRLklRVDQ2MjI1MDA2LklRX0NEU19NSUQuMDEvMTAvMjYBAAAA+FUNAAIAAAAHNjQuNjQwMgDU2s61zSLfCP5JP8jNIt8II0NJUS5JUVQ0NjIwNzMwOC5JUV9DRFNfTUlELjI5LzA5LzI2AQAAADmJegECAAAABDE2LjMAX1IHts0i3wgYUELIzSLfCCNDSVEuSVFUNjAzODgwNTcuSVFfQ0RTX01JRC4yOC8wOS8yNgEAAADfyX0BAwAAAAAAX1IHts0i3wiDAUrIzSLfCCNDSVEuSVFUNDY0NzA4NzcuSVFfQ0RTX01JRC4yMy8wOS8yNgEAAABCNwcAAgAAAAc1OS42OTE3ABAWCLbNIt8I1/RGyM0i3wgjQ0lRLklRVDQ2MjA4NjM0LklRX0NEU19NSUQuMjIvMDkvMjYBAAAAAx/CAAIAAAAHMjIuNTg2NQAQFgi2zSLfCGlxSMjNIt8IJENJUS5JUVQyNjMyMTMxMzIuSVFf</t>
  </si>
  <si>
    <t>Q0RTX01JRC4wMi8xMC8yNgEAAADhmggAAgAAAAc2OC4xMTAxAF9SB7bNIt8IAL9ByM0i3wgjQ0lRLklRVDQ2MjE4Njc0LklRX0NEU19NSUQuMDUvMDcvMjYBAAAAV8o2AAIAAAAIMTI1Ljk1OTEAEBYIts0i3wjmB03IzSLfCCNDSVEuSVFUNDYyMDQ5NTcuSVFfQ0RTX01JRC4wNS8wNy8yNgEAAAAhFQYAAgAAAAc1My40MjM3ABAWCLbNIt8I5gdNyM0i3wgjQ0lRLklRVDQ2MTk3Njk0LklRX0NEU19NSUQuMjUvMDkvMjYBAAAAB/oFAAIAAAAHNjAuMDQ0MQAQFgi2zSLfCKIvRMjNIt8II0NJUS5JUVQ0NjIwNDk1Ny5JUV9DRFNfTUlELjI2LzA5LzI2AQAAACEVBgACAAAABzYwLjQwNDgAEBYIts0i3whNSU/IzSLfCCRDSVEuSVFUMzEzMzA1ODc5LklRX0NEU19NSUQuMjQvMDkvMjYBAAAAhNbcAQIAAAAGMi4yOTM5ABAWCLbNIt8I1gVGyM0i3wgkQ0lRLklRVDY0NDcwMTc5Ny5JUV9DRFNfTUlELjAyLzEwLzI2AQAAAFM/fQECAAAABzEwLjk1NzIAX1IHts0i3wjI0UDIzSLfCCNDSVEuSVFUNDYyMjQ3NDAuSVFfQ0RTX01JRC4wMS8xMC8yNgEAAADTcggAAgAAAAc2MC4yMDk4ANTazrXNIt8I/kk/yM0i3wgjQ0lRLklRVDQ2MjI1MDA2LklRX0NEU19NSUQuMjMvMDkvMjYBAAAA+FUNAAIAAAAHNTQuMTg3OQDU2s61zSLfCNf0RsjNIt8II0NJUS5JUVQ3OTYzOTk1My5JUV9DRFNfTUlELjIxLzA5LzI2AQAAADSb</t>
  </si>
  <si>
    <t>VgECAAAABzIwLjk5MDMAX1IHts0i3wjWd0vIzSLfCCNDSVEuSVFUNTEwMjM0ODAuSVFfQ0RTX01JRC4wNS8wNy8yNgEAAADCRfEBAgAAAAY0LjcwNTgAX1IHts0i3wjmB03IzSLfCCRDSVEuSVFUNTI4OTM2ODEyLklRX0NEU19NSUQuMjYvMDkvMjYBAAAAbFsGAAIAAAAHNTEuODg2NwDU2s61zSLfCE1JT8jNIt8II0NJUS5JUVQ0NjIwMDI3Ni5JUV9DRFNfTUlELjI5LzA5LzI2AQAAAJZ3fAECAAAABzMzLjMwNzYAX1IHts0i3wgYUELIzSLfCCNDSVEuSVFUNDYyMjU3MTUuSVFfQ0RTX01JRC4yMy8wOS8yNgEAAAC35QQAAgAAAAc0Mi4xNjcxAF9SB7bNIt8I1/RGyM0i3wgjQ0lRLklRVDQ2MjIzNjQ2LklRX0NEU19NSUQuMjIvMDkvMjYBAAAAG3gEAAIAAAAHNTAuNjMxNADU2s61zSLfCGlxSMjNIt8II0NJUS5JUVQ0NjIxOTkyMi5JUV9DRFNfTUlELjA1LzA3LzI2AQAAANZHOQECAAAAAzcuNQBfUge2zSLfCOYHTcjNIt8II0NJUS5JUVQ0NjIyMDgwMy5JUV9DRFNfTUlELjIxLzA5LzI2AQAAANbJNgACAAAABzQyLjkzODMAEBYIts0i3wjWd0vIzSLfCCNDSVEuSVFUNDYyMDQ4ODQuSVFfQ0RTX01JRC4wNS8xMC8yNQEAAACBUcABAgAAAAc0MC42NjA2AF9SB7bNIt8I70VQyM0i3wgkQ0lRLklRVDMxMzMxNzM0NC5JUV9DRFNfTUlELjAxLzEwLzI2AQAAAPGsAQACAAAABzYwLjY5NjEAX1IHts0i3wjI0UDI</t>
  </si>
  <si>
    <t>zSLfCCNDSVEuSVFUNDYyMjUzNzQuSVFfQ0RTX01JRC4yMi8wOS8yNgEAAAC11gUAAgAAAAc0MS4xMTE2AF9SB7bNIt8IkBZJyM0i3wgkQ0lRLklRVDY0NDcwMTc5Ny5JUV9DRFNfTUlELjA1LzEwLzI1AQAAAFM/fQECAAAABzEzLjIzNjgAX1IHts0i3wjvRVDIzSLfCCNDSVEuSVFUNzk2NDAwMjQuSVFfQ0RTX01JRC4wNS8xMC8yNQEAAAA1j5sBAgAAAAM5LjUAX1IHts0i3wjvRVDIzSLfCCNDSVEuSVFUNDYxOTYyMjUuSVFfQ0RTX01JRC4zMC8wOS8yNgEAAAC+VaMBAgAAAAYyNC40MjQAX1IHts0i3wgYUELIzSLfCCNDSVEuSVFUNDYyMjAzMjkuSVFfQ0RTX01JRC4yMy8wOS8yNgEAAADbWwAAAgAAAAc2MC42NjAzAF9SB7bNIt8I1/RGyM0i3wgjQ0lRLklRVDQ2MjI2MTMyLklRX0NEU19NSUQuMjEvMDkvMjYBAAAA3VkAAAIAAAAHNTMuNDM3NQDU2s61zSLfCNZ3S8jNIt8II0NJUS5JUVQ0NjI2MjM3OC5JUV9DRFNfTUlELjI1LzA5LzI2AQAAAEDSiQECAAAABzIwLjU1OTkAX1IHts0i3wiiL0TIzSLfCCNDSVEuSVFUNzk2MzQ5MDEuSVFfQ0RTX01JRC4yMi8wOS8yNgEAAACcBhAAAgAAAAc1Mi41MDkxAF9SB7bNIt8IkBZJyM0i3wgjQ0lRLklRVDQ2MjYyMzc4LklRX0NEU19NSUQuMDUvMTAvMjUBAAAAQNKJAQIAAAAGMjEuNjI1AF9SB7bNIt8I70VQyM0i3wgjQ0lRLklRVDQ2MjI1NzE1LklRX0NEU19N</t>
  </si>
  <si>
    <t>SUQuMDIvMTAvMjYBAAAAt+UEAAIAAAAHNDMuMDEzNQBfUge2zSLfCAC/QcjNIt8II0NJUS5JUVQ3OTYzNDkwMS5JUV9DRFNfTUlELjI5LzA5LzI2AQAAAJwGEAACAAAABzU2LjU5NDIAX1IHts0i3wiiL0TIzSLfCCNDSVEuSVFUNDYyMjUwMDYuSVFfQ0RTX01JRC4yNi8wOS8yNgEAAAD4VQ0AAgAAAAc1Ni43MDU1ANTazrXNIt8ITUlPyM0i3wgjQ0lRLklRVDQ2MjI0NzQwLklRX0NEU19NSUQuMjQvMDkvMjYBAAAA03IIAAIAAAAHNTAuODIzMQDU2s61zSLfCNYFRsjNIt8II0NJUS5JUVQ0NjIwNjc3OS5JUV9DRFNfTUlELjAyLzEwLzI2AQAAAPzvNgACAAAABzI5LjI5NzUAX1IHts0i3wjI0UDIzSLfCCRDSVEuSVFUMjg2MDk2MTMxLklRX0NEU19NSUQuMDEvMTAvMjYBAAAAO/EEAAIAAAAHNzIuNTQ5NwDU2s61zSLfCMjRQMjNIt8II0NJUS5JUVQ0NjIxODUxNi5JUV9DRFNfTUlELjI5LzA5LzI2AQAAAKZVowECAAAABzQxLjYyMDcAX1IHts0i3wgYUELIzSLfCCNDSVEuSVFUNDYyMTg2NzQuSVFfQ0RTX01JRC4yOC8wOS8yNgEAAABXyjYAAgAAAAgxMzQuMzQ0OQAQFgi2zSLfCIMBSsjNIt8IJENJUS5JUVQyODYwOTYxMzEuSVFfQ0RTX01JRC4yMy8wOS8yNgEAAAA78QQAAgAAAAc2My4wOTI4ANTazrXNIt8I1/RGyM0i3wgjQ0lRLklRVDQ2MTk1NDkxLklRX0NEU19NSUQuMjIvMDkvMjYBAAAAaUoAAAIA</t>
  </si>
  <si>
    <t>AAAHNTcuMDQ3OQAQFgi2zSLfCGlxSMjNIt8II0NJUS5JUVQ0NjIwNDMwMC5JUV9DRFNfTUlELjA1LzEwLzI2AQAAAPYlfQACAAAABDEyLjUAX1IHts0i3wi1wT3IzSLfCCNDSVEuSVFUNjIyNzAxMDYuSVFfQ0RTX01JRC4yNi8wOS8yNgEAAACtd4MAAgAAAAc3My42MTIzAF9SB7bNIt8ILhtQyM0i3wgjQ0lRLklRVDQ2MjI1Mzc0LklRX0NEU19NSUQuMjQvMDkvMjYBAAAAtdYFAAIAAAAHNDMuMTAxNgDU2s61zSLfCNYFRsjNIt8II0NJUS5JUVQ0NjIxMzQ3Mi5JUV9DRFNfTUlELjAyLzEwLzI2AQAAALlaOAACAAAABjE2LjA2NAAQFgi2zSLfCMjRQMjNIt8II0NJUS5JUVQ0NjIyMDMyOS5JUV9DRFNfTUlELjAxLzEwLzI2AQAAANtbAAACAAAABDYwLjUAX1IHts0i3wjI0UDIzSLfCCNDSVEuSVFUNDYyMTAwMzIuSVFfQ0RTX01JRC4yOS8wOS8yNgEAAACPVaMBAgAAAAczNS4zODc0AF9SB7bNIt8I/txDyM0i3wgjQ0lRLklRVDQ2MjI1MDA2LklRX0NEU19NSUQuMjgvMDkvMjYBAAAA+FUNAAIAAAAHNTcuODczNwDU2s61zSLfCIMBSsjNIt8II0NJUS5JUVQ2MjI3MDEwNy5JUV9DRFNfTUlELjIzLzA5LzI2AQAAABVZAAACAAAABzQxLjAwNjQAX1IHts0i3wjX9EbIzSLfCCNDSVEuSVFUNDYyMjAzMjkuSVFfQ0RTX01JRC4yNi8wOS8yNgEAAADbWwAAAgAAAAc2MC42MjA0AF9SB7bNIt8ILhtQyM0i3wgjQ0lR</t>
  </si>
  <si>
    <t>LklRVDQ2MjAwNDEyLklRX0NEU19NSUQuMjQvMDkvMjYBAAAAY0MGAAIAAAAHNTEuNDIyMgBfUge2zSLfCNYFRsjNIt8II0NJUS5JUVQ0OTc1MTE5Ni5JUV9DRFNfTUlELjAzLzEwLzI2AQAAAM2ZvQACAAAABzQyLjcwNDYAX1IHts0i3wi1wT3IzSLfCCNDSVEuSVFUNDYyMjU3MTUuSVFfQ0RTX01JRC4yOC8wOS8yNgEAAAC35QQAAgAAAAc0My4yOTkxAF9SB7bNIt8I1ndLyM0i3wgjQ0lRLklRVDQ2MjI1MDgzLklRX0NEU19NSUQuMjIvMDkvMjYBAAAAVkQGAAIAAAAFMzcuMjUAX1IHts0i3wiQFknIzSLfCCNDSVEuSVFUNDYyMjA4MDMuSVFfQ0RTX01JRC4wNS8wNy8yNgEAAADWyTYAAgAAAAI0MAAQFgi2zSLfCOYHTcjNIt8II0NJUS5JUVQ0NjIwMDMxNy5JUV9DRFNfTUlELjAyLzEwLzI2AQAAAP5UDQACAAAABzcwLjIwNDYAX1IHts0i3wgAv0HIzSLfCCNDSVEuSVFUNDYyMDczMDguSVFfQ0RTX01JRC4yMi8wOS8yNgEAAAA5iXoBAgAAAAUxNS4wOQBfUge2zSLfCNf0RsjNIt8II0NJUS5JUVQ0NjIwMDM2NC5JUV9DRFNfTUlELjIxLzA5LzI2AQAAAFeGCAACAAAABzI2Ljg1ODgAX1IHts0i3wjWd0vIzSLfCCNDSVEuSVFUNDYxOTk4NDEuSVFfQ0RTX01JRC4wNS8xMC8yNgEAAADrMAYAAwAAAAAA1NrOtc0i3wi1wT3IzSLfCCNDSVEuSVFUNDYxOTcxMzguSVFfQ0RTX01JRC4yNS8wOS8yNgEAAADulDgB</t>
  </si>
  <si>
    <t>AgAAAAgxMjYuNzg2OQBfUge2zSLfCKIvRMjNIt8IJENJUS5JUVQzMTMzMTM1MjQuSVFfQ0RTX01JRC4yNC8wOS8yNgEAAADvVQ0AAgAAAAc1NS44NzM2AF9SB7bNIt8IBqZGyM0i3wgjQ0lRLklRVDQ2MjE4Njc0LklRX0NEU19NSUQuMDIvMTAvMjYBAAAAV8o2AAIAAAAIMTQzLjY3NzMAEBYIts0i3wjI0UDIzSLfCCNDSVEuSVFUNDYyMTA1NjAuSVFfQ0RTX01JRC4zMC8wOS8yNgEAAAD2GjcAAgAAAAU5NS45NABfUge2zSLfCBhQQsjNIt8IJENJUS5JUVQzMTMzMTAxODQuSVFfQ0RTX01JRC4wNC8xMC8yNgEAAABgRD4AAgAAAAcxMi40MDk5AF9SB7bNIt8IkBZJyM0i3wgjQ0lRLklRVDc5NjQwMDI0LklRX0NEU19NSUQuMjUvMDkvMjYBAAAANY+bAQIAAAAGOS43MDMzAF9SB7bNIt8Ioi9EyM0i3wgjQ0lRLklRVDQ2NDcwODc3LklRX0NEU19NSUQuMDQvMTAvMjYBAAAAQjcHAAIAAAAHNjQuMjY3NQAQFgi2zSLfCIMBSsjNIt8II0NJUS5JUVQ1MTAyMzQ4MC5JUV9DRFNfTUlELjI1LzA5LzI2AQAAAMJF8QECAAAABjUuNzIxMQBfUge2zSLfCKIvRMjNIt8II0NJUS5JUVQ3OTYzOTkxMy5JUV9DRFNfTUlELjAzLzEwLzI2AQAAACBjHAICAAAABjkuNjkwOQBfUge2zSLfCP5JP8jNIt8IJENJUS5JUVQyNTQ5NTUyMzMuSVFfQ0RTX01JRC4wMi8xMC8yNgEAAAA5VgoAAgAAAAc1NC4wMDA3AF9SB7bNIt8IAL9B</t>
  </si>
  <si>
    <t>yM0i3wgjQ0lRLklRVDQ2MjAwMjc2LklRX0NEU19NSUQuMzAvMDkvMjYBAAAAlnd8AQIAAAAHMzMuNDkwMQBfUge2zSLfCBhQQsjNIt8IJENJUS5JUVQyNjMyMTMxMzIuSVFfQ0RTX01JRC4yOS8wOS8yNgEAAADhmggAAgAAAAc2NC42NjE1AF9SB7bNIt8Ioi9EyM0i3wgjQ0lRLklRVDQ2MjA0ODg0LklRX0NEU19NSUQuMDUvMTAvMjYBAAAAgVHAAQIAAAAHNDYuMjI3MgBfUge2zSLfCLXBPcjNIt8II0NJUS5JUVQ0NjIwNzc4OS5JUV9DRFNfTUlELjA1LzEwLzI2AQAAACpYowECAAAABzI4LjkzODYAX1IHts0i3wi1wT3IzSLfCCRDSVEuSVFUMjg2MDk2MTMxLklRX0NEU19NSUQuMDUvMTAvMjYBAAAAO/EEAAIAAAAHNzMuMzI1NwDU2s61zSLfCLXBPcjNIt8II0NJUS5JUVQ0NjIxMDU2MC5JUV9DRFNfTUlELjA0LzEwLzI2AQAAAPYaNwACAAAACDEwMC45OTgyAF9SB7bNIt8IkBZJyM0i3wgjQ0lRLklRVDQ2MjE5OTIyLklRX0NEU19NSUQuMDQvMTAvMjYBAAAA1kc5AQIAAAAFOC45NzUAX1IHts0i3wiQFknIzSLfCCNDSVEuSVFUNDYyMjM2NDYuSVFfQ0RTX01JRC4wNC8xMC8yNgEAAAAbeAQAAgAAAAc1Ni42NTg0ABAWCLbNIt8IgwFKyM0i3wgkQ0lRLklRVDMxMzMxNDk3Ni5JUV9DRFNfTUlELjA0LzEwLzI2AQAAAG1KAAACAAAABzUzLjg5NTcAX1IHts0i3wiDAUrIzSLfCCNDSVEuSVFUNDYyMTg1MTYu</t>
  </si>
  <si>
    <t>SVFfQ0RTX01JRC4yNy8wOS8yNgEAAACmVaMBAgAAAAc0Mi4wOTM0AF9SB7bNIt8Ir9xNyM0i3wgjQ0lRLklRVDQ2MjIwODAzLklRX0NEU19NSUQuMjcvMDkvMjYBAAAA1sk2AAIAAAAHNDAuMTMxNAAQFgi2zSLfCM+JTsjNIt8II0NJUS5JUVQ0NjIwMDM2NC5JUV9DRFNfTUlELjI3LzA5LzI2AQAAAFeGCAACAAAABDI3LjUAX1IHts0i3wjPiU7IzSLfCCNDSVEuSVFUNDYyMDQzMDAuSVFfQ0RTX01JRC4yNi8wOS8yNgEAAAD2JX0AAgAAAAY4LjYwMzgAX1IHts0i3whNSU/IzSLfCCNDSVEuSVFUNjAzODgwNTcuSVFfQ0RTX01JRC4yNi8wOS8yNgEAAADfyX0BAwAAAAAAX1IHts0i3whNSU/IzSLfCCNDSVEuSVFUNDYxOTk4NDEuSVFfQ0RTX01JRC4yNi8wOS8yNgEAAADrMAYAAwAAAAAA1NrOtc0i3whNSU/IzSLfCCRDSVEuSVFUMzEzMzEwMTg0LklRX0NEU19NSUQuMjUvMDkvMjYBAAAAYEQ+AAIAAAAGMTEuNDI0AF9SB7bNIt8Ioi9EyM0i3wgjQ0lRLklRVDQ2MjE0ODc5LklRX0NEU19NSUQuMjUvMDkvMjYBAAAA9Ro3AAIAAAAHNTUuMzU4MwBfUge2zSLfCKIvRMjNIt8II0NJUS5JUVQ0NjQ3MDg3Ny5JUV9DRFNfTUlELjI1LzA5LzI2AQAAAEI3BwACAAAABzYyLjU4NjcAEBYIts0i3wiiL0TIzSLfCCRDSVEuSVFUMzEzMzEwODU0LklRX0NEU19NSUQuMjUvMDkvMjYBAAAAr1QNAAIAAAAHNjMuMzAyOABf</t>
  </si>
  <si>
    <t>Uge2zSLfCEllRcjNIt8II0NJUS5JUVQ0NjIxNDk1NC5JUV9DRFNfTUlELjI0LzA5LzI2AQAAADo9OQECAAAABzE2LjY4NzUAX1IHts0i3whJZUXIzSLfCCNDSVEuSVFUNDYyMDg2MzQuSVFfQ0RTX01JRC4yNC8wOS8yNgEAAAADH8IAAgAAAAUyMi45NQAQFgi2zSLfCNYFRsjNIt8II0NJUS5JUVQ0NjIyNTA4My5JUV9DRFNfTUlELjI0LzA5LzI2AQAAAFZEBgACAAAABzM4Ljk2NDMAX1IHts0i3wjWBUbIzSLfCCNDSVEuSVFUNDYyMDM3MTQuSVFfQ0RTX01JRC4wMy8xMC8yNgEAAABfBTUAAgAAAAc4NC4xODYxAF9SB7bNIt8ItcE9yM0i3wgjQ0lRLklRVDc5NjM5OTUzLklRX0NEU19NSUQuMDMvMTAvMjYBAAAANJtWAQIAAAAHMjEuOTM5MQBfUge2zSLfCP5JP8jNIt8IJENJUS5JUVQ1Mjg5MzY4MTIuSVFfQ0RTX01JRC4wMy8xMC8yNgEAAABsWwYAAgAAAAc1Ny41MjM5ANTazrXNIt8I/kk/yM0i3wgjQ0lRLklRVDQ2MTk3MTM4LklRX0NEU19NSUQuMDIvMTAvMjYBAAAA7pQ4AQIAAAAIMTMyLjc4NjMAX1IHts0i3wjI0UDIzSLfCCNDSVEuSVFUNTEwMjM0ODAuSVFfQ0RTX01JRC4wMi8xMC8yNgEAAADCRfEBAgAAAAY3LjE5NzUAX1IHts0i3wjI0UDIzSLfCCNDSVEuSVFUNDYyMDQ5NTcuSVFfQ0RTX01JRC4wMi8xMC8yNgEAAAAhFQYAAgAAAAc2Mi4wODcxABAWCLbNIt8IAL9ByM0i3wgjQ0lRLklRVDYy</t>
  </si>
  <si>
    <t>MjcwMTA2LklRX0NEU19NSUQuMDIvMTAvMjYBAAAArXeDAAIAAAAHNzQuNzU2MwBfUge2zSLfCAC/QcjNIt8II0NJUS5JUVQ3OTY0MDAyNC5JUV9DRFNfTUlELjAxLzEwLzI2AQAAADWPmwECAAAABzEyLjIwMDYAX1IHts0i3wj+ST/IzSLfCCRDSVEuSVFUMzEzMzA1ODc5LklRX0NEU19NSUQuMDEvMTAvMjYBAAAAhNbcAQIAAAAGMi4yOTM5ABAWCLbNIt8I/kk/yM0i3wgjQ0lRLklRVDQ2MjAwNDEyLklRX0NEU19NSUQuMDEvMTAvMjYBAAAAY0MGAAIAAAAHNTYuNTE4MwBfUge2zSLfCMjRQMjNIt8II0NJUS5JUVQ0NjIwMzMzMi5JUV9DRFNfTUlELjMwLzA5LzI2AQAAAF8eNwACAAAABzEyLjMzMzMAX1IHts0i3wgYUELIzSLfCCNDSVEuSVFUNDYyMTUxMTEuSVFfQ0RTX01JRC4zMC8wOS8yNgEAAACgS7IBAgAAAAczNS4xODIzAF9SB7bNIt8IGFBCyM0i3wgjQ0lRLklRVDQ2MjI2MTMyLklRX0NEU19NSUQuMzAvMDkvMjYBAAAA3VkAAAIAAAAHNjMuNjM5MgDU2s61zSLfCBhQQsjNIt8IJENJUS5JUVQzMTMzMTM1MjQuSVFfQ0RTX01JRC4zMC8wOS8yNgEAAADvVQ0AAgAAAAc1NS45MjI3AF9SB7bNIt8IGFBCyM0i3wgjQ0lRLklRVDc5NjM5OTEzLklRX0NEU19NSUQuMjkvMDkvMjYBAAAAIGMcAgIAAAAGOC45NjY0AF9SB7bNIt8IGFBCyM0i3wgjQ0lRLklRVDQ2MjA3ODcyLklRX0NEU19NSUQuMjkvMDkv</t>
  </si>
  <si>
    <t>MjYBAAAAWA0KAAIAAAAHNDMuMDY5NwAQFgi2zSLfCP7cQ8jNIt8II0NJUS5JUVQ0NjIwMDMxNy5JUV9DRFNfTUlELjI5LzA5LzI2AQAAAP5UDQACAAAABzY5LjM2MTUAX1IHts0i3wiiL0TIzSLfCCRDSVEuSVFUNjQ0NzAxNzk3LklRX0NEU19NSUQuMjgvMDkvMjYBAAAAUz99AQIAAAAHMTEuMjk4OQBfUge2zSLfCIMBSsjNIt8II0NJUS5JUVQ0NjIxNjk4Ni5JUV9DRFNfTUlELjI4LzA5LzI2AQAAAM5EOAEDAAAAAAAQFgi2zSLfCIMBSsjNIt8IJENJUS5JUVQyNTQ5NTUyMzMuSVFfQ0RTX01JRC4yOC8wOS8yNgEAAAA5VgoAAgAAAAc0OC43MjkzAF9SB7bNIt8I1ndLyM0i3wgjQ0lRLklRVDQ2MTk2MjI1LklRX0NEU19NSUQuMjMvMDkvMjYBAAAAvlWjAQIAAAAHMjAuMDI1NwBfUge2zSLfCNf0RsjNIt8II0NJUS5JUVQ1MTAyMzI2MC5JUV9DRFNfTUlELjIzLzA5LzI2AQAAALERfwECAAAABzE1LjA1NzQAX1IHts0i3wjX9EbIzSLfCCNDSVEuSVFUNDYyMjQ3NDAuSVFfQ0RTX01JRC4yMy8wOS8yNgEAAADTcggAAgAAAAY0OC45MjgA1NrOtc0i3wjX9EbIzSLfCCNDSVEuSVFUNDYyMDczMDguSVFfQ0RTX01JRC4wNS8xMC8yNgEAAAA5iXoBAgAAAAYxOS42MjUAX1IHts0i3wi1wT3IzSLfCCNDSVEuSVFUNDYyMTAwMzIuSVFfQ0RTX01JRC4wNS8xMC8yNgEAAACPVaMBAgAAAAczNS40NTg3AF9SB7bNIt8I</t>
  </si>
  <si>
    <t>tcE9yM0i3wgjQ0lRLklRVDQ2MjI1Mzc0LklRX0NEU19NSUQuMDUvMTAvMjYBAAAAtdYFAAIAAAAHNDkuNjYwNwDU2s61zSLfCLXBPcjNIt8II0NJUS5JUVQ0OTc1MTE5Ni5JUV9DRFNfTUlELjA0LzEwLzI2AQAAAM2ZvQACAAAABzQyLjcwNDYAX1IHts0i3wiQFknIzSLfCCNDSVEuSVFUNjAzODk1MTYuSVFfQ0RTX01JRC4wNC8xMC8yNgEAAACl8MMBAgAAAAY3LjI5MjQAX1IHts0i3wiQFknIzSLfCCRDSVEuSVFUMzIzNjgwMTMwLklRX0NEU19NSUQuMDQvMTAvMjYBAAAAceECAAIAAAAHNTguNTIxNADU2s61zSLfCIMBSsjNIt8IJENJUS5JUVQzMTMzMTU0MjkuSVFfQ0RTX01JRC4wNC8xMC8yNgEAAAA55wUAAgAAAAY2My44NzkAX1IHts0i3wiDAUrIzSLfCCNDSVEuSVFUNDYyMDY3NzkuSVFfQ0RTX01JRC4yNy8wOS8yNgEAAAD87zYAAgAAAAcxOC42NTY3AF9SB7bNIt8Ir9xNyM0i3wgjQ0lRLklRVDQ2MjE4Njc0LklRX0NEU19NSUQuMjcvMDkvMjYBAAAAV8o2AAIAAAAIMTI5LjYwMzgAEBYIts0i3wjPiU7IzSLfCCNDSVEuSVFUNDYyMjU3MTUuSVFfQ0RTX01JRC4yNy8wOS8yNgEAAAC35QQAAgAAAAc0My4yNzA3AF9SB7bNIt8Iz4lOyM0i3wgjQ0lRLklRVDQ2MjA0ODg0LklRX0NEU19NSUQuMjYvMDkvMjYBAAAAgVHAAQIAAAAGMzUuNjA4AF9SB7bNIt8ITUlPyM0i3wgjQ0lRLklRVDQ2MjA3Nzg5</t>
  </si>
  <si>
    <t>LklRX0NEU19NSUQuMjYvMDkvMjYBAAAAKlijAQIAAAAHMjQuNjcwNgBfUge2zSLfCE1JT8jNIt8IJENJUS5JUVQyODYwOTYxMzEuSVFfQ0RTX01JRC4yNi8wOS8yNgEAAAA78QQAAgAAAAc2NC43MjMxANTazrXNIt8ITUlPyM0i3wgjQ0lRLklRVDQ2MjEwNTYwLklRX0NEU19NSUQuMjUvMDkvMjYBAAAA9ho3AAIAAAAGODkuMDk3AF9SB7bNIt8Ioi9EyM0i3wgjQ0lRLklRVDQ2MjE5OTIyLklRX0NEU19NSUQuMjUvMDkvMjYBAAAA1kc5AQIAAAAGNy44MjQyAF9SB7bNIt8Ioi9EyM0i3wgjQ0lRLklRVDQ2MjIzNjQ2LklRX0NEU19NSUQuMjUvMDkvMjYBAAAAG3gEAAIAAAAHNTQuNjA2OQBfUge2zSLfCKIvRMjNIt8IJENJUS5JUVQzMTMzMTQ5NzYuSVFfQ0RTX01JRC4yNS8wOS8yNgEAAABtSgAAAgAAAAc1NC4xNjAzAF9SB7bNIt8ISWVFyM0i3wgjQ0lRLklRVDQ2MjE4NTE2LklRX0NEU19NSUQuMjQvMDkvMjYBAAAAplWjAQIAAAAHNDEuNDIzOQBfUge2zSLfCEllRcjNIt8II0NJUS5JUVQ0NjIyMDgwMy5JUV9DRFNfTUlELjI0LzA5LzI2AQAAANbJNgACAAAABzQwLjIyMjYAEBYIts0i3wjWBUbIzSLfCCNDSVEuSVFUNDYyMDAzNjQuSVFfQ0RTX01JRC4yNC8wOS8yNgEAAABXhggAAgAAAAcyNy42Njk2AF9SB7bNIt8I1gVGyM0i3wgjQ0lRLklRVDQ2MjA0MzAwLklRX0NEU19NSUQuMDMvMTAvMjYBAAAA</t>
  </si>
  <si>
    <t>9iV9AAIAAAAEMTIuNQBfUge2zSLfCLXBPcjNIt8II0NJUS5JUVQ2MDM4ODA1Ny5JUV9DRFNfTUlELjAzLzEwLzI2AQAAAN/JfQEDAAAAAABfUge2zSLfCP5JP8jNIt8II0NJUS5JUVQ0NjE5OTg0MS5JUV9DRFNfTUlELjAzLzEwLzI2AQAAAOswBgADAAAAAADU2s61zSLfCP5JP8jNIt8IJENJUS5JUVQzMTMzMTAxODQuSVFfQ0RTX01JRC4wMi8xMC8yNgEAAABgRD4AAgAAAAcxMi40MDk5AF9SB7bNIt8IyNFAyM0i3wgjQ0lRLklRVDQ2MjE0ODc5LklRX0NEU19NSUQuMDIvMTAvMjYBAAAA9Ro3AAIAAAAHNTYuODMzOABfUge2zSLfCMjRQMjNIt8II0NJUS5JUVQ0NjQ3MDg3Ny5JUV9DRFNfTUlELjAyLzEwLzI2AQAAAEI3BwACAAAABzY0LjI2NzUAEBYIts0i3wgAv0HIzSLfCCRDSVEuSVFUMzEzMzEwODU0LklRX0NEU19NSUQuMDIvMTAvMjYBAAAAr1QNAAIAAAAHNjQuMzg2NwBfUge2zSLfCAC/QcjNIt8II0NJUS5JUVQ0NjIxNDk1NC5JUV9DRFNfTUlELjAxLzEwLzI2AQAAADo9OQECAAAABzE5LjY2NDYAX1IHts0i3wj+ST/IzSLfCCNDSVEuSVFUNDYyMDg2MzQuSVFfQ0RTX01JRC4wMS8xMC8yNgEAAAADH8IAAgAAAAcyMy41OTEyABAWCLbNIt8I/kk/yM0i3wgjQ0lRLklRVDQ2MjI1MDgzLklRX0NEU19NSUQuMDEvMTAvMjYBAAAAVkQGAAIAAAAHNDMuNTkwMgBfUge2zSLfCMjRQMjNIt8II0NJUS5J</t>
  </si>
  <si>
    <t>UVQ0NjIwMzcxNC5JUV9DRFNfTUlELjMwLzA5LzI2AQAAAF8FNQACAAAABzcwLjIyNTgAX1IHts0i3wgYUELIzSLfCCNDSVEuSVFUNzk2Mzk5NTMuSVFfQ0RTX01JRC4zMC8wOS8yNgEAAAA0m1YBAgAAAAcyMS4zOTg1AF9SB7bNIt8IGFBCyM0i3wgkQ0lRLklRVDUyODkzNjgxMi5JUV9DRFNfTUlELjMwLzA5LzI2AQAAAGxbBgACAAAABzU0Ljg1OTQA1NrOtc0i3wgYUELIzSLfCCNDSVEuSVFUNDYxOTcxMzguSVFfQ0RTX01JRC4yOS8wOS8yNgEAAADulDgBAgAAAAgxMzAuNDgyOQBfUge2zSLfCBhQQsjNIt8II0NJUS5JUVQ1MTAyMzQ4MC5JUV9DRFNfTUlELjI5LzA5LzI2AQAAAMJF8QECAAAABjUuNjg3NgBfUge2zSLfCBhQQsjNIt8II0NJUS5JUVQ0NjIwNDk1Ny5JUV9DRFNfTUlELjI5LzA5LzI2AQAAACEVBgACAAAABzYxLjA2ODgAEBYIts0i3wj+3EPIzSLfCCNDSVEuSVFUNjIyNzAxMDYuSVFfQ0RTX01JRC4yOS8wOS8yNgEAAACtd4MAAgAAAAc3NC43NTcxAF9SB7bNIt8Ioi9EyM0i3wgjQ0lRLklRVDc5NjQwMDI0LklRX0NEU19NSUQuMjgvMDkvMjYBAAAANY+bAQIAAAAGOS44OTY2AF9SB7bNIt8IgwFKyM0i3wgkQ0lRLklRVDMxMzMwNTg3OS5JUV9DRFNfTUlELjI4LzA5LzI2AQAAAITW3AECAAAABjIuMjkzOQAQFgi2zSLfCIMBSsjNIt8II0NJUS5JUVQ0NjIwMDQxMi5JUV9DRFNfTUlELjI4</t>
  </si>
  <si>
    <t>LzA5LzI2AQAAAGNDBgACAAAABzUzLjE2NjQAX1IHts0i3wjWd0vIzSLfCCNDSVEuSVFUNDYyMDMzMzIuSVFfQ0RTX01JRC4yMy8wOS8yNgEAAABfHjcAAgAAAAcxMS42NjY3AF9SB7bNIt8I1/RGyM0i3wgjQ0lRLklRVDQ2MjE1MTExLklRX0NEU19NSUQuMjMvMDkvMjYBAAAAoEuyAQIAAAAHMzMuMTQwMgBfUge2zSLfCNf0RsjNIt8II0NJUS5JUVQ0NjIyNjEzMi5JUV9DRFNfTUlELjIzLzA5LzI2AQAAAN1ZAAACAAAABzU1LjkyMTgA1NrOtc0i3wjX9EbIzSLfCCRDSVEuSVFUMzEzMzEzNTI0LklRX0NEU19NSUQuMjMvMDkvMjYBAAAA71UNAAIAAAAHNTUuODY0NQBfUge2zSLfCNf0RsjNIt8II0NJUS5JUVQ3OTYzOTkxMy5JUV9DRFNfTUlELjIyLzA5LzI2AQAAACBjHAICAAAABjguODMzMwBfUge2zSLfCGlxSMjNIt8II0NJUS5JUVQ0NjIwNzg3Mi5JUV9DRFNfTUlELjIyLzA5LzI2AQAAAFgNCgACAAAABzQwLjIwNjMAEBYIts0i3whpcUjIzSLfCCNDSVEuSVFUNDYyMDAzMTcuSVFfQ0RTX01JRC4yMi8wOS8yNgEAAAD+VA0AAgAAAAc1OS4wNjY4AF9SB7bNIt8IkBZJyM0i3wgkQ0lRLklRVDY0NDcwMTc5Ny5JUV9DRFNfTUlELjIxLzA5LzI2AQAAAFM/fQECAAAABzEwLjYxNjYAX1IHts0i3wjWd0vIzSLfCCNDSVEuSVFUNDYyMTY5ODYuSVFfQ0RTX01JRC4yMS8wOS8yNgEAAADORDgBAwAAAAAAEBYI</t>
  </si>
  <si>
    <t>ts0i3wjWd0vIzSLfCCRDSVEuSVFUMjU0OTU1MjMzLklRX0NEU19NSUQuMjEvMDkvMjYBAAAAOVYKAAIAAAAHNDQuMzU0OABfUge2zSLfCNZ3S8jNIt8II0NJUS5JUVQ0NjE5NjIyNS5JUV9DRFNfTUlELjA1LzA3LzI2AQAAAL5VowECAAAABjE3LjM3NQBfUge2zSLfCOYHTcjNIt8II0NJUS5JUVQ1MTAyMzI2MC5JUV9DRFNfTUlELjA1LzA3LzI2AQAAALERfwECAAAABzEzLjQ1ODEAX1IHts0i3wjmB03IzSLfCCNDSVEuSVFUNDYyMjQ3NDAuSVFfQ0RTX01JRC4wNS8wNy8yNgEAAADTcggAAgAAAAczMy42NzY3ANTazrXNIt8I5gdNyM0i3wgkQ0lRLklRVDMxMzMxNzM0NC5JUV9DRFNfTUlELjA1LzA3LzI2AQAAAPGsAQACAAAABzU5LjYzNTQAX1IHts0i3wiv3E3IzSLfCCNDSVEuSVFUNDYyMDAyNzYuSVFfQ0RTX01JRC4wNS8xMC8yNQEAAACWd3wBAgAAAAcyNS41MjM2AF9SB7bNIt8I70VQyM0i3wgjQ0lRLklRVDQ2MTk1NDkxLklRX0NEU19NSUQuMDUvMTAvMjUBAAAAaUoAAAIAAAAHNTYuNzI2MgAQFgi2zSLfCO9FUMjNIt8II0NJUS5JUVQ3OTYzNDkwMS5JUV9DRFNfTUlELjA1LzEwLzI1AQAAAJwGEAACAAAABzU1LjA1OTQAX1IHts0i3wjvRVDIzSLfCCNDSVEuSVFUNDYyMDMzMzIuSVFfQ0RTX01JRC4wNS8wNy8yNgEAAABfHjcAAgAAAAYxMS4zNzUAX1IHts0i3wjmB03IzSLfCCNDSVEuSVFUNzk2</t>
  </si>
  <si>
    <t>Mzk5MTMuSVFfQ0RTX01JRC4wNS8xMC8yNQEAAAAgYxwCAgAAAAY5LjQzMDQAX1IHts0i3wjvRVDIzSLfCCNDSVEuSVFUNDYyMDc4NzIuSVFfQ0RTX01JRC4wNS8xMC8yNQEAAABYDQoAAgAAAAc0My40MTg4ABAWCLbNIt8I70VQyM0i3wgjQ0lRLklRVDQ2MjAwMzE3LklRX0NEU19NSUQuMDUvMTAvMjUBAAAA/lQNAAIAAAAHNzAuMTAyMwBfUge2zSLfCO9FUMjNIt8II0NJUS5JUVQ0NjE5NzEzOC5JUV9DRFNfTUlELjA1LzEwLzI1AQAAAO6UOAECAAAACDEzNC44MTE0AF9SB7bNIt8I70VQyM0i3wgjQ0lRLklRVDUxMDIzNDgwLklRX0NEU19NSUQuMDUvMTAvMjUBAAAAwkXxAQIAAAAGNi4yMzI5AF9SB7bNIt8I70VQyM0i3wgjQ0lRLklRVDQ2MjA0OTU3LklRX0NEU19NSUQuMDUvMTAvMjUBAAAAIRUGAAIAAAAHNTguOTE2NwAQFgi2zSLfCO9FUMjNIt8II0NJUS5JUVQ2MjI3MDEwNi5JUV9DRFNfTUlELjA1LzEwLzI1AQAAAK13gwACAAAABzc1LjgxNjMAX1IHts0i3wjvRVDIzSLfCCNDSVEuSVFUNDYyNjIzNzguSVFfQ0RTX01JRC4wMS8xMC8yNgEAAABA0okBAgAAAAcyNC40NTAzAF9SB7bNIt8I/kk/yM0i3wgjQ0lRLklRVDQ2MTk3Njk0LklRX0NEU19NSUQuMDEvMTAvMjYBAAAAB/oFAAIAAAAHNjIuMzU3NQAQFgi2zSLfCP5JP8jNIt8II0NJUS5JUVQ2MjI3MDEwNy5JUV9DRFNfTUlELjAxLzEwLzI2</t>
  </si>
  <si>
    <t>AQAAABVZAAACAAAAAjQ0AF9SB7bNIt8IyNFAyM0i3wgjQ0lRLklRVDQ2MjA3MzA4LklRX0NEU19NSUQuMzAvMDkvMjYBAAAAOYl6AQIAAAAEMTYuNQBfUge2zSLfCBhQQsjNIt8II0NJUS5JUVQ0NjIxMDAzMi5JUV9DRFNfTUlELjMwLzA5LzI2AQAAAI9VowECAAAABzM0LjY0OTQAX1IHts0i3wgYUELIzSLfCCNDSVEuSVFUNDYyMjUzNzQuSVFfQ0RTX01JRC4zMC8wOS8yNgEAAAC11gUAAgAAAAc0Ni40MjA3ANTazrXNIt8IGFBCyM0i3wgjQ0lRLklRVDQ5NzUxMTk2LklRX0NEU19NSUQuMjkvMDkvMjYBAAAAzZm9AAIAAAAHMzkuODcwNwBfUge2zSLfCBhQQsjNIt8II0NJUS5JUVQ2MDM4OTUxNi5JUV9DRFNfTUlELjI5LzA5LzI2AQAAAKXwwwECAAAABTcuMzc0AF9SB7bNIt8IGFBCyM0i3wgjQ0lRLklRVDQ2MjA3NTcxLklRX0NEU19NSUQuMDUvMTAvMjYBAAAAbe81AAIAAAAHNzIuNDU4MQBfUge2zSLfCLXBPcjNIt8II0NJUS5JUVQ0NjIxMzQ3Mi5JUV9DRFNfTUlELjA1LzEwLzI2AQAAALlaOAACAAAABjE2LjA2NAAQFgi2zSLfCLXBPcjNIt8IJENJUS5JUVQyNjMyMTMxMzIuSVFfQ0RTX01JRC4wNS8xMC8yNgEAAADhmggAAgAAAAc2OC4xMTAxAF9SB7bNIt8ItcE9yM0i3wgjQ0lRLklRVDQ2MTk0OTk1LklRX0NEU19NSUQuMDQvMTAvMjYBAAAAbhAxAAIAAAAHMTYuODUzNQBfUge2zSLfCJAWScjN</t>
  </si>
  <si>
    <t>It8II0NJUS5JUVQ0NjIyMjI5Mi5JUV9DRFNfTUlELjA0LzEwLzI2AQAAANGRmwECAAAACDc1NC4yOTE3AF9SB7bNIt8IsPVJyM0i3wgjQ0lRLklRVDQ2MjI1MDA2LklRX0NEU19NSUQuMDQvMTAvMjYBAAAA+FUNAAIAAAAHNjcuMjA5OADU2s61zSLfCIMBSsjNIt8II0NJUS5JUVQ0NjIyMDMyOS5JUV9DRFNfTUlELjA0LzEwLzI2AQAAANtbAAACAAAABDYwLjUAX1IHts0i3wiDAUrIzSLfCCNDSVEuSVFUNDYyNjIzNzguSVFfQ0RTX01JRC4yNy8wOS8yNgEAAABA0okBAgAAAAcyMC41NTk5AF9SB7bNIt8Ir9xNyM0i3wgjQ0lRLklRVDQ2MTk3Njk0LklRX0NEU19NSUQuMjcvMDkvMjYBAAAAB/oFAAIAAAAHNjAuMDQ0MQAQFgi2zSLfCM+JTsjNIt8II0NJUS5JUVQ2MjI3MDEwNy5JUV9DRFNfTUlELjI3LzA5LzI2AQAAABVZAAACAAAABzQyLjc1MTgAX1IHts0i3wjPiU7IzSLfCCNDSVEuSVFUNDYyMDczMDguSVFfQ0RTX01JRC4yNi8wOS8yNgEAAAA5iXoBAgAAAAYxNS42NjgAX1IHts0i3whNSU/IzSLfCCNDSVEuSVFUNDYyMTAwMzIuSVFfQ0RTX01JRC4yNi8wOS8yNgEAAACPVaMBAgAAAAYzNC44MjUAEBYIts0i3whNSU/IzSLfCCNDSVEuSVFUNDYyMjUzNzQuSVFfQ0RTX01JRC4yNi8wOS8yNgEAAAC11gUAAgAAAAc0My40OTI3ANTazrXNIt8ITUlPyM0i3wgjQ0lRLklRVDQ5NzUxMTk2LklRX0NEU19N</t>
  </si>
  <si>
    <t>SUQuMjUvMDkvMjYBAAAAzZm9AAIAAAAGMzcuOTE1AF9SB7bNIt8Ioi9EyM0i3wgjQ0lRLklRVDYwMzg5NTE2LklRX0NEU19NSUQuMjUvMDkvMjYBAAAApfDDAQIAAAAGNy4zODIxAF9SB7bNIt8Ioi9EyM0i3wgkQ0lRLklRVDMyMzY4MDEzMC5JUV9DRFNfTUlELjI1LzA5LzI2AQAAAHHhAgACAAAABjU1LjkwMQDU2s61zSLfCKIvRMjNIt8IJENJUS5JUVQzMTMzMTU0MjkuSVFfQ0RTX01JRC4yNS8wOS8yNgEAAAA55wUAAgAAAAc2My44MzE3AF9SB7bNIt8ISWVFyM0i3wgjQ0lRLklRVDQ2MjA2Nzc5LklRX0NEU19NSUQuMjQvMDkvMjYBAAAA/O82AAIAAAAFMTguNzUAX1IHts0i3whJZUXIzSLfCCNDSVEuSVFUNDYyMTg2NzQuSVFfQ0RTX01JRC4yNC8wOS8yNgEAAABXyjYAAgAAAAgxMjguNTU1OQAQFgi2zSLfCNYFRsjNIt8II0NJUS5JUVQ0NjIyNTcxNS5JUV9DRFNfTUlELjI0LzA5LzI2AQAAALflBAACAAAABzQyLjg1MTYAX1IHts0i3wjWBUbIzSLfCCNDSVEuSVFUNDYyMDQ4ODQuSVFfQ0RTX01JRC4wMy8xMC8yNgEAAACBUcABAgAAAAc0Ni4yMjcyAF9SB7bNIt8ItcE9yM0i3wgjQ0lRLklRVDQ2MjA3Nzg5LklRX0NEU19NSUQuMDMvMTAvMjYBAAAAKlijAQIAAAAHMjguOTM4NgBfUge2zSLfCP5JP8jNIt8IJENJUS5JUVQyODYwOTYxMzEuSVFfQ0RTX01JRC4wMy8xMC8yNgEAAAA78QQAAgAAAAc3</t>
  </si>
  <si>
    <t>My4zMjU3ANTazrXNIt8I/kk/yM0i3wgjQ0lRLklRVDQ2MjEwNTYwLklRX0NEU19NSUQuMDIvMTAvMjYBAAAA9ho3AAIAAAAIMTAwLjk5ODIAX1IHts0i3wjI0UDIzSLfCCNDSVEuSVFUNDYyMTk5MjIuSVFfQ0RTX01JRC4wMi8xMC8yNgEAAADWRzkBAgAAAAU4Ljk3NQBfUge2zSLfCMjRQMjNIt8II0NJUS5JUVQ0NjIyMzY0Ni5JUV9DRFNfTUlELjAyLzEwLzI2AQAAABt4BAACAAAABzU2LjY1ODQAEBYIts0i3wgAv0HIzSLfCCRDSVEuSVFUMzEzMzE0OTc2LklRX0NEU19NSUQuMDIvMTAvMjYBAAAAbUoAAAIAAAAHNTMuODk1NwBfUge2zSLfCAC/QcjNIt8II0NJUS5JUVQ0NjIxODUxNi5JUV9DRFNfTUlELjAxLzEwLzI2AQAAAKZVowECAAAABzQzLjY4NDkAX1IHts0i3wj+ST/IzSLfCCNDSVEuSVFUNDYyMjA4MDMuSVFfQ0RTX01JRC4wMS8xMC8yNgEAAADWyTYAAgAAAAc0MC41MDUzABAWCLbNIt8I/kk/yM0i3wgjQ0lRLklRVDQ2MjAwMzY0LklRX0NEU19NSUQuMDEvMTAvMjYBAAAAV4YIAAIAAAAHMjkuNzgxOABfUge2zSLfCMjRQMjNIt8II0NJUS5JUVQ0NjIwNDMwMC5JUV9DRFNfTUlELjMwLzA5LzI2AQAAAPYlfQACAAAABTEwLjEzAF9SB7bNIt8IGFBCyM0i3wgjQ0lRLklRVDYwMzg4MDU3LklRX0NEU19NSUQuMzAvMDkvMjYBAAAA38l9AQMAAAAAAF9SB7bNIt8IGFBCyM0i3wgjQ0lRLklRVDQ2</t>
  </si>
  <si>
    <t>MTk5ODQxLklRX0NEU19NSUQuMzAvMDkvMjYBAAAA6zAGAAMAAAAAANTazrXNIt8IGFBCyM0i3wgkQ0lRLklRVDMxMzMxMDE4NC5JUV9DRFNfTUlELjI5LzA5LzI2AQAAAGBEPgACAAAABzExLjU1MTEAX1IHts0i3wgYUELIzSLfCCNDSVEuSVFUNDYyMTQ4NzkuSVFfQ0RTX01JRC4yOS8wOS8yNgEAAAD1GjcAAgAAAAc1NS4zNDY1AF9SB7bNIt8IGFBCyM0i3wgjQ0lRLklRVDQ2NDcwODc3LklRX0NEU19NSUQuMjkvMDkvMjYBAAAAQjcHAAIAAAAHNjMuODQ4NwAQFgi2zSLfCP7cQ8jNIt8IJENJUS5JUVQzMTMzMTA4NTQuSVFfQ0RTX01JRC4yOS8wOS8yNgEAAACvVA0AAgAAAAc2NC42NDk3AF9SB7bNIt8Ioi9EyM0i3wgjQ0lRLklRVDQ2MjE0OTU0LklRX0NEU19NSUQuMjgvMDkvMjYBAAAAOj05AQIAAAAEMTYuOQBfUge2zSLfCIMBSsjNIt8II0NJUS5JUVQ0NjIwODYzNC5JUV9DRFNfTUlELjI4LzA5LzI2AQAAAAMfwgACAAAABzIzLjM0MzYAEBYIts0i3wiDAUrIzSLfCCNDSVEuSVFUNDYyMjUwODMuSVFfQ0RTX01JRC4yOC8wOS8yNgEAAABWRAYAAgAAAAc0MC4yNTA5AF9SB7bNIt8I1ndLyM0i3wgjQ0lRLklRVDQ2MjAzNzE0LklRX0NEU19NSUQuMjMvMDkvMjYBAAAAXwU1AAIAAAAHNTQuMDY1NABfUge2zSLfCNf0RsjNIt8II0NJUS5JUVQ3OTYzOTk1My5JUV9DRFNfTUlELjIzLzA5LzI2AQAAADSb</t>
  </si>
  <si>
    <t>VgECAAAABzIxLjEyMTEAX1IHts0i3wjX9EbIzSLfCCRDSVEuSVFUNTI4OTM2ODEyLklRX0NEU19NSUQuMjMvMDkvMjYBAAAAbFsGAAIAAAAHNTAuNjQwOADU2s61zSLfCNf0RsjNIt8II0NJUS5JUVQ0NjE5NzEzOC5JUV9DRFNfTUlELjIyLzA5LzI2AQAAAO6UOAECAAAABzExOS41MjYAX1IHts0i3wjX9EbIzSLfCCNDSVEuSVFUNTEwMjM0ODAuSVFfQ0RTX01JRC4yMi8wOS8yNgEAAADCRfEBAgAAAAY1LjU3NzEAX1IHts0i3whpcUjIzSLfCCNDSVEuSVFUNDYyMDQ5NTcuSVFfQ0RTX01JRC4yMi8wOS8yNgEAAAAhFQYAAgAAAAc1Ni44MTI1ABAWCLbNIt8IaXFIyM0i3wgjQ0lRLklRVDYyMjcwMTA2LklRX0NEU19NSUQuMjIvMDkvMjYBAAAArXeDAAIAAAAHNzIuNTEyOABfUge2zSLfCJAWScjNIt8II0NJUS5JUVQ3OTY0MDAyNC5JUV9DRFNfTUlELjIxLzA5LzI2AQAAADWPmwECAAAABjguNjU3MgBfUge2zSLfCNZ3S8jNIt8IJENJUS5JUVQzMTMzMDU4NzkuSVFfQ0RTX01JRC4yMS8wOS8yNgEAAACE1twBAgAAAAYyLjI5MzkAEBYIts0i3wjWd0vIzSLfCCNDSVEuSVFUNDYyMDA0MTIuSVFfQ0RTX01JRC4yMS8wOS8yNgEAAABjQwYAAgAAAAc0OS44MDQ0AF9SB7bNIt8I1ndLyM0i3wgjQ0lRLklRVDQ2MjE1MTExLklRX0NEU19NSUQuMDUvMDcvMjYBAAAAoEuyAQIAAAAHMzcuMDMzMQBfUge2zSLfCOYH</t>
  </si>
  <si>
    <t>TcjNIt8II0NJUS5JUVQ0NjIyNjEzMi5JUV9DRFNfTUlELjA1LzA3LzI2AQAAAN1ZAAACAAAABjQxLjQ4NQDU2s61zSLfCOYHTcjNIt8IJENJUS5JUVQzMTMzMTM1MjQuSVFfQ0RTX01JRC4wNS8wNy8yNgEAAADvVQ0AAgAAAAc2MC4wMTc0AF9SB7bNIt8Ir9xNyM0i3wgkQ0lRLklRVDY0NDcwMTc5Ny5JUV9DRFNfTUlELjA1LzEwLzI2AQAAAFM/fQECAAAABzEwLjk1NzIAX1IHts0i3wi1wT3IzSLfCCNDSVEuSVFUNDYyMTY5ODYuSVFfQ0RTX01JRC4wNS8xMC8yNgEAAADORDgBAwAAAAAAEBYIts0i3wi1wT3IzSLfCCRDSVEuSVFUMjU0OTU1MjMzLklRX0NEU19NSUQuMDUvMTAvMjYBAAAAOVYKAAIAAAAHNTQuMDAwNwBfUge2zSLfCLXBPcjNIt8II0NJUS5JUVQ0NjE5NjIyNS5JUV9DRFNfTUlELjA0LzEwLzI2AQAAAL5VowECAAAABTI3Ljk2AF9SB7bNIt8IkBZJyM0i3wgjQ0lRLklRVDUxMDIzMjYwLklRX0NEU19NSUQuMDQvMTAvMjYBAAAAsRF/AQIAAAAHMTUuODQyMwBfUge2zSLfCLD1ScjNIt8II0NJUS5JUVQ0NjIyNDc0MC5JUV9DRFNfTUlELjA0LzEwLzI2AQAAANNyCAACAAAABzYyLjM1OTEA1NrOtc0i3wiDAUrIzSLfCCRDSVEuSVFUMzEzMzE3MzQ0LklRX0NEU19NSUQuMDQvMTAvMjYBAAAA8awBAAIAAAAHNjEuNDg0MgBfUge2zSLfCIMBSsjNIt8II0NJUS5JUVQ0NjIwMDI3Ni5JUV9DRFNf</t>
  </si>
  <si>
    <t>TUlELjI3LzA5LzI2AQAAAJZ3fAECAAAABzMyLjU5NzMAX1IHts0i3wiv3E3IzSLfCCNDSVEuSVFUNDYxOTU0OTEuSVFfQ0RTX01JRC4yNy8wOS8yNgEAAABpSgAAAgAAAAY2MC43MTEAEBYIts0i3wjPiU7IzSLfCCNDSVEuSVFUNzk2MzQ5MDEuSVFfQ0RTX01JRC4yNy8wOS8yNgEAAACcBhAAAgAAAAc1NC45Mzk5AF9SB7bNIt8Iz4lOyM0i3wgjQ0lRLklRVDQ2MjA3NTcxLklRX0NEU19NSUQuMjYvMDkvMjYBAAAAbe81AAIAAAAHNDQuNDE4NgBfUge2zSLfCE1JT8jNIt8II0NJUS5JUVQ0NjIxMzQ3Mi5JUV9DRFNfTUlELjI2LzA5LzI2AQAAALlaOAACAAAABTE0LjI1ABAWCLbNIt8ITUlPyM0i3wgkQ0lRLklRVDI2MzIxMzEzMi5JUV9DRFNfTUlELjI2LzA5LzI2AQAAAOGaCAACAAAABzYyLjA4NDUAX1IHts0i3whNSU/IzSLfCCNDSVEuSVFUNDYxOTQ5OTUuSVFfQ0RTX01JRC4yNS8wOS8yNgEAAABuEDEAAgAAAAcxMy4zOTE0AF9SB7bNIt8Ioi9EyM0i3wgjQ0lRLklRVDQ2MjIyMjkyLklRX0NEU19NSUQuMjUvMDkvMjYBAAAA0ZGbAQIAAAAINzU0LjgxNDgAX1IHts0i3wiiL0TIzSLfCCNDSVEuSVFUNDYyMjUwMDYuSVFfQ0RTX01JRC4yNS8wOS8yNgEAAAD4VQ0AAgAAAAc1Ni43MDU1ANTazrXNIt8Ioi9EyM0i3wgjQ0lRLklRVDQ2MjIwMzI5LklRX0NEU19NSUQuMjUvMDkvMjYBAAAA21sAAAIAAAAH</t>
  </si>
  <si>
    <t>NjAuNjIwNABfUge2zSLfCEllRcjNIt8II0NJUS5JUVQ0NjI2MjM3OC5JUV9DRFNfTUlELjI0LzA5LzI2AQAAAEDSiQECAAAABjIwLjI2MQBfUge2zSLfCEllRcjNIt8II0NJUS5JUVQ0NjE5NzY5NC5JUV9DRFNfTUlELjI0LzA5LzI2AQAAAAf6BQACAAAABzU5LjM4NDQAEBYIts0i3wjWBUbIzSLfCCNDSVEuSVFUNjIyNzAxMDcuSVFfQ0RTX01JRC4yNC8wOS8yNgEAAAAVWQAAAgAAAAc0Mi4yNjQ1AF9SB7bNIt8I1gVGyM0i3wgjQ0lRLklRVDQ2MjA3MzA4LklRX0NEU19NSUQuMDMvMTAvMjYBAAAAOYl6AQIAAAAGMTkuNjI1AF9SB7bNIt8ItcE9yM0i3wgjQ0lRLklRVDQ2MjEwMDMyLklRX0NEU19NSUQuMDMvMTAvMjYBAAAAj1WjAQIAAAAHMzUuNDU4NwBfUge2zSLfCP5JP8jNIt8II0NJUS5JUVQ0NjIyNTM3NC5JUV9DRFNfTUlELjAzLzEwLzI2AQAAALXWBQACAAAABzQ5LjY2MDcA1NrOtc0i3wj+ST/IzSLfCCNDSVEuSVFUNDk3NTExOTYuSVFfQ0RTX01JRC4wMi8xMC8yNgEAAADNmb0AAgAAAAc0Mi43MDQ2AF9SB7bNIt8IyNFAyM0i3wgjQ0lRLklRVDYwMzg5NTE2LklRX0NEU19NSUQuMDIvMTAvMjYBAAAApfDDAQIAAAAGNy4yOTI0AF9SB7bNIt8IyNFAyM0i3wgkQ0lRLklRVDMyMzY4MDEzMC5JUV9DRFNfTUlELjAyLzEwLzI2AQAAAHHhAgACAAAABzU4LjUyMTQA1NrOtc0i3wgAv0HIzSLfCCRD</t>
  </si>
  <si>
    <t>SVEuSVFUMzEzMzE1NDI5LklRX0NEU19NSUQuMDIvMTAvMjYBAAAAOecFAAIAAAAGNjMuODc5AF9SB7bNIt8IAL9ByM0i3wgjQ0lRLklRVDQ2MjA2Nzc5LklRX0NEU19NSUQuMDEvMTAvMjYBAAAA/O82AAIAAAAHMjQuNjYzNABfUge2zSLfCP5JP8jNIt8II0NJUS5JUVQ0NjIxODY3NC5JUV9DRFNfTUlELjAxLzEwLzI2AQAAAFfKNgACAAAACDE0MS45ODk0ABAWCLbNIt8I/kk/yM0i3wgjQ0lRLklRVDQ2MjI1NzE1LklRX0NEU19NSUQuMDEvMTAvMjYBAAAAt+UEAAIAAAAHNDMuMDg4MwBfUge2zSLfCMjRQMjNIt8II0NJUS5JUVQ0NjIwNDg4NC5JUV9DRFNfTUlELjMwLzA5LzI2AQAAAIFRwAECAAAABjQwLjA3NgBfUge2zSLfCBhQQsjNIt8II0NJUS5JUVQ0NjIwNzc4OS5JUV9DRFNfTUlELjMwLzA5LzI2AQAAACpYowECAAAABjI2LjIzMgBfUge2zSLfCBhQQsjNIt8IJENJUS5JUVQyODYwOTYxMzEuSVFfQ0RTX01JRC4zMC8wOS8yNgEAAAA78QQAAgAAAAc2OC4zMDY0ANTazrXNIt8IGFBCyM0i3wgjQ0lRLklRVDQ2MjEwNTYwLklRX0NEU19NSUQuMjkvMDkvMjYBAAAA9ho3AAIAAAAHOTIuMjMwNABfUge2zSLfCBhQQsjNIt8II0NJUS5JUVQ0NjIxOTkyMi5JUV9DRFNfTUlELjI5LzA5LzI2AQAAANZHOQECAAAABTguMDI2AF9SB7bNIt8IGFBCyM0i3wgjQ0lRLklRVDQ2MjIzNjQ2LklRX0NEU19NSUQu</t>
  </si>
  <si>
    <t>MjkvMDkvMjYBAAAAG3gEAAIAAAAHNTUuODQ3NwAQFgi2zSLfCP7cQ8jNIt8IJENJUS5JUVQzMTMzMTQ5NzYuSVFfQ0RTX01JRC4yOS8wOS8yNgEAAABtSgAAAgAAAAc1NS41NDMyAF9SB7bNIt8Ioi9EyM0i3wgjQ0lRLklRVDQ2MjE4NTE2LklRX0NEU19NSUQuMjgvMDkvMjYBAAAAplWjAQIAAAAHNDIuNzQyNwBfUge2zSLfCIMBSsjNIt8II0NJUS5JUVQ0NjIyMDgwMy5JUV9DRFNfTUlELjI4LzA5LzI2AQAAANbJNgACAAAABzQwLjE4NzUAEBYIts0i3wiDAUrIzSLfCCNDSVEuSVFUNDYyMDAzNjQuSVFfQ0RTX01JRC4yOC8wOS8yNgEAAABXhggAAgAAAAcyOC4xNjY3AF9SB7bNIt8I1ndLyM0i3wgjQ0lRLklRVDQ2MjA0MzAwLklRX0NEU19NSUQuMjMvMDkvMjYBAAAA9iV9AAIAAAAFOC4yNDkAX1IHts0i3wjX9EbIzSLfCCNDSVEuSVFUNjAzODgwNTcuSVFfQ0RTX01JRC4yMy8wOS8yNgEAAADfyX0BAwAAAAAAX1IHts0i3wjX9EbIzSLfCCNDSVEuSVFUNDYxOTk4NDEuSVFfQ0RTX01JRC4yMy8wOS8yNgEAAADrMAYAAwAAAAAA1NrOtc0i3wjX9EbIzSLfCCRDSVEuSVFUMzEzMzEwMTg0LklRX0NEU19NSUQuMjIvMDkvMjYBAAAAYEQ+AAIAAAAHMTEuNDI1OQBfUge2zSLfCNf0RsjNIt8II0NJUS5JUVQ0NjIxNDg3OS5JUV9DRFNfTUlELjIyLzA5LzI2AQAAAPUaNwACAAAABzU0LjU4MTIAX1IHts0i3whp</t>
  </si>
  <si>
    <t>cUjIzSLfCCNDSVEuSVFUNDY0NzA4NzcuSVFfQ0RTX01JRC4yMi8wOS8yNgEAAABCNwcAAgAAAAc1OC44MzMzABAWCLbNIt8IaXFIyM0i3wgkQ0lRLklRVDMxMzMxMDg1NC5JUV9DRFNfTUlELjIyLzA5LzI2AQAAAK9UDQACAAAABzYzLjYzNjEAX1IHts0i3wiQFknIzSLfCCNDSVEuSVFUNDYyMTQ5NTQuSVFfQ0RTX01JRC4yMS8wOS8yNgEAAAA6PTkBAgAAAAcxNS44Mzc1AF9SB7bNIt8I1ndLyM0i3wgjQ0lRLklRVDQ2MjA4NjM0LklRX0NEU19NSUQuMjEvMDkvMjYBAAAAAx/CAAIAAAAHMjMuMDIyMQAQFgi2zSLfCNZ3S8jNIt8II0NJUS5JUVQ0NjIyNTA4My5JUV9DRFNfTUlELjIxLzA5LzI2AQAAAFZEBgACAAAABzM3LjM1NTQAX1IHts0i3wjWd0vIzSLfCCNDSVEuSVFUNDYyMDM3MTQuSVFfQ0RTX01JRC4wNS8wNy8yNgEAAABfBTUAAgAAAAcyOS4wNjI5AF9SB7bNIt8I5gdNyM0i3wgjQ0lRLklRVDc5NjM5OTUzLklRX0NEU19NSUQuMDUvMDcvMjYBAAAANJtWAQIAAAAHMjQuODgzNQBfUge2zSLfCOYHTcjNIt8IJENJUS5JUVQ1Mjg5MzY4MTIuSVFfQ0RTX01JRC4wNS8wNy8yNgEAAABsWwYAAgAAAAc0Ni42MzYzANTazrXNIt8I5gdNyM0i3wgjQ0lRLklRVDc5NjQwMDI0LklRX0NEU19NSUQuMDUvMTAvMjYBAAAANY+bAQIAAAAHMTMuMTIwNwBfUge2zSLfCLXBPcjNIt8IJENJUS5JUVQzMTMzMDU4</t>
  </si>
  <si>
    <t>NzkuSVFfQ0RTX01JRC4wNS8xMC8yNgEAAACE1twBAgAAAAYyLjI5MzkAEBYIts0i3wi1wT3IzSLfCCNDSVEuSVFUNDYyMDA0MTIuSVFfQ0RTX01JRC4wNS8xMC8yNgEAAABjQwYAAgAAAAU1Ni44OQBfUge2zSLfCLXBPcjNIt8II0NJUS5JUVQ0NjIwMzMzMi5JUV9DRFNfTUlELjA0LzEwLzI2AQAAAF8eNwACAAAABzEzLjE4OTgAX1IHts0i3wiQFknIzSLfCCNDSVEuSVFUNDYyMTUxMTEuSVFfQ0RTX01JRC4wNC8xMC8yNgEAAACgS7IBAgAAAAczNi44NzI2AF9SB7bNIt8IgwFKyM0i3wgjQ0lRLklRVDQ2MjI2MTMyLklRX0NEU19NSUQuMDQvMTAvMjYBAAAA3VkAAAIAAAAHNjkuNjgwOQDU2s61zSLfCIMBSsjNIt8IJENJUS5JUVQzMTMzMTM1MjQuSVFfQ0RTX01JRC4wNC8xMC8yNgEAAADvVQ0AAgAAAAc1NC44MDg1AF9SB7bNIt8IgwFKyM0i3wgjQ0lRLklRVDc5NjM5OTEzLklRX0NEU19NSUQuMjcvMDkvMjYBAAAAIGMcAgIAAAAFOC43NjUAX1IHts0i3wiv3E3IzSLfCCNDSVEuSVFUNDYyMDc4NzIuSVFfQ0RTX01JRC4yNy8wOS8yNgEAAABYDQoAAgAAAAc0Mi4wODQ2ABAWCLbNIt8Iz4lOyM0i3wgjQ0lRLklRVDQ2MjAwMzE3LklRX0NEU19NSUQuMjcvMDkvMjYBAAAA/lQNAAIAAAAHNjYuOTczOABfUge2zSLfCM+JTsjNIt8IJENJUS5JUVQ2NDQ3MDE3OTcuSVFfQ0RTX01JRC4yNi8wOS8yNgEAAABT</t>
  </si>
  <si>
    <t>P30BAgAAAAcxMS4wMzM0AF9SB7bNIt8ITUlPyM0i3wgjQ0lRLklRVDQ2MjE2OTg2LklRX0NEU19NSUQuMjYvMDkvMjYBAAAAzkQ4AQMAAAAAABAWCLbNIt8ITUlPyM0i3wgkQ0lRLklRVDI1NDk1NTIzMy5JUV9DRFNfTUlELjI2LzA5LzI2AQAAADlWCgACAAAABzQ3LjAzMzUAX1IHts0i3whNSU/IzSLfCCNDSVEuSVFUNDYxOTYyMjUuSVFfQ0RTX01JRC4yNS8wOS8yNgEAAAC+VaMBAgAAAAIyMgBfUge2zSLfCKIvRMjNIt8II0NJUS5JUVQ1MTAyMzI2MC5JUV9DRFNfTUlELjI1LzA5LzI2AQAAALERfwECAAAABzE1LjAzMzcAX1IHts0i3wiiL0TIzSLfCCNDSVEuSVFUNDYyMjQ3NDAuSVFfQ0RTX01JRC4yNS8wOS8yNgEAAADTcggAAgAAAAc1MS42MDY3ANTazrXNIt8Ioi9EyM0i3wgkQ0lRLklRVDMxMzMxNzM0NC5JUV9DRFNfTUlELjI1LzA5LzI2AQAAAPGsAQACAAAABzYyLjg4MzYAX1IHts0i3whJZUXIzSLfCCNDSVEuSVFUNDYyMDAyNzYuSVFfQ0RTX01JRC4yNC8wOS8yNgEAAACWd3wBAgAAAAczMi40NDk0AF9SB7bNIt8ISWVFyM0i3wgjQ0lRLklRVDQ2MTk1NDkxLklRX0NEU19NSUQuMjQvMDkvMjYBAAAAaUoAAAIAAAAHNjAuMTI0NQAQFgi2zSLfCNYFRsjNIt8II0NJUS5JUVQ3OTYzNDkwMS5JUV9DRFNfTUlELjI0LzA5LzI2AQAAAJwGEAACAAAABzU0LjU1NzEAX1IHts0i3wgGpkbIzSLfCCND</t>
  </si>
  <si>
    <t>SVEuSVFUNDYyMDc1NzEuSVFfQ0RTX01JRC4wMy8xMC8yNgEAAABt7zUAAgAAAAc3Mi40NTgxAF9SB7bNIt8ItcE9yM0i3wgjQ0lRLklRVDQ2MjEzNDcyLklRX0NEU19NSUQuMDMvMTAvMjYBAAAAuVo4AAIAAAAGMTYuMDY0ABAWCLbNIt8I/kk/yM0i3wgkQ0lRLklRVDI2MzIxMzEzMi5JUV9DRFNfTUlELjAzLzEwLzI2AQAAAOGaCAACAAAABzY4LjExMDEAX1IHts0i3wj+ST/IzSLfCCNDSVEuSVFUNDYxOTQ5OTUuSVFfQ0RTX01JRC4wMi8xMC8yNgEAAABuEDEAAgAAAAcxNi44NTM1AF9SB7bNIt8IyNFAyM0i3wgjQ0lRLklRVDQ2MjIyMjkyLklRX0NEU19NSUQuMDIvMTAvMjYBAAAA0ZGbAQIAAAAINzU0LjI5MTcAX1IHts0i3wjI0UDIzSLfCCNDSVEuSVFUNDYyMjUwMDYuSVFfQ0RTX01JRC4wMi8xMC8yNgEAAAD4VQ0AAgAAAAc2Ny4yMDk4ANTazrXNIt8IAL9ByM0i3wgjQ0lRLklRVDQ2MjIwMzI5LklRX0NEU19NSUQuMDIvMTAvMjYBAAAA21sAAAIAAAAENjAuNQBfUge2zSLfCAC/QcjNIt8IJENJUS5JUVQzMjM2ODAxMzAuSVFfQ0RTX01JRC4yOS8wOS8yNgEAAABx4QIAAgAAAAc1Ny40NzA2ANTazrXNIt8I/txDyM0i3wgjQ0lRLklRVDQ2MjE0OTU0LklRX0NEU19NSUQuMDUvMTAvMjYBAAAAOj05AQIAAAAHMjIuNjMyNgBfUge2zSLfCLXBPcjNIt8II0NJUS5JUVQ0NjIwODYzNC5JUV9DRFNfTUlE</t>
  </si>
  <si>
    <t>LjA1LzEwLzI2AQAAAAMfwgACAAAABzI0LjI1MTYAEBYIts0i3wi1wT3IzSLfCCNDSVEuSVFUNDYyMjUwODMuSVFfQ0RTX01JRC4wNS8xMC8yNgEAAABWRAYAAgAAAAc0My44ODczAF9SB7bNIt8ItcE9yM0i3wgjQ0lRLklRVDQ2MjAzNzE0LklRX0NEU19NSUQuMDQvMTAvMjYBAAAAXwU1AAIAAAAHODQuMTg2MQBfUge2zSLfCJAWScjNIt8II0NJUS5JUVQ3OTYzOTk1My5JUV9DRFNfTUlELjA0LzEwLzI2AQAAADSbVgECAAAABzIxLjkzOTEAX1IHts0i3wiDAUrIzSLfCCRDSVEuSVFUNTI4OTM2ODEyLklRX0NEU19NSUQuMDQvMTAvMjYBAAAAbFsGAAIAAAAHNTcuNTIzOQDU2s61zSLfCIMBSsjNIt8II0NJUS5JUVQ0NjE5NzEzOC5JUV9DRFNfTUlELjI3LzA5LzI2AQAAAO6UOAECAAAACDEyNi43ODY5AF9SB7bNIt8Ir9xNyM0i3wgjQ0lRLklRVDUxMDIzNDgwLklRX0NEU19NSUQuMjcvMDkvMjYBAAAAwkXxAQIAAAAGNS43MjExAF9SB7bNIt8Ir9xNyM0i3wgjQ0lRLklRVDQ2MjA0OTU3LklRX0NEU19NSUQuMjcvMDkvMjYBAAAAIRUGAAIAAAAHNjAuNDA0OAAQFgi2zSLfCM+JTsjNIt8II0NJUS5JUVQ2MjI3MDEwNi5JUV9DRFNfTUlELjI3LzA5LzI2AQAAAK13gwACAAAABzczLjYxMjMAX1IHts0i3wjPiU7IzSLfCCNDSVEuSVFUNzk2NDAwMjQuSVFfQ0RTX01JRC4yNi8wOS8yNgEAAAA1j5sBAgAAAAY5</t>
  </si>
  <si>
    <t>LjcwMzMAX1IHts0i3whNSU/IzSLfCCRDSVEuSVFUMzEzMzA1ODc5LklRX0NEU19NSUQuMjYvMDkvMjYBAAAAhNbcAQIAAAAGMi4yOTM5ABAWCLbNIt8ITUlPyM0i3wgjQ0lRLklRVDQ2MjAwNDEyLklRX0NEU19NSUQuMjYvMDkvMjYBAAAAY0MGAAIAAAAHNTEuNzQ0OABfUge2zSLfCE1JT8jNIt8II0NJUS5JUVQ0NjIwMzMzMi5JUV9DRFNfTUlELjI1LzA5LzI2AQAAAF8eNwACAAAABTExLjg2AF9SB7bNIt8Ioi9EyM0i3wgjQ0lRLklRVDQ2MjE1MTExLklRX0NEU19NSUQuMjUvMDkvMjYBAAAAoEuyAQIAAAAHMzMuODgxNgBfUge2zSLfCKIvRMjNIt8II0NJUS5JUVQ0NjIyNjEzMi5JUV9DRFNfTUlELjI1LzA5LzI2AQAAAN1ZAAACAAAABjU4LjYzOQDU2s61zSLfCKIvRMjNIt8IJENJUS5JUVQzMTMzMTM1MjQuSVFfQ0RTX01JRC4yNS8wOS8yNgEAAADvVQ0AAgAAAAc1NC44Mzc4AF9SB7bNIt8ISWVFyM0i3wgjQ0lRLklRVDc5NjM5OTEzLklRX0NEU19NSUQuMjQvMDkvMjYBAAAAIGMcAgIAAAAGOC44Mjg1AF9SB7bNIt8ISWVFyM0i3wgjQ0lRLklRVDQ2MjA3ODcyLklRX0NEU19NSUQuMjQvMDkvMjYBAAAAWA0KAAIAAAAHNDEuNjEzNgAQFgi2zSLfCNYFRsjNIt8II0NJUS5JUVQ0NjIwMDMxNy5JUV9DRFNfTUlELjI0LzA5LzI2AQAAAP5UDQACAAAABzY0Ljc1ODEAX1IHts0i3wgGpkbIzSLfCCRDSVEu</t>
  </si>
  <si>
    <t>SVFUNjQ0NzAxNzk3LklRX0NEU19NSUQuMDMvMTAvMjYBAAAAUz99AQIAAAAHMTAuOTU3MgBfUge2zSLfCLXBPcjNIt8II0NJUS5JUVQ0NjIxNjk4Ni5JUV9DRFNfTUlELjAzLzEwLzI2AQAAAM5EOAEDAAAAAAAQFgi2zSLfCP5JP8jNIt8IJENJUS5JUVQyNTQ5NTUyMzMuSVFfQ0RTX01JRC4wMy8xMC8yNgEAAAA5VgoAAgAAAAc1NC4wMDA3AF9SB7bNIt8I/kk/yM0i3wgjQ0lRLklRVDQ2MTk2MjI1LklRX0NEU19NSUQuMDIvMTAvMjYBAAAAvlWjAQIAAAAFMjcuOTYAX1IHts0i3wjI0UDIzSLfCCNDSVEuSVFUNTEwMjMyNjAuSVFfQ0RTX01JRC4wMi8xMC8yNgEAAACxEX8BAgAAAAcxNS44NDIzAF9SB7bNIt8IyNFAyM0i3wgjQ0lRLklRVDQ2MjI0NzQwLklRX0NEU19NSUQuMDIvMTAvMjYBAAAA03IIAAIAAAAHNjIuMzU5MQDU2s61zSLfCAC/QcjNIt8IJENJUS5JUVQzMTMzMTczNDQuSVFfQ0RTX01JRC4wMi8xMC8yNgEAAADxrAEAAgAAAAc2MS40ODQyAF9SB7bNIt8IGFBCyM0i3wgjQ0lRLklRVDQ2MjAwMjc2LklRX0NEU19NSUQuMDEvMTAvMjYBAAAAlnd8AQIAAAAHMzIuOTk3MQBfUge2zSLfCP5JP8jNIt8II0NJUS5JUVQ0NjE5NTQ5MS5JUV9DRFNfTUlELjAxLzEwLzI2AQAAAGlKAAACAAAABzYzLjU4NzYAEBYIts0i3wj+ST/IzSLfCCNDSVEuSVFUNzk2MzQ5MDEuSVFfQ0RTX01JRC4wMS8xMC8y</t>
  </si>
  <si>
    <t>NgEAAACcBhAAAgAAAAc1Ni4xODI5AF9SB7bNIt8IyNFAyM0i3wgjQ0lRLklRVDQ2MjA3NTcxLklRX0NEU19NSUQuMzAvMDkvMjYBAAAAbe81AAIAAAAGNTEuMTE3AF9SB7bNIt8IGFBCyM0i3wgjQ0lRLklRVDQ2MjEzNDcyLklRX0NEU19NSUQuMzAvMDkvMjYBAAAAuVo4AAIAAAAGMTYuMDY1ABAWCLbNIt8IGFBCyM0i3wgkQ0lRLklRVDI2MzIxMzEzMi5JUV9DRFNfTUlELjMwLzA5LzI2AQAAAOGaCAACAAAABzY1LjQ2NzgAX1IHts0i3wgYUELIzSLfCCNDSVEuSVFUNDYxOTQ5OTUuSVFfQ0RTX01JRC4yOS8wOS8yNgEAAABuEDEAAgAAAAYxNC4wNzcAX1IHts0i3wgYUELIzSLfCCNDSVEuSVFUNDYyMjIyOTIuSVFfQ0RTX01JRC4yOS8wOS8yNgEAAADRkZsBAgAAAAg1ODYuOTc2MwBfUge2zSLfCBhQQsjNIt8II0NJUS5JUVQ0NjIyNTAwNi5JUV9DRFNfTUlELjI5LzA5LzI2AQAAAPhVDQACAAAABzU4LjgxNzIA1NrOtc0i3wiiL0TIzSLfCCNDSVEuSVFUNDYyMjAzMjkuSVFfQ0RTX01JRC4yOS8wOS8yNgEAAADbWwAAAgAAAAQ2MC41AF9SB7bNIt8Ioi9EyM0i3wgjQ0lRLklRVDQ2MjYyMzc4LklRX0NEU19NSUQuMjgvMDkvMjYBAAAAQNKJAQIAAAAHMjAuNzY3NgBfUge2zSLfCIMBSsjNIt8II0NJUS5JUVQ0NjE5NzY5NC5JUV9DRFNfTUlELjI4LzA5LzI2AQAAAAf6BQACAAAABzYxLjI5ODMAEBYIts0i</t>
  </si>
  <si>
    <t>3wiDAUrIzSLfCCNDSVEuSVFUNjIyNzAxMDcuSVFfQ0RTX01JRC4yOC8wOS8yNgEAAAAVWQAAAgAAAAc0My40MDU0AF9SB7bNIt8I1ndLyM0i3wgjQ0lRLklRVDQ2MjA3MzA4LklRX0NEU19NSUQuMjMvMDkvMjYBAAAAOYl6AQIAAAAFMTUuMTUAX1IHts0i3wjX9EbIzSLfCCNDSVEuSVFUNDYyMTAwMzIuSVFfQ0RTX01JRC4yMy8wOS8yNgEAAACPVaMBAgAAAAczNC40NTgyABAWCLbNIt8I1/RGyM0i3wgjQ0lRLklRVDQ2MjI1Mzc0LklRX0NEU19NSUQuMjMvMDkvMjYBAAAAtdYFAAIAAAAHNDIuMjI2OADU2s61zSLfCNf0RsjNIt8II0NJUS5JUVQ0OTc1MTE5Ni5JUV9DRFNfTUlELjIyLzA5LzI2AQAAAM2ZvQACAAAABDM2LjUAX1IHts0i3wjX9EbIzSLfCCNDSVEuSVFUNjAzODk1MTYuSVFfQ0RTX01JRC4yMi8wOS8yNgEAAACl8MMBAgAAAAY3LjM2NDIAX1IHts0i3whpcUjIzSLfCCRDSVEuSVFUMzIzNjgwMTMwLklRX0NEU19NSUQuMjIvMDkvMjYBAAAAceECAAIAAAAHNTEuNTMxNQDU2s61zSLfCGlxSMjNIt8IJENJUS5JUVQzMTMzMTU0MjkuSVFfQ0RTX01JRC4yMi8wOS8yNgEAAAA55wUAAgAAAAY2My4xMjUAX1IHts0i3wiQFknIzSLfCCNDSVEuSVFUNDYyMDY3NzkuSVFfQ0RTX01JRC4yMS8wOS8yNgEAAAD87zYAAgAAAAcxNy44MTcxAF9SB7bNIt8I1ndLyM0i3wgjQ0lRLklRVDQ2MjE4Njc0LklR</t>
  </si>
  <si>
    <t>X0NEU19NSUQuMjEvMDkvMjYBAAAAV8o2AAIAAAAIMTI0LjczMjIAEBYIts0i3wjWd0vIzSLfCCNDSVEuSVFUNDYyMjU3MTUuSVFfQ0RTX01JRC4yMS8wOS8yNgEAAAC35QQAAgAAAAc0MC42NjM1AF9SB7bNIt8I1ndLyM0i3wgjQ0lRLklRVDQ2MjA0ODg0LklRX0NEU19NSUQuMDUvMDcvMjYBAAAAgVHAAQIAAAAGMjguOTk2AF9SB7bNIt8I5gdNyM0i3wgjQ0lRLklRVDQ2MjA3Nzg5LklRX0NEU19NSUQuMDUvMDcvMjYBAAAAKlijAQIAAAAHMjYuNjM4MwBfUge2zSLfCOYHTcjNIt8IJENJUS5JUVQyODYwOTYxMzEuSVFfQ0RTX01JRC4wNS8wNy8yNgEAAAA78QQAAgAAAAc2MS41NDI5ANTazrXNIt8I5gdNyM0i3wgjQ0lRLklRVDQ2MjEwNTYwLklRX0NEU19NSUQuMDUvMTAvMjUBAAAA9ho3AAIAAAAHODguMjM3MQBfUge2zSLfCO9FUMjNIt8II0NJUS5JUVQ0NjIxOTkyMi5JUV9DRFNfTUlELjA1LzEwLzI1AQAAANZHOQECAAAABjkuNTM5NQBfUge2zSLfCO9FUMjNIt8II0NJUS5JUVQ0NjIyMzY0Ni5JUV9DRFNfTUlELjA1LzEwLzI1AQAAABt4BAACAAAABzQ5LjQxNjcA1NrOtc0i3wjvRVDIzSLfCCRDSVEuSVFUMzEzMzE0OTc2LklRX0NEU19NSUQuMDUvMTAvMjUBAAAAbUoAAAIAAAAHNDguMDYzNgBfUge2zSLfCO9FUMjNIt8II0NJUS5JUVQ0NjIwNzU3MS5JUV9DRFNfTUlELjI1LzA5LzI2AQAAAG3v</t>
  </si>
  <si>
    <t>NQACAAAABzQ0LjQxODYAX1IHts0i3wiiL0TIzSLfCCNDSVEuSVFUNDYyMjAzMjkuSVFfQ0RTX01JRC4yNC8wOS8yNgEAAADbWwAAAgAAAAc2MC42MzI5AF9SB7bNIt8IBqZGyM0i3wgjQ0lRLklRVDYwMzg5NTE2LklRX0NEU19NSUQuMDEvMTAvMjYBAAAApfDDAQIAAAAGNy4zOTA2AF9SB7bNIt8I/kk/yM0i3wgkQ0lRLklRVDMxMzMxMDg1NC5JUV9DRFNfTUlELjIxLzA5LzI2AQAAAK9UDQACAAAABzYzLjYzNjEAX1IHts0i3wjWd0vIzSLfCCNDSVEuSVFUNzk2Mzk5NTMuSVFfQ0RTX01JRC4wNS8xMC8yNQEAAAA0m1YBAgAAAAcyOS44MTMzAF9SB7bNIt8I70VQyM0i3wgjQ0lRLklRVDQ2MTk2MjI1LklRX0NEU19NSUQuMjQvMDkvMjYBAAAAvlWjAQIAAAAHMjAuNjAzMwBfUge2zSLfCEllRcjNIt8II0NJUS5JUVQ0NjIxODUxNi5JUV9DRFNfTUlELjA1LzEwLzI2AQAAAKZVowECAAAABzQ0LjEzOTMAX1IHts0i3wi1wT3IzSLfCCNDSVEuSVFUNDYyMjA4MDMuSVFfQ0RTX01JRC4wNS8xMC8yNgEAAADWyTYAAgAAAAY0MS40OTIAEBYIts0i3wi1wT3IzSLfCCNDSVEuSVFUNDYyMDAzNjQuSVFfQ0RTX01JRC4wNS8xMC8yNgEAAABXhggAAgAAAAczMC4zODQyAF9SB7bNIt8ItcE9yM0i3wgjQ0lRLklRVDQ2MjA0MzAwLklRX0NEU19NSUQuMDQvMTAvMjYBAAAA9iV9AAIAAAAEMTIuNQBfUge2zSLfCJAWScjN</t>
  </si>
  <si>
    <t>It8II0NJUS5JUVQ2MDM4ODA1Ny5JUV9DRFNfTUlELjA0LzEwLzI2AQAAAN/JfQEDAAAAAABfUge2zSLfCIMBSsjNIt8II0NJUS5JUVQ0NjE5OTg0MS5JUV9DRFNfTUlELjA0LzEwLzI2AQAAAOswBgADAAAAAADU2s61zSLfCIMBSsjNIt8IJENJUS5JUVQzMTMzMTAxODQuSVFfQ0RTX01JRC4yNy8wOS8yNgEAAABgRD4AAgAAAAYxMS40MjQAX1IHts0i3wiv3E3IzSLfCCNDSVEuSVFUNDYyMTQ4NzkuSVFfQ0RTX01JRC4yNy8wOS8yNgEAAAD1GjcAAgAAAAc1NS4zNTgzAF9SB7bNIt8Ir9xNyM0i3wgjQ0lRLklRVDQ2NDcwODc3LklRX0NEU19NSUQuMjcvMDkvMjYBAAAAQjcHAAIAAAAHNjIuNTg2NwAQFgi2zSLfCM+JTsjNIt8IJENJUS5JUVQzMTMzMTA4NTQuSVFfQ0RTX01JRC4yNy8wOS8yNgEAAACvVA0AAgAAAAc2My4zMDI4AF9SB7bNIt8Iz4lOyM0i3wgjQ0lRLklRVDQ2MjE0OTU0LklRX0NEU19NSUQuMjYvMDkvMjYBAAAAOj05AQIAAAAFMTYuMjUAX1IHts0i3whNSU/IzSLfCCNDSVEuSVFUNDYyMDg2MzQuSVFfQ0RTX01JRC4yNi8wOS8yNgEAAAADH8IAAgAAAAcyMy4zNzg3ABAWCLbNIt8ITUlPyM0i3wgjQ0lRLklRVDQ2MjI1MDgzLklRX0NEU19NSUQuMjYvMDkvMjYBAAAAVkQGAAIAAAAHMzguODcwNwBfUge2zSLfCE1JT8jNIt8II0NJUS5JUVQ0NjIwMzcxNC5JUV9DRFNfTUlELjI1LzA5LzI2</t>
  </si>
  <si>
    <t>AQAAAF8FNQACAAAABjU4LjQ2MgBfUge2zSLfCKIvRMjNIt8II0NJUS5JUVQ3OTYzOTk1My5JUV9DRFNfTUlELjI1LzA5LzI2AQAAADSbVgECAAAABzIxLjE3ODgAX1IHts0i3wiiL0TIzSLfCCRDSVEuSVFUNTI4OTM2ODEyLklRX0NEU19NSUQuMjUvMDkvMjYBAAAAbFsGAAIAAAAHNTEuODg2NwDU2s61zSLfCKIvRMjNIt8II0NJUS5JUVQ0NjE5NzEzOC5JUV9DRFNfTUlELjI0LzA5LzI2AQAAAO6UOAECAAAACDEyMy40NTM1AF9SB7bNIt8ISWVFyM0i3wgjQ0lRLklRVDUxMDIzNDgwLklRX0NEU19NSUQuMjQvMDkvMjYBAAAAwkXxAQIAAAAGNS41NjgxAF9SB7bNIt8ISWVFyM0i3wgjQ0lRLklRVDQ2MjA0OTU3LklRX0NEU19NSUQuMjQvMDkvMjYBAAAAIRUGAAIAAAAHNTkuNTM0OAAQFgi2zSLfCNYFRsjNIt8II0NJUS5JUVQ2MjI3MDEwNi5JUV9DRFNfTUlELjI0LzA5LzI2AQAAAK13gwACAAAABzczLjU5NDcAX1IHts0i3wgGpkbIzSLfCCNDSVEuSVFUNzk2NDAwMjQuSVFfQ0RTX01JRC4wMy8xMC8yNgEAAAA1j5sBAgAAAAcxMy4xMjA3AF9SB7bNIt8ItcE9yM0i3wgkQ0lRLklRVDMxMzMwNTg3OS5JUV9DRFNfTUlELjAzLzEwLzI2AQAAAITW3AECAAAABjIuMjkzOQAQFgi2zSLfCP5JP8jNIt8II0NJUS5JUVQ0NjIwMDQxMi5JUV9DRFNfTUlELjAzLzEwLzI2AQAAAGNDBgACAAAABTU2Ljg5AF9SB7bN</t>
  </si>
  <si>
    <t>It8I/kk/yM0i3wgjQ0lRLklRVDQ2MjAzMzMyLklRX0NEU19NSUQuMDIvMTAvMjYBAAAAXx43AAIAAAAHMTMuMTg5OABfUge2zSLfCMjRQMjNIt8II0NJUS5JUVQ0NjIxNTExMS5JUV9DRFNfTUlELjAyLzEwLzI2AQAAAKBLsgECAAAABzM2Ljg3MjYAX1IHts0i3wjI0UDIzSLfCCNDSVEuSVFUNDYyMjYxMzIuSVFfQ0RTX01JRC4wMi8xMC8yNgEAAADdWQAAAgAAAAc2OS42ODA5ANTazrXNIt8IAL9ByM0i3wgkQ0lRLklRVDMxMzMxMzUyNC5JUV9DRFNfTUlELjAyLzEwLzI2AQAAAO9VDQACAAAABzU0LjgwODUAX1IHts0i3wgYUELIzSLfCCNDSVEuSVFUNzk2Mzk5MTMuSVFfQ0RTX01JRC4wMS8xMC8yNgEAAAAgYxwCAgAAAAY5LjExMzIAX1IHts0i3wj+ST/IzSLfCCNDSVEuSVFUNDYyMDc4NzIuSVFfQ0RTX01JRC4wMS8xMC8yNgEAAABYDQoAAgAAAAY0My44MjIAEBYIts0i3wj+ST/IzSLfCCNDSVEuSVFUNDYyMDAzMTcuSVFfQ0RTX01JRC4wMS8xMC8yNgEAAAD+VA0AAgAAAAc2OS45ODMxAF9SB7bNIt8IyNFAyM0i3wgkQ0lRLklRVDY0NDcwMTc5Ny5JUV9DRFNfTUlELjMwLzA5LzI2AQAAAFM/fQECAAAABzEwLjQyMTgAX1IHts0i3wgYUELIzSLfCCNDSVEuSVFUNDYyMTY5ODYuSVFfQ0RTX01JRC4zMC8wOS8yNgEAAADORDgBAwAAAAAAEBYIts0i3wgYUELIzSLfCCRDSVEuSVFUMjU0OTU1MjMzLklR</t>
  </si>
  <si>
    <t>X0NEU19NSUQuMzAvMDkvMjYBAAAAOVYKAAIAAAAHNTAuMzExNgBfUge2zSLfCBhQQsjNIt8II0NJUS5JUVQ0NjE5NjIyNS5JUV9DRFNfTUlELjI5LzA5LzI2AQAAAL5VowECAAAABTIzLjM5AF9SB7bNIt8IGFBCyM0i3wgjQ0lRLklRVDUxMDIzMjYwLklRX0NEU19NSUQuMjkvMDkvMjYBAAAAsRF/AQIAAAAHMTUuNjI5NgBfUge2zSLfCBhQQsjNIt8II0NJUS5JUVQ0NjIyNDc0MC5JUV9DRFNfTUlELjI5LzA5LzI2AQAAANNyCAACAAAABzUzLjI0MjQA1NrOtc0i3wiiL0TIzSLfCCRDSVEuSVFUMzEzMzE3MzQ0LklRX0NEU19NSUQuMjkvMDkvMjYBAAAA8awBAAIAAAAHNjIuNzM2NQBfUge2zSLfCKIvRMjNIt8II0NJUS5JUVQ0NjIwMDI3Ni5JUV9DRFNfTUlELjI4LzA5LzI2AQAAAJZ3fAECAAAABzMyLjgzMzMAX1IHts0i3wiDAUrIzSLfCCNDSVEuSVFUNDYxOTU0OTEuSVFfQ0RTX01JRC4yOC8wOS8yNgEAAABpSgAAAgAAAAc2MS41ODk0ABAWCLbNIt8IgwFKyM0i3wgjQ0lRLklRVDc5NjM0OTAxLklRX0NEU19NSUQuMjgvMDkvMjYBAAAAnAYQAAIAAAAHNTUuNDQ1OQBfUge2zSLfCNZ3S8jNIt8II0NJUS5JUVQ0NjIwNzU3MS5JUV9DRFNfTUlELjIzLzA5LzI2AQAAAG3vNQACAAAABzQxLjE1MzEAX1IHts0i3wjX9EbIzSLfCCNDSVEuSVFUNDYyMTM0NzIuSVFfQ0RTX01JRC4yMy8wOS8yNgEAAAC5WjgA</t>
  </si>
  <si>
    <t>AgAAAAcxNS44MDI1ABAWCLbNIt8I1/RGyM0i3wgkQ0lRLklRVDI2MzIxMzEzMi5JUV9DRFNfTUlELjIzLzA5LzI2AQAAAOGaCAACAAAABzU5LjY5ODUAX1IHts0i3wjX9EbIzSLfCCNDSVEuSVFUNDYxOTQ5OTUuSVFfQ0RTX01JRC4yMi8wOS8yNgEAAABuEDEAAgAAAAQxMi41AF9SB7bNIt8I1/RGyM0i3wgjQ0lRLklRVDQ2MjIyMjkyLklRX0NEU19NSUQuMjIvMDkvMjYBAAAA0ZGbAQIAAAAINzUyLjc1NDgAX1IHts0i3whpcUjIzSLfCCNDSVEuSVFUNDYyMjUwMDYuSVFfQ0RTX01JRC4yMi8wOS8yNgEAAAD4VQ0AAgAAAAc1Mi41NTUxANTazrXNIt8IaXFIyM0i3wgjQ0lRLklRVDQ2MjIwMzI5LklRX0NEU19NSUQuMjIvMDkvMjYBAAAA21sAAAIAAAAHNjAuNjY2NwBfUge2zSLfCJAWScjNIt8II0NJUS5JUVQ0NjI2MjM3OC5JUV9DRFNfTUlELjIxLzA5LzI2AQAAAEDSiQECAAAABzIwLjM4MzQAX1IHts0i3wjWd0vIzSLfCCNDSVEuSVFUNDYxOTc2OTQuSVFfQ0RTX01JRC4yMS8wOS8yNgEAAAAH+gUAAgAAAAc1Ni4zNjM1ABAWCLbNIt8I1ndLyM0i3wgjQ0lRLklRVDYyMjcwMTA3LklRX0NEU19NSUQuMjEvMDkvMjYBAAAAFVkAAAIAAAAHNDAuOTYwNQBfUge2zSLfCNZ3S8jNIt8II0NJUS5JUVQ0NjIwNzMwOC5JUV9DRFNfTUlELjA1LzA3LzI2AQAAADmJegECAAAABjE0LjEyNQBfUge2zSLfCOYHTcjN</t>
  </si>
  <si>
    <t>It8II0NJUS5JUVQ0NjIxMDAzMi5JUV9DRFNfTUlELjA1LzA3LzI2AQAAAI9VowECAAAABzM3LjQxMjUAEBYIts0i3wjmB03IzSLfCCNDSVEuSVFUNDYyMjUzNzQuSVFfQ0RTX01JRC4wNS8wNy8yNgEAAAC11gUAAgAAAAQzOC4xAF9SB7bNIt8I5gdNyM0i3wgjQ0lRLklRVDQ5NzUxMTk2LklRX0NEU19NSUQuMDUvMTAvMjUBAAAAzZm9AAIAAAAHNDEuODMzMwBfUge2zSLfCO9FUMjNIt8II0NJUS5JUVQ2MDM4OTUxNi5JUV9DRFNfTUlELjA1LzEwLzI1AQAAAKXwwwECAAAABjguNTA4NgBfUge2zSLfCO9FUMjNIt8IJENJUS5JUVQzMjM2ODAxMzAuSVFfQ0RTX01JRC4wNS8xMC8yNQEAAABx4QIAAgAAAAc1MS4wOTQ2ANTazrXNIt8I70VQyM0i3wgkQ0lRLklRVDMxMzMxNTQyOS5JUV9DRFNfTUlELjA1LzEwLzI1AQAAADnnBQACAAAABzQ0Ljk0ODIAX1IHts0i3wjvRVDIzSLfCCRDSVEuSVFUMjU0OTU1MjMzLklRX0NEU19NSUQuMjMvMDkvMjYBAAAAOVYKAAIAAAAHNDUuNjU3OABfUge2zSLfCNf0RsjNIt8II0NJUS5JUVQ0NjE5NjIyNS5JUV9DRFNfTUlELjIyLzA5LzI2AQAAAL5VowECAAAABTE5Ljc0AF9SB7bNIt8I1/RGyM0i3wgjQ0lRLklRVDUxMDIzMjYwLklRX0NEU19NSUQuMjIvMDkvMjYBAAAAsRF/AQIAAAAGMTUuMTA1AF9SB7bNIt8IaXFIyM0i3wgjQ0lRLklRVDQ2MjI0NzQwLklRX0NEU19N</t>
  </si>
  <si>
    <t>SUQuMjIvMDkvMjYBAAAA03IIAAIAAAAHNDYuOTcxNADU2s61zSLfCGlxSMjNIt8IJENJUS5JUVQzMTMzMTczNDQuSVFfQ0RTX01JRC4yMi8wOS8yNgEAAADxrAEAAgAAAAc2My4yMTE2AF9SB7bNIt8IkBZJyM0i3wgjQ0lRLklRVDQ2MjAwMjc2LklRX0NEU19NSUQuMjEvMDkvMjYBAAAAlnd8AQIAAAAHMzEuMzkyNgBfUge2zSLfCNZ3S8jNIt8II0NJUS5JUVQ0NjE5NTQ5MS5JUV9DRFNfTUlELjIxLzA5LzI2AQAAAGlKAAACAAAABjU2LjkwOAAQFgi2zSLfCNZ3S8jNIt8II0NJUS5JUVQ3OTYzNDkwMS5JUV9DRFNfTUlELjIxLzA5LzI2AQAAAJwGEAACAAAABzUyLjUxNDIAX1IHts0i3wjWd0vIzSLfCCNDSVEuSVFUNDYyMDc1NzEuSVFfQ0RTX01JRC4wNS8wNy8yNgEAAABt7zUAAgAAAAQyOC41AF9SB7bNIt8I5gdNyM0i3wgjQ0lRLklRVDQ2MjEzNDcyLklRX0NEU19NSUQuMDUvMDcvMjYBAAAAuVo4AAIAAAAHMTQuOTg5NQAQFgi2zSLfCOYHTcjNIt8IJENJUS5JUVQyNjMyMTMxMzIuSVFfQ0RTX01JRC4wNS8wNy8yNgEAAADhmggAAgAAAAc1NS4yNzE2AF9SB7bNIt8I5gdNyM0i3wgjQ0lRLklRVDQ2MTk0OTk1LklRX0NEU19NSUQuMDUvMTAvMjUBAAAAbhAxAAIAAAAHMTUuMDAwMgBfUge2zSLfCO9FUMjNIt8II0NJUS5JUVQ0NjIyNjEzMi5JUV9DRFNfTUlELjIyLzA5LzI2AQAAAN1ZAAACAAAABzU0</t>
  </si>
  <si>
    <t>Ljc1ODcA1NrOtc0i3wiQFknIzSLfCCRDSVEuSVFUMzEzMzEzNTI0LklRX0NEU19NSUQuMjIvMDkvMjYBAAAA71UNAAIAAAAHNTYuODY1NABfUge2zSLfCJAWScjNIt8II0NJUS5JUVQ3OTYzOTkxMy5JUV9DRFNfTUlELjIxLzA5LzI2AQAAACBjHAICAAAABjguODMzMwBfUge2zSLfCNZ3S8jNIt8II0NJUS5JUVQ0NjIwNzg3Mi5JUV9DRFNfTUlELjIxLzA5LzI2AQAAAFgNCgACAAAABzQwLjUxMTUAEBYIts0i3wjWd0vIzSLfCCNDSVEuSVFUNDYyMDAzMTcuSVFfQ0RTX01JRC4yMS8wOS8yNgEAAAD+VA0AAgAAAAc1OS41NTEzAF9SB7bNIt8I1ndLyM0i3wgkQ0lRLklRVDY0NDcwMTc5Ny5JUV9DRFNfTUlELjA1LzA3LzI2AQAAAFM/fQECAAAABzEwLjAxODgAX1IHts0i3wjmB03IzSLfCCNDSVEuSVFUNDYyMTY5ODYuSVFfQ0RTX01JRC4wNS8wNy8yNgEAAADORDgBAwAAAAAAEBYIts0i3wjmB03IzSLfCCRDSVEuSVFUMjU0OTU1MjMzLklRX0NEU19NSUQuMDUvMDcvMjYBAAAAOVYKAAIAAAAHNDIuOTE0NgBfUge2zSLfCOYHTcjNIt8II0NJUS5JUVQ0NjE5NjIyNS5JUV9DRFNfTUlELjA1LzEwLzI1AQAAAL5VowECAAAABDIxLjUAX1IHts0i3wjvRVDIzSLfCCNDSVEuSVFUNDYyMjUzNzQuSVFfQ0RTX01JRC4yNS8wOS8yNgEAAAC11gUAAgAAAAc0My40OTI3ANTazrXNIt8ISWVFyM0i3wgjQ0lRLklRVDQ5</t>
  </si>
  <si>
    <t>NzUxMTk2LklRX0NEU19NSUQuMjQvMDkvMjYBAAAAzZm9AAIAAAAFMzYuNzUAX1IHts0i3whJZUXIzSLfCCNDSVEuSVFUNjAzODk1MTYuSVFfQ0RTX01JRC4yNC8wOS8yNgEAAACl8MMBAgAAAAY3LjMzMDYAX1IHts0i3wjWBUbIzSLfCCRDSVEuSVFUMzIzNjgwMTMwLklRX0NEU19NSUQuMjQvMDkvMjYBAAAAceECAAIAAAAHNTQuNTg5NgDU2s61zSLfCNYFRsjNIt8IJENJUS5JUVQzMTMzMTU0MjkuSVFfQ0RTX01JRC4yNC8wOS8yNgEAAAA55wUAAgAAAAc2My4yNTY5AF9SB7bNIt8IBqZGyM0i3wgjQ0lRLklRVDQ2MjA2Nzc5LklRX0NEU19NSUQuMDMvMTAvMjYBAAAA/O82AAIAAAAHMjkuMjk3NQBfUge2zSLfCP5JP8jNIt8II0NJUS5JUVQ0NjIxODY3NC5JUV9DRFNfTUlELjAzLzEwLzI2AQAAAFfKNgACAAAACDE0My42NzczABAWCLbNIt8I/kk/yM0i3wgjQ0lRLklRVDQ2MjI1NzE1LklRX0NEU19NSUQuMDMvMTAvMjYBAAAAt+UEAAIAAAAHNDMuMDEzNQBfUge2zSLfCP5JP8jNIt8II0NJUS5JUVQ0NjIwNDg4NC5JUV9DRFNfTUlELjAyLzEwLzI2AQAAAIFRwAECAAAABzQ2LjIyNzIAX1IHts0i3wjI0UDIzSLfCCNDSVEuSVFUNDYyMDc3ODkuSVFfQ0RTX01JRC4wMi8xMC8yNgEAAAAqWKMBAgAAAAcyOC45Mzg2AF9SB7bNIt8IyNFAyM0i3wgkQ0lRLklRVDI4NjA5NjEzMS5JUV9DRFNfTUlELjAyLzEw</t>
  </si>
  <si>
    <t>LzI2AQAAADvxBAACAAAABzczLjMyNTcA1NrOtc0i3wgAv0HIzSLfCCNDSVEuSVFUNDYyMTA1NjAuSVFfQ0RTX01JRC4wMS8xMC8yNgEAAAD2GjcAAgAAAAcxMDAuOTcxAF9SB7bNIt8I/kk/yM0i3wgjQ0lRLklRVDQ2MjE5OTIyLklRX0NEU19NSUQuMDEvMTAvMjYBAAAA1kc5AQIAAAAFOC42MjUAX1IHts0i3wj+ST/IzSLfCCNDSVEuSVFUNDYyMjM2NDYuSVFfQ0RTX01JRC4wMS8xMC8yNgEAAAAbeAQAAgAAAAc1Ny4xNDk2ABAWCLbNIt8I/kk/yM0i3wgkQ0lRLklRVDMxMzMxNDk3Ni5JUV9DRFNfTUlELjAxLzEwLzI2AQAAAG1KAAACAAAABzU1Ljg0MzIAX1IHts0i3wjI0UDIzSLfCCNDSVEuSVFUNDYyMTg1MTYuSVFfQ0RTX01JRC4zMC8wOS8yNgEAAACmVaMBAgAAAAc0My4zNzE4AF9SB7bNIt8IGFBCyM0i3wgjQ0lRLklRVDQ2MjIwODAzLklRX0NEU19NSUQuMzAvMDkvMjYBAAAA1sk2AAIAAAAHNDAuMDMxMwAQFgi2zSLfCBhQQsjNIt8II0NJUS5JUVQ0NjIwMDM2NC5JUV9DRFNfTUlELjMwLzA5LzI2AQAAAFeGCAACAAAABjI4LjEyNQBfUge2zSLfCBhQQsjNIt8II0NJUS5JUVQ0NjIwNDMwMC5JUV9DRFNfTUlELjI5LzA5LzI2AQAAAPYlfQACAAAABzEwLjAwMzQAX1IHts0i3wgYUELIzSLfCCNDSVEuSVFUNjAzODgwNTcuSVFfQ0RTX01JRC4yOS8wOS8yNgEAAADfyX0BAwAAAAAAX1IHts0i3wj+</t>
  </si>
  <si>
    <t>3EPIzSLfCCNDSVEuSVFUNDYxOTk4NDEuSVFfQ0RTX01JRC4yOS8wOS8yNgEAAADrMAYAAwAAAAAA1NrOtc0i3wiiL0TIzSLfCCRDSVEuSVFUMzEzMzEwMTg0LklRX0NEU19NSUQuMjgvMDkvMjYBAAAAYEQ+AAIAAAAHMTEuMzMzMgBfUge2zSLfCIMBSsjNIt8II0NJUS5JUVQ0NjIxNDg3OS5JUV9DRFNfTUlELjI4LzA5LzI2AQAAAPUaNwACAAAABzU1LjIzMzIAX1IHts0i3wiDAUrIzSLfCCNDSVEuSVFUNDY0NzA4NzcuSVFfQ0RTX01JRC4yOC8wOS8yNgEAAABCNwcAAgAAAAY2My44MDIAEBYIts0i3wiDAUrIzSLfCCRDSVEuSVFUMzEzMzEwODU0LklRX0NEU19NSUQuMjgvMDkvMjYBAAAAr1QNAAIAAAAHNjQuNjYxMwBfUge2zSLfCNZ3S8jNIt8II0NJUS5JUVQ0NjIxNDk1NC5JUV9DRFNfTUlELjIzLzA5LzI2AQAAADo9OQECAAAABzE1LjY4NzUAX1IHts0i3wjX9EbIzSLfCCNDSVEuSVFUNDYyMDM3MTQuSVFfQ0RTX01JRC4yMi8wOS8yNgEAAABfBTUAAgAAAAY0OC42NDYAX1IHts0i3wjX9EbIzSLfCCRDSVEuSVFUNTI4OTM2ODEyLklRX0NEU19NSUQuMjIvMDkvMjYBAAAAbFsGAAIAAAAHNTAuMzIwOADU2s61zSLfCJAWScjNIt8II0NJUS5JUVQ1MTAyMzQ4MC5JUV9DRFNfTUlELjIxLzA5LzI2AQAAAMJF8QECAAAABjUuNDE3NQBfUge2zSLfCNZ3S8jNIt8II0NJUS5JUVQ2MjI3MDEwNi5JUV9DRFNf</t>
  </si>
  <si>
    <t>TUlELjIxLzA5LzI2AQAAAK13gwACAAAABzcyLjcwNjkAX1IHts0i3wjWd0vIzSLfCCRDSVEuSVFUMzEzMzA1ODc5LklRX0NEU19NSUQuMDUvMDcvMjYBAAAAhNbcAQIAAAAGMi4zMzM0ABAWCLbNIt8I5gdNyM0i3wgjQ0lRLklRVDc5NjM0OTAxLklRX0NEU19NSUQuMjYvMDkvMjYBAAAAnAYQAAIAAAAHNTQuOTM5OQBfUge2zSLfCC4bUMjNIt8II0NJUS5JUVQ0NjIyMjI5Mi5JUV9DRFNfTUlELjI0LzA5LzI2AQAAANGRmwECAAAACDc1NC4xMDE2AF9SB7bNIt8I1gVGyM0i3wgjQ0lRLklRVDQ2MjYyMzc4LklRX0NEU19NSUQuMDMvMTAvMjYBAAAAQNKJAQIAAAAHMjYuNzk4MwBfUge2zSLfCP5JP8jNIt8II0NJUS5JUVQ2MjI3MDEwNy5JUV9DRFNfTUlELjAzLzEwLzI2AQAAABVZAAACAAAABzQ1LjI4MDUAX1IHts0i3wj+ST/IzSLfCCNDSVEuSVFUNDk3NTExOTYuSVFfQ0RTX01JRC4wMS8xMC8yNgEAAADNmb0AAgAAAAc0Mi4zODIxAF9SB7bNIt8I/kk/yM0i3wgkQ0lRLklRVDMxMzMxNTQyOS5JUV9DRFNfTUlELjAxLzEwLzI2AQAAADnnBQACAAAABzYzLjc1NjkAX1IHts0i3wjI0UDIzSLfCCNDSVEuSVFUNDYyMjU3MTUuSVFfQ0RTX01JRC4zMC8wOS8yNgEAAAC35QQAAgAAAAc0My4xODcxAF9SB7bNIt8IGFBCyM0i3wgjQ0lRLklRVDQ2MjA3Nzg5LklRX0NEU19NSUQuMjkvMDkvMjYBAAAAKlijAQIA</t>
  </si>
  <si>
    <t>AAAHMjYuMjUyNwBfUge2zSLfCP7cQ8jNIt8II0NJUS5JUVQ0NjIxOTkyMi5JUV9DRFNfTUlELjI4LzA5LzI2AQAAANZHOQECAAAABjcuODY1NwBfUge2zSLfCIMBSsjNIt8II0NJUS5JUVQ0NjIyMzY0Ni5JUV9DRFNfTUlELjI4LzA5LzI2AQAAABt4BAACAAAABzU1LjM3MzcAEBYIts0i3wiDAUrIzSLfCCRDSVEuSVFUMzEzMzE0OTc2LklRX0NEU19NSUQuMjgvMDkvMjYBAAAAbUoAAAIAAAAHNTUuNTU1OQBfUge2zSLfCNZ3S8jNIt8II0NJUS5JUVQ0NjIyMDgwMy5JUV9DRFNfTUlELjIzLzA5LzI2AQAAANbJNgACAAAABzQxLjMzMDkAEBYIts0i3wjX9EbIzSLfCCNDSVEuSVFUNDYyMDQzMDAuSVFfQ0RTX01JRC4yMi8wOS8yNgEAAAD2JX0AAgAAAAY4LjI2MjUAX1IHts0i3wjX9EbIzSLfCCNDSVEuSVFUNDYxOTk4NDEuSVFfQ0RTX01JRC4yMi8wOS8yNgEAAADrMAYAAwAAAAAA1NrOtc0i3wiQFknIzSLfCCNDSVEuSVFUNDYyMTQ4NzkuSVFfQ0RTX01JRC4yMS8wOS8yNgEAAAD1GjcAAgAAAAc1NC43MzQyAF9SB7bNIt8I1ndLyM0i3wgjQ0lRLklRVDQ2MjA4NjM0LklRX0NEU19NSUQuMDUvMDcvMjYBAAAAAx/CAAIAAAAHMjIuMzAwNAAQFgi2zSLfCOYHTcjNIt8II0NJUS5JUVQ0NjIyNTA4My5JUV9DRFNfTUlELjA1LzA3LzI2AQAAAFZEBgACAAAABTM3LjI1AF9SB7bNIt8I5gdNyM0i3wgjQ0lRLklR</t>
  </si>
  <si>
    <t>VDQ2MjAzNzE0LklRX0NEU19NSUQuMDUvMTAvMjUBAAAAXwU1AAIAAAAHMzguMjgxNwBfUge2zSLfCO9FUMjNIt8II0NJUS5JUVQ0NjIwNjc3OS5JUV9DRFNfTUlELjA1LzEwLzI2AQAAAPzvNgACAAAABzI5LjI5NzUAX1IHts0i3wi1wT3IzSLfCCNDSVEuSVFUNDYyMTg2NzQuSVFfQ0RTX01JRC4wNS8xMC8yNgEAAABXyjYAAgAAAAgxNDMuNjc3MwAQFgi2zSLfCLXBPcjNIt8II0NJUS5JUVQ0NjIyNTcxNS5JUV9DRFNfTUlELjA1LzEwLzI2AQAAALflBAACAAAABzQzLjAxMzUAX1IHts0i3wi1wT3IzSLfCCNDSVEuSVFUNDYyMDQ4ODQuSVFfQ0RTX01JRC4wNC8xMC8yNgEAAACBUcABAgAAAAc0Ni4yMjcyAF9SB7bNIt8IkBZJyM0i3wgjQ0lRLklRVDQ2MjA3Nzg5LklRX0NEU19NSUQuMDQvMTAvMjYBAAAAKlijAQIAAAAHMjguOTM4NgBfUge2zSLfCIMBSsjNIt8IJENJUS5JUVQyODYwOTYxMzEuSVFfQ0RTX01JRC4wNC8xMC8yNgEAAAA78QQAAgAAAAc3My4zMjU3ANTazrXNIt8IgwFKyM0i3wgjQ0lRLklRVDQ2MjEwNTYwLklRX0NEU19NSUQuMjcvMDkvMjYBAAAA9ho3AAIAAAAGODkuMDk3AF9SB7bNIt8Ir9xNyM0i3wgjQ0lRLklRVDQ2MjE5OTIyLklRX0NEU19NSUQuMjcvMDkvMjYBAAAA1kc5AQIAAAAGNy44MjQyAF9SB7bNIt8Ir9xNyM0i3wgjQ0lRLklRVDQ2MjIzNjQ2LklRX0NEU19NSUQuMjcv</t>
  </si>
  <si>
    <t>MDkvMjYBAAAAG3gEAAIAAAAHNTQuNjA2OQAQFgi2zSLfCM+JTsjNIt8IJENJUS5JUVQzMTMzMTQ5NzYuSVFfQ0RTX01JRC4yNy8wOS8yNgEAAABtSgAAAgAAAAc1NC4xNjAzAF9SB7bNIt8Iz4lOyM0i3wgjQ0lRLklRVDQ2MjE4NTE2LklRX0NEU19NSUQuMjYvMDkvMjYBAAAAplWjAQIAAAAHNDIuMDkzNABfUge2zSLfCE1JT8jNIt8II0NJUS5JUVQ0NjIyMDgwMy5JUV9DRFNfTUlELjI2LzA5LzI2AQAAANbJNgACAAAABzQwLjEzMTQAEBYIts0i3whNSU/IzSLfCCNDSVEuSVFUNDYyMDAzNjQuSVFfQ0RTX01JRC4yNi8wOS8yNgEAAABXhggAAgAAAAQyNy41AF9SB7bNIt8ITUlPyM0i3wgjQ0lRLklRVDQ2MjA0MzAwLklRX0NEU19NSUQuMjUvMDkvMjYBAAAA9iV9AAIAAAAGOC42MDM4AF9SB7bNIt8Ioi9EyM0i3wgjQ0lRLklRVDYwMzg4MDU3LklRX0NEU19NSUQuMjUvMDkvMjYBAAAA38l9AQMAAAAAAF9SB7bNIt8Ioi9EyM0i3wgjQ0lRLklRVDQ2MTk5ODQxLklRX0NEU19NSUQuMjUvMDkvMjYBAAAA6zAGAAMAAAAAANTazrXNIt8Ioi9EyM0i3wgkQ0lRLklRVDMxMzMxMDE4NC5JUV9DRFNfTUlELjI0LzA5LzI2AQAAAGBEPgACAAAABzExLjMwMTgAX1IHts0i3whJZUXIzSLfCCNDSVEuSVFUNDYyMTQ4NzkuSVFfQ0RTX01JRC4yNC8wOS8yNgEAAAD1GjcAAgAAAAY1NS4zNzUAX1IHts0i3wjWBUbIzSLf</t>
  </si>
  <si>
    <t>CCNDSVEuSVFUNDY0NzA4NzcuSVFfQ0RTX01JRC4yNC8wOS8yNgEAAABCNwcAAgAAAAc2Mi4xNTUyABAWCLbNIt8I1gVGyM0i3wgkQ0lRLklRVDMxMzMxMDg1NC5JUV9DRFNfTUlELjI0LzA5LzI2AQAAAK9UDQACAAAABzYzLjMwMjgAX1IHts0i3wgGpkbIzSLfCCNDSVEuSVFUNDYyMTQ5NTQuSVFfQ0RTX01JRC4wMy8xMC8yNgEAAAA6PTkBAgAAAAcyMi42MzI2AF9SB7bNIt8ItcE9yM0i3wgjQ0lRLklRVDQ2MjA4NjM0LklRX0NEU19NSUQuMDMvMTAvMjYBAAAAAx/CAAIAAAAHMjQuMjUxNgAQFgi2zSLfCP5JP8jNIt8II0NJUS5JUVQ0NjIyNTA4My5JUV9DRFNfTUlELjAzLzEwLzI2AQAAAFZEBgACAAAABzQzLjg4NzMAX1IHts0i3wj+ST/IzSLfCCNDSVEuSVFUNDYyMDM3MTQuSVFfQ0RTX01JRC4wMi8xMC8yNgEAAABfBTUAAgAAAAc4NC4xODYxAF9SB7bNIt8IyNFAyM0i3wgjQ0lRLklRVDc5NjM5OTUzLklRX0NEU19NSUQuMDIvMTAvMjYBAAAANJtWAQIAAAAHMjEuOTM5MQBfUge2zSLfCMjRQMjNIt8IJENJUS5JUVQ1Mjg5MzY4MTIuSVFfQ0RTX01JRC4wMi8xMC8yNgEAAABsWwYAAgAAAAc1Ny41MjM5ANTazrXNIt8IAL9ByM0i3wgjQ0lRLklRVDQ2MTk3MTM4LklRX0NEU19NSUQuMDEvMTAvMjYBAAAA7pQ4AQIAAAAIMTMyLjE2NjEAX1IHts0i3wj+ST/IzSLfCCNDSVEuSVFUNTEwMjM0ODAuSVFf</t>
  </si>
  <si>
    <t>Q0RTX01JRC4wMS8xMC8yNgEAAADCRfEBAgAAAAY2LjYyOTMAX1IHts0i3wj+ST/IzSLfCCNDSVEuSVFUNDYyMDQ5NTcuSVFfQ0RTX01JRC4wMS8xMC8yNgEAAAAhFQYAAgAAAAc2Mi4zNDEyABAWCLbNIt8I/kk/yM0i3wgjQ0lRLklRVDYyMjcwMTA2LklRX0NEU19NSUQuMDEvMTAvMjYBAAAArXeDAAIAAAAHNzQuNzU1NABfUge2zSLfCMjRQMjNIt8II0NJUS5JUVQ3OTY0MDAyNC5JUV9DRFNfTUlELjMwLzA5LzI2AQAAADWPmwECAAAABTExLjI1AF9SB7bNIt8IGFBCyM0i3wgkQ0lRLklRVDMxMzMwNTg3OS5JUV9DRFNfTUlELjMwLzA5LzI2AQAAAITW3AECAAAABjIuMjkzOQAQFgi2zSLfCBhQQsjNIt8II0NJUS5JUVQ0NjIwMDQxMi5JUV9DRFNfTUlELjMwLzA5LzI2AQAAAGNDBgACAAAABzU0Ljc2NTMAX1IHts0i3wgYUELIzSLfCCNDSVEuSVFUNDYyMDMzMzIuSVFfQ0RTX01JRC4yOS8wOS8yNgEAAABfHjcAAgAAAAcxMi4wNjI1AF9SB7bNIt8IGFBCyM0i3wgjQ0lRLklRVDQ2MjE1MTExLklRX0NEU19NSUQuMjkvMDkvMjYBAAAAoEuyAQIAAAAHMzUuMDY4MQBfUge2zSLfCP7cQ8jNIt8II0NJUS5JUVQ0NjIyNjEzMi5JUV9DRFNfTUlELjI5LzA5LzI2AQAAAN1ZAAACAAAABzYwLjIxMTUA1NrOtc0i3wiiL0TIzSLfCCRDSVEuSVFUMzEzMzEzNTI0LklRX0NEU19NSUQuMjkvMDkvMjYBAAAA71UNAAIA</t>
  </si>
  <si>
    <t>AAAHNTUuOTI4NABfUge2zSLfCKIvRMjNIt8II0NJUS5JUVQ3OTYzOTkxMy5JUV9DRFNfTUlELjI4LzA5LzI2AQAAACBjHAICAAAABjguODQxNwBfUge2zSLfCIMBSsjNIt8II0NJUS5JUVQ0NjIwNzg3Mi5JUV9DRFNfTUlELjI4LzA5LzI2AQAAAFgNCgACAAAABzQyLjkwNTQAEBYIts0i3wiDAUrIzSLfCCNDSVEuSVFUNDYyMDAzMTcuSVFfQ0RTX01JRC4yOC8wOS8yNgEAAAD+VA0AAgAAAAc2OC4yMjM3AF9SB7bNIt8I1ndLyM0i3wgkQ0lRLklRVDY0NDcwMTc5Ny5JUV9DRFNfTUlELjIzLzA5LzI2AQAAAFM/fQECAAAABzEwLjM5MjYAX1IHts0i3wjX9EbIzSLfCCNDSVEuSVFUNDYyMTY5ODYuSVFfQ0RTX01JRC4yMy8wOS8yNgEAAADORDgBAwAAAAAAEBYIts0i3wjX9EbIzSLfCCNDSVEuSVFUNDYyMjIyOTIuSVFfQ0RTX01JRC4wNS8xMC8yNQEAAADRkZsBAgAAAAoxNDc4Ny4zMjkzAF9SB7bNIt8I70VQyM0i3wgjQ0lRLklRVDQ2MjI1MDA2LklRX0NEU19NSUQuMDUvMTAvMjUBAAAA+FUNAAIAAAAHNDUuMjQ0MwDU2s61zSLfCO9FUMjNIt8II0NJUS5JUVQ0NjIyMDMyOS5JUV9DRFNfTUlELjA1LzEwLzI1AQAAANtbAAACAAAABzQxLjcyMTgAX1IHts0i3wjvRVDIzSLfCCNDSVEuSVFUNTEwMjMyNjAuSVFfQ0RTX01JRC4wNS8xMC8yNQEAAACxEX8BAgAAAAcxMS4zOTg0AF9SB7bNIt8I70VQyM0i3wgj</t>
  </si>
  <si>
    <t>Q0lRLklRVDQ2MjI0NzQwLklRX0NEU19NSUQuMDUvMTAvMjUBAAAA03IIAAIAAAACNDIA1NrOtc0i3wjvRVDIzSLfCCRDSVEuSVFUMzEzMzE3MzQ0LklRX0NEU19NSUQuMDUvMTAvMjUBAAAA8awBAAIAAAAHNTMuNTg0MgBfUge2zSLfCO9FUMjNIt8II0NJUS5JUVQ0NjIxMDAzMi5JUV9DRFNfTUlELjI1LzA5LzI2AQAAAI9VowECAAAABjM0LjgyNQAQFgi2zSLfCKIvRMjNIt8II0NJUS5JUVQ0NjIwODYzNC5JUV9DRFNfTUlELjIzLzA5LzI2AQAAAAMfwgACAAAABTIyLjc1ABAWCLbNIt8I1/RGyM0i3wgjQ0lRLklRVDc5NjM5OTUzLklRX0NEU19NSUQuMjIvMDkvMjYBAAAANJtWAQIAAAAHMjAuOTgwNwBfUge2zSLfCGlxSMjNIt8II0NJUS5JUVQ0NjE5NzEzOC5JUV9DRFNfTUlELjIxLzA5LzI2AQAAAO6UOAECAAAACDExOS40NTUzAF9SB7bNIt8I1ndLyM0i3wgjQ0lRLklRVDQ2MjA0OTU3LklRX0NEU19NSUQuMjEvMDkvMjYBAAAAIRUGAAIAAAAHNTYuOTE5NQAQFgi2zSLfCNZ3S8jNIt8II0NJUS5JUVQ3OTY0MDAyNC5JUV9DRFNfTUlELjA1LzA3LzI2AQAAADWPmwECAAAABjcuODEyNQBfUge2zSLfCOYHTcjNIt8II0NJUS5JUVQ0NjIwMDQxMi5JUV9DRFNfTUlELjA1LzA3LzI2AQAAAGNDBgACAAAABzQ3Ljc3MjUAX1IHts0i3wjmB03IzSLfCCNDSVEuSVFUNDYyMDMzMzIuSVFfQ0RTX01JRC4wNS8x</t>
  </si>
  <si>
    <t>MC8yNQEAAABfHjcAAgAAAAcxNS4yMjA3AF9SB7bNIt8I70VQyM0i3wgjQ0lRLklRVDQ2MjE1MTExLklRX0NEU19NSUQuMDUvMTAvMjUBAAAAoEuyAQIAAAAHMzguMTE1NwBfUge2zSLfCO9FUMjNIt8IJENJUS5JUVQzMTMzMTM1MjQuSVFfQ0RTX01JRC4wNS8xMC8yNQEAAADvVQ0AAgAAAAc1MC4zMDY5AF9SB7bNIt8I70VQyM0i3wgjQ0lRLklRVDQ2MTk1NDkxLklRX0NEU19NSUQuMjYvMDkvMjYBAAAAaUoAAAIAAAAGNjAuNzExABAWCLbNIt8ITUlPyM0i3wgjQ0lRLklRVDQ2MjEzNDcyLklRX0NEU19NSUQuMjUvMDkvMjYBAAAAuVo4AAIAAAAFMTQuMjUAEBYIts0i3wiiL0TIzSLfCCNDSVEuSVFUNDYxOTQ5OTUuSVFfQ0RTX01JRC4yNC8wOS8yNgEAAABuEDEAAgAAAAYxMy4zNzUAX1IHts0i3whJZUXIzSLfCCNDSVEuSVFUNDYyMjUwMDYuSVFfQ0RTX01JRC4yNC8wOS8yNgEAAAD4VQ0AAgAAAAc1Ni40NDgyANTazrXNIt8I1gVGyM0i3wgjQ0lRLklRVDQ2MTk3Njk0LklRX0NEU19NSUQuMDMvMTAvMjYBAAAAB/oFAAIAAAAHNjEuODU3MQAQFgi2zSLfCP5JP8jNIt8II0NJUS5JUVQ0NjIwNzMwOC5JUV9DRFNfTUlELjAyLzEwLzI2AQAAADmJegECAAAABjE5LjYyNQBfUge2zSLfCMjRQMjNIt8II0NJUS5JUVQ0NjIyNTM3NC5JUV9DRFNfTUlELjAyLzEwLzI2AQAAALXWBQACAAAABzQ5LjY2MDcA1NrO</t>
  </si>
  <si>
    <t>tc0i3wgAv0HIzSLfCCRDSVEuSVFUMzIzNjgwMTMwLklRX0NEU19NSUQuMDEvMTAvMjYBAAAAceECAAIAAAAHNTguODk3NQDU2s61zSLfCP5JP8jNIt8II0NJUS5JUVQ0NjIwNjc3OS5JUV9DRFNfTUlELjMwLzA5LzI2AQAAAPzvNgACAAAABDIyLjgAX1IHts0i3wgYUELIzSLfCCNDSVEuSVFUNDYyMTA1NjAuSVFfQ0RTX01JRC4yOC8wOS8yNgEAAAD2GjcAAgAAAAc5MS41MzY5AF9SB7bNIt8IgwFKyM0i3wgjQ0lRLklRVDQ2MjE4NTE2LklRX0NEU19NSUQuMjMvMDkvMjYBAAAAplWjAQIAAAAHNDAuMjQwMwBfUge2zSLfCNf0RsjNIt8II0NJUS5JUVQ0NjIwMDM2NC5JUV9DRFNfTUlELjIzLzA5LzI2AQAAAFeGCAACAAAABjI3LjA0NQBfUge2zSLfCNf0RsjNIt8II0NJUS5JUVQ2MDM4ODA1Ny5JUV9DRFNfTUlELjIyLzA5LzI2AQAAAN/JfQEDAAAAAABfUge2zSLfCGlxSMjNIt8IJENJUS5JUVQzMTMzMTAxODQuSVFfQ0RTX01JRC4yMS8wOS8yNgEAAABgRD4AAgAAAAYxMS4xNTkAX1IHts0i3wjWd0vIzSLfCCNDSVEuSVFUNDY0NzA4NzcuSVFfQ0RTX01JRC4yMS8wOS8yNgEAAABCNwcAAgAAAAc1OC45NDU5ABAWCLbNIt8I1ndLyM0i3wgjQ0lRLklRVDQ2MjE0OTU0LklRX0NEU19NSUQuMDUvMDcvMjYBAAAAOj05AQIAAAAHMTQuMzMzMwBfUge2zSLfCOYHTcjNIt8II0NJUS5JUVQ0NjI2MjM3OC5JUV9D</t>
  </si>
  <si>
    <t>RFNfTUlELjA1LzEwLzI2AQAAAEDSiQECAAAABzI2Ljc5ODMAX1IHts0i3wi1wT3IzSLfCCNDSVEuSVFUNDYxOTc2OTQuSVFfQ0RTX01JRC4wNS8xMC8yNgEAAAAH+gUAAgAAAAc2MS44NTcxABAWCLbNIt8ItcE9yM0i3wgjQ0lRLklRVDYyMjcwMTA3LklRX0NEU19NSUQuMDUvMTAvMjYBAAAAFVkAAAIAAAAHNDUuMjgwNQBfUge2zSLfCLXBPcjNIt8II0NJUS5JUVQ0NjIwNzMwOC5JUV9DRFNfTUlELjA0LzEwLzI2AQAAADmJegECAAAABjE5LjYyNQBfUge2zSLfCJAWScjNIt8II0NJUS5JUVQ0NjIxMDAzMi5JUV9DRFNfTUlELjA0LzEwLzI2AQAAAI9VowECAAAABzM1LjQ1ODcAX1IHts0i3wiDAUrIzSLfCCNDSVEuSVFUNDYyMjUzNzQuSVFfQ0RTX01JRC4wNC8xMC8yNgEAAAC11gUAAgAAAAc0OS42NjA3ANTazrXNIt8IgwFKyM0i3wgjQ0lRLklRVDQ5NzUxMTk2LklRX0NEU19NSUQuMjcvMDkvMjYBAAAAzZm9AAIAAAAGMzcuOTE1AF9SB7bNIt8Ir9xNyM0i3wgjQ0lRLklRVDYwMzg5NTE2LklRX0NEU19NSUQuMjcvMDkvMjYBAAAApfDDAQIAAAAGNy4zODIxAF9SB7bNIt8Ir9xNyM0i3wgkQ0lRLklRVDMyMzY4MDEzMC5JUV9DRFNfTUlELjI3LzA5LzI2AQAAAHHhAgACAAAABjU1LjkwMQDU2s61zSLfCM+JTsjNIt8IJENJUS5JUVQzMTMzMTU0MjkuSVFfQ0RTX01JRC4yNy8wOS8yNgEAAAA55wUAAgAA</t>
  </si>
  <si>
    <t>AAc2My44MzE3AF9SB7bNIt8Iz4lOyM0i3wgjQ0lRLklRVDQ2MjA2Nzc5LklRX0NEU19NSUQuMjYvMDkvMjYBAAAA/O82AAIAAAAHMTguNjU2NwBfUge2zSLfCE1JT8jNIt8II0NJUS5JUVQ0NjIxODY3NC5JUV9DRFNfTUlELjI2LzA5LzI2AQAAAFfKNgACAAAACDEyOS42MDM4ABAWCLbNIt8ITUlPyM0i3wgjQ0lRLklRVDQ2MjI1NzE1LklRX0NEU19NSUQuMjYvMDkvMjYBAAAAt+UEAAIAAAAHNDMuMjcwNwBfUge2zSLfCC4bUMjNIt8II0NJUS5JUVQ0NjIwNDg4NC5JUV9DRFNfTUlELjI1LzA5LzI2AQAAAIFRwAECAAAABjM1LjYwOABfUge2zSLfCKIvRMjNIt8II0NJUS5JUVQ0NjIwNzc4OS5JUV9DRFNfTUlELjI1LzA5LzI2AQAAACpYowECAAAABzI0LjY3MDYAX1IHts0i3wiiL0TIzSLfCCRDSVEuSVFUMjg2MDk2MTMxLklRX0NEU19NSUQuMjUvMDkvMjYBAAAAO/EEAAIAAAAHNjQuNzIzMQDU2s61zSLfCKIvRMjNIt8II0NJUS5JUVQ0NjIxMDU2MC5JUV9DRFNfTUlELjI0LzA5LzI2AQAAAPYaNwACAAAABzg4LjM3MTUAX1IHts0i3whJZUXIzSLfCCNDSVEuSVFUNDYyMTk5MjIuSVFfQ0RTX01JRC4yNC8wOS8yNgEAAADWRzkBAgAAAAY3LjU5NDkAX1IHts0i3wjWBUbIzSLfCCNDSVEuSVFUNDYyMjM2NDYuSVFfQ0RTX01JRC4yNC8wOS8yNgEAAAAbeAQAAgAAAAc1My43OTQ5ANTazrXNIt8I1gVGyM0i</t>
  </si>
  <si>
    <t>3wgkQ0lRLklRVDMxMzMxNDk3Ni5JUV9DRFNfTUlELjI0LzA5LzI2AQAAAG1KAAACAAAABzU1Ljg4MTIAX1IHts0i3wgGpkbIzSLfCCNDSVEuSVFUNDYyMTg1MTYuSVFfQ0RTX01JRC4wMy8xMC8yNgEAAACmVaMBAgAAAAc0NC4xMzkzAF9SB7bNIt8ItcE9yM0i3wgjQ0lRLklRVDQ2MjIwODAzLklRX0NEU19NSUQuMDMvMTAvMjYBAAAA1sk2AAIAAAAGNDEuNDkyABAWCLbNIt8I/kk/yM0i3wgjQ0lRLklRVDQ2MjAwMzY0LklRX0NEU19NSUQuMDMvMTAvMjYBAAAAV4YIAAIAAAAHMzAuMzg0MgBfUge2zSLfCP5JP8jNIt8II0NJUS5JUVQ0NjIwNDMwMC5JUV9DRFNfTUlELjAyLzEwLzI2AQAAAPYlfQACAAAABDEyLjUAX1IHts0i3wjI0UDIzSLfCCNDSVEuSVFUNjAzODgwNTcuSVFfQ0RTX01JRC4wMi8xMC8yNgEAAADfyX0BAwAAAAAAX1IHts0i3wjI0UDIzSLfCCNDSVEuSVFUNDYxOTk4NDEuSVFfQ0RTX01JRC4wMi8xMC8yNgEAAADrMAYAAwAAAAAA1NrOtc0i3wgAv0HIzSLfCCRDSVEuSVFUMzEzMzEwMTg0LklRX0NEU19NSUQuMDEvMTAvMjYBAAAAYEQ+AAIAAAAHMTIuMTM1MQBfUge2zSLfCP5JP8jNIt8II0NJUS5JUVQ0NjIxNDg3OS5JUV9DRFNfTUlELjAxLzEwLzI2AQAAAPUaNwACAAAABzU3LjA4NDEAX1IHts0i3wj+ST/IzSLfCCNDSVEuSVFUNDY0NzA4NzcuSVFfQ0RTX01JRC4wMS8xMC8yNgEA</t>
  </si>
  <si>
    <t>AABCNwcAAgAAAAc2NC44NTczABAWCLbNIt8I/kk/yM0i3wgkQ0lRLklRVDMxMzMxMDg1NC5JUV9DRFNfTUlELjAxLzEwLzI2AQAAAK9UDQACAAAABTY0Ljc0AF9SB7bNIt8IyNFAyM0i3wgjQ0lRLklRVDQ2MjE0OTU0LklRX0NEU19NSUQuMzAvMDkvMjYBAAAAOj05AQIAAAAEMTguNQBfUge2zSLfCBhQQsjNIt8II0NJUS5JUVQ0NjIwODYzNC5JUV9DRFNfTUlELjMwLzA5LzI2AQAAAAMfwgACAAAABzIzLjQwMDIAEBYIts0i3wgYUELIzSLfCCNDSVEuSVFUNDYyMjUwODMuSVFfQ0RTX01JRC4zMC8wOS8yNgEAAABWRAYAAgAAAAc0MS40Nzc2AF9SB7bNIt8IGFBCyM0i3wgjQ0lRLklRVDQ2MjAzNzE0LklRX0NEU19NSUQuMjkvMDkvMjYBAAAAXwU1AAIAAAAHNjUuMTM3MwBfUge2zSLfCBhQQsjNIt8II0NJUS5JUVQ3OTYzOTk1My5JUV9DRFNfTUlELjI5LzA5LzI2AQAAADSbVgECAAAABzIxLjMxNzMAX1IHts0i3wj+3EPIzSLfCCRDSVEuSVFUNTI4OTM2ODEyLklRX0NEU19NSUQuMjkvMDkvMjYBAAAAbFsGAAIAAAAHNTQuMDE0NADU2s61zSLfCKIvRMjNIt8II0NJUS5JUVQ0NjE5NzEzOC5JUV9DRFNfTUlELjI4LzA5LzI2AQAAAO6UOAECAAAACDEyOS43NTk5AF9SB7bNIt8IgwFKyM0i3wgjQ0lRLklRVDUxMDIzNDgwLklRX0NEU19NSUQuMjgvMDkvMjYBAAAAwkXxAQIAAAAGNS41NTE2AF9SB7bNIt8I</t>
  </si>
  <si>
    <t>gwFKyM0i3wgjQ0lRLklRVDQ2MjA0OTU3LklRX0NEU19NSUQuMjgvMDkvMjYBAAAAIRUGAAIAAAAHNjEuMjkwOAAQFgi2zSLfCIMBSsjNIt8II0NJUS5JUVQ2MjI3MDEwNi5JUV9DRFNfTUlELjI4LzA5LzI2AQAAAK13gwACAAAABzczLjU4MzkAX1IHts0i3wjWd0vIzSLfCCNDSVEuSVFUNzk2NDAwMjQuSVFfQ0RTX01JRC4yMy8wOS8yNgEAAAA1j5sBAgAAAAE5AF9SB7bNIt8I1/RGyM0i3wgkQ0lRLklRVDMxMzMwNTg3OS5JUV9DRFNfTUlELjIzLzA5LzI2AQAAAITW3AECAAAABjIuMjkzOQAQFgi2zSLfCNf0RsjNIt8II0NJUS5JUVQ0NjIwMDQxMi5JUV9DRFNfTUlELjIzLzA5LzI2AQAAAGNDBgACAAAABzUwLjMxNjMAX1IHts0i3wjX9EbIzSLfCCNDSVEuSVFUNDYyMDMzMzIuSVFfQ0RTX01JRC4yMi8wOS8yNgEAAABfHjcAAgAAAAcxMS43NDQ0AF9SB7bNIt8I1/RGyM0i3wgjQ0lRLklRVDQ2MjE1MTExLklRX0NEU19NSUQuMjIvMDkvMjYBAAAAoEuyAQIAAAAHMzMuNTk5NwBfUge2zSLfCGlxSMjNIt8II0NJUS5JUVQ0NjIwMDI3Ni5JUV9DRFNfTUlELjA1LzEwLzI2AQAAAJZ3fAECAAAABTMzLjQ4AF9SB7bNIt8ItcE9yM0i3wgjQ0lRLklRVDQ2MTk1NDkxLklRX0NEU19NSUQuMDUvMTAvMjYBAAAAaUoAAAIAAAAHNjMuODYyMQAQFgi2zSLfCLXBPcjNIt8II0NJUS5JUVQ3OTYzNDkwMS5JUV9DRFNf</t>
  </si>
  <si>
    <t>TUlELjA1LzEwLzI2AQAAAJwGEAACAAAABzU2LjQ5ODMAX1IHts0i3wi1wT3IzSLfCCNDSVEuSVFUNDYyMDc1NzEuSVFfQ0RTX01JRC4wNC8xMC8yNgEAAABt7zUAAgAAAAc3Mi40NTgxAF9SB7bNIt8IkBZJyM0i3wgjQ0lRLklRVDQ2MjEzNDcyLklRX0NEU19NSUQuMDQvMTAvMjYBAAAAuVo4AAIAAAAGMTYuMDY0ABAWCLbNIt8IgwFKyM0i3wgkQ0lRLklRVDI2MzIxMzEzMi5JUV9DRFNfTUlELjA0LzEwLzI2AQAAAOGaCAACAAAABzY4LjExMDEAX1IHts0i3wiDAUrIzSLfCCNDSVEuSVFUNDYxOTQ5OTUuSVFfQ0RTX01JRC4yNy8wOS8yNgEAAABuEDEAAgAAAAcxMy4zOTE0AF9SB7bNIt8Ir9xNyM0i3wgjQ0lRLklRVDQ2MjIyMjkyLklRX0NEU19NSUQuMjcvMDkvMjYBAAAA0ZGbAQIAAAAINzU0LjgxNDgAX1IHts0i3wjPiU7IzSLfCCNDSVEuSVFUNDYyMjUwMDYuSVFfQ0RTX01JRC4yNy8wOS8yNgEAAAD4VQ0AAgAAAAc1Ni43MDU1ANTazrXNIt8Iz4lOyM0i3wgjQ0lRLklRVDQ2MjIwMzI5LklRX0NEU19NSUQuMjcvMDkvMjYBAAAA21sAAAIAAAAHNjAuNjIwNABfUge2zSLfCM+JTsjNIt8II0NJUS5JUVQ0NjI2MjM3OC5JUV9DRFNfTUlELjI2LzA5LzI2AQAAAEDSiQECAAAABzIwLjU1OTkAX1IHts0i3whNSU/IzSLfCCNDSVEuSVFUNDYxOTc2OTQuSVFfQ0RTX01JRC4yNi8wOS8yNgEAAAAH+gUAAgAA</t>
  </si>
  <si>
    <t>AAc2MC4wNDQxABAWCLbNIt8ITUlPyM0i3wgjQ0lRLklRVDYyMjcwMTA3LklRX0NEU19NSUQuMjYvMDkvMjYBAAAAFVkAAAIAAAAHNDIuNzUxOABfUge2zSLfCC4bUMjNIt8II0NJUS5JUVQ0NjIwNzMwOC5JUV9DRFNfTUlELjI1LzA5LzI2AQAAADmJegECAAAABjE1LjY2OABfUge2zSLfCKIvRMjNIt8II0NJUS5JUVQ0NjIyNTA4My5JUV9DRFNfTUlELjIzLzA5LzI2AQAAAFZEBgACAAAABTM3Ljg2AF9SB7bNIt8I1/RGyM0i3wgjQ0lRLklRVDQ2MjI2MTMyLklRX0NEU19NSUQuMDUvMTAvMjUBAAAA3VkAAAIAAAAHNTIuNjUxMgDU2s61zSLfCO9FUMjNIt8IJENJUS5JUVQyNjMyMTMxMzIuSVFfQ0RTX01JRC4yNS8wOS8yNgEAAADhmggAAgAAAAc2Mi4wODQ1AF9SB7bNIt8ISWVFyM0i3wgjQ0lRLklRVDQ2MjEwMDMyLklRX0NEU19NSUQuMDIvMTAvMjYBAAAAj1WjAQIAAAAHMzUuNDU4NwBfUge2zSLfCMjRQMjNIt8II0NJUS5JUVQ0NjIxODY3NC5JUV9DRFNfTUlELjMwLzA5LzI2AQAAAFfKNgACAAAACDEzNC4wNDUxABAWCLbNIt8IGFBCyM0i3wgjQ0lRLklRVDQ2MjA0ODg0LklRX0NEU19NSUQuMjkvMDkvMjYBAAAAgVHAAQIAAAAHMzcuNDEwMQBfUge2zSLfCBhQQsjNIt8IJENJUS5JUVQyODYwOTYxMzEuSVFfQ0RTX01JRC4yOS8wOS8yNgEAAAA78QQAAgAAAAc2Ny40NDI5ANTazrXNIt8Ioi9EyM0i</t>
  </si>
  <si>
    <t>3wgkQ0lRLklRVDUyODkzNjgxMi5JUV9DRFNfTUlELjA1LzEwLzI1AQAAAGxbBgACAAAABDQ4LjkA1NrOtc0i3wjvRVDIzSLfCCNDSVEuSVFUNTEwMjMyNjAuSVFfQ0RTX01JRC4yNC8wOS8yNgEAAACxEX8BAgAAAAcxNC45ODU3AF9SB7bNIt8I1gVGyM0i3wgkQ0lRLklRVDMxMzMxNzM0NC5JUV9DRFNfTUlELjI0LzA5LzI2AQAAAPGsAQACAAAABzYzLjAxNzEAX1IHts0i3wgGpkbIzSLfCCNDSVEuSVFUNDYyMDAyNzYuSVFfQ0RTX01JRC4wMy8xMC8yNgEAAACWd3wBAgAAAAUzMy40OABfUge2zSLfCP5JP8jNIt8II0NJUS5JUVQ3OTYzOTkxMy5JUV9DRFNfTUlELjA1LzEwLzI2AQAAACBjHAICAAAABjkuNjkwOQBfUge2zSLfCLXBPcjNIt8II0NJUS5JUVQ0NjIwNzg3Mi5JUV9DRFNfTUlELjA1LzEwLzI2AQAAAFgNCgACAAAABzQ0LjEzMjEAEBYIts0i3wi1wT3IzSLfCCNDSVEuSVFUNDYyMDAzMTcuSVFfQ0RTX01JRC4wNS8xMC8yNgEAAAD+VA0AAgAAAAc3MC4yMDQ2AF9SB7bNIt8ItcE9yM0i3wgkQ0lRLklRVDY0NDcwMTc5Ny5JUV9DRFNfTUlELjA0LzEwLzI2AQAAAFM/fQECAAAABzEwLjk1NzIAX1IHts0i3wiQFknIzSLfCCNDSVEuSVFUNDYyMTY5ODYuSVFfQ0RTX01JRC4wNC8xMC8yNgEAAADORDgBAwAAAAAAEBYIts0i3wiDAUrIzSLfCCRDSVEuSVFUMjU0OTU1MjMzLklRX0NEU19NSUQuMDQv</t>
  </si>
  <si>
    <t>MTAvMjYBAAAAOVYKAAIAAAAHNTQuMDAwNwBfUge2zSLfCIMBSsjNIt8II0NJUS5JUVQ0NjE5NjIyNS5JUV9DRFNfTUlELjI3LzA5LzI2AQAAAL5VowECAAAAAjIyAF9SB7bNIt8Ir9xNyM0i3wgjQ0lRLklRVDUxMDIzMjYwLklRX0NEU19NSUQuMjcvMDkvMjYBAAAAsRF/AQIAAAAHMTUuMDMzNwBfUge2zSLfCM+JTsjNIt8II0NJUS5JUVQ0NjIyNDc0MC5JUV9DRFNfTUlELjI3LzA5LzI2AQAAANNyCAACAAAABzUxLjYwNjcA1NrOtc0i3wjPiU7IzSLfCCRDSVEuSVFUMzEzMzE3MzQ0LklRX0NEU19NSUQuMjcvMDkvMjYBAAAA8awBAAIAAAAHNjIuODgzNgBfUge2zSLfCM+JTsjNIt8II0NJUS5JUVQ0NjIwMDI3Ni5JUV9DRFNfTUlELjI2LzA5LzI2AQAAAJZ3fAECAAAABzMyLjU5NzMAX1IHts0i3whNSU/IzSLfCCNDSVEuSVFUNDYxOTcxMzguSVFfQ0RTX01JRC4wNS8xMC8yNgEAAADulDgBAgAAAAgxMzIuNzg2MwBfUge2zSLfCLXBPcjNIt8II0NJUS5JUVQ1MTAyMzQ4MC5JUV9DRFNfTUlELjA1LzEwLzI2AQAAAMJF8QECAAAABjcuMTk3NQBfUge2zSLfCLXBPcjNIt8II0NJUS5JUVQ0NjIwNDk1Ny5JUV9DRFNfTUlELjA1LzEwLzI2AQAAACEVBgACAAAABzYyLjA4NzEAEBYIts0i3wi1wT3IzSLfCCNDSVEuSVFUNjIyNzAxMDYuSVFfQ0RTX01JRC4wNS8xMC8yNgEAAACtd4MAAgAAAAc3NC43NTYzAF9S</t>
  </si>
  <si>
    <t>B7bNIt8ItcE9yM0i3wgjQ0lRLklRVDc5NjQwMDI0LklRX0NEU19NSUQuMDQvMTAvMjYBAAAANY+bAQIAAAAHMTMuMTIwNwBfUge2zSLfCJAWScjNIt8IJENJUS5JUVQzMTMzMDU4NzkuSVFfQ0RTX01JRC4wNC8xMC8yNgEAAACE1twBAgAAAAYyLjI5MzkAEBYIts0i3wiDAUrIzSLfCCNDSVEuSVFUNDYyMDA0MTIuSVFfQ0RTX01JRC4wNC8xMC8yNgEAAABjQwYAAgAAAAU1Ni44OQBfUge2zSLfCIMBSsjNIt8II0NJUS5JUVQ0NjIwMzMzMi5JUV9DRFNfTUlELjI3LzA5LzI2AQAAAF8eNwACAAAABTExLjg2AF9SB7bNIt8Ir9xNyM0i3wgjQ0lRLklRVDQ2MjE1MTExLklRX0NEU19NSUQuMjcvMDkvMjYBAAAAoEuyAQIAAAAHMzMuODgxNgBfUge2zSLfCM+JTsjNIt8II0NJUS5JUVQ0NjIyNjEzMi5JUV9DRFNfTUlELjI3LzA5LzI2AQAAAN1ZAAACAAAABjU4LjYzOQDU2s61zSLfCM+JTsjNIt8IJENJUS5JUVQzMTMzMTM1MjQuSVFfQ0RTX01JRC4yNy8wOS8yNgEAAADvVQ0AAgAAAAc1NC44Mzc4AF9SB7bNIt8ITUlPyM0i3wgjQ0lRLklRVDc5NjM5OTEzLklRX0NEU19NSUQuMjYvMDkvMjYBAAAAIGMcAgIAAAAFOC43NjUAX1IHts0i3whNSU/IzSLfCCNDSVEuSVFUNDYyMDc4NzIuSVFfQ0RTX01JRC4yNi8wOS8yNgEAAABYDQoAAgAAAAc0Mi4wODQ2ABAWCLbNIt8ITUlPyM0i3wgjQ0lRLklRVDQ2MjAwMzE3</t>
  </si>
  <si>
    <t>LklRX0NEU19NSUQuMjYvMDkvMjYBAAAA/lQNAAIAAAAHNjYuOTczOABfUge2zSLfCC4bUMjNIt8IJENJUS5JUVQ2NDQ3MDE3OTcuSVFfQ0RTX01JRC4yNS8wOS8yNgEAAABTP30BAgAAAAcxMS4wMzM0AF9SB7bNIt8Ioi9EyM0i3wgjQ0lRLklRVDQ2MjE2OTg2LklRX0NEU19NSUQuMjUvMDkvMjYBAAAAzkQ4AQMAAAAAABAWCLbNIt8Ioi9EyM0i3wgkQ0lRLklRVDI1NDk1NTIzMy5JUV9DRFNfTUlELjI1LzA5LzI2AQAAADlWCgACAAAABzQ3LjAzMzUAX1IHts0i3whJZUXIzSLfCCRDSVEuSVFUMzEzMzEwMTg0LklRX0NEU19NSUQuMDUvMTAvMjYBAAAAYEQ+AAIAAAAHMTIuNDA5OQBfUge2zSLfCLXBPcjNIt8II0NJUS5JUVQ0NjIxNDg3OS5JUV9DRFNfTUlELjA1LzEwLzI2AQAAAPUaNwACAAAABzU2LjgzMzgAX1IHts0i3wi1wT3IzSLfCCNDSVEuSVFUNDY0NzA4NzcuSVFfQ0RTX01JRC4wNS8xMC8yNgEAAABCNwcAAgAAAAc2NC4yNjc1ABAWCLbNIt8ItcE9yM0i3wgkQ0lRLklRVDMxMzMxMDg1NC5JUV9DRFNfTUlELjA1LzEwLzI2AQAAAK9UDQACAAAABzY0LjM4NjcAX1IHts0i3wi1wT3IzSLfCCNDSVEuSVFUNDYyMTQ5NTQuSVFfQ0RTX01JRC4wNC8xMC8yNgEAAAA6PTkBAgAAAAcyMi42MzI2AF9SB7bNIt8IkBZJyM0i3wgjQ0lRLklRVDQ2MjA4NjM0LklRX0NEU19NSUQuMDQvMTAvMjYBAAAAAx/C</t>
  </si>
  <si>
    <t>AAIAAAAHMjQuMjUxNgAQFgi2zSLfCIMBSsjNIt8II0NJUS5JUVQ0NjIyNTA4My5JUV9DRFNfTUlELjA0LzEwLzI2AQAAAFZEBgACAAAABzQzLjg4NzMAX1IHts0i3wiDAUrIzSLfCCNDSVEuSVFUNDYyMDM3MTQuSVFfQ0RTX01JRC4yNy8wOS8yNgEAAABfBTUAAgAAAAY1OC40NjIAX1IHts0i3wiv3E3IzSLfCCNDSVEuSVFUNzk2Mzk5NTMuSVFfQ0RTX01JRC4yNy8wOS8yNgEAAAA0m1YBAgAAAAcyMS4xNzg4AF9SB7bNIt8Iz4lOyM0i3wgkQ0lRLklRVDUyODkzNjgxMi5JUV9DRFNfTUlELjI3LzA5LzI2AQAAAGxbBgACAAAABzUxLjg4NjcA1NrOtc0i3wjPiU7IzSLfCCNDSVEuSVFUNDYyMTA1NjAuSVFfQ0RTX01JRC4wNS8xMC8yNgEAAAD2GjcAAgAAAAgxMDAuOTk4MgBfUge2zSLfCLXBPcjNIt8II0NJUS5JUVQ0NjIxOTkyMi5JUV9DRFNfTUlELjA1LzEwLzI2AQAAANZHOQECAAAABTguOTc1AF9SB7bNIt8ItcE9yM0i3wgjQ0lRLklRVDQ2MjIzNjQ2LklRX0NEU19NSUQuMDUvMTAvMjYBAAAAG3gEAAIAAAAHNTYuNjU4NAAQFgi2zSLfCLXBPcjNIt8IJENJUS5JUVQzMTMzMTQ5NzYuSVFfQ0RTX01JRC4wNS8xMC8yNgEAAABtSgAAAgAAAAc1My44OTU3AF9SB7bNIt8ItcE9yM0i3wgjQ0lRLklRVDQ2MjE4NTE2LklRX0NEU19NSUQuMDQvMTAvMjYBAAAAplWjAQIAAAAHNDQuMTM5MwBfUge2zSLfCJAW</t>
  </si>
  <si>
    <t>ScjNIt8II0NJUS5JUVQ0NjIyMDgwMy5JUV9DRFNfTUlELjA0LzEwLzI2AQAAANbJNgACAAAABjQxLjQ5MgAQFgi2zSLfCIMBSsjNIt8II0NJUS5JUVQ0NjIwMDM2NC5JUV9DRFNfTUlELjA0LzEwLzI2AQAAAFeGCAACAAAABzMwLjM4NDIAX1IHts0i3wiDAUrIzSLfCCNDSVEuSVFUNDYyMDQzMDAuSVFfQ0RTX01JRC4yNy8wOS8yNgEAAAD2JX0AAgAAAAY4LjYwMzgAX1IHts0i3wiv3E3IzSLfCCNDSVEuSVFUNjAzODgwNTcuSVFfQ0RTX01JRC4yNy8wOS8yNgEAAADfyX0BAwAAAAAAX1IHts0i3wjPiU7IzSLfCCNDSVEuSVFUNDYxOTk4NDEuSVFfQ0RTX01JRC4yNy8wOS8yNgEAAADrMAYAAwAAAAAA1NrOtc0i3wjPiU7IzSLfCCRDSVEuSVFUMzEzMzEwMTg0LklRX0NEU19NSUQuMjYvMDkvMjYBAAAAYEQ+AAIAAAAGMTEuNDI0AF9SB7bNIt8ITUlPyM0i3wgjQ0lRLklRVDQ2MjE0ODc5LklRX0NEU19NSUQuMjYvMDkvMjYBAAAA9Ro3AAIAAAAHNTUuMzU4MwBfUge2zSLfCE1JT8jNIt8II0NJUS5JUVQ0NjQ3MDg3Ny5JUV9DRFNfTUlELjI2LzA5LzI2AQAAAEI3BwACAAAABzYyLjU4NjcAEBYIts0i3whNSU/IzSLfCCRDSVEuSVFUMzEzMzEwODU0LklRX0NEU19NSUQuMjYvMDkvMjYBAAAAr1QNAAIAAAAHNjMuMzAyOABfUge2zSLfCC4bUMjNIt8II0NJUS5JUVQ0NjIxNDk1NC5JUV9DRFNfTUlELjI1LzA5</t>
  </si>
  <si>
    <t>LzI2AQAAADo9OQECAAAABTE2LjI1AF9SB7bNIt8Ioi9EyM0i3wgjQ0lRLklRVDQ2MjA4NjM0LklRX0NEU19NSUQuMjUvMDkvMjYBAAAAAx/CAAIAAAAHMjMuMzc4NwAQFgi2zSLfCKIvRMjNIt8II0NJUS5JUVQ0NjIyNTA4My5JUV9DRFNfTUlELjI1LzA5LzI2AQAAAFZEBgACAAAABzM4Ljg3MDcAX1IHts0i3whJZUXIzSLfCCNDSVEuSVFUNDYyMDM3MTQuSVFfQ0RTX01JRC4yNC8wOS8yNgEAAABfBTUAAgAAAAc1Ny4wNTk1AF9SB7bNIt8ISWVFyM0i3wgjQ0lRLklRVDc5NjM5OTUzLklRX0NEU19NSUQuMjQvMDkvMjYBAAAANJtWAQIAAAAEMjEuMQBfUge2zSLfCNYFRsjNIt8IJENJUS5JUVQ1Mjg5MzY4MTIuSVFfQ0RTX01JRC4yNC8wOS8yNgEAAABsWwYAAgAAAAc1MS42NTMzANTazrXNIt8I1gVGyM0i3wgjQ0lRLklRVDQ2MTk3MTM4LklRX0NEU19NSUQuMDMvMTAvMjYBAAAA7pQ4AQIAAAAIMTMyLjc4NjMAX1IHts0i3wi1wT3IzSLfCCNDSVEuSVFUNTEwMjM0ODAuSVFfQ0RTX01JRC4wMy8xMC8yNgEAAADCRfEBAgAAAAY3LjE5NzUAX1IHts0i3wj+ST/IzSLfCCNDSVEuSVFUNDYyMDQ5NTcuSVFfQ0RTX01JRC4wMy8xMC8yNgEAAAAhFQYAAgAAAAc2Mi4wODcxABAWCLbNIt8I/kk/yM0i3wgjQ0lRLklRVDYyMjcwMTA2LklRX0NEU19NSUQuMDMvMTAvMjYBAAAArXeDAAIAAAAHNzQuNzU2MwBfUge2</t>
  </si>
  <si>
    <t>zSLfCP5JP8jNIt8II0NJUS5JUVQ3OTY0MDAyNC5JUV9DRFNfTUlELjAyLzEwLzI2AQAAADWPmwECAAAABzEzLjEyMDcAX1IHts0i3wjI0UDIzSLfCCRDSVEuSVFUMzEzMzA1ODc5LklRX0NEU19NSUQuMDIvMTAvMjYBAAAAhNbcAQIAAAAGMi4yOTM5ABAWCLbNIt8IyNFAyM0i3wgjQ0lRLklRVDQ2MjAwNDEyLklRX0NEU19NSUQuMDIvMTAvMjYBAAAAY0MGAAIAAAAFNTYuODkAX1IHts0i3wgAv0HIzSLfCCNDSVEuSVFUNDYyMDMzMzIuSVFfQ0RTX01JRC4wMS8xMC8yNgEAAABfHjcAAgAAAAQxMi41AF9SB7bNIt8I/kk/yM0i3wgjQ0lRLklRVDQ2MjE1MTExLklRX0NEU19NSUQuMDEvMTAvMjYBAAAAoEuyAQIAAAAHMzUuMjU4MwBfUge2zSLfCP5JP8jNIt8II0NJUS5JUVQ0NjIyNjEzMi5JUV9DRFNfTUlELjAxLzEwLzI2AQAAAN1ZAAACAAAABzY2Ljg3NjgA1NrOtc0i3wj+ST/IzSLfCCRDSVEuSVFUMzEzMzEzNTI0LklRX0NEU19NSUQuMDEvMTAvMjYBAAAA71UNAAIAAAAHNTUuNzk4NABfUge2zSLfCMjRQMjNIt8II0NJUS5JUVQ3OTYzOTkxMy5JUV9DRFNfTUlELjMwLzA5LzI2AQAAACBjHAICAAAABjguOTgyMQBfUge2zSLfCBhQQsjNIt8II0NJUS5JUVQ0NjIwNzg3Mi5JUV9DRFNfTUlELjMwLzA5LzI2AQAAAFgNCgACAAAABzQyLjkwOTMAEBYIts0i3wgYUELIzSLfCCNDSVEuSVFUNDYyMDAzMTcu</t>
  </si>
  <si>
    <t>SVFfQ0RTX01JRC4zMC8wOS8yNgEAAAD+VA0AAgAAAAc2OS44MTk0AF9SB7bNIt8IGFBCyM0i3wgkQ0lRLklRVDY0NDcwMTc5Ny5JUV9DRFNfTUlELjI5LzA5LzI2AQAAAFM/fQECAAAABzEwLjQ4MDQAX1IHts0i3wgYUELIzSLfCCNDSVEuSVFUNDYyMTY5ODYuSVFfQ0RTX01JRC4yOS8wOS8yNgEAAADORDgBAwAAAAAAEBYIts0i3wj+3EPIzSLfCCRDSVEuSVFUMjU0OTU1MjMzLklRX0NEU19NSUQuMjkvMDkvMjYBAAAAOVYKAAIAAAAHNDkuNDgzMgBfUge2zSLfCKIvRMjNIt8II0NJUS5JUVQ0NjE5NjIyNS5JUV9DRFNfTUlELjI4LzA5LzI2AQAAAL5VowECAAAABzIyLjQwMjQAX1IHts0i3wiDAUrIzSLfCCNDSVEuSVFUNTEwMjMyNjAuSVFfQ0RTX01JRC4yOC8wOS8yNgEAAACxEX8BAgAAAAcxNS4wNjI4AF9SB7bNIt8IgwFKyM0i3wgjQ0lRLklRVDQ2MjI0NzQwLklRX0NEU19NSUQuMjgvMDkvMjYBAAAA03IIAAIAAAAHNTIuNjAzOQDU2s61zSLfCIMBSsjNIt8IJENJUS5JUVQzMTMzMTczNDQuSVFfQ0RTX01JRC4yOC8wOS8yNgEAAADxrAEAAgAAAAc2Mi43ODg3AF9SB7bNIt8I1ndLyM0i3wgjQ0lRLklRVDQ2MjAwMjc2LklRX0NEU19NSUQuMjMvMDkvMjYBAAAAlnd8AQIAAAAHMzIuMzI5OABfUge2zSLfCNf0RsjNIt8II0NJUS5JUVQ0NjE5NTQ5MS5JUV9DRFNfTUlELjIzLzA5LzI2AQAAAGlKAAAC</t>
  </si>
  <si>
    <t>AAAABzU3LjkwMDIAEBYIts0i3wjX9EbIzSLfCCNDSVEuSVFUNzk2MzQ5MDEuSVFfQ0RTX01JRC4yMy8wOS8yNgEAAACcBhAAAgAAAAc1Mi40NTQ0AF9SB7bNIt8I1/RGyM0i3wgjQ0lRLklRVDQ2MjA3NTcxLklRX0NEU19NSUQuMjIvMDkvMjYBAAAAbe81AAIAAAAHMzkuMTY5OABfUge2zSLfCGlxSMjNIt8II0NJUS5JUVQ0NjIxMzQ3Mi5JUV9DRFNfTUlELjIyLzA5LzI2AQAAALlaOAACAAAABzE2LjE2NTUAEBYIts0i3whpcUjIzSLfCCRDSVEuSVFUMjYzMjEzMTMyLklRX0NEU19NSUQuMjIvMDkvMjYBAAAA4ZoIAAIAAAAHNTguNjgyMgBfUge2zSLfCJAWScjNIt8II0NJUS5JUVQ0NjE5NDk5NS5JUV9DRFNfTUlELjIxLzA5LzI2AQAAAG4QMQACAAAABDEyLjQAX1IHts0i3wjWd0vIzSLfCCNDSVEuSVFUNDYyMjIyOTIuSVFfQ0RTX01JRC4yMS8wOS8yNgEAAADRkZsBAgAAAAg3NTMuMDI0OQBfUge2zSLfCNZ3S8jNIt8II0NJUS5JUVQ0NjIyNTAwNi5JUV9DRFNfTUlELjIxLzA5LzI2AQAAAPhVDQACAAAABzUwLjk1OTIA1NrOtc0i3wjWd0vIzSLfCCNDSVEuSVFUNDYyMjAzMjkuSVFfQ0RTX01JRC4yMS8wOS8yNgEAAADbWwAAAgAAAAc2MC4wMDgyAF9SB7bNIt8I1ndLyM0i3wgjQ0lRLklRVDQ2MjYyMzc4LklRX0NEU19NSUQuMDUvMDcvMjYBAAAAQNKJAQIAAAAGMTcuODc1AF9SB7bNIt8I5gdNyM0i</t>
  </si>
  <si>
    <t>3wgjQ0lRLklRVDQ2MTk3Njk0LklRX0NEU19NSUQuMDUvMDcvMjYBAAAAB/oFAAIAAAAHNTEuNzU0MwAQFgi2zSLfCOYHTcjNIt8II0NJUS5JUVQ2MjI3MDEwNy5JUV9DRFNfTUlELjA1LzA3LzI2AQAAABVZAAACAAAABzQxLjA1MTIAX1IHts0i3wiv3E3IzSLfCCNDSVEuSVFUNDYyMDczMDguSVFfQ0RTX01JRC4wNS8xMC8yNQEAAAA5iXoBAgAAAAQxNi41AF9SB7bNIt8I70VQyM0i3wgjQ0lRLklRVDQ2MjEwMDMyLklRX0NEU19NSUQuMDUvMTAvMjUBAAAAj1WjAQIAAAAHNDAuODk2NQAQFgi2zSLfCO9FUMjNIt8II0NJUS5JUVQ0NjIyNTM3NC5JUV9DRFNfTUlELjA1LzEwLzI1AQAAALXWBQACAAAABjQ4LjAyNABfUge2zSLfCO9FUMjNIt8II0NJUS5JUVQ0NjIxNjk4Ni5JUV9DRFNfTUlELjIyLzA5LzI2AQAAAM5EOAEDAAAAAAAQFgi2zSLfCGlxSMjNIt8IJENJUS5JUVQyNTQ5NTUyMzMuSVFfQ0RTX01JRC4yMi8wOS8yNgEAAAA5VgoAAgAAAAc0NC42NTc5AF9SB7bNIt8IkBZJyM0i3wgjQ0lRLklRVDUxMDIzMjYwLklRX0NEU19NSUQuMjEvMDkvMjYBAAAAsRF/AQIAAAAHMTUuODMwOQBfUge2zSLfCNZ3S8jNIt8IJENJUS5JUVQzMTMzMTczNDQuSVFfQ0RTX01JRC4yMS8wOS8yNgEAAADxrAEAAgAAAAY2My41NDcAX1IHts0i3wjWd0vIzSLfCCNDSVEuSVFUNDYyMDAyNzYuSVFfQ0RTX01JRC4wNS8w</t>
  </si>
  <si>
    <t>Ny8yNgEAAACWd3wBAgAAAAcyNi40MjI5AF9SB7bNIt8I5gdNyM0i3wgjQ0lRLklRVDc5NjM0OTAxLklRX0NEU19NSUQuMDUvMDcvMjYBAAAAnAYQAAIAAAAHNDMuMjM2OQBfUge2zSLfCK/cTcjNIt8II0NJUS5JUVQ0NjIwNzU3MS5JUV9DRFNfTUlELjA1LzEwLzI1AQAAAG3vNQACAAAABzM4LjU2MjUAX1IHts0i3wjvRVDIzSLfCCNDSVEuSVFUNDYyMTM0NzIuSVFfQ0RTX01JRC4wNS8xMC8yNQEAAAC5WjgAAgAAAAcxMy45NjA1ABAWCLbNIt8I70VQyM0i3wgjQ0lRLklRVDQ2MTk0OTk1LklRX0NEU19NSUQuMDUvMTAvMjYBAAAAbhAxAAIAAAAHMTYuODUzNQBfUge2zSLfCLXBPcjNIt8II0NJUS5JUVQ0NjI2MjM3OC5JUV9DRFNfTUlELjA0LzEwLzI2AQAAAEDSiQECAAAABzI2Ljc5ODMAX1IHts0i3wiQFknIzSLfCCNDSVEuSVFUNDYxOTc2OTQuSVFfQ0RTX01JRC4wNC8xMC8yNgEAAAAH+gUAAgAAAAc2MS44NTcxABAWCLbNIt8IgwFKyM0i3wgjQ0lRLklRVDYyMjcwMTA3LklRX0NEU19NSUQuMDQvMTAvMjYBAAAAFVkAAAIAAAAHNDUuMjgwNQBfUge2zSLfCIMBSsjNIt8II0NJUS5JUVQ0NjIwNzMwOC5JUV9DRFNfTUlELjI3LzA5LzI2AQAAADmJegECAAAABjE1LjY2OABfUge2zSLfCK/cTcjNIt8II0NJUS5JUVQ0NjIyNTM3NC5JUV9DRFNfTUlELjI3LzA5LzI2AQAAALXWBQACAAAABzQzLjQ5MjcA</t>
  </si>
  <si>
    <t>1NrOtc0i3wjPiU7IzSLfCCNDSVEuSVFUNDk3NTExOTYuSVFfQ0RTX01JRC4yNi8wOS8yNgEAAADNmb0AAgAAAAYzNy45MTUAX1IHts0i3whNSU/IzSLfCCNDSVEuSVFUNDYyMDY3NzkuSVFfQ0RTX01JRC4yNS8wOS8yNgEAAAD87zYAAgAAAAcxOC42NTY3AF9SB7bNIt8Ioi9EyM0i3wgjQ0lRLklRVDQ2MjE4Njc0LklRX0NEU19NSUQuMjUvMDkvMjYBAAAAV8o2AAIAAAAIMTI5LjYwMzgAEBYIts0i3wiiL0TIzSLfCCNDSVEuSVFUNDYyMjU3MTUuSVFfQ0RTX01JRC4yNS8wOS8yNgEAAAC35QQAAgAAAAc0My4yNzA3AF9SB7bNIt8ISWVFyM0i3wgjQ0lRLklRVDQ2MjA0ODg0LklRX0NEU19NSUQuMjQvMDkvMjYBAAAAgVHAAQIAAAAHMzUuMjQ0NQBfUge2zSLfCEllRcjNIt8II0NJUS5JUVQ0NjIwNzc4OS5JUV9DRFNfTUlELjI0LzA5LzI2AQAAACpYowECAAAABzI0LjEyMTQAX1IHts0i3wjWBUbIzSLfCCRDSVEuSVFUMjg2MDk2MTMxLklRX0NEU19NSUQuMjQvMDkvMjYBAAAAO/EEAAIAAAAHNjQuNDQ0OADU2s61zSLfCNYFRsjNIt8II0NJUS5JUVQ0NjIxMDU2MC5JUV9DRFNfTUlELjAzLzEwLzI2AQAAAPYaNwACAAAACDEwMC45OTgyAF9SB7bNIt8ItcE9yM0i3wgjQ0lRLklRVDQ2MjIzNjQ2LklRX0NEU19NSUQuMDMvMTAvMjYBAAAAG3gEAAIAAAAHNTYuNjU4NAAQFgi2zSLfCP5JP8jNIt8II0NJUS5J</t>
  </si>
  <si>
    <t>UVQ0NjIyMDgwMy5JUV9DRFNfTUlELjAyLzEwLzI2AQAAANbJNgACAAAABjQxLjQ5MgAQFgi2zSLfCMjRQMjNIt8II0NJUS5JUVQ0NjIwMDM2NC5JUV9DRFNfTUlELjAyLzEwLzI2AQAAAFeGCAACAAAABzMwLjM4NDIAX1IHts0i3wgAv0HIzSLfCCNDSVEuSVFUNDYyMDQzMDAuSVFfQ0RTX01JRC4wMS8xMC8yNgEAAAD2JX0AAgAAAAUxMC43MwBfUge2zSLfCP5JP8jNIt8II0NJUS5JUVQ2MDM4ODA1Ny5JUV9DRFNfTUlELjAxLzEwLzI2AQAAAN/JfQEDAAAAAABfUge2zSLfCP5JP8jNIt8II0NJUS5JUVQ0NjIxNDg3OS5JUV9DRFNfTUlELjMwLzA5LzI2AQAAAPUaNwACAAAABzU1LjE0NDUAX1IHts0i3wgYUELIzSLfCCNDSVEuSVFUNDY0NzA4NzcuSVFfQ0RTX01JRC4zMC8wOS8yNgEAAABCNwcAAgAAAAc2My44MDA1ABAWCLbNIt8IGFBCyM0i3wgkQ0lRLklRVDMxMzMxMDg1NC5JUV9DRFNfTUlELjMwLzA5LzI2AQAAAK9UDQACAAAABzY0LjMzMjMAX1IHts0i3wgYUELIzSLfCCNDSVEuSVFUNDYyMTQ5NTQuSVFfQ0RTX01JRC4yOS8wOS8yNgEAAAA6PTkBAgAAAAcxNy44OTU3AF9SB7bNIt8IGFBCyM0i3wgjQ0lRLklRVDQ2MjA4NjM0LklRX0NEU19NSUQuMjkvMDkvMjYBAAAAAx/CAAIAAAAGMjMuNjI1ABAWCLbNIt8I/txDyM0i3wgjQ0lRLklRVDQ2MjI1MDgzLklRX0NEU19NSUQuMjkvMDkvMjYBAAAA</t>
  </si>
  <si>
    <t>VkQGAAIAAAAHNDAuNjg4NQBfUge2zSLfCKIvRMjNIt8II0NJUS5JUVQ0NjIwMzcxNC5JUV9DRFNfTUlELjI4LzA5LzI2AQAAAF8FNQACAAAABzYxLjgzMzgAX1IHts0i3wiDAUrIzSLfCCNDSVEuSVFUNzk2Mzk5NTMuSVFfQ0RTX01JRC4yOC8wOS8yNgEAAAA0m1YBAgAAAAYyMS4zMDkAX1IHts0i3wiDAUrIzSLfCCRDSVEuSVFUNTI4OTM2ODEyLklRX0NEU19NSUQuMjgvMDkvMjYBAAAAbFsGAAIAAAAHNTMuMzkwNQDU2s61zSLfCNZ3S8jNIt8II0NJUS5JUVQ0NjE5NzEzOC5JUV9DRFNfTUlELjIzLzA5LzI2AQAAAO6UOAECAAAACDEyMS41OTYxAF9SB7bNIt8IBqZGyM0i3wgjQ0lRLklRVDUxMDIzNDgwLklRX0NEU19NSUQuMjMvMDkvMjYBAAAAwkXxAQIAAAAGNS41NTY5AF9SB7bNIt8I1/RGyM0i3wgjQ0lRLklRVDQ2MjA0OTU3LklRX0NEU19NSUQuMjMvMDkvMjYBAAAAIRUGAAIAAAAHNTcuNTI4OQAQFgi2zSLfCNf0RsjNIt8II0NJUS5JUVQ0OTc1MTE5Ni5JUV9DRFNfTUlELjA1LzEwLzI2AQAAAM2ZvQACAAAABzQyLjcwNDYAX1IHts0i3wi1wT3IzSLfCCNDSVEuSVFUNjAzODk1MTYuSVFfQ0RTX01JRC4wNS8xMC8yNgEAAACl8MMBAgAAAAY3LjI5MjQAX1IHts0i3wi1wT3IzSLfCCRDSVEuSVFUMzIzNjgwMTMwLklRX0NEU19NSUQuMDUvMTAvMjYBAAAAceECAAIAAAAHNTguNTIxNADU2s61zSLf</t>
  </si>
  <si>
    <t>CLXBPcjNIt8IJENJUS5JUVQzMTMzMTU0MjkuSVFfQ0RTX01JRC4wNS8xMC8yNgEAAAA55wUAAgAAAAY2My44NzkAX1IHts0i3wi1wT3IzSLfCCNDSVEuSVFUNDYyMDY3NzkuSVFfQ0RTX01JRC4wNC8xMC8yNgEAAAD87zYAAgAAAAcyOS4yOTc1AF9SB7bNIt8IkBZJyM0i3wgjQ0lRLklRVDQ2MjE4Njc0LklRX0NEU19NSUQuMDQvMTAvMjYBAAAAV8o2AAIAAAAIMTQzLjY3NzMAEBYIts0i3wiDAUrIzSLfCBtDSVEuSVFUNDYyMDQzMDAuSVFfQ0RTX01JRC4BAAAAplWjAQIAAAAHMzcuNTUxNwAqxCe4zSLfCI6AJ73NIt8IHENJUS5JUVQzMTMzMTM1MjQuSVFfQ0RTX01JRC4BAAAAOj05AQIAAAAHMTYuNjg3NQBujye4zSLfCFF/F73NIt8IHENJUS5JUVQzMTMzMTczNDQuSVFfQ0RTX01JRC4BAAAA71UNAAIAAAAHNTUuOTIyNwBujye4zSLfCFF/F73NIt8IG0NJUS5JUVQ0NjIyMDMyOS5JUV9DRFNfTUlELgEAAACBUcABAgAAAAYzNS42MDgAbo8nuM0i3whNQxi9zSLfCBxDSVEuSVFUMzEzMzE1NDI5LklRX0NEU19NSUQuAQAAAK9UDQACAAAABzY0LjM4NjcAbo8nuM0i3wjWChm9zSLfCBxDSVEuSVFUMzEzMzE0OTc2LklRX0NEU19NSUQuAQAAAN1ZAAACAAAABzU1LjkyMTgAbo8nuM0i3wjWChm9zSLfCBxDSVEuSVFUMzEzMzEwODU0LklRX0NEU19NSUQuAQAAACBjHAICAAAABjkuNDMwNABujye4zSLfCNYK</t>
  </si>
  <si>
    <t>Gb3NIt8IG0NJUS5JUVQ2MjI3MDEwNi5JUV9DRFNfTUlELgEAAAD4VQ0AAgAAAAc2Ny4yMDk4AG6PJ7jNIt8IyM4Zvc0i3wgbQ0lRLklRVDQ2MjAwMzE3LklRX0NEU19NSUQuAQAAACpYowECAAAABzI4LjkzODYAbo8nuM0i3wjIzhm9zSLfCBtDSVEuSVFUNzk2MzQ5MDEuSVFfQ0RTX01JRC4BAAAAOj05AQIAAAAEMTYuOQBujye4zSLfCMjOGb3NIt8IG0NJUS5JUVQ2MjI3MDEwNy5JUV9DRFNfTUlELgEAAABTP30BAgAAAAcxMC45NTcyAHawJ7jNIt8IyM4Zvc0i3wgbQ0lRLklRVDQ2MjI1NzE1LklRX0NEU19NSUQuAQAAADmJegECAAAABjE5LjYyNQB2sCe4zSLfCFHaGr3NIt8IG0NJUS5JUVQ0NjIwMDM2NC5JUV9DRFNfTUlELgEAAABtSgAAAgAAAAc1NS41NDMyAHawJ7jNIt8IZygbvc0i3wgbQ0lRLklRVDQ2MjI1MDgzLklRX0NEU19NSUQuAQAAAGxbBgACAAAABzQ2LjYzNjMAdrAnuM0i3whJYxu9zSLfCBtDSVEuSVFUNDYyMDA0MTIuSVFfQ0RTX01JRC4BAAAA03IIAAIAAAAHNTEuNjA2NwB2sCe4zSLfCIixG73NIt8IHENJUS5JUVQyNTQ5NTUyMzMuSVFfQ0RTX01JRC4BAAAAwkXxAQIAAAAGNS43MjExAHawJ7jNIt8IsP8bvc0i3wgcQ0lRLklRVDI2MzIxMzEzMi5JUV9DRFNfTUlELgEAAAC+VaMBAgAAAAUyNy45NgB2sCe4zSLfCMVNHL3NIt8IG0NJUS5JUVQ0NjIyNTM3NC5JUV9DRFNfTUlELgEA</t>
  </si>
  <si>
    <t>AAAVWQAAAgAAAAc0My40MDU0AHawJ7jNIt8I03Qcvc0i3wgcQ0lRLklRVDI4NjA5NjEzMS5JUV9DRFNfTUlELgEAAAAbeAQAAgAAAAc0OS40MTY3ACrEJ7jNIt8I7pscvc0i3wgbQ0lRLklRVDQ2MTk5ODQxLklRX0NEU19NSUQuAQAAAFZEBgACAAAABzM4Ljg3MDcAKsQnuM0i3wge/hy9zSLfCBxDSVEuSVFUNTI4OTM2ODEyLklRX0NEU19NSUQuAQAAAFgNCgACAAAABjQzLjgyMgAqxCe4zSLfCLxVHb3NIt8IG0NJUS5JUVQ0NjIyNjEzMi5JUV9DRFNfTUlELgEAAADRkZsBAgAAAAg3NTIuNzU0OAAqxCe4zSLfCLqjHb3NIt8IG0NJUS5JUVQ0NjIyNDc0MC5JUV9DRFNfTUlELgEAAADTcggAAgAAAAc0Ni45NzE0ACrEJ7jNIt8I0fEdvc0i3wgbQ0lRLklRVDQ2MjI1MDA2LklRX0NEU19NSUQuAQAAAKXwwwECAAAABjcuMzMwNgAqxCe4zSLfCJMsHr3NIt8IHENJUS5JUVQzMjM2ODAxMzAuSVFfQ0RTX01JRC4BAAAA9iV9AAIAAAAHMTAuMDAzNAAqxCe4zSLfCEVpHr3NIt8IG0NJUS5JUVQ0NjIyMzY0Ni5JUV9DRFNfTUlELgEAAAAVWQAAAgAAAAc0NS4yODA1ACrEJ7jNIt8Iy7gevc0i3wgbQ0lRLklRVDQ2NDcwODc3LklRX0NEU19NSUQuAQAAAFfKNgACAAAACDE0My42NzczACrEJ7jNIt8I1t8evc0i3wgbQ0lRLklRVDQ2MjA0OTU3LklRX0NEU19NSUQuAQAAAAMfwgACAAAABzI0LjI1MTYAKsQnuM0i3wgm</t>
  </si>
  <si>
    <t>Lh+9zSLfCBtDSVEuSVFUNDYyMDc4NzIuSVFfQ0RTX01JRC4BAAAAIGMcAgIAAAAGOC44NDE3ACrEJ7jNIt8IXokfvc0i3wgbQ0lRLklRVDQ2MTk1NDkxLklRX0NEU19NSUQuAQAAADWPmwECAAAABjcuODEyNQAqxCe4zSLfCF6JH73NIt8IG0NJUS5JUVQ0NjE5NzY5NC5JUV9DRFNfTUlELgEAAABXhggAAgAAAAYyNy4wNDUAKsQnuM0i3wjQ7B+9zSLfCBtDSVEuSVFUNDYyMTg2NzQuSVFfQ0RTX01JRC4BAAAAO/EEAAIAAAAHNjQuNzIzMQAqxCe4zSLfCNDsH73NIt8IG0NJUS5JUVQ0NjIyMDgwMy5JUV9DRFNfTUlELgEAAAADH8IAAgAAAAcyMy40MDAyACrEJ7jNIt8I0Owfvc0i3wgbQ0lRLklRVDQ2MjA4NjM0LklRX0NEU19NSUQuAQAAAJwGEAACAAAABzU2LjQ5ODMAKsQnuM0i3whksyC9zSLfCBxDSVEuSVFUMzEzMzA1ODc5LklRX0NEU19NSUQuAQAAAFfKNgACAAAACDEzNC4wNDUxACrEJ7jNIt8IZLMgvc0i3wgbQ0lRLklRVDQ2MjE2OTg2LklRX0NEU19NSUQuAQAAACEVBgACAAAABzYyLjA4NzEAKsQnuM0i3whpYyG9zSLfCBtDSVEuSVFUNDYyMTM0NzIuSVFfQ0RTX01JRC4BAAAA9Ro3AAIAAAAHNTYuODMzOAAqxCe4zSLfCGljIb3NIt8IG0NJUS5JUVQ0NjIxMDAzMi5JUV9DRFNfTUlELgEAAAD2JX0AAgAAAAY4LjYwMzgAKsQnuM0i3wgP7iG9zSLfCBtDSVEuSVFUNDYyMDc3ODkuSVFfQ0RTX01J</t>
  </si>
  <si>
    <t>RC4BAAAArXeDAAIAAAAHNzQuNzU2MwAqxCe4zSLfCA/uIb3NIt8IG0NJUS5JUVQ2MDM4ODA1Ny5JUV9DRFNfTUlELgEAAACcBhAAAgAAAAc1Mi40NTQ0ACrEJ7jNIt8ID+4hvc0i3wgbQ0lRLklRVDc5NjM5OTUzLklRX0NEU19NSUQuAQAAALERfwECAAAABzE1LjgzMDkAKsQnuM0i3wgP7iG9zSLfCBtDSVEuSVFUNDYyMTUxMTEuSVFfQ0RTX01JRC4BAAAAgVHAAQIAAAAHMzUuMjQ0NQAqxCe4zSLfCJbwIr3NIt8IG0NJUS5JUVQ1MTAyMzI2MC5JUV9DRFNfTUlELgEAAAA0m1YBAgAAAAYyMS4zMDkAKsQnuM0i3wiW8CK9zSLfCBtDSVEuSVFUNDYyMjIyOTIuSVFfQ0RTX01JRC4BAAAA1sk2AAIAAAAHNDAuMTMxNAAqxCe4zSLfCJbwIr3NIt8IG0NJUS5JUVQ2MDM4OTUxNi5JUV9DRFNfTUlELgEAAADCRfEBAgAAAAY2LjExMDcAKsQnuM0i3wictiO9zSLfCBtDSVEuSVFUNDYyMTk5MjIuSVFfQ0RTX01JRC4BAAAAaUoAAAIAAAAHNTQuOTcxMwAqxCe4zSLfCJy2I73NIt8IG0NJUS5JUVQ0NjIxNDg3OS5JUV9DRFNfTUlELgEAAADTcggAAgAAAAc2Mi4zNTkxACrEJ7jNIt8InLYjvc0i3wgbQ0lRLklRVDUxMDIzNDgwLklRX0NEU19NSUQuAQAAAPGsAQACAAAABzYyLjg4MzYAKsQnuM0i3whYfCS9zSLfCBtDSVEuSVFUNzk2Mzk5MTMuSVFfQ0RTX01JRC4BAAAAtdYFAAIAAAAHNDguNjgxMwAqxCe4zSLfCFh8</t>
  </si>
  <si>
    <t>JL3NIt8IG0NJUS5JUVQ0NjIwMDI3Ni5JUV9DRFNfTUlELgEAAADWyTYAAgAAAAQ0MS43ACrEJ7jNIt8IWHwkvc0i3wgbQ0lRLklRVDQ2MjYyMzc4LklRX0NEU19NSUQuAQAAAJwGEAACAAAABzU2LjQ5ODMAKsQnuM0i3whUQSW9zSLfCBtDSVEuSVFUNDYyMDY3NzkuSVFfQ0RTX01JRC4BAAAAt+UEAAIAAAAHNDEuODExNgAqxCe4zSLfCFRBJb3NIt8IG0NJUS5JUVQ0NjIxODUxNi5JUV9DRFNfTUlELgEAAACgS7IBAgAAAAczMy44ODE2ACrEJ7jNIt8IMAUmvc0i3wgbQ0lRLklRVDQ2MjE0OTU0LklRX0NEU19NSUQuAQAAADnnBQACAAAABzYzLjg3NzMAKsQnuM0i3wgwBSa9zSLfCBtDSVEuSVFUNzk2NDAwMjQuSVFfQ0RTX01JRC4BAAAAOecFAAIAAAAHNjIuNzQ5NAAqxCe4zSLfCDAFJr3NIt8IHENJUS5JUVQ2NDQ3MDE3OTcuSVFfQ0RTX01JRC4BAAAA9iV9AAIAAAAGOS4xMTY4ACrEJ7jNIt8IMAUmvc0i3wgbQ0lRLklRVDQ2MjA3NTcxLklRX0NEU19NSUQuAQAAABVZAAACAAAABzI4Ljk1NzEAKsQnuM0i3wjiyya9zSLfCBtDSVEuSVFUNDYyMDczMDguSVFfQ0RTX01JRC4BAAAAB/oFAAIAAAAHNTYuMzYwMgAqxCe4zSLfCOLLJr3NIt8IG0NJUS5JUVQ0NjIwNDg4NC5JUV9DRFNfTUlELgEAAACvVA0AAgAAAAc2Mi45Njk0ACrEJ7jNIt8IjoAnvc0i3wgbQ0lRLklRVDQ2MTk3MTM4LklRX0NEU19NSUQu</t>
  </si>
  <si>
    <t>AQAAAPGsAQACAAAABzYxLjQ4NDIAdaZMus0i3whQ0ym9zSLfCBxDSVEuSVFUMzEzMzEwMTg0LklRX0NEU19NSUQuAQAAANtbAAACAAAABDYwLjUAdaZMus0i3wi/Mym9zSLfCBtDSVEuSVFUNDYyMTA1NjAuSVFfQ0RTX01JRC4BAAAAOecFAAIAAAAGNjMuODc5AHWmTLrNIt8IvzMpvc0i3wgbQ0lRLklRVDQ5NzUxMTk2LklRX0NEU19NSUQuAQAAAG1KAAACAAAABzUzLjg5NTcAdaZMus0i3wi/Mym9zSLfCBtDSVEuSVFUNDYxOTQ5OTUuSVFfQ0RTX01JRC4BAAAAr1QNAAIAAAAHNjQuMzg2NwB1pky6zSLfCHtGKL3NIt8IG0NJUS5JUVQ0NjE5NjIyNS5JUV9DRFNfTUlELgEAAACtd4MAAgAAAAc3NC43NTYzAHWmTLrNIt8Ie0Yovc0i3wgbQ0lRLklRVDQ2MjAzMzMyLklRX0NEU19NSUQuAQAAAP5UDQACAAAABzcwLjIwNDYAdaZMus0i3wh7Rii9zSLfCBtDSVEuSVFUNDYyMDM3MTQuSVFfQ0RTX01JRC4BAAAAnAYQAAIAAAAHNTYuNDk4MwB1pky6zSLfCI6AJ73NIt8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</si>
</sst>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\+0;\-0;&quot;-&quot;"/>
    <numFmt numFmtId="165" formatCode="#,##0.0;\-#,##0.0;&quot;-&quot;"/>
    <numFmt numFmtId="166" formatCode="\+0.0%;\-0.0%;&quot;-&quot;"/>
    <numFmt numFmtId="167" formatCode="#,##0.0_ ;\-#,##0.0\ "/>
    <numFmt numFmtId="168" formatCode="#,##0.000_ ;\-#,##0.000\ "/>
    <numFmt numFmtId="169" formatCode="0.0;[Red]\(0.0\);\-"/>
    <numFmt numFmtId="170" formatCode="0.0%;[Red]\(0.0%\);\-"/>
  </numFmts>
  <fonts count="30">
    <font>
      <sz val="11"/>
      <color theme="1"/>
      <name val="Aptos Narrow"/>
      <family val="2"/>
      <scheme val="minor"/>
    </font>
    <font>
      <sz val="9"/>
      <color rgb="FF000000"/>
      <name val="Arial"/>
      <family val="2"/>
    </font>
    <font>
      <b/>
      <sz val="8"/>
      <color rgb="FF333333"/>
      <name val="Arial"/>
      <family val="2"/>
    </font>
    <font>
      <sz val="8"/>
      <color rgb="FF000000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  <font>
      <i/>
      <sz val="8"/>
      <color rgb="FF333333"/>
      <name val="Arial"/>
      <family val="2"/>
    </font>
    <font>
      <i/>
      <sz val="9"/>
      <color rgb="FFFFFFFF"/>
      <name val="Arial"/>
      <family val="2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sz val="10"/>
      <color rgb="FF14181F"/>
      <name val="Aptos Narrow"/>
      <family val="2"/>
      <scheme val="minor"/>
    </font>
    <font>
      <sz val="8"/>
      <color rgb="FF000000"/>
      <name val="Verdana"/>
      <family val="2"/>
    </font>
    <font>
      <sz val="12"/>
      <color theme="1"/>
      <name val="Tahoma"/>
      <family val="2"/>
    </font>
    <font>
      <b/>
      <sz val="12"/>
      <color theme="0"/>
      <name val="Tahoma"/>
      <family val="2"/>
    </font>
    <font>
      <sz val="11"/>
      <color rgb="FF14181F"/>
      <name val="Aptos Narrow"/>
      <family val="2"/>
      <scheme val="minor"/>
    </font>
    <font>
      <sz val="8"/>
      <color theme="1"/>
      <name val="Arial"/>
      <family val="2"/>
    </font>
    <font>
      <sz val="11"/>
      <color rgb="FF000000"/>
      <name val="Verdana"/>
      <family val="2"/>
    </font>
    <font>
      <sz val="5"/>
      <color rgb="FF000000"/>
      <name val="Verdana"/>
      <family val="2"/>
    </font>
    <font>
      <sz val="11"/>
      <color theme="1"/>
      <name val="Aptos Narrow"/>
      <family val="2"/>
      <scheme val="minor"/>
    </font>
    <font>
      <b/>
      <sz val="10"/>
      <color rgb="FF333333"/>
      <name val="Arial"/>
      <family val="2"/>
    </font>
    <font>
      <b/>
      <sz val="10"/>
      <color theme="1"/>
      <name val="Arial"/>
      <family val="2"/>
    </font>
    <font>
      <b/>
      <sz val="11"/>
      <color rgb="FF000000"/>
      <name val="Arial"/>
      <family val="2"/>
    </font>
    <font>
      <b/>
      <sz val="11"/>
      <color theme="1"/>
      <name val="Arial Unicode MS"/>
    </font>
    <font>
      <sz val="11"/>
      <name val="Carlito"/>
    </font>
    <font>
      <sz val="11"/>
      <color rgb="FF0000FF"/>
      <name val="Carlito"/>
    </font>
    <font>
      <sz val="11"/>
      <color rgb="FF000000"/>
      <name val="Carlito"/>
    </font>
    <font>
      <b/>
      <sz val="11"/>
      <color rgb="FF17365D"/>
      <name val="Carlito"/>
    </font>
    <font>
      <b/>
      <sz val="11"/>
      <color rgb="FFFFFFFF"/>
      <name val="Carlito"/>
    </font>
    <font>
      <b/>
      <sz val="11"/>
      <name val="Carlito"/>
    </font>
    <font>
      <b/>
      <sz val="15"/>
      <color rgb="FFFFFFFF"/>
      <name val="Carlito"/>
    </font>
  </fonts>
  <fills count="23">
    <fill>
      <patternFill patternType="none"/>
    </fill>
    <fill>
      <patternFill patternType="gray125"/>
    </fill>
    <fill>
      <patternFill patternType="solid">
        <fgColor rgb="FFF2F2F2"/>
      </patternFill>
    </fill>
    <fill>
      <patternFill patternType="solid">
        <fgColor rgb="FF1F5C6B"/>
      </patternFill>
    </fill>
    <fill>
      <patternFill patternType="solid">
        <fgColor rgb="FF4AA8B8"/>
      </patternFill>
    </fill>
    <fill>
      <patternFill patternType="solid">
        <fgColor rgb="FF2F4F7F"/>
      </patternFill>
    </fill>
    <fill>
      <patternFill patternType="solid">
        <fgColor rgb="FFDCE9F5"/>
      </patternFill>
    </fill>
    <fill>
      <patternFill patternType="solid">
        <fgColor rgb="FFFFFFFF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21596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474"/>
        <bgColor indexed="64"/>
      </patternFill>
    </fill>
    <fill>
      <patternFill patternType="solid">
        <fgColor rgb="FFFFC6C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F2CC"/>
      </patternFill>
    </fill>
    <fill>
      <patternFill patternType="solid">
        <fgColor rgb="FFD9EAF7"/>
      </patternFill>
    </fill>
    <fill>
      <patternFill patternType="solid">
        <fgColor rgb="FFFCE4D6"/>
      </patternFill>
    </fill>
    <fill>
      <patternFill patternType="solid">
        <fgColor rgb="FF4472C4"/>
      </patternFill>
    </fill>
    <fill>
      <patternFill patternType="solid">
        <fgColor rgb="FF17365D"/>
      </patternFill>
    </fill>
    <fill>
      <patternFill patternType="solid">
        <fgColor theme="3" tint="0.89999084444715716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rgb="FF215968"/>
      </left>
      <right style="thin">
        <color rgb="FF215968"/>
      </right>
      <top/>
      <bottom/>
      <diagonal/>
    </border>
    <border>
      <left style="thin">
        <color rgb="FF215968"/>
      </left>
      <right style="thin">
        <color rgb="FF215968"/>
      </right>
      <top style="thin">
        <color rgb="FF215968"/>
      </top>
      <bottom style="thin">
        <color rgb="FF215968"/>
      </bottom>
      <diagonal/>
    </border>
  </borders>
  <cellStyleXfs count="3">
    <xf numFmtId="0" fontId="0" fillId="0" borderId="0"/>
    <xf numFmtId="9" fontId="18" fillId="0" borderId="0" applyFont="0" applyFill="0" applyBorder="0" applyAlignment="0" applyProtection="0"/>
    <xf numFmtId="0" fontId="23" fillId="0" borderId="0"/>
  </cellStyleXfs>
  <cellXfs count="82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5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165" fontId="1" fillId="6" borderId="1" xfId="0" applyNumberFormat="1" applyFont="1" applyFill="1" applyBorder="1" applyAlignment="1">
      <alignment horizontal="center" vertical="center"/>
    </xf>
    <xf numFmtId="166" fontId="1" fillId="6" borderId="1" xfId="0" applyNumberFormat="1" applyFont="1" applyFill="1" applyBorder="1" applyAlignment="1">
      <alignment horizontal="center" vertical="center"/>
    </xf>
    <xf numFmtId="0" fontId="1" fillId="7" borderId="1" xfId="0" applyFont="1" applyFill="1" applyBorder="1" applyAlignment="1">
      <alignment horizontal="left" vertical="center"/>
    </xf>
    <xf numFmtId="0" fontId="8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9" fillId="0" borderId="0" xfId="0" applyFont="1" applyAlignment="1">
      <alignment vertical="center" wrapText="1"/>
    </xf>
    <xf numFmtId="0" fontId="8" fillId="0" borderId="0" xfId="0" applyFont="1"/>
    <xf numFmtId="166" fontId="1" fillId="8" borderId="1" xfId="0" applyNumberFormat="1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left" vertical="center"/>
    </xf>
    <xf numFmtId="0" fontId="7" fillId="8" borderId="1" xfId="0" applyFont="1" applyFill="1" applyBorder="1" applyAlignment="1">
      <alignment horizontal="left" vertical="center"/>
    </xf>
    <xf numFmtId="0" fontId="9" fillId="0" borderId="0" xfId="0" applyFont="1"/>
    <xf numFmtId="0" fontId="10" fillId="0" borderId="0" xfId="0" applyFont="1" applyAlignment="1">
      <alignment vertical="center"/>
    </xf>
    <xf numFmtId="165" fontId="1" fillId="8" borderId="1" xfId="0" applyNumberFormat="1" applyFont="1" applyFill="1" applyBorder="1" applyAlignment="1">
      <alignment horizontal="center" vertical="center"/>
    </xf>
    <xf numFmtId="0" fontId="0" fillId="0" borderId="0" xfId="0" applyAlignment="1">
      <alignment horizontal="left" vertical="center" indent="1"/>
    </xf>
    <xf numFmtId="0" fontId="9" fillId="0" borderId="0" xfId="0" applyFont="1" applyAlignment="1">
      <alignment vertical="center"/>
    </xf>
    <xf numFmtId="0" fontId="11" fillId="0" borderId="0" xfId="0" applyFont="1"/>
    <xf numFmtId="0" fontId="12" fillId="0" borderId="3" xfId="0" applyFont="1" applyBorder="1"/>
    <xf numFmtId="0" fontId="12" fillId="0" borderId="4" xfId="0" applyFont="1" applyBorder="1"/>
    <xf numFmtId="0" fontId="13" fillId="9" borderId="0" xfId="0" applyFont="1" applyFill="1"/>
    <xf numFmtId="0" fontId="12" fillId="0" borderId="0" xfId="0" applyFont="1"/>
    <xf numFmtId="14" fontId="0" fillId="0" borderId="0" xfId="0" applyNumberFormat="1"/>
    <xf numFmtId="165" fontId="14" fillId="0" borderId="0" xfId="0" applyNumberFormat="1" applyFont="1" applyAlignment="1">
      <alignment vertical="center"/>
    </xf>
    <xf numFmtId="167" fontId="14" fillId="0" borderId="0" xfId="0" applyNumberFormat="1" applyFont="1" applyAlignment="1">
      <alignment vertical="center"/>
    </xf>
    <xf numFmtId="167" fontId="0" fillId="0" borderId="0" xfId="0" applyNumberFormat="1"/>
    <xf numFmtId="168" fontId="0" fillId="0" borderId="0" xfId="0" applyNumberFormat="1"/>
    <xf numFmtId="1" fontId="1" fillId="6" borderId="1" xfId="0" applyNumberFormat="1" applyFont="1" applyFill="1" applyBorder="1" applyAlignment="1">
      <alignment horizontal="center" vertical="center"/>
    </xf>
    <xf numFmtId="1" fontId="1" fillId="6" borderId="2" xfId="0" applyNumberFormat="1" applyFont="1" applyFill="1" applyBorder="1" applyAlignment="1">
      <alignment horizontal="center" vertical="center"/>
    </xf>
    <xf numFmtId="1" fontId="1" fillId="8" borderId="1" xfId="0" applyNumberFormat="1" applyFont="1" applyFill="1" applyBorder="1" applyAlignment="1">
      <alignment horizontal="center" vertical="center"/>
    </xf>
    <xf numFmtId="1" fontId="1" fillId="8" borderId="2" xfId="0" applyNumberFormat="1" applyFont="1" applyFill="1" applyBorder="1" applyAlignment="1">
      <alignment horizontal="center" vertical="center"/>
    </xf>
    <xf numFmtId="164" fontId="3" fillId="10" borderId="1" xfId="0" applyNumberFormat="1" applyFont="1" applyFill="1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2" fillId="2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" fillId="2" borderId="0" xfId="0" applyFont="1" applyFill="1" applyAlignment="1">
      <alignment horizontal="left" vertical="center"/>
    </xf>
    <xf numFmtId="0" fontId="19" fillId="2" borderId="1" xfId="0" applyFont="1" applyFill="1" applyBorder="1" applyAlignment="1">
      <alignment horizontal="left" vertical="center"/>
    </xf>
    <xf numFmtId="0" fontId="20" fillId="0" borderId="0" xfId="0" applyFont="1" applyAlignment="1">
      <alignment horizontal="left"/>
    </xf>
    <xf numFmtId="164" fontId="3" fillId="10" borderId="2" xfId="0" applyNumberFormat="1" applyFont="1" applyFill="1" applyBorder="1" applyAlignment="1">
      <alignment horizontal="center" vertical="center"/>
    </xf>
    <xf numFmtId="164" fontId="3" fillId="11" borderId="1" xfId="0" applyNumberFormat="1" applyFont="1" applyFill="1" applyBorder="1" applyAlignment="1">
      <alignment horizontal="center" vertical="center"/>
    </xf>
    <xf numFmtId="0" fontId="3" fillId="11" borderId="1" xfId="0" applyFont="1" applyFill="1" applyBorder="1" applyAlignment="1">
      <alignment horizontal="center" vertical="center"/>
    </xf>
    <xf numFmtId="0" fontId="15" fillId="0" borderId="0" xfId="0" applyFont="1"/>
    <xf numFmtId="9" fontId="8" fillId="13" borderId="0" xfId="1" applyFont="1" applyFill="1" applyAlignment="1">
      <alignment horizontal="left"/>
    </xf>
    <xf numFmtId="9" fontId="21" fillId="12" borderId="0" xfId="1" applyFont="1" applyFill="1" applyBorder="1" applyAlignment="1">
      <alignment horizontal="left" vertical="center"/>
    </xf>
    <xf numFmtId="9" fontId="22" fillId="12" borderId="0" xfId="1" applyFont="1" applyFill="1" applyAlignment="1">
      <alignment horizontal="left" vertical="center"/>
    </xf>
    <xf numFmtId="9" fontId="22" fillId="13" borderId="0" xfId="1" applyFont="1" applyFill="1" applyAlignment="1">
      <alignment horizontal="left" vertical="center"/>
    </xf>
    <xf numFmtId="0" fontId="23" fillId="0" borderId="0" xfId="2"/>
    <xf numFmtId="0" fontId="23" fillId="0" borderId="0" xfId="2" applyAlignment="1">
      <alignment horizontal="center"/>
    </xf>
    <xf numFmtId="169" fontId="23" fillId="0" borderId="0" xfId="2" applyNumberFormat="1" applyAlignment="1">
      <alignment horizontal="right"/>
    </xf>
    <xf numFmtId="170" fontId="24" fillId="17" borderId="0" xfId="2" applyNumberFormat="1" applyFont="1" applyFill="1" applyAlignment="1">
      <alignment horizontal="right"/>
    </xf>
    <xf numFmtId="169" fontId="24" fillId="17" borderId="0" xfId="2" applyNumberFormat="1" applyFont="1" applyFill="1" applyAlignment="1">
      <alignment horizontal="right"/>
    </xf>
    <xf numFmtId="0" fontId="24" fillId="0" borderId="0" xfId="2" applyFont="1"/>
    <xf numFmtId="0" fontId="25" fillId="0" borderId="0" xfId="2" applyFont="1" applyAlignment="1">
      <alignment horizontal="center"/>
    </xf>
    <xf numFmtId="169" fontId="25" fillId="0" borderId="0" xfId="2" applyNumberFormat="1" applyFont="1" applyAlignment="1">
      <alignment horizontal="right"/>
    </xf>
    <xf numFmtId="0" fontId="23" fillId="15" borderId="0" xfId="2" applyFill="1"/>
    <xf numFmtId="0" fontId="23" fillId="19" borderId="0" xfId="2" applyFill="1"/>
    <xf numFmtId="0" fontId="23" fillId="16" borderId="0" xfId="2" applyFill="1"/>
    <xf numFmtId="0" fontId="23" fillId="14" borderId="0" xfId="2" applyFill="1"/>
    <xf numFmtId="0" fontId="27" fillId="20" borderId="0" xfId="2" applyFont="1" applyFill="1"/>
    <xf numFmtId="0" fontId="27" fillId="20" borderId="0" xfId="2" applyFont="1" applyFill="1" applyAlignment="1">
      <alignment horizontal="center" vertical="center" wrapText="1"/>
    </xf>
    <xf numFmtId="0" fontId="23" fillId="2" borderId="0" xfId="2" applyFill="1"/>
    <xf numFmtId="0" fontId="28" fillId="18" borderId="0" xfId="2" applyFont="1" applyFill="1"/>
    <xf numFmtId="9" fontId="24" fillId="17" borderId="0" xfId="2" applyNumberFormat="1" applyFont="1" applyFill="1"/>
    <xf numFmtId="0" fontId="6" fillId="22" borderId="1" xfId="0" applyFont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0" xfId="0"/>
    <xf numFmtId="0" fontId="0" fillId="0" borderId="2" xfId="0" applyBorder="1"/>
    <xf numFmtId="0" fontId="4" fillId="3" borderId="1" xfId="0" applyFont="1" applyFill="1" applyBorder="1" applyAlignment="1">
      <alignment horizontal="center" vertical="center"/>
    </xf>
    <xf numFmtId="0" fontId="26" fillId="18" borderId="0" xfId="2" applyFont="1" applyFill="1" applyAlignment="1">
      <alignment horizontal="left" vertical="center"/>
    </xf>
    <xf numFmtId="169" fontId="26" fillId="18" borderId="0" xfId="2" applyNumberFormat="1" applyFont="1" applyFill="1" applyAlignment="1">
      <alignment horizontal="left" vertical="center"/>
    </xf>
    <xf numFmtId="170" fontId="26" fillId="18" borderId="0" xfId="2" applyNumberFormat="1" applyFont="1" applyFill="1" applyAlignment="1">
      <alignment horizontal="left" vertical="center"/>
    </xf>
    <xf numFmtId="0" fontId="29" fillId="21" borderId="0" xfId="2" applyFont="1" applyFill="1" applyAlignment="1">
      <alignment horizontal="left" vertical="center"/>
    </xf>
    <xf numFmtId="0" fontId="27" fillId="21" borderId="0" xfId="2" applyFont="1" applyFill="1" applyAlignment="1">
      <alignment horizontal="left"/>
    </xf>
  </cellXfs>
  <cellStyles count="3">
    <cellStyle name="Normal" xfId="0" builtinId="0"/>
    <cellStyle name="Normal 2" xfId="2" xr:uid="{A1D5D424-D9FE-4AC9-A874-619309FC9078}"/>
    <cellStyle name="Percent" xfId="1" builtinId="5"/>
  </cellStyles>
  <dxfs count="24"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C65911"/>
      </font>
      <fill>
        <patternFill patternType="solid">
          <bgColor rgb="FFFCE4D6"/>
        </patternFill>
      </fill>
    </dxf>
    <dxf>
      <font>
        <b/>
        <color rgb="FF9C6500"/>
      </font>
      <fill>
        <patternFill patternType="solid">
          <bgColor rgb="FFFFEB9C"/>
        </patternFill>
      </fill>
    </dxf>
    <dxf>
      <font>
        <b/>
        <color rgb="FF006100"/>
      </font>
      <fill>
        <patternFill patternType="solid"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C65911"/>
      </font>
      <fill>
        <patternFill>
          <bgColor rgb="FFFCE4D6"/>
        </patternFill>
      </fill>
    </dxf>
    <dxf>
      <font>
        <b/>
        <color rgb="FF9C6500"/>
      </font>
      <fill>
        <patternFill>
          <bgColor rgb="FFFFEB9C"/>
        </patternFill>
      </fill>
    </dxf>
    <dxf>
      <font>
        <b/>
        <color rgb="FF006100"/>
      </font>
      <fill>
        <patternFill>
          <bgColor rgb="FFC6EFCE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refinitivshim.rtdserver.tr">
      <tp>
        <v>3721</v>
        <stp/>
        <stp>148</stp>
        <stp>10734125</stp>
        <tr r="H32" s="1"/>
        <tr r="H32" s="1"/>
      </tp>
      <tp>
        <v>3615</v>
        <stp/>
        <stp>149</stp>
        <stp>10734125</stp>
        <tr r="I32" s="1"/>
      </tp>
      <tp>
        <v>378.3</v>
        <stp/>
        <stp>142</stp>
        <stp>10734125</stp>
        <tr r="I30" s="1"/>
        <tr r="I30" s="1"/>
      </tp>
      <tp t="s">
        <v>The record could not be found (Error code: 0)</v>
        <stp/>
        <stp>242</stp>
        <stp>10734125</stp>
        <tr r="D44" s="1"/>
        <tr r="D44" s="1"/>
      </tp>
      <tp>
        <v>367.8</v>
        <stp/>
        <stp>143</stp>
        <stp>10734125</stp>
        <tr r="J30" s="1"/>
      </tp>
      <tp>
        <v>40.299999999999997</v>
        <stp/>
        <stp>243</stp>
        <stp>10734125</stp>
        <tr r="H44" s="1"/>
      </tp>
      <tp>
        <v>380.4</v>
        <stp/>
        <stp>140</stp>
        <stp>10734125</stp>
        <tr r="H30" s="1"/>
        <tr r="H30" s="1"/>
      </tp>
      <tp>
        <v>151.19</v>
        <stp/>
        <stp>240</stp>
        <stp>10734125</stp>
        <tr r="K43" s="1"/>
        <tr r="K43" s="1"/>
      </tp>
      <tp>
        <v>367.8</v>
        <stp/>
        <stp>141</stp>
        <stp>10734125</stp>
        <tr r="I30" s="1"/>
      </tp>
      <tp t="s">
        <v>The record could not be found (Error code: 0)</v>
        <stp/>
        <stp>241</stp>
        <stp>10734125</stp>
        <tr r="D44" s="1"/>
      </tp>
      <tp>
        <v>269.89999999999998</v>
        <stp/>
        <stp>146</stp>
        <stp>10734125</stp>
        <tr r="K30" s="1"/>
        <tr r="K30" s="1"/>
      </tp>
      <tp>
        <v>40.659999999999997</v>
        <stp/>
        <stp>246</stp>
        <stp>10734125</stp>
        <tr r="I44" s="1"/>
        <tr r="I44" s="1"/>
      </tp>
      <tp>
        <v>3615</v>
        <stp/>
        <stp>147</stp>
        <stp>10734125</stp>
        <tr r="H32" s="1"/>
      </tp>
      <tp t="s">
        <v>The record could not be found (Error code: 0)</v>
        <stp/>
        <stp>247</stp>
        <stp>10734125</stp>
        <tr r="C44" s="1"/>
      </tp>
      <tp>
        <v>362.4</v>
        <stp/>
        <stp>144</stp>
        <stp>10734125</stp>
        <tr r="J30" s="1"/>
        <tr r="J30" s="1"/>
      </tp>
      <tp>
        <v>40.64</v>
        <stp/>
        <stp>244</stp>
        <stp>10734125</stp>
        <tr r="H44" s="1"/>
        <tr r="H44" s="1"/>
      </tp>
      <tp>
        <v>367.8</v>
        <stp/>
        <stp>145</stp>
        <stp>10734125</stp>
        <tr r="K30" s="1"/>
      </tp>
      <tp>
        <v>40.299999999999997</v>
        <stp/>
        <stp>245</stp>
        <stp>10734125</stp>
        <tr r="I44" s="1"/>
      </tp>
      <tp>
        <v>3336</v>
        <stp/>
        <stp>158</stp>
        <stp>10734125</stp>
        <tr r="J33" s="1"/>
        <tr r="J33" s="1"/>
      </tp>
      <tp>
        <v>3374</v>
        <stp/>
        <stp>159</stp>
        <stp>10734125</stp>
        <tr r="I33" s="1"/>
      </tp>
      <tp>
        <v>3326</v>
        <stp/>
        <stp>152</stp>
        <stp>10734125</stp>
        <tr r="J32" s="1"/>
        <tr r="J32" s="1"/>
      </tp>
      <tp>
        <v>3615</v>
        <stp/>
        <stp>153</stp>
        <stp>10734125</stp>
        <tr r="K32" s="1"/>
      </tp>
      <tp>
        <v>3620</v>
        <stp/>
        <stp>150</stp>
        <stp>10734125</stp>
        <tr r="I32" s="1"/>
        <tr r="I32" s="1"/>
      </tp>
      <tp>
        <v>3615</v>
        <stp/>
        <stp>151</stp>
        <stp>10734125</stp>
        <tr r="J32" s="1"/>
      </tp>
      <tp>
        <v>3495</v>
        <stp/>
        <stp>156</stp>
        <stp>10734125</stp>
        <tr r="H33" s="1"/>
        <tr r="H33" s="1"/>
      </tp>
      <tp>
        <v>3374</v>
        <stp/>
        <stp>157</stp>
        <stp>10734125</stp>
        <tr r="J33" s="1"/>
      </tp>
      <tp>
        <v>2313</v>
        <stp/>
        <stp>154</stp>
        <stp>10734125</stp>
        <tr r="K32" s="1"/>
        <tr r="K32" s="1"/>
      </tp>
      <tp>
        <v>3374</v>
        <stp/>
        <stp>155</stp>
        <stp>10734125</stp>
        <tr r="H33" s="1"/>
      </tp>
      <tp>
        <v>8078</v>
        <stp/>
        <stp>168</stp>
        <stp>10734125</stp>
        <tr r="J34" s="1"/>
        <tr r="J34" s="1"/>
      </tp>
      <tp>
        <v>1755.5</v>
        <stp/>
        <stp>169</stp>
        <stp>10734125</stp>
        <tr r="H35" s="1"/>
      </tp>
      <tp>
        <v>8799</v>
        <stp/>
        <stp>162</stp>
        <stp>10734125</stp>
        <tr r="H34" s="1"/>
        <tr r="H34" s="1"/>
      </tp>
      <tp>
        <v>3374</v>
        <stp/>
        <stp>163</stp>
        <stp>10734125</stp>
        <tr r="K33" s="1"/>
      </tp>
      <tp>
        <v>3415</v>
        <stp/>
        <stp>160</stp>
        <stp>10734125</stp>
        <tr r="I33" s="1"/>
        <tr r="I33" s="1"/>
      </tp>
      <tp>
        <v>8668</v>
        <stp/>
        <stp>161</stp>
        <stp>10734125</stp>
        <tr r="H34" s="1"/>
      </tp>
      <tp>
        <v>8495</v>
        <stp/>
        <stp>166</stp>
        <stp>10734125</stp>
        <tr r="I34" s="1"/>
        <tr r="I34" s="1"/>
      </tp>
      <tp>
        <v>8668</v>
        <stp/>
        <stp>167</stp>
        <stp>10734125</stp>
        <tr r="J34" s="1"/>
      </tp>
      <tp>
        <v>2024</v>
        <stp/>
        <stp>164</stp>
        <stp>10734125</stp>
        <tr r="K33" s="1"/>
        <tr r="K33" s="1"/>
      </tp>
      <tp>
        <v>8668</v>
        <stp/>
        <stp>165</stp>
        <stp>10734125</stp>
        <tr r="I34" s="1"/>
      </tp>
      <tp>
        <v>1179.5</v>
        <stp/>
        <stp>178</stp>
        <stp>10734125</stp>
        <tr r="K35" s="1"/>
        <tr r="K35" s="1"/>
      </tp>
      <tp>
        <v>1527</v>
        <stp/>
        <stp>179</stp>
        <stp>10734125</stp>
        <tr r="H36" s="1"/>
      </tp>
      <tp>
        <v>4800</v>
        <stp/>
        <stp>172</stp>
        <stp>10734125</stp>
        <tr r="K34" s="1"/>
        <tr r="K34" s="1"/>
      </tp>
      <tp>
        <v>1755.5</v>
        <stp/>
        <stp>173</stp>
        <stp>10734125</stp>
        <tr r="I35" s="1"/>
      </tp>
      <tp>
        <v>1850.5</v>
        <stp/>
        <stp>170</stp>
        <stp>10734125</stp>
        <tr r="H35" s="1"/>
        <tr r="H35" s="1"/>
      </tp>
      <tp>
        <v>8668</v>
        <stp/>
        <stp>171</stp>
        <stp>10734125</stp>
        <tr r="K34" s="1"/>
      </tp>
      <tp>
        <v>1684</v>
        <stp/>
        <stp>176</stp>
        <stp>10734125</stp>
        <tr r="J35" s="1"/>
        <tr r="J35" s="1"/>
      </tp>
      <tp>
        <v>1755.5</v>
        <stp/>
        <stp>177</stp>
        <stp>10734125</stp>
        <tr r="K35" s="1"/>
      </tp>
      <tp>
        <v>1845.5</v>
        <stp/>
        <stp>174</stp>
        <stp>10734125</stp>
        <tr r="I35" s="1"/>
        <tr r="I35" s="1"/>
      </tp>
      <tp>
        <v>1755.5</v>
        <stp/>
        <stp>175</stp>
        <stp>10734125</stp>
        <tr r="J35" s="1"/>
      </tp>
      <tp>
        <v>690</v>
        <stp/>
        <stp>108</stp>
        <stp>10734125</stp>
        <tr r="H24" s="1"/>
        <tr r="H24" s="1"/>
      </tp>
      <tp>
        <v>163.77000000000001</v>
        <stp/>
        <stp>208</stp>
        <stp>10734125</stp>
        <tr r="J40" s="1"/>
        <tr r="J40" s="1"/>
      </tp>
      <tp>
        <v>662.8</v>
        <stp/>
        <stp>109</stp>
        <stp>10734125</stp>
        <tr r="I24" s="1"/>
      </tp>
      <tp>
        <v>158.27000000000001</v>
        <stp/>
        <stp>209</stp>
        <stp>10734125</stp>
        <tr r="K40" s="1"/>
      </tp>
      <tp>
        <v>1533.8</v>
        <stp/>
        <stp>102</stp>
        <stp>10734125</stp>
        <tr r="I23" s="1"/>
        <tr r="I23" s="1"/>
      </tp>
      <tp>
        <v>180.02</v>
        <stp/>
        <stp>202</stp>
        <stp>10734125</stp>
        <tr r="K39" s="1"/>
        <tr r="K39" s="1"/>
      </tp>
      <tp>
        <v>1442.2</v>
        <stp/>
        <stp>103</stp>
        <stp>10734125</stp>
        <tr r="J23" s="1"/>
      </tp>
      <tp>
        <v>158.27000000000001</v>
        <stp/>
        <stp>203</stp>
        <stp>10734125</stp>
        <tr r="H40" s="1"/>
      </tp>
      <tp>
        <v>385.35</v>
        <stp/>
        <stp>100</stp>
        <stp>10734125</stp>
        <tr r="K22" s="1"/>
        <tr r="K22" s="1"/>
      </tp>
      <tp>
        <v>250.15</v>
        <stp/>
        <stp>200</stp>
        <stp>10734125</stp>
        <tr r="J39" s="1"/>
        <tr r="J39" s="1"/>
      </tp>
      <tp>
        <v>1442.2</v>
        <stp/>
        <stp>101</stp>
        <stp>10734125</stp>
        <tr r="I23" s="1"/>
      </tp>
      <tp>
        <v>236.25</v>
        <stp/>
        <stp>201</stp>
        <stp>10734125</stp>
        <tr r="K39" s="1"/>
      </tp>
      <tp>
        <v>1061.8</v>
        <stp/>
        <stp>106</stp>
        <stp>10734125</stp>
        <tr r="K23" s="1"/>
        <tr r="K23" s="1"/>
      </tp>
      <tp>
        <v>163.26</v>
        <stp/>
        <stp>206</stp>
        <stp>10734125</stp>
        <tr r="I40" s="1"/>
        <tr r="I40" s="1"/>
      </tp>
      <tp>
        <v>662.8</v>
        <stp/>
        <stp>107</stp>
        <stp>10734125</stp>
        <tr r="H24" s="1"/>
      </tp>
      <tp>
        <v>158.27000000000001</v>
        <stp/>
        <stp>207</stp>
        <stp>10734125</stp>
        <tr r="J40" s="1"/>
      </tp>
      <tp>
        <v>1451</v>
        <stp/>
        <stp>104</stp>
        <stp>10734125</stp>
        <tr r="J23" s="1"/>
        <tr r="J23" s="1"/>
      </tp>
      <tp>
        <v>159.08000000000001</v>
        <stp/>
        <stp>204</stp>
        <stp>10734125</stp>
        <tr r="H40" s="1"/>
        <tr r="H40" s="1"/>
      </tp>
      <tp>
        <v>1442.2</v>
        <stp/>
        <stp>105</stp>
        <stp>10734125</stp>
        <tr r="K23" s="1"/>
      </tp>
      <tp>
        <v>158.27000000000001</v>
        <stp/>
        <stp>205</stp>
        <stp>10734125</stp>
        <tr r="I40" s="1"/>
      </tp>
      <tp>
        <v>2319</v>
        <stp/>
        <stp>118</stp>
        <stp>10734125</stp>
        <tr r="I25" s="1"/>
        <tr r="I25" s="1"/>
      </tp>
      <tp>
        <v>113.26</v>
        <stp/>
        <stp>218</stp>
        <stp>10734125</stp>
        <tr r="K41" s="1"/>
        <tr r="K41" s="1"/>
      </tp>
      <tp>
        <v>2190</v>
        <stp/>
        <stp>119</stp>
        <stp>10734125</stp>
        <tr r="J25" s="1"/>
      </tp>
      <tp>
        <v>65.198999999999998</v>
        <stp/>
        <stp>219</stp>
        <stp>10734125</stp>
        <tr r="D42" s="1"/>
      </tp>
      <tp>
        <v>682.8</v>
        <stp/>
        <stp>112</stp>
        <stp>10734125</stp>
        <tr r="J24" s="1"/>
        <tr r="J24" s="1"/>
      </tp>
      <tp>
        <v>169.6</v>
        <stp/>
        <stp>212</stp>
        <stp>10734125</stp>
        <tr r="H41" s="1"/>
        <tr r="H41" s="1"/>
      </tp>
      <tp>
        <v>662.8</v>
        <stp/>
        <stp>113</stp>
        <stp>10734125</stp>
        <tr r="K24" s="1"/>
      </tp>
      <tp>
        <v>168.07</v>
        <stp/>
        <stp>213</stp>
        <stp>10734125</stp>
        <tr r="I41" s="1"/>
      </tp>
      <tp>
        <v>709</v>
        <stp/>
        <stp>110</stp>
        <stp>10734125</stp>
        <tr r="I24" s="1"/>
        <tr r="I24" s="1"/>
      </tp>
      <tp>
        <v>113.65</v>
        <stp/>
        <stp>210</stp>
        <stp>10734125</stp>
        <tr r="K40" s="1"/>
        <tr r="K40" s="1"/>
      </tp>
      <tp>
        <v>662.8</v>
        <stp/>
        <stp>111</stp>
        <stp>10734125</stp>
        <tr r="J24" s="1"/>
      </tp>
      <tp>
        <v>168.07</v>
        <stp/>
        <stp>211</stp>
        <stp>10734125</stp>
        <tr r="H41" s="1"/>
      </tp>
      <tp>
        <v>2322</v>
        <stp/>
        <stp>116</stp>
        <stp>10734125</stp>
        <tr r="H25" s="1"/>
        <tr r="H25" s="1"/>
      </tp>
      <tp>
        <v>171.32</v>
        <stp/>
        <stp>216</stp>
        <stp>10734125</stp>
        <tr r="J41" s="1"/>
        <tr r="J41" s="1"/>
      </tp>
      <tp>
        <v>2190</v>
        <stp/>
        <stp>117</stp>
        <stp>10734125</stp>
        <tr r="I25" s="1"/>
      </tp>
      <tp>
        <v>168.07</v>
        <stp/>
        <stp>217</stp>
        <stp>10734125</stp>
        <tr r="K41" s="1"/>
      </tp>
      <tp>
        <v>548</v>
        <stp/>
        <stp>114</stp>
        <stp>10734125</stp>
        <tr r="K24" s="1"/>
        <tr r="K24" s="1"/>
      </tp>
      <tp>
        <v>174.1</v>
        <stp/>
        <stp>214</stp>
        <stp>10734125</stp>
        <tr r="I41" s="1"/>
        <tr r="I41" s="1"/>
      </tp>
      <tp>
        <v>2190</v>
        <stp/>
        <stp>115</stp>
        <stp>10734125</stp>
        <tr r="H25" s="1"/>
      </tp>
      <tp>
        <v>168.07</v>
        <stp/>
        <stp>215</stp>
        <stp>10734125</stp>
        <tr r="J41" s="1"/>
      </tp>
      <tp>
        <v>31.83</v>
        <stp/>
        <stp>128</stp>
        <stp>10734125</stp>
        <tr r="J27" s="1"/>
        <tr r="J27" s="1"/>
      </tp>
      <tp>
        <v>205.06</v>
        <stp/>
        <stp>228</stp>
        <stp>10734125</stp>
        <tr r="K42" s="1"/>
        <tr r="K42" s="1"/>
      </tp>
      <tp>
        <v>30.94</v>
        <stp/>
        <stp>129</stp>
        <stp>10734125</stp>
        <tr r="K27" s="1"/>
      </tp>
      <tp>
        <v>202.51</v>
        <stp/>
        <stp>229</stp>
        <stp>10734125</stp>
        <tr r="H43" s="1"/>
      </tp>
      <tp>
        <v>1467</v>
        <stp/>
        <stp>122</stp>
        <stp>10734125</stp>
        <tr r="K25" s="1"/>
        <tr r="K25" s="1"/>
      </tp>
      <tp>
        <v>289.64</v>
        <stp/>
        <stp>222</stp>
        <stp>10734125</stp>
        <tr r="I42" s="1"/>
        <tr r="I42" s="1"/>
      </tp>
      <tp>
        <v>30.94</v>
        <stp/>
        <stp>123</stp>
        <stp>10734125</stp>
        <tr r="H27" s="1"/>
      </tp>
      <tp>
        <v>278.91000000000003</v>
        <stp/>
        <stp>223</stp>
        <stp>10734125</stp>
        <tr r="H42" s="1"/>
      </tp>
      <tp>
        <v>2122</v>
        <stp/>
        <stp>120</stp>
        <stp>10734125</stp>
        <tr r="J25" s="1"/>
        <tr r="J25" s="1"/>
      </tp>
      <tp>
        <v>1.407</v>
        <stp/>
        <stp>220</stp>
        <stp>10734125</stp>
        <tr r="D42" s="1"/>
        <tr r="D42" s="1"/>
      </tp>
      <tp>
        <v>2190</v>
        <stp/>
        <stp>121</stp>
        <stp>10734125</stp>
        <tr r="K25" s="1"/>
      </tp>
      <tp>
        <v>278.91000000000003</v>
        <stp/>
        <stp>221</stp>
        <stp>10734125</stp>
        <tr r="I42" s="1"/>
      </tp>
      <tp>
        <v>33.19</v>
        <stp/>
        <stp>126</stp>
        <stp>10734125</stp>
        <tr r="I27" s="1"/>
        <tr r="I27" s="1"/>
      </tp>
      <tp>
        <v>295.29000000000002</v>
        <stp/>
        <stp>226</stp>
        <stp>10734125</stp>
        <tr r="J42" s="1"/>
        <tr r="J42" s="1"/>
      </tp>
      <tp>
        <v>30.94</v>
        <stp/>
        <stp>127</stp>
        <stp>10734125</stp>
        <tr r="J27" s="1"/>
      </tp>
      <tp>
        <v>278.91000000000003</v>
        <stp/>
        <stp>227</stp>
        <stp>10734125</stp>
        <tr r="K42" s="1"/>
      </tp>
      <tp>
        <v>31.565000000000001</v>
        <stp/>
        <stp>124</stp>
        <stp>10734125</stp>
        <tr r="H27" s="1"/>
        <tr r="H27" s="1"/>
      </tp>
      <tp>
        <v>285.07</v>
        <stp/>
        <stp>224</stp>
        <stp>10734125</stp>
        <tr r="H42" s="1"/>
        <tr r="H42" s="1"/>
      </tp>
      <tp>
        <v>30.94</v>
        <stp/>
        <stp>125</stp>
        <stp>10734125</stp>
        <tr r="I27" s="1"/>
      </tp>
      <tp>
        <v>278.91000000000003</v>
        <stp/>
        <stp>225</stp>
        <stp>10734125</stp>
        <tr r="J42" s="1"/>
      </tp>
      <tp>
        <v>32.090000000000003</v>
        <stp/>
        <stp>138</stp>
        <stp>10734125</stp>
        <tr r="K28" s="1"/>
        <tr r="K28" s="1"/>
      </tp>
      <tp>
        <v>32.840000000000003</v>
        <stp/>
        <stp>238</stp>
        <stp>10734125</stp>
        <tr r="K44" s="1"/>
        <tr r="K44" s="1"/>
      </tp>
      <tp>
        <v>367.8</v>
        <stp/>
        <stp>139</stp>
        <stp>10734125</stp>
        <tr r="H30" s="1"/>
      </tp>
      <tp>
        <v>202.51</v>
        <stp/>
        <stp>239</stp>
        <stp>10734125</stp>
        <tr r="K43" s="1"/>
      </tp>
      <tp>
        <v>42.38</v>
        <stp/>
        <stp>132</stp>
        <stp>10734125</stp>
        <tr r="H28" s="1"/>
        <tr r="H28" s="1"/>
      </tp>
      <tp>
        <v>214.84</v>
        <stp/>
        <stp>232</stp>
        <stp>10734125</stp>
        <tr r="I43" s="1"/>
        <tr r="I43" s="1"/>
      </tp>
      <tp>
        <v>39.15</v>
        <stp/>
        <stp>133</stp>
        <stp>10734125</stp>
        <tr r="I28" s="1"/>
      </tp>
      <tp>
        <v>202.51</v>
        <stp/>
        <stp>233</stp>
        <stp>10734125</stp>
        <tr r="J43" s="1"/>
      </tp>
      <tp>
        <v>30.274999999999999</v>
        <stp/>
        <stp>130</stp>
        <stp>10734125</stp>
        <tr r="K27" s="1"/>
        <tr r="K27" s="1"/>
      </tp>
      <tp>
        <v>210.15</v>
        <stp/>
        <stp>230</stp>
        <stp>10734125</stp>
        <tr r="H43" s="1"/>
        <tr r="H43" s="1"/>
      </tp>
      <tp>
        <v>39.15</v>
        <stp/>
        <stp>131</stp>
        <stp>10734125</stp>
        <tr r="H28" s="1"/>
      </tp>
      <tp>
        <v>202.51</v>
        <stp/>
        <stp>231</stp>
        <stp>10734125</stp>
        <tr r="I43" s="1"/>
      </tp>
      <tp>
        <v>37.72</v>
        <stp/>
        <stp>136</stp>
        <stp>10734125</stp>
        <tr r="J28" s="1"/>
        <tr r="J28" s="1"/>
      </tp>
      <tp>
        <v>40.21</v>
        <stp/>
        <stp>236</stp>
        <stp>10734125</stp>
        <tr r="J44" s="1"/>
        <tr r="J44" s="1"/>
      </tp>
      <tp>
        <v>39.15</v>
        <stp/>
        <stp>137</stp>
        <stp>10734125</stp>
        <tr r="K28" s="1"/>
      </tp>
      <tp>
        <v>40.299999999999997</v>
        <stp/>
        <stp>237</stp>
        <stp>10734125</stp>
        <tr r="K44" s="1"/>
      </tp>
      <tp>
        <v>41.85</v>
        <stp/>
        <stp>134</stp>
        <stp>10734125</stp>
        <tr r="I28" s="1"/>
        <tr r="I28" s="1"/>
      </tp>
      <tp>
        <v>226.75</v>
        <stp/>
        <stp>234</stp>
        <stp>10734125</stp>
        <tr r="J43" s="1"/>
        <tr r="J43" s="1"/>
      </tp>
      <tp>
        <v>39.15</v>
        <stp/>
        <stp>135</stp>
        <stp>10734125</stp>
        <tr r="J28" s="1"/>
      </tp>
      <tp>
        <v>40.299999999999997</v>
        <stp/>
        <stp>235</stp>
        <stp>10734125</stp>
        <tr r="J44" s="1"/>
      </tp>
      <tp>
        <v>131.57</v>
        <stp/>
        <stp>188</stp>
        <stp>10734125</stp>
        <tr r="H38" s="1"/>
        <tr r="H38" s="1"/>
      </tp>
      <tp>
        <v>129.93</v>
        <stp/>
        <stp>189</stp>
        <stp>10734125</stp>
        <tr r="I38" s="1"/>
      </tp>
      <tp>
        <v>1581</v>
        <stp/>
        <stp>182</stp>
        <stp>10734125</stp>
        <tr r="I36" s="1"/>
        <tr r="I36" s="1"/>
      </tp>
      <tp>
        <v>1527</v>
        <stp/>
        <stp>183</stp>
        <stp>10734125</stp>
        <tr r="J36" s="1"/>
      </tp>
      <tp>
        <v>1595</v>
        <stp/>
        <stp>180</stp>
        <stp>10734125</stp>
        <tr r="H36" s="1"/>
        <tr r="H36" s="1"/>
      </tp>
      <tp>
        <v>1527</v>
        <stp/>
        <stp>181</stp>
        <stp>10734125</stp>
        <tr r="I36" s="1"/>
      </tp>
      <tp>
        <v>1047</v>
        <stp/>
        <stp>186</stp>
        <stp>10734125</stp>
        <tr r="K36" s="1"/>
        <tr r="K36" s="1"/>
      </tp>
      <tp>
        <v>129.93</v>
        <stp/>
        <stp>187</stp>
        <stp>10734125</stp>
        <tr r="H38" s="1"/>
      </tp>
      <tp>
        <v>1490</v>
        <stp/>
        <stp>184</stp>
        <stp>10734125</stp>
        <tr r="J36" s="1"/>
        <tr r="J36" s="1"/>
      </tp>
      <tp>
        <v>1527</v>
        <stp/>
        <stp>185</stp>
        <stp>10734125</stp>
        <tr r="K36" s="1"/>
      </tp>
      <tp>
        <v>248.84</v>
        <stp/>
        <stp>198</stp>
        <stp>10734125</stp>
        <tr r="I39" s="1"/>
        <tr r="I39" s="1"/>
      </tp>
      <tp>
        <v>236.25</v>
        <stp/>
        <stp>199</stp>
        <stp>10734125</stp>
        <tr r="J39" s="1"/>
      </tp>
      <tp>
        <v>123.49</v>
        <stp/>
        <stp>192</stp>
        <stp>10734125</stp>
        <tr r="J38" s="1"/>
        <tr r="J38" s="1"/>
      </tp>
      <tp>
        <v>129.93</v>
        <stp/>
        <stp>193</stp>
        <stp>10734125</stp>
        <tr r="K38" s="1"/>
      </tp>
      <tp>
        <v>133.87</v>
        <stp/>
        <stp>190</stp>
        <stp>10734125</stp>
        <tr r="I38" s="1"/>
        <tr r="I38" s="1"/>
      </tp>
      <tp>
        <v>129.93</v>
        <stp/>
        <stp>191</stp>
        <stp>10734125</stp>
        <tr r="J38" s="1"/>
      </tp>
      <tp>
        <v>242.66</v>
        <stp/>
        <stp>196</stp>
        <stp>10734125</stp>
        <tr r="H39" s="1"/>
        <tr r="H39" s="1"/>
      </tp>
      <tp>
        <v>236.25</v>
        <stp/>
        <stp>197</stp>
        <stp>10734125</stp>
        <tr r="I39" s="1"/>
      </tp>
      <tp>
        <v>91.03</v>
        <stp/>
        <stp>194</stp>
        <stp>10734125</stp>
        <tr r="K38" s="1"/>
        <tr r="K38" s="1"/>
      </tp>
      <tp>
        <v>236.25</v>
        <stp/>
        <stp>195</stp>
        <stp>10734125</stp>
        <tr r="H39" s="1"/>
      </tp>
      <tp>
        <v>55.47</v>
        <stp/>
        <stp>10</stp>
        <stp>10734125</stp>
        <tr r="H9" s="1"/>
        <tr r="H9" s="1"/>
      </tp>
      <tp>
        <v>128.5</v>
        <stp/>
        <stp>11</stp>
        <stp>10734125</stp>
        <tr r="K8" s="1"/>
      </tp>
      <tp>
        <v>97.74</v>
        <stp/>
        <stp>12</stp>
        <stp>10734125</stp>
        <tr r="K8" s="1"/>
        <tr r="K8" s="1"/>
      </tp>
      <tp>
        <v>53.75</v>
        <stp/>
        <stp>13</stp>
        <stp>10734125</stp>
        <tr r="I9" s="1"/>
      </tp>
      <tp>
        <v>57.96</v>
        <stp/>
        <stp>14</stp>
        <stp>10734125</stp>
        <tr r="I9" s="1"/>
        <tr r="I9" s="1"/>
      </tp>
      <tp>
        <v>53.75</v>
        <stp/>
        <stp>15</stp>
        <stp>10734125</stp>
        <tr r="J9" s="1"/>
      </tp>
      <tp>
        <v>58.73</v>
        <stp/>
        <stp>16</stp>
        <stp>10734125</stp>
        <tr r="J9" s="1"/>
        <tr r="J9" s="1"/>
      </tp>
      <tp>
        <v>332.38</v>
        <stp/>
        <stp>17</stp>
        <stp>10734125</stp>
        <tr r="H10" s="1"/>
      </tp>
      <tp>
        <v>336.59</v>
        <stp/>
        <stp>18</stp>
        <stp>10734125</stp>
        <tr r="H10" s="1"/>
        <tr r="H10" s="1"/>
      </tp>
      <tp>
        <v>53.75</v>
        <stp/>
        <stp>19</stp>
        <stp>10734125</stp>
        <tr r="K9" s="1"/>
      </tp>
      <tp>
        <v>50.64</v>
        <stp/>
        <stp>20</stp>
        <stp>10734125</stp>
        <tr r="K9" s="1"/>
        <tr r="K9" s="1"/>
      </tp>
      <tp>
        <v>332.38</v>
        <stp/>
        <stp>21</stp>
        <stp>10734125</stp>
        <tr r="I10" s="1"/>
      </tp>
      <tp>
        <v>352.04</v>
        <stp/>
        <stp>22</stp>
        <stp>10734125</stp>
        <tr r="I10" s="1"/>
        <tr r="I10" s="1"/>
      </tp>
      <tp>
        <v>332.38</v>
        <stp/>
        <stp>23</stp>
        <stp>10734125</stp>
        <tr r="J10" s="1"/>
      </tp>
      <tp>
        <v>334.47</v>
        <stp/>
        <stp>24</stp>
        <stp>10734125</stp>
        <tr r="J10" s="1"/>
        <tr r="J10" s="1"/>
      </tp>
      <tp>
        <v>902.56</v>
        <stp/>
        <stp>25</stp>
        <stp>10734125</stp>
        <tr r="H11" s="1"/>
      </tp>
      <tp>
        <v>916.28</v>
        <stp/>
        <stp>26</stp>
        <stp>10734125</stp>
        <tr r="H11" s="1"/>
        <tr r="H11" s="1"/>
      </tp>
      <tp>
        <v>332.38</v>
        <stp/>
        <stp>27</stp>
        <stp>10734125</stp>
        <tr r="K10" s="1"/>
      </tp>
      <tp>
        <v>310.02999999999997</v>
        <stp/>
        <stp>28</stp>
        <stp>10734125</stp>
        <tr r="K10" s="1"/>
        <tr r="K10" s="1"/>
      </tp>
      <tp>
        <v>902.56</v>
        <stp/>
        <stp>29</stp>
        <stp>10734125</stp>
        <tr r="I11" s="1"/>
      </tp>
      <tp>
        <v>959.39</v>
        <stp/>
        <stp>30</stp>
        <stp>10734125</stp>
        <tr r="I11" s="1"/>
        <tr r="I11" s="1"/>
      </tp>
      <tp>
        <v>902.56</v>
        <stp/>
        <stp>31</stp>
        <stp>10734125</stp>
        <tr r="J11" s="1"/>
      </tp>
      <tp>
        <v>1021</v>
        <stp/>
        <stp>32</stp>
        <stp>10734125</stp>
        <tr r="J11" s="1"/>
        <tr r="J11" s="1"/>
      </tp>
      <tp>
        <v>190.31</v>
        <stp/>
        <stp>33</stp>
        <stp>10734125</stp>
        <tr r="H12" s="1"/>
      </tp>
      <tp>
        <v>193.64</v>
        <stp/>
        <stp>34</stp>
        <stp>10734125</stp>
        <tr r="H12" s="1"/>
        <tr r="H12" s="1"/>
      </tp>
      <tp>
        <v>902.56</v>
        <stp/>
        <stp>35</stp>
        <stp>10734125</stp>
        <tr r="K11" s="1"/>
      </tp>
      <tp>
        <v>789.98</v>
        <stp/>
        <stp>36</stp>
        <stp>10734125</stp>
        <tr r="K11" s="1"/>
        <tr r="K11" s="1"/>
      </tp>
      <tp>
        <v>190.31</v>
        <stp/>
        <stp>37</stp>
        <stp>10734125</stp>
        <tr r="I12" s="1"/>
      </tp>
      <tp>
        <v>206.12</v>
        <stp/>
        <stp>38</stp>
        <stp>10734125</stp>
        <tr r="I12" s="1"/>
        <tr r="I12" s="1"/>
      </tp>
      <tp>
        <v>190.31</v>
        <stp/>
        <stp>39</stp>
        <stp>10734125</stp>
        <tr r="J12" s="1"/>
      </tp>
      <tp>
        <v>213.93</v>
        <stp/>
        <stp>40</stp>
        <stp>10734125</stp>
        <tr r="J12" s="1"/>
        <tr r="J12" s="1"/>
      </tp>
      <tp>
        <v>80.45</v>
        <stp/>
        <stp>41</stp>
        <stp>10734125</stp>
        <tr r="H13" s="1"/>
      </tp>
      <tp>
        <v>80.81</v>
        <stp/>
        <stp>42</stp>
        <stp>10734125</stp>
        <tr r="H13" s="1"/>
        <tr r="H13" s="1"/>
      </tp>
      <tp>
        <v>190.31</v>
        <stp/>
        <stp>43</stp>
        <stp>10734125</stp>
        <tr r="K12" s="1"/>
      </tp>
      <tp>
        <v>157.59</v>
        <stp/>
        <stp>44</stp>
        <stp>10734125</stp>
        <tr r="K12" s="1"/>
        <tr r="K12" s="1"/>
      </tp>
      <tp>
        <v>80.45</v>
        <stp/>
        <stp>45</stp>
        <stp>10734125</stp>
        <tr r="I13" s="1"/>
      </tp>
      <tp>
        <v>86.54</v>
        <stp/>
        <stp>46</stp>
        <stp>10734125</stp>
        <tr r="I13" s="1"/>
        <tr r="I13" s="1"/>
      </tp>
      <tp>
        <v>80.45</v>
        <stp/>
        <stp>47</stp>
        <stp>10734125</stp>
        <tr r="J13" s="1"/>
      </tp>
      <tp>
        <v>85.51</v>
        <stp/>
        <stp>48</stp>
        <stp>10734125</stp>
        <tr r="J13" s="1"/>
        <tr r="J13" s="1"/>
      </tp>
      <tp>
        <v>175.96</v>
        <stp/>
        <stp>49</stp>
        <stp>10734125</stp>
        <tr r="H14" s="1"/>
      </tp>
      <tp>
        <v>179.73</v>
        <stp/>
        <stp>50</stp>
        <stp>10734125</stp>
        <tr r="H14" s="1"/>
        <tr r="H14" s="1"/>
      </tp>
      <tp>
        <v>80.45</v>
        <stp/>
        <stp>51</stp>
        <stp>10734125</stp>
        <tr r="K13" s="1"/>
      </tp>
      <tp>
        <v>80.67</v>
        <stp/>
        <stp>52</stp>
        <stp>10734125</stp>
        <tr r="K13" s="1"/>
        <tr r="K13" s="1"/>
      </tp>
      <tp>
        <v>175.96</v>
        <stp/>
        <stp>53</stp>
        <stp>10734125</stp>
        <tr r="I14" s="1"/>
      </tp>
      <tp>
        <v>184.4</v>
        <stp/>
        <stp>54</stp>
        <stp>10734125</stp>
        <tr r="I14" s="1"/>
        <tr r="I14" s="1"/>
      </tp>
      <tp>
        <v>175.96</v>
        <stp/>
        <stp>55</stp>
        <stp>10734125</stp>
        <tr r="J14" s="1"/>
      </tp>
      <tp>
        <v>170.69</v>
        <stp/>
        <stp>56</stp>
        <stp>10734125</stp>
        <tr r="J14" s="1"/>
        <tr r="J14" s="1"/>
      </tp>
      <tp>
        <v>175.96</v>
        <stp/>
        <stp>57</stp>
        <stp>10734125</stp>
        <tr r="K14" s="1"/>
      </tp>
      <tp>
        <v>116.38</v>
        <stp/>
        <stp>58</stp>
        <stp>10734125</stp>
        <tr r="K14" s="1"/>
        <tr r="K14" s="1"/>
      </tp>
      <tp>
        <v>92.06</v>
        <stp/>
        <stp>59</stp>
        <stp>10734125</stp>
        <tr r="H16" s="1"/>
      </tp>
      <tp>
        <v>98.26</v>
        <stp/>
        <stp>60</stp>
        <stp>10734125</stp>
        <tr r="H16" s="1"/>
        <tr r="H16" s="1"/>
      </tp>
      <tp>
        <v>92.06</v>
        <stp/>
        <stp>61</stp>
        <stp>10734125</stp>
        <tr r="I16" s="1"/>
      </tp>
      <tp>
        <v>101.1</v>
        <stp/>
        <stp>62</stp>
        <stp>10734125</stp>
        <tr r="I16" s="1"/>
        <tr r="I16" s="1"/>
      </tp>
      <tp>
        <v>92.06</v>
        <stp/>
        <stp>63</stp>
        <stp>10734125</stp>
        <tr r="J16" s="1"/>
      </tp>
      <tp>
        <v>102.68</v>
        <stp/>
        <stp>64</stp>
        <stp>10734125</stp>
        <tr r="J16" s="1"/>
        <tr r="J16" s="1"/>
      </tp>
      <tp>
        <v>92.06</v>
        <stp/>
        <stp>65</stp>
        <stp>10734125</stp>
        <tr r="K16" s="1"/>
      </tp>
      <tp>
        <v>78</v>
        <stp/>
        <stp>66</stp>
        <stp>10734125</stp>
        <tr r="K16" s="1"/>
        <tr r="K16" s="1"/>
      </tp>
      <tp>
        <v>16.885000000000002</v>
        <stp/>
        <stp>67</stp>
        <stp>10734125</stp>
        <tr r="H17" s="1"/>
      </tp>
      <tp>
        <v>17.934999999999999</v>
        <stp/>
        <stp>68</stp>
        <stp>10734125</stp>
        <tr r="H17" s="1"/>
        <tr r="H17" s="1"/>
      </tp>
      <tp>
        <v>16.885000000000002</v>
        <stp/>
        <stp>69</stp>
        <stp>10734125</stp>
        <tr r="I17" s="1"/>
      </tp>
      <tp>
        <v>18.21</v>
        <stp/>
        <stp>70</stp>
        <stp>10734125</stp>
        <tr r="I17" s="1"/>
        <tr r="I17" s="1"/>
      </tp>
      <tp>
        <v>16.885000000000002</v>
        <stp/>
        <stp>71</stp>
        <stp>10734125</stp>
        <tr r="J17" s="1"/>
      </tp>
      <tp>
        <v>17.72</v>
        <stp/>
        <stp>72</stp>
        <stp>10734125</stp>
        <tr r="J17" s="1"/>
        <tr r="J17" s="1"/>
      </tp>
      <tp>
        <v>66.3</v>
        <stp/>
        <stp>73</stp>
        <stp>10734125</stp>
        <tr r="H18" s="1"/>
      </tp>
      <tp>
        <v>71.459999999999994</v>
        <stp/>
        <stp>74</stp>
        <stp>10734125</stp>
        <tr r="H18" s="1"/>
        <tr r="H18" s="1"/>
      </tp>
      <tp>
        <v>16.885000000000002</v>
        <stp/>
        <stp>75</stp>
        <stp>10734125</stp>
        <tr r="K17" s="1"/>
      </tp>
      <tp>
        <v>16.914999999999999</v>
        <stp/>
        <stp>76</stp>
        <stp>10734125</stp>
        <tr r="K17" s="1"/>
        <tr r="K17" s="1"/>
      </tp>
      <tp>
        <v>66.3</v>
        <stp/>
        <stp>77</stp>
        <stp>10734125</stp>
        <tr r="I18" s="1"/>
      </tp>
      <tp>
        <v>73.87</v>
        <stp/>
        <stp>78</stp>
        <stp>10734125</stp>
        <tr r="I18" s="1"/>
        <tr r="I18" s="1"/>
      </tp>
      <tp>
        <v>66.3</v>
        <stp/>
        <stp>79</stp>
        <stp>10734125</stp>
        <tr r="J18" s="1"/>
      </tp>
      <tp>
        <v>77.34</v>
        <stp/>
        <stp>80</stp>
        <stp>10734125</stp>
        <tr r="J18" s="1"/>
        <tr r="J18" s="1"/>
      </tp>
      <tp>
        <v>66.3</v>
        <stp/>
        <stp>81</stp>
        <stp>10734125</stp>
        <tr r="K18" s="1"/>
      </tp>
      <tp>
        <v>56.72</v>
        <stp/>
        <stp>82</stp>
        <stp>10734125</stp>
        <tr r="K18" s="1"/>
        <tr r="K18" s="1"/>
      </tp>
      <tp>
        <v>39.53</v>
        <stp/>
        <stp>83</stp>
        <stp>10734125</stp>
        <tr r="H20" s="1"/>
      </tp>
      <tp>
        <v>40.51</v>
        <stp/>
        <stp>84</stp>
        <stp>10734125</stp>
        <tr r="H20" s="1"/>
        <tr r="H20" s="1"/>
      </tp>
      <tp>
        <v>39.53</v>
        <stp/>
        <stp>85</stp>
        <stp>10734125</stp>
        <tr r="I20" s="1"/>
      </tp>
      <tp>
        <v>41.75</v>
        <stp/>
        <stp>86</stp>
        <stp>10734125</stp>
        <tr r="I20" s="1"/>
        <tr r="I20" s="1"/>
      </tp>
      <tp>
        <v>39.53</v>
        <stp/>
        <stp>87</stp>
        <stp>10734125</stp>
        <tr r="J20" s="1"/>
      </tp>
      <tp>
        <v>41.19</v>
        <stp/>
        <stp>88</stp>
        <stp>10734125</stp>
        <tr r="J20" s="1"/>
        <tr r="J20" s="1"/>
      </tp>
      <tp>
        <v>39.53</v>
        <stp/>
        <stp>89</stp>
        <stp>10734125</stp>
        <tr r="K20" s="1"/>
      </tp>
      <tp>
        <v>32.729999999999997</v>
        <stp/>
        <stp>90</stp>
        <stp>10734125</stp>
        <tr r="K20" s="1"/>
        <tr r="K20" s="1"/>
      </tp>
      <tp>
        <v>443.65</v>
        <stp/>
        <stp>91</stp>
        <stp>10734125</stp>
        <tr r="H22" s="1"/>
      </tp>
      <tp>
        <v>462.4</v>
        <stp/>
        <stp>92</stp>
        <stp>10734125</stp>
        <tr r="H22" s="1"/>
        <tr r="H22" s="1"/>
      </tp>
      <tp>
        <v>443.65</v>
        <stp/>
        <stp>93</stp>
        <stp>10734125</stp>
        <tr r="I22" s="1"/>
      </tp>
      <tp>
        <v>471.1</v>
        <stp/>
        <stp>94</stp>
        <stp>10734125</stp>
        <tr r="I22" s="1"/>
        <tr r="I22" s="1"/>
      </tp>
      <tp>
        <v>443.65</v>
        <stp/>
        <stp>95</stp>
        <stp>10734125</stp>
        <tr r="J22" s="1"/>
      </tp>
      <tp>
        <v>522.29999999999995</v>
        <stp/>
        <stp>96</stp>
        <stp>10734125</stp>
        <tr r="J22" s="1"/>
        <tr r="J22" s="1"/>
      </tp>
      <tp>
        <v>1442.2</v>
        <stp/>
        <stp>97</stp>
        <stp>10734125</stp>
        <tr r="H23" s="1"/>
      </tp>
      <tp>
        <v>1516.4</v>
        <stp/>
        <stp>98</stp>
        <stp>10734125</stp>
        <tr r="H23" s="1"/>
        <tr r="H23" s="1"/>
      </tp>
      <tp>
        <v>443.65</v>
        <stp/>
        <stp>99</stp>
        <stp>10734125</stp>
        <tr r="K22" s="1"/>
      </tp>
      <tp t="s">
        <v>The formula must contain at least one field or function.</v>
        <stp/>
        <stp>4</stp>
        <stp>10734125</stp>
        <tr r="M5" s="1"/>
      </tp>
      <tp>
        <v>128.5</v>
        <stp/>
        <stp>5</stp>
        <stp>10734125</stp>
        <tr r="I8" s="1"/>
      </tp>
      <tp>
        <v>135.05000000000001</v>
        <stp/>
        <stp>6</stp>
        <stp>10734125</stp>
        <tr r="I8" s="1"/>
        <tr r="I8" s="1"/>
      </tp>
      <tp>
        <v>128.5</v>
        <stp/>
        <stp>7</stp>
        <stp>10734125</stp>
        <tr r="J8" s="1"/>
      </tp>
      <tp t="s">
        <v>The formula must contain at least one field or function.</v>
        <stp/>
        <stp>1</stp>
        <stp>10734125</stp>
        <tr r="M2" s="1"/>
      </tp>
      <tp>
        <v>128.5</v>
        <stp/>
        <stp>2</stp>
        <stp>10734125</stp>
        <tr r="H8" s="1"/>
      </tp>
      <tp>
        <v>131.31</v>
        <stp/>
        <stp>3</stp>
        <stp>10734125</stp>
        <tr r="H8" s="1"/>
        <tr r="H8" s="1"/>
      </tp>
      <tp>
        <v>139.97</v>
        <stp/>
        <stp>8</stp>
        <stp>10734125</stp>
        <tr r="J8" s="1"/>
        <tr r="J8" s="1"/>
      </tp>
      <tp>
        <v>53.75</v>
        <stp/>
        <stp>9</stp>
        <stp>10734125</stp>
        <tr r="H9" s="1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volatileDependencies" Target="volatileDependencies.xml"/><Relationship Id="rId5" Type="http://schemas.openxmlformats.org/officeDocument/2006/relationships/externalLink" Target="externalLinks/externalLink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lang="en-CA"/>
              <a:t>Composite Risk Score by Bank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Series 1</c:v>
          </c:tx>
          <c:invertIfNegative val="1"/>
          <c:cat>
            <c:strLit>
              <c:ptCount val="1"/>
              <c:pt idx="0">
                <c:v>Item 1</c:v>
              </c:pt>
            </c:strLit>
          </c:cat>
          <c:val>
            <c:numLit>
              <c:formatCode>General</c:formatCode>
              <c:ptCount val="1"/>
              <c:pt idx="0">
                <c:v>0</c:v>
              </c:pt>
            </c:numLit>
          </c:val>
          <c:extLst>
            <c:ext xmlns:c16="http://schemas.microsoft.com/office/drawing/2014/chart" uri="{C3380CC4-5D6E-409C-BE32-E72D297353CC}">
              <c16:uniqueId val="{00000000-EC14-4BF4-BA99-8D63BE6D9D3F}"/>
            </c:ext>
          </c:extLst>
        </c:ser>
        <c:ser>
          <c:idx val="1"/>
          <c:order val="1"/>
          <c:tx>
            <c:v>Composite Risk Score</c:v>
          </c:tx>
          <c:invertIfNegative val="1"/>
          <c:cat>
            <c:strRef>
              <c:f>'Risk Score Model'!$A$8:$A$44</c:f>
              <c:strCache>
                <c:ptCount val="37"/>
                <c:pt idx="0">
                  <c:v>Citigroup</c:v>
                </c:pt>
                <c:pt idx="1">
                  <c:v>Bank of America</c:v>
                </c:pt>
                <c:pt idx="2">
                  <c:v>JPMorgan Chase</c:v>
                </c:pt>
                <c:pt idx="3">
                  <c:v>Goldman Sachs</c:v>
                </c:pt>
                <c:pt idx="4">
                  <c:v>Morgan Stanley</c:v>
                </c:pt>
                <c:pt idx="5">
                  <c:v>Wells Fargo</c:v>
                </c:pt>
                <c:pt idx="6">
                  <c:v>State Street Bank</c:v>
                </c:pt>
                <c:pt idx="7">
                  <c:v>France</c:v>
                </c:pt>
                <c:pt idx="8">
                  <c:v>BNP Paribas SA</c:v>
                </c:pt>
                <c:pt idx="9">
                  <c:v>Credit Agricole SA</c:v>
                </c:pt>
                <c:pt idx="10">
                  <c:v>Societe Generale</c:v>
                </c:pt>
                <c:pt idx="11">
                  <c:v>Switzerland</c:v>
                </c:pt>
                <c:pt idx="12">
                  <c:v>UBS Group AG</c:v>
                </c:pt>
                <c:pt idx="13">
                  <c:v>U.K.</c:v>
                </c:pt>
                <c:pt idx="14">
                  <c:v>Barclays Bank PLC</c:v>
                </c:pt>
                <c:pt idx="15">
                  <c:v>HSBC Holdings PLC</c:v>
                </c:pt>
                <c:pt idx="16">
                  <c:v>RBS Group PLC</c:v>
                </c:pt>
                <c:pt idx="17">
                  <c:v>Standard Chartered</c:v>
                </c:pt>
                <c:pt idx="18">
                  <c:v>Germany</c:v>
                </c:pt>
                <c:pt idx="19">
                  <c:v>Deutsche Bank AG</c:v>
                </c:pt>
                <c:pt idx="20">
                  <c:v>Commerzbank</c:v>
                </c:pt>
                <c:pt idx="21">
                  <c:v>Denmark</c:v>
                </c:pt>
                <c:pt idx="22">
                  <c:v>Danske</c:v>
                </c:pt>
                <c:pt idx="23">
                  <c:v>Japan</c:v>
                </c:pt>
                <c:pt idx="24">
                  <c:v>Mitsubishi</c:v>
                </c:pt>
                <c:pt idx="25">
                  <c:v>Sumitomo</c:v>
                </c:pt>
                <c:pt idx="26">
                  <c:v>Mizuho</c:v>
                </c:pt>
                <c:pt idx="27">
                  <c:v>Daiwa</c:v>
                </c:pt>
                <c:pt idx="28">
                  <c:v>Nomura</c:v>
                </c:pt>
                <c:pt idx="29">
                  <c:v>Canada</c:v>
                </c:pt>
                <c:pt idx="30">
                  <c:v>Bank of Nova Scotia</c:v>
                </c:pt>
                <c:pt idx="31">
                  <c:v>BMO</c:v>
                </c:pt>
                <c:pt idx="32">
                  <c:v>CIBC</c:v>
                </c:pt>
                <c:pt idx="33">
                  <c:v>TD</c:v>
                </c:pt>
                <c:pt idx="34">
                  <c:v>RBC</c:v>
                </c:pt>
                <c:pt idx="35">
                  <c:v>Nationale</c:v>
                </c:pt>
                <c:pt idx="36">
                  <c:v>Laurentian</c:v>
                </c:pt>
              </c:strCache>
            </c:strRef>
          </c:cat>
          <c:val>
            <c:numRef>
              <c:f>'Risk Score Model'!$G$8:$G$44</c:f>
              <c:numCache>
                <c:formatCode>0.0;[Red]\(0.0\);\-</c:formatCode>
                <c:ptCount val="37"/>
                <c:pt idx="0">
                  <c:v>36.68</c:v>
                </c:pt>
                <c:pt idx="1">
                  <c:v>83.34</c:v>
                </c:pt>
                <c:pt idx="2">
                  <c:v>13.36</c:v>
                </c:pt>
                <c:pt idx="3">
                  <c:v>59.96</c:v>
                </c:pt>
                <c:pt idx="4">
                  <c:v>100</c:v>
                </c:pt>
                <c:pt idx="5">
                  <c:v>36.64</c:v>
                </c:pt>
                <c:pt idx="6">
                  <c:v>19.98</c:v>
                </c:pt>
                <c:pt idx="8">
                  <c:v>0</c:v>
                </c:pt>
                <c:pt idx="9">
                  <c:v>30</c:v>
                </c:pt>
                <c:pt idx="10">
                  <c:v>100</c:v>
                </c:pt>
                <c:pt idx="12">
                  <c:v>0</c:v>
                </c:pt>
                <c:pt idx="14">
                  <c:v>73.36</c:v>
                </c:pt>
                <c:pt idx="15">
                  <c:v>26.680000000000003</c:v>
                </c:pt>
                <c:pt idx="16">
                  <c:v>79.960000000000008</c:v>
                </c:pt>
                <c:pt idx="17">
                  <c:v>19.98</c:v>
                </c:pt>
                <c:pt idx="19">
                  <c:v>100</c:v>
                </c:pt>
                <c:pt idx="20">
                  <c:v>0</c:v>
                </c:pt>
                <c:pt idx="22">
                  <c:v>0</c:v>
                </c:pt>
                <c:pt idx="24">
                  <c:v>10</c:v>
                </c:pt>
                <c:pt idx="25">
                  <c:v>35</c:v>
                </c:pt>
                <c:pt idx="26">
                  <c:v>30</c:v>
                </c:pt>
                <c:pt idx="27">
                  <c:v>85</c:v>
                </c:pt>
                <c:pt idx="28">
                  <c:v>90</c:v>
                </c:pt>
                <c:pt idx="30">
                  <c:v>60</c:v>
                </c:pt>
                <c:pt idx="31">
                  <c:v>32</c:v>
                </c:pt>
                <c:pt idx="32">
                  <c:v>56</c:v>
                </c:pt>
                <c:pt idx="33">
                  <c:v>40</c:v>
                </c:pt>
                <c:pt idx="34">
                  <c:v>60</c:v>
                </c:pt>
                <c:pt idx="35">
                  <c:v>52</c:v>
                </c:pt>
                <c:pt idx="3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C14-4BF4-BA99-8D63BE6D9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1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auto val="0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13</xdr:row>
      <xdr:rowOff>0</xdr:rowOff>
    </xdr:from>
    <xdr:to>
      <xdr:col>17</xdr:col>
      <xdr:colOff>0</xdr:colOff>
      <xdr:row>42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5F02A0E3-C32E-48CE-B969-D4ABB72B018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bankofcanada.sharepoint.com/sites/D_FER_CRA/mcrag/RA%20Materials/Biweekly%20Meetings/Bi-Weekly%20Templates/CRAO%20-%20Markets%20Monitoring.xlsx" TargetMode="External"/><Relationship Id="rId1" Type="http://schemas.openxmlformats.org/officeDocument/2006/relationships/externalLinkPath" Target="https://bankofcanada.sharepoint.com/sites/D_FER_CRA/mcrag/RA%20Materials/Biweekly%20Meetings/Bi-Weekly%20Templates/CRAO%20-%20Markets%20Monitoring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nfo"/>
      <sheetName val="Log"/>
      <sheetName val="Bloomberg Codes"/>
      <sheetName val="_CIQHiddenCacheSheet"/>
      <sheetName val="Report"/>
      <sheetName val="TimeSeries_provinces_5yr"/>
      <sheetName val="TimeSeries_provinces"/>
      <sheetName val="Provinces"/>
      <sheetName val="Sovereign Indicators"/>
      <sheetName val="Bank Indicators"/>
      <sheetName val="DebtDist"/>
      <sheetName val="List"/>
    </sheetNames>
    <sheetDataSet>
      <sheetData sheetId="0" refreshError="1"/>
      <sheetData sheetId="1" refreshError="1"/>
      <sheetData sheetId="2">
        <row r="2">
          <cell r="O2" t="str">
            <v>Rating Code</v>
          </cell>
          <cell r="P2" t="str">
            <v>Equity Data</v>
          </cell>
          <cell r="Q2" t="str">
            <v>CDS 5Y</v>
          </cell>
          <cell r="R2" t="str">
            <v>CDS 1Y</v>
          </cell>
          <cell r="S2" t="str">
            <v>Corp Bond 5Y</v>
          </cell>
          <cell r="T2" t="str">
            <v>Liquidity Ratios</v>
          </cell>
          <cell r="U2" t="str">
            <v>General Debt Profile/Credit Tred</v>
          </cell>
        </row>
        <row r="3">
          <cell r="A3" t="str">
            <v>America</v>
          </cell>
          <cell r="N3" t="str">
            <v>Citigroup</v>
          </cell>
          <cell r="O3" t="str">
            <v>C US Equity</v>
          </cell>
          <cell r="P3" t="str">
            <v>C US Equity</v>
          </cell>
          <cell r="Q3" t="str">
            <v>CCGI1U5 CBIN Curncy</v>
          </cell>
          <cell r="R3" t="str">
            <v>CINC CDS USD SR 1Y D14</v>
          </cell>
          <cell r="S3" t="str">
            <v>C GB USD SR 5Y Corp</v>
          </cell>
        </row>
        <row r="4">
          <cell r="A4" t="str">
            <v>BRAZIL</v>
          </cell>
          <cell r="B4" t="str">
            <v>1323Z BZ Equity</v>
          </cell>
          <cell r="C4" t="str">
            <v>BRAZIL CDS USD SR 5Y D14 Corp</v>
          </cell>
          <cell r="D4" t="str">
            <v>GTBRL5Y Govt</v>
          </cell>
          <cell r="E4" t="str">
            <v>BCSWNPD Curncy</v>
          </cell>
          <cell r="F4" t="str">
            <v>IBOV Index</v>
          </cell>
          <cell r="G4" t="str">
            <v>USDBRL Curncy</v>
          </cell>
          <cell r="J4" t="str">
            <v>BZUETOTN Index</v>
          </cell>
          <cell r="N4" t="str">
            <v>Bank of America</v>
          </cell>
          <cell r="O4" t="str">
            <v>15581Z US Equity</v>
          </cell>
          <cell r="P4" t="str">
            <v>BAC US Equity</v>
          </cell>
          <cell r="Q4" t="str">
            <v>CBAC1U5 CBIN Curncy</v>
          </cell>
          <cell r="R4" t="str">
            <v>BOFA CDS USD SR 1Y D14</v>
          </cell>
          <cell r="S4" t="str">
            <v>BAC GB USD SR 5Y Corp</v>
          </cell>
        </row>
        <row r="5">
          <cell r="A5" t="str">
            <v>CANADA</v>
          </cell>
          <cell r="B5" t="str">
            <v>80710Z CN Equity</v>
          </cell>
          <cell r="C5" t="str">
            <v>CANPAC CDS USD SR 5Y D14 Corp</v>
          </cell>
          <cell r="D5" t="str">
            <v>GCAN5YR Index</v>
          </cell>
          <cell r="E5" t="str">
            <v>CDSW5 Curncy</v>
          </cell>
          <cell r="F5" t="str">
            <v>SPTSX Index</v>
          </cell>
          <cell r="G5" t="str">
            <v>USDCAD Curncy</v>
          </cell>
          <cell r="H5" t="str">
            <v>CACPIYOY Index</v>
          </cell>
          <cell r="I5" t="str">
            <v>CACPICHG Index</v>
          </cell>
          <cell r="J5" t="str">
            <v>CANLXEMR Index</v>
          </cell>
          <cell r="N5" t="str">
            <v>JPMorgan Chase &amp; Co</v>
          </cell>
          <cell r="O5" t="str">
            <v>8147Z US Equity</v>
          </cell>
          <cell r="P5" t="str">
            <v>JPM US Equity</v>
          </cell>
          <cell r="Q5" t="str">
            <v>CJPM1U5 CBIN Curncy</v>
          </cell>
          <cell r="R5" t="str">
            <v>JPMCC CDS USD SR 1Y D14</v>
          </cell>
          <cell r="S5" t="str">
            <v>JPM GB USD SR 5Y Corp</v>
          </cell>
        </row>
        <row r="6">
          <cell r="A6" t="str">
            <v>MEXICO</v>
          </cell>
          <cell r="B6" t="str">
            <v>1426Z MM Equity</v>
          </cell>
          <cell r="C6" t="str">
            <v>MEXICO CDS USD SR 5Y D14 Corp</v>
          </cell>
          <cell r="D6" t="str">
            <v>GMXN05YR Index</v>
          </cell>
          <cell r="E6" t="str">
            <v>MPSW5E Curncy</v>
          </cell>
          <cell r="F6" t="str">
            <v>MEXBOL Index</v>
          </cell>
          <cell r="G6" t="str">
            <v>USDMXN Curncy</v>
          </cell>
          <cell r="H6" t="str">
            <v>MXCPYOY Index</v>
          </cell>
          <cell r="I6" t="str">
            <v>MXCPCHNG Index</v>
          </cell>
          <cell r="J6" t="str">
            <v>MXUERATE Index</v>
          </cell>
          <cell r="N6" t="str">
            <v>BNP Paribas SA</v>
          </cell>
          <cell r="O6" t="str">
            <v>BNP FP Equity</v>
          </cell>
          <cell r="P6" t="str">
            <v>BNP FP Equity</v>
          </cell>
          <cell r="Q6" t="str">
            <v>CBNP1E5 CBIN Curncy</v>
          </cell>
          <cell r="R6" t="str">
            <v>BNP CDS EUR SR 1Y D14</v>
          </cell>
          <cell r="S6" t="str">
            <v>AL997029 Corp</v>
          </cell>
        </row>
        <row r="7">
          <cell r="A7" t="str">
            <v>UNITED STATES</v>
          </cell>
          <cell r="B7" t="str">
            <v>3352Z US Equity</v>
          </cell>
          <cell r="C7" t="str">
            <v>US CDS EUR SR 5Y D14 Corp</v>
          </cell>
          <cell r="D7" t="str">
            <v>USGG5YR Index</v>
          </cell>
          <cell r="E7" t="str">
            <v>USSWAP5 Curncy</v>
          </cell>
          <cell r="F7" t="str">
            <v>SPX Index</v>
          </cell>
          <cell r="H7" t="str">
            <v>CPI YOY Index</v>
          </cell>
          <cell r="I7" t="str">
            <v>CPI CHNG Index</v>
          </cell>
          <cell r="J7" t="str">
            <v>USURTOT Index</v>
          </cell>
          <cell r="N7" t="str">
            <v>Credit Agricole SA</v>
          </cell>
          <cell r="O7" t="str">
            <v>331900Z FP Equity</v>
          </cell>
          <cell r="P7" t="str">
            <v>ACA FP Equity</v>
          </cell>
          <cell r="Q7" t="str">
            <v>LCL SA CDS EUR SR 5Y D14 Corp</v>
          </cell>
          <cell r="R7" t="str">
            <v>LCL SA CDS EUR SR 1Y D14 Corp</v>
          </cell>
          <cell r="S7" t="str">
            <v>ACAFP 0.435 06/26/20 Corp</v>
          </cell>
        </row>
        <row r="8">
          <cell r="A8" t="str">
            <v>Europe</v>
          </cell>
          <cell r="N8" t="str">
            <v>Societe Generale SA</v>
          </cell>
          <cell r="O8" t="str">
            <v>GLE FP Equity</v>
          </cell>
          <cell r="P8" t="str">
            <v>GLE FP Equity</v>
          </cell>
          <cell r="Q8" t="str">
            <v>SOCGEN CDS EUR SR 5Y D14 Corp</v>
          </cell>
          <cell r="R8" t="str">
            <v>SOCGEN CDS EUR SR 1Y D14 Corp</v>
          </cell>
          <cell r="S8" t="str">
            <v>QJ659760 Corp</v>
          </cell>
        </row>
        <row r="9">
          <cell r="A9" t="str">
            <v>AUSTRIA</v>
          </cell>
          <cell r="B9" t="str">
            <v>1480Z AV Equity</v>
          </cell>
          <cell r="C9" t="str">
            <v>AUST CDS USD SR 5Y D14 Corp</v>
          </cell>
          <cell r="D9" t="str">
            <v>GAGB5YR Index</v>
          </cell>
          <cell r="E9" t="str">
            <v>EUSA5 CMPN Curncy</v>
          </cell>
          <cell r="F9" t="str">
            <v>ATX Index</v>
          </cell>
          <cell r="G9" t="str">
            <v>USDEUR Curncy</v>
          </cell>
          <cell r="H9" t="str">
            <v>ATCPYY10 Index</v>
          </cell>
          <cell r="J9" t="str">
            <v>ATUERNA Index</v>
          </cell>
          <cell r="N9" t="str">
            <v>UBS Group AG</v>
          </cell>
          <cell r="O9" t="str">
            <v>UBSN SW Equity</v>
          </cell>
          <cell r="P9" t="str">
            <v>UBSG SW Equity</v>
          </cell>
          <cell r="Q9" t="str">
            <v>UBS AG CDS EUR SR 5Y D14 Corp</v>
          </cell>
          <cell r="R9" t="str">
            <v>UBS CDS EUR SR 1Y D14 Corp</v>
          </cell>
          <cell r="S9" t="str">
            <v>UBS GB USD SR 3Y Corp</v>
          </cell>
        </row>
        <row r="10">
          <cell r="A10" t="str">
            <v>BELGIUM</v>
          </cell>
          <cell r="B10" t="str">
            <v>111136Z BB Equity</v>
          </cell>
          <cell r="C10" t="str">
            <v>BELG CDS USD SR 5Y D14 Corp</v>
          </cell>
          <cell r="D10" t="str">
            <v>GBGB5YR Index</v>
          </cell>
          <cell r="E10" t="str">
            <v>EUSA5 CMPN Curncy</v>
          </cell>
          <cell r="F10" t="str">
            <v>BEL20 Index</v>
          </cell>
          <cell r="G10" t="str">
            <v>USDEUR Curncy</v>
          </cell>
          <cell r="H10" t="str">
            <v>BECPYOY Index</v>
          </cell>
          <cell r="I10" t="str">
            <v>BECPCHNG Index</v>
          </cell>
          <cell r="J10" t="str">
            <v>BEUER Index</v>
          </cell>
          <cell r="N10" t="str">
            <v>HSBC Holdings PLC</v>
          </cell>
          <cell r="O10" t="str">
            <v>521903Z US Equity</v>
          </cell>
          <cell r="P10" t="str">
            <v>HSBA LN Equity</v>
          </cell>
          <cell r="Q10" t="str">
            <v>HSBCHD CDS GBP SR 5Y D14</v>
          </cell>
          <cell r="R10" t="str">
            <v>HSBCHD CDS GBP SR 1Y D14</v>
          </cell>
          <cell r="S10" t="str">
            <v>HSBC GB USD SR 5Y Corp</v>
          </cell>
        </row>
        <row r="11">
          <cell r="A11" t="str">
            <v>BRITAIN</v>
          </cell>
          <cell r="B11" t="str">
            <v>6152Z LN Equity</v>
          </cell>
          <cell r="C11" t="str">
            <v>UK CDS USD SR 5Y D14 Corp</v>
          </cell>
          <cell r="D11" t="str">
            <v>GUKG5 Index</v>
          </cell>
          <cell r="E11" t="str">
            <v>BPSW5 Curncy</v>
          </cell>
          <cell r="F11" t="str">
            <v>UKX Index</v>
          </cell>
          <cell r="G11" t="str">
            <v>USDGBP Curncy</v>
          </cell>
          <cell r="H11" t="str">
            <v>UKRPYOY Index</v>
          </cell>
          <cell r="I11" t="str">
            <v>UKRPMOM Index</v>
          </cell>
          <cell r="J11" t="str">
            <v>UKUEILOR Index</v>
          </cell>
          <cell r="N11" t="str">
            <v>Credit Suisse Group AG</v>
          </cell>
          <cell r="O11" t="str">
            <v>1236172D LN Equity</v>
          </cell>
          <cell r="P11" t="str">
            <v>CSGN SW Equity</v>
          </cell>
          <cell r="Q11" t="str">
            <v>CRDSUI CDS EUR SR 5Y D14 Corp</v>
          </cell>
          <cell r="R11" t="str">
            <v>CRDSUI CDS EUR SR 1Y D14 Corp</v>
          </cell>
          <cell r="S11" t="str">
            <v>CS GB USD SR 5Y Corp</v>
          </cell>
        </row>
        <row r="12">
          <cell r="A12" t="str">
            <v>CZECH REPUBLIC</v>
          </cell>
          <cell r="B12" t="str">
            <v>1040Z CP Equity</v>
          </cell>
          <cell r="C12" t="str">
            <v>CZECH CDS USD SR 5Y D14 Corp</v>
          </cell>
          <cell r="D12" t="str">
            <v>CZGB5YR Index</v>
          </cell>
          <cell r="E12" t="str">
            <v>CKSW5 Curncy</v>
          </cell>
          <cell r="F12" t="str">
            <v>PX Index</v>
          </cell>
          <cell r="G12" t="str">
            <v>USDCZK Curncy</v>
          </cell>
          <cell r="H12" t="str">
            <v>CZCPYOY Index</v>
          </cell>
          <cell r="I12" t="str">
            <v>CZCPMOM Index</v>
          </cell>
          <cell r="J12" t="str">
            <v>CZJLUNR Index</v>
          </cell>
          <cell r="N12" t="str">
            <v>RBS Group PLC</v>
          </cell>
          <cell r="O12" t="str">
            <v>RBS LN Equity</v>
          </cell>
          <cell r="P12" t="str">
            <v>RBS LN Equity</v>
          </cell>
          <cell r="Q12" t="str">
            <v>CRBS1E5 CBIN Curncy</v>
          </cell>
          <cell r="R12" t="str">
            <v>RPSPLC CDS EUR SR 1Y D14 Corp</v>
          </cell>
          <cell r="S12" t="str">
            <v>EI189405 Corp</v>
          </cell>
        </row>
        <row r="13">
          <cell r="A13" t="str">
            <v>DENMARK</v>
          </cell>
          <cell r="B13" t="str">
            <v>1271Z DC Equity</v>
          </cell>
          <cell r="C13" t="str">
            <v>DENK CDS USD SR 5Y D14 Corp</v>
          </cell>
          <cell r="D13" t="str">
            <v>GDGB5YR  Index</v>
          </cell>
          <cell r="E13" t="str">
            <v>DKSW5 Curncy</v>
          </cell>
          <cell r="F13" t="str">
            <v>KFX Index</v>
          </cell>
          <cell r="G13" t="str">
            <v>USDDKK Curncy</v>
          </cell>
          <cell r="H13" t="str">
            <v>DNCPIYOY Index</v>
          </cell>
          <cell r="I13" t="str">
            <v>DNCPIMOM Index</v>
          </cell>
          <cell r="J13" t="str">
            <v>DEUEGRAT Index</v>
          </cell>
          <cell r="N13" t="str">
            <v>Bank of Nova Scotia</v>
          </cell>
          <cell r="O13" t="str">
            <v>BNS CN Equity</v>
          </cell>
          <cell r="P13" t="str">
            <v>BNS CN Equity</v>
          </cell>
          <cell r="Q13" t="str">
            <v>BNS CDS USD SR 5Y D14 Corp</v>
          </cell>
          <cell r="R13" t="str">
            <v>BNS CDS USD SR 1Y D14 Corp</v>
          </cell>
          <cell r="S13" t="str">
            <v>BNS GB USD SR 5Y Corp</v>
          </cell>
        </row>
        <row r="14">
          <cell r="A14" t="str">
            <v>FINLAND</v>
          </cell>
          <cell r="B14" t="str">
            <v>1306Z FH Equity</v>
          </cell>
          <cell r="C14" t="str">
            <v>FINL CDS USD SR 5Y D14 Corp</v>
          </cell>
          <cell r="D14" t="str">
            <v>GFIN5YR Index</v>
          </cell>
          <cell r="E14" t="str">
            <v>EUSA5 CMPN Curncy</v>
          </cell>
          <cell r="F14" t="str">
            <v>HEX Index</v>
          </cell>
          <cell r="G14" t="str">
            <v>USDEUR Curncy</v>
          </cell>
          <cell r="H14" t="str">
            <v>FICP2YOY Index</v>
          </cell>
          <cell r="I14" t="str">
            <v>FICP2MOM Index</v>
          </cell>
          <cell r="J14" t="str">
            <v>FIUER Index</v>
          </cell>
          <cell r="N14" t="str">
            <v>BMO</v>
          </cell>
          <cell r="O14" t="str">
            <v>BMO CN Equity</v>
          </cell>
          <cell r="P14" t="str">
            <v>BMO CN Equity</v>
          </cell>
          <cell r="Q14" t="str">
            <v>BMO CDS USD SR 5Y D14 Corp</v>
          </cell>
          <cell r="R14" t="str">
            <v>BMO CDS USD SR 1Y D14 Corp</v>
          </cell>
          <cell r="S14" t="str">
            <v>QJ076587 Corp</v>
          </cell>
        </row>
        <row r="15">
          <cell r="A15" t="str">
            <v>FRANCE</v>
          </cell>
          <cell r="B15" t="str">
            <v>223727Z FP Equity</v>
          </cell>
          <cell r="C15" t="str">
            <v>FRANCE CDS USD SR 5Y D14 Corp</v>
          </cell>
          <cell r="D15" t="str">
            <v>GFRN5 Index</v>
          </cell>
          <cell r="E15" t="str">
            <v>EUSA5 CMPN Curncy</v>
          </cell>
          <cell r="F15" t="str">
            <v>CAC Index</v>
          </cell>
          <cell r="G15" t="str">
            <v>USDEUR Curncy</v>
          </cell>
          <cell r="H15" t="str">
            <v>FRCPISYY Index</v>
          </cell>
          <cell r="I15" t="str">
            <v>FRCPISMM Index</v>
          </cell>
          <cell r="J15" t="str">
            <v>FRUEREU Index</v>
          </cell>
          <cell r="N15" t="str">
            <v>CIBC</v>
          </cell>
          <cell r="O15" t="str">
            <v>CM CN Equity</v>
          </cell>
          <cell r="P15" t="str">
            <v>CM CN Equity</v>
          </cell>
          <cell r="S15" t="str">
            <v>CM 1.85 07/14/20 Corp</v>
          </cell>
        </row>
        <row r="16">
          <cell r="A16" t="str">
            <v>GERMANY</v>
          </cell>
          <cell r="B16" t="str">
            <v>3413Z GR Equity</v>
          </cell>
          <cell r="C16" t="str">
            <v>GERMAN CDS USD SR 5Y D14 Corp</v>
          </cell>
          <cell r="D16" t="str">
            <v>GDBR5 Index</v>
          </cell>
          <cell r="E16" t="str">
            <v>EUSA5 CMPN Curncy</v>
          </cell>
          <cell r="F16" t="str">
            <v>DAX Index</v>
          </cell>
          <cell r="G16" t="str">
            <v>USDEUR Curncy</v>
          </cell>
          <cell r="H16" t="str">
            <v>GRCP20YY Index</v>
          </cell>
          <cell r="I16" t="str">
            <v>GRCP20MM Index</v>
          </cell>
          <cell r="J16" t="str">
            <v>GRUEPR Index</v>
          </cell>
          <cell r="N16" t="str">
            <v>TD</v>
          </cell>
          <cell r="O16" t="str">
            <v>TD US Equity</v>
          </cell>
          <cell r="P16" t="str">
            <v>TD CN Equity</v>
          </cell>
          <cell r="Q16" t="str">
            <v>TD CDS USD SR 5Y D14 Corp</v>
          </cell>
          <cell r="R16" t="str">
            <v>TD CDS USD SR 1Y D14 Corp</v>
          </cell>
          <cell r="S16" t="str">
            <v>TD 2.621 12/22/21 Corp</v>
          </cell>
        </row>
        <row r="17">
          <cell r="A17" t="str">
            <v>GREECE</v>
          </cell>
          <cell r="B17" t="str">
            <v>1004Z GA Equity</v>
          </cell>
          <cell r="C17" t="str">
            <v>GREECE CDS USD SR 5Y D14 Corp</v>
          </cell>
          <cell r="D17" t="str">
            <v>GGGB5YR Index</v>
          </cell>
          <cell r="E17" t="str">
            <v>EUSA5 CMPN Curncy</v>
          </cell>
          <cell r="F17" t="str">
            <v>ASE Index</v>
          </cell>
          <cell r="G17" t="str">
            <v>USDEUR Curncy</v>
          </cell>
          <cell r="H17" t="str">
            <v>GKCPNEWY Index</v>
          </cell>
          <cell r="I17" t="str">
            <v>GKCPNEWM Index</v>
          </cell>
          <cell r="J17" t="str">
            <v>GKUERATE Index</v>
          </cell>
          <cell r="N17" t="str">
            <v>RBC</v>
          </cell>
          <cell r="O17" t="str">
            <v>RY CN Equity</v>
          </cell>
          <cell r="P17" t="str">
            <v>RY CN Equity</v>
          </cell>
          <cell r="S17" t="str">
            <v>RY GB USD SR 5Y Corp</v>
          </cell>
        </row>
        <row r="18">
          <cell r="A18" t="str">
            <v>IRELAND</v>
          </cell>
          <cell r="B18" t="str">
            <v>1266Z ID Equity</v>
          </cell>
          <cell r="C18" t="str">
            <v>IRELND CDS USD SR 5Y D14 Corp</v>
          </cell>
          <cell r="D18" t="str">
            <v>GTIEP5YR  Corp</v>
          </cell>
          <cell r="E18" t="str">
            <v>EUSA5 CMPN Curncy</v>
          </cell>
          <cell r="F18" t="str">
            <v>ISEQ Index</v>
          </cell>
          <cell r="G18" t="str">
            <v>USDEUR Curncy</v>
          </cell>
          <cell r="H18" t="str">
            <v>IECPIYOY Index</v>
          </cell>
          <cell r="I18" t="str">
            <v>IECPIMOM Index</v>
          </cell>
          <cell r="J18" t="str">
            <v>IEUERT Index</v>
          </cell>
          <cell r="N18" t="str">
            <v>Nationale</v>
          </cell>
          <cell r="O18" t="str">
            <v>NA CN Equity</v>
          </cell>
          <cell r="P18" t="str">
            <v>NA CN Equity</v>
          </cell>
          <cell r="S18" t="str">
            <v>EK777641 Corp</v>
          </cell>
        </row>
        <row r="19">
          <cell r="A19" t="str">
            <v>ITALY</v>
          </cell>
          <cell r="B19" t="str">
            <v>2103Z IM Equity</v>
          </cell>
          <cell r="C19" t="str">
            <v>ITALY CDS USD SR 5Y D14 Corp</v>
          </cell>
          <cell r="D19" t="str">
            <v>GBTPGR5 Index</v>
          </cell>
          <cell r="E19" t="str">
            <v>EUSA5 CMPN Curncy</v>
          </cell>
          <cell r="F19" t="str">
            <v>FTSEMIB Index</v>
          </cell>
          <cell r="G19" t="str">
            <v>USDEUR Curncy</v>
          </cell>
          <cell r="H19" t="str">
            <v>ITCPNICY Index</v>
          </cell>
          <cell r="I19" t="str">
            <v>ITCPNICM Index</v>
          </cell>
          <cell r="J19" t="str">
            <v>ITMUURS Index</v>
          </cell>
          <cell r="N19" t="str">
            <v>Deutche Bank AG</v>
          </cell>
          <cell r="O19" t="str">
            <v>DBK GR Equity</v>
          </cell>
          <cell r="P19" t="str">
            <v>DBK GR Equity</v>
          </cell>
          <cell r="Q19" t="str">
            <v>CDB1E5 CBIN Curncy</v>
          </cell>
          <cell r="R19" t="str">
            <v>DB CDS EUR SR 1Y D14</v>
          </cell>
          <cell r="S19" t="str">
            <v>LW0631934 Corp</v>
          </cell>
        </row>
        <row r="20">
          <cell r="A20" t="str">
            <v>LUXEMBOURG</v>
          </cell>
          <cell r="B20" t="str">
            <v>1110Z LX Equity</v>
          </cell>
          <cell r="C20" t="str">
            <v>LUXEMBOURG CDS USD SR 5Y D14 Corp</v>
          </cell>
          <cell r="D20" t="str">
            <v>EI2501308 Corp</v>
          </cell>
          <cell r="E20" t="str">
            <v>EUSA5 CMPN Curncy</v>
          </cell>
          <cell r="F20" t="str">
            <v>LUXXX Index</v>
          </cell>
          <cell r="G20" t="str">
            <v>USDEUR Curncy</v>
          </cell>
          <cell r="H20" t="str">
            <v>LXCPIYOY Index</v>
          </cell>
          <cell r="J20" t="str">
            <v>LXUERS Index</v>
          </cell>
          <cell r="N20" t="str">
            <v>Barclays Bank PLC</v>
          </cell>
          <cell r="P20" t="str">
            <v>BARC LN Equity</v>
          </cell>
          <cell r="Q20" t="str">
            <v>CBAR1E5 CBIN Curncy</v>
          </cell>
          <cell r="R20" t="str">
            <v>CBAR1E1 CBIN Curncy</v>
          </cell>
          <cell r="S20" t="str">
            <v>BACR GB USD SR 5Y Corp</v>
          </cell>
        </row>
        <row r="21">
          <cell r="A21" t="str">
            <v>NETHERLANDS</v>
          </cell>
          <cell r="B21" t="str">
            <v>1533Z NA Equity</v>
          </cell>
          <cell r="C21" t="str">
            <v>NETHER CDS USD SR 5Y D14 Corp</v>
          </cell>
          <cell r="D21" t="str">
            <v>GNTH5YR Index</v>
          </cell>
          <cell r="E21" t="str">
            <v>EUSA5 CMPN Curncy</v>
          </cell>
          <cell r="F21" t="str">
            <v>AEX Index</v>
          </cell>
          <cell r="G21" t="str">
            <v>USDEUR Curncy</v>
          </cell>
          <cell r="H21" t="str">
            <v>NECPIYOY Index</v>
          </cell>
          <cell r="I21" t="str">
            <v>NECPIMOM Index</v>
          </cell>
          <cell r="J21" t="str">
            <v>NEUETOTR Index</v>
          </cell>
          <cell r="N21" t="str">
            <v>Goldman Sachs Group</v>
          </cell>
          <cell r="P21" t="str">
            <v>GS US Equity</v>
          </cell>
          <cell r="Q21" t="str">
            <v>CGS1U5 CBIN Curncy</v>
          </cell>
          <cell r="R21" t="str">
            <v>CGS1U1 CBIN Curncy</v>
          </cell>
          <cell r="S21" t="str">
            <v>GS GB USD SR 5Y Corp</v>
          </cell>
        </row>
        <row r="22">
          <cell r="A22" t="str">
            <v>NORWAY</v>
          </cell>
          <cell r="B22" t="str">
            <v>1233Z NO Equity</v>
          </cell>
          <cell r="C22" t="str">
            <v>NORWAY CDS USD SR 5Y D14 Corp</v>
          </cell>
          <cell r="D22" t="str">
            <v>EI2488605 Corp</v>
          </cell>
          <cell r="E22" t="str">
            <v>NKSW5 Curncy</v>
          </cell>
          <cell r="F22" t="str">
            <v>OSEAX Index</v>
          </cell>
          <cell r="G22" t="str">
            <v>USDNOK Curncy</v>
          </cell>
          <cell r="H22" t="str">
            <v>NOCPIYOY Index</v>
          </cell>
          <cell r="I22" t="str">
            <v>NOCPIMOM Index</v>
          </cell>
          <cell r="J22" t="str">
            <v>NOLBRATE Index</v>
          </cell>
          <cell r="N22" t="str">
            <v>Morgan Stanley</v>
          </cell>
          <cell r="P22" t="str">
            <v>MS US Equity</v>
          </cell>
          <cell r="Q22" t="str">
            <v>CMWD1U5 CBIN Curncy</v>
          </cell>
          <cell r="R22" t="str">
            <v>MS CDS USD SR 1Y D14</v>
          </cell>
          <cell r="S22" t="str">
            <v>MS GB USD SR 5Y Corp</v>
          </cell>
        </row>
        <row r="23">
          <cell r="A23" t="str">
            <v>POLAND</v>
          </cell>
          <cell r="B23" t="str">
            <v>1084Z PW Equity</v>
          </cell>
          <cell r="C23" t="str">
            <v>POLAND CDS USD SR 5Y D14 Corp</v>
          </cell>
          <cell r="D23" t="str">
            <v>POGB5YR Index</v>
          </cell>
          <cell r="E23" t="str">
            <v>PZSW5 Curncy</v>
          </cell>
          <cell r="F23" t="str">
            <v>WIG Index</v>
          </cell>
          <cell r="G23" t="str">
            <v>USDPLN Curncy</v>
          </cell>
          <cell r="H23" t="str">
            <v>POCPIYOY Index</v>
          </cell>
          <cell r="I23" t="str">
            <v>POCPIMOM Index</v>
          </cell>
          <cell r="J23" t="str">
            <v>POUER Index</v>
          </cell>
          <cell r="N23" t="str">
            <v>State Street Bank &amp; Trust</v>
          </cell>
          <cell r="P23" t="str">
            <v>STT US Equity</v>
          </cell>
          <cell r="Q23" t="str">
            <v>STT CDS USD SR 5Y D14</v>
          </cell>
          <cell r="R23" t="str">
            <v>STT CDS USD SR 1Y D14</v>
          </cell>
          <cell r="S23" t="str">
            <v>STT GB USD SR 5Y Corp</v>
          </cell>
        </row>
        <row r="24">
          <cell r="A24" t="str">
            <v>PORTUGAL</v>
          </cell>
          <cell r="B24" t="str">
            <v>1174Z PL Equity</v>
          </cell>
          <cell r="C24" t="str">
            <v>PORTUG CDS USD SR 5Y D14 Corp</v>
          </cell>
          <cell r="D24" t="str">
            <v>GSPT5YR Index</v>
          </cell>
          <cell r="E24" t="str">
            <v>EUSA5 CMPN Curncy</v>
          </cell>
          <cell r="F24" t="str">
            <v>PSI20 Index</v>
          </cell>
          <cell r="G24" t="str">
            <v>USDEUR Curncy</v>
          </cell>
          <cell r="H24" t="str">
            <v>PLCPYOY Index</v>
          </cell>
          <cell r="I24" t="str">
            <v>PLCPMOM Index</v>
          </cell>
          <cell r="J24" t="str">
            <v>PTUE Index</v>
          </cell>
        </row>
        <row r="25">
          <cell r="A25" t="str">
            <v>SLOVENIA</v>
          </cell>
          <cell r="B25" t="str">
            <v>1091Z SV Equity</v>
          </cell>
          <cell r="C25" t="str">
            <v>SLOVEN CDS USD SR 5Y D14 Corp</v>
          </cell>
          <cell r="D25" t="str">
            <v>EI1152335 Corp</v>
          </cell>
          <cell r="E25" t="str">
            <v>EUSA5 CMPN Curncy</v>
          </cell>
          <cell r="F25" t="str">
            <v>SBITOP Index</v>
          </cell>
          <cell r="G25" t="str">
            <v>USDEUR Curncy</v>
          </cell>
          <cell r="H25" t="str">
            <v>SVCPYOY Index</v>
          </cell>
          <cell r="I25" t="str">
            <v>SVCPMOM Index</v>
          </cell>
          <cell r="J25" t="str">
            <v>SVUER Index</v>
          </cell>
        </row>
        <row r="26">
          <cell r="A26" t="str">
            <v>SPAIN</v>
          </cell>
          <cell r="B26" t="str">
            <v>1841Z SM Equity</v>
          </cell>
          <cell r="C26" t="str">
            <v>SPAIN CDS USD SR 5Y D14 Corp</v>
          </cell>
          <cell r="D26" t="str">
            <v>GSPG5YR Index</v>
          </cell>
          <cell r="E26" t="str">
            <v>EUSA5 CMPN Curncy</v>
          </cell>
          <cell r="F26" t="str">
            <v>IBEX Index</v>
          </cell>
          <cell r="G26" t="str">
            <v>USDEUR Curncy</v>
          </cell>
          <cell r="H26" t="str">
            <v>SPIPCYOY Index</v>
          </cell>
          <cell r="I26" t="str">
            <v>SPIPCMOM Index</v>
          </cell>
          <cell r="J26" t="str">
            <v>SPUNEMPR Index</v>
          </cell>
        </row>
        <row r="27">
          <cell r="A27" t="str">
            <v>SWEDEN</v>
          </cell>
          <cell r="B27" t="str">
            <v>1179Z SS Equity</v>
          </cell>
          <cell r="C27" t="str">
            <v>SWED CDS USD SR 5Y D14 Corp</v>
          </cell>
          <cell r="D27" t="str">
            <v>GSGB5YR Index</v>
          </cell>
          <cell r="E27" t="str">
            <v>SKSW5 Curncy</v>
          </cell>
          <cell r="F27" t="str">
            <v>OMX Index</v>
          </cell>
          <cell r="G27" t="str">
            <v>USDSEK Index</v>
          </cell>
          <cell r="H27" t="str">
            <v>SWCPYOY Index</v>
          </cell>
          <cell r="I27" t="str">
            <v>SWCPMOM Index</v>
          </cell>
          <cell r="J27" t="str">
            <v>SWUERATE Index</v>
          </cell>
        </row>
        <row r="28">
          <cell r="A28" t="str">
            <v>SWITZERLAND</v>
          </cell>
          <cell r="B28" t="str">
            <v>344758Z SW Equity</v>
          </cell>
          <cell r="C28" t="str">
            <v>SWISS CDS USD SR 5Y D14 Corp</v>
          </cell>
          <cell r="D28" t="str">
            <v>GSWISS05 Index</v>
          </cell>
          <cell r="E28" t="str">
            <v>SFSW5 Curncy</v>
          </cell>
          <cell r="F28" t="str">
            <v>SMI Index</v>
          </cell>
          <cell r="G28" t="str">
            <v>USDCHF Curncy</v>
          </cell>
          <cell r="H28" t="str">
            <v>SZCPIYOY Index</v>
          </cell>
          <cell r="I28" t="str">
            <v>SZCPIMOM Index</v>
          </cell>
          <cell r="J28" t="str">
            <v>SZUEUEA Index</v>
          </cell>
        </row>
        <row r="29">
          <cell r="A29" t="str">
            <v>UKRAINE</v>
          </cell>
          <cell r="B29" t="str">
            <v>1089Z UZ Equity</v>
          </cell>
          <cell r="C29" t="str">
            <v>CUKR1U5 CBBT Curncy</v>
          </cell>
          <cell r="D29" t="str">
            <v>GTUAH5YR  Corp</v>
          </cell>
          <cell r="E29" t="str">
            <v>UKSW5 Curncy</v>
          </cell>
          <cell r="F29" t="str">
            <v>PFTS Index</v>
          </cell>
          <cell r="G29" t="str">
            <v>USDUAH Curncy</v>
          </cell>
          <cell r="H29" t="str">
            <v>UACPTYOY Index</v>
          </cell>
          <cell r="J29" t="str">
            <v>UAUEILO Index</v>
          </cell>
        </row>
        <row r="30">
          <cell r="A30" t="str">
            <v>Asia/Pacific</v>
          </cell>
        </row>
        <row r="31">
          <cell r="A31" t="str">
            <v>AUSTRALIA</v>
          </cell>
          <cell r="B31" t="str">
            <v>1525Z AU Equity</v>
          </cell>
          <cell r="C31" t="str">
            <v>AUSTLA CDS USD SR 5Y D14 Corp</v>
          </cell>
          <cell r="D31" t="str">
            <v>GACGB5 Index</v>
          </cell>
          <cell r="E31" t="str">
            <v>ADSWAP5 Curncy</v>
          </cell>
          <cell r="F31" t="str">
            <v>AS51 Index</v>
          </cell>
          <cell r="G31" t="str">
            <v>USDAUD Curncy</v>
          </cell>
          <cell r="H31" t="str">
            <v>AUCPIYOY Index</v>
          </cell>
          <cell r="I31" t="str">
            <v>AUCPICHG Index</v>
          </cell>
          <cell r="J31" t="str">
            <v>AULFUNEM Index</v>
          </cell>
        </row>
        <row r="32">
          <cell r="A32" t="str">
            <v>CHINA</v>
          </cell>
          <cell r="B32" t="str">
            <v>PRCH CH Equity</v>
          </cell>
          <cell r="C32" t="str">
            <v>CHINAGOV CDS USD SR 5Y D14 Corp</v>
          </cell>
          <cell r="D32" t="str">
            <v>GCNY5YR Index</v>
          </cell>
          <cell r="E32" t="str">
            <v>CCSWN5 Curncy</v>
          </cell>
          <cell r="F32" t="str">
            <v>SHCOMP Index</v>
          </cell>
          <cell r="G32" t="str">
            <v>USDCNY Index</v>
          </cell>
          <cell r="H32" t="str">
            <v>CNCPIYOY Index</v>
          </cell>
          <cell r="J32" t="str">
            <v>CNUERATE Index</v>
          </cell>
        </row>
        <row r="33">
          <cell r="A33" t="str">
            <v>HONG KONG</v>
          </cell>
          <cell r="B33" t="str">
            <v>3343935Z HK Equity</v>
          </cell>
          <cell r="C33" t="str">
            <v>HONGK CDS USD SR 5Y D14 Corp</v>
          </cell>
          <cell r="D33" t="str">
            <v>EI4809337 Corp</v>
          </cell>
          <cell r="E33" t="str">
            <v>HDSW5 Curncy</v>
          </cell>
          <cell r="F33" t="str">
            <v>HSI Index</v>
          </cell>
          <cell r="G33" t="str">
            <v>USDHKD Curncy</v>
          </cell>
          <cell r="H33" t="str">
            <v>HKCPIY Index</v>
          </cell>
          <cell r="I33" t="str">
            <v>HKCPIM Index</v>
          </cell>
          <cell r="J33" t="str">
            <v>HKUERATE Index</v>
          </cell>
        </row>
        <row r="34">
          <cell r="A34" t="str">
            <v>INDIA</v>
          </cell>
          <cell r="B34" t="str">
            <v>1504Z IN Equity</v>
          </cell>
          <cell r="C34" t="str">
            <v>INDIA CDS USD SR 5Y D14 Corp</v>
          </cell>
          <cell r="D34" t="str">
            <v>GIND5YR Index</v>
          </cell>
          <cell r="E34" t="str">
            <v>IRSWO5 Curncy</v>
          </cell>
          <cell r="F34" t="str">
            <v>SENSEX Index</v>
          </cell>
          <cell r="G34" t="str">
            <v>USDINR Curncy</v>
          </cell>
          <cell r="H34" t="str">
            <v>INFUTOTY Index</v>
          </cell>
          <cell r="J34" t="str">
            <v>INUNCIA Index</v>
          </cell>
        </row>
        <row r="35">
          <cell r="A35" t="str">
            <v>JAPAN</v>
          </cell>
          <cell r="B35" t="str">
            <v>JAPZ JP Equity</v>
          </cell>
          <cell r="C35" t="str">
            <v>JAPAN CDS USD SR 5Y D14 Corp</v>
          </cell>
          <cell r="D35" t="str">
            <v>GJGB5 Index</v>
          </cell>
          <cell r="E35" t="str">
            <v>JYSWAP5 Curncy</v>
          </cell>
          <cell r="F35" t="str">
            <v>TPX Index</v>
          </cell>
          <cell r="G35" t="str">
            <v>USDJPY BGN Curncy</v>
          </cell>
          <cell r="H35" t="str">
            <v>JNCPIYOY Index</v>
          </cell>
          <cell r="J35" t="str">
            <v>JNUE Index</v>
          </cell>
        </row>
        <row r="36">
          <cell r="A36" t="str">
            <v>MALAYSIA</v>
          </cell>
          <cell r="B36" t="str">
            <v>1124Z MK Equity</v>
          </cell>
          <cell r="C36" t="str">
            <v>MALAYS CDS USD SR 5Y D14 Corp</v>
          </cell>
          <cell r="D36" t="str">
            <v>MGIY5Y Index</v>
          </cell>
          <cell r="E36" t="str">
            <v>MRSWQO5 Curncy</v>
          </cell>
          <cell r="F36" t="str">
            <v>FBMKLCI Index</v>
          </cell>
          <cell r="G36" t="str">
            <v>USDMYR Curncy</v>
          </cell>
          <cell r="H36" t="str">
            <v>MACPIYOY Index</v>
          </cell>
          <cell r="I36" t="str">
            <v>MACPIMOM Index</v>
          </cell>
          <cell r="J36" t="str">
            <v>MAEPRATE Index</v>
          </cell>
        </row>
        <row r="37">
          <cell r="A37" t="str">
            <v>NEW ZEALAND</v>
          </cell>
          <cell r="B37" t="str">
            <v>46443Z NZ Equity</v>
          </cell>
          <cell r="C37" t="str">
            <v>NZ CDS USD SR 5Y D14 Corp</v>
          </cell>
          <cell r="D37" t="str">
            <v>GNZGB5 Index</v>
          </cell>
          <cell r="E37" t="str">
            <v>NDSWAP5 Curncy</v>
          </cell>
          <cell r="F37" t="str">
            <v>NZSE50FG Index</v>
          </cell>
          <cell r="G37" t="str">
            <v>USDNZD Curncy</v>
          </cell>
          <cell r="H37" t="str">
            <v>NZCPIYOY Index</v>
          </cell>
          <cell r="I37" t="str">
            <v>NZCPICHG Index</v>
          </cell>
          <cell r="J37" t="str">
            <v>NZLFUNER Index</v>
          </cell>
        </row>
        <row r="38">
          <cell r="A38" t="str">
            <v>RUSSIA</v>
          </cell>
          <cell r="B38" t="str">
            <v>4458Z RU Equity</v>
          </cell>
          <cell r="C38" t="str">
            <v>RUSSIA CDS USD SR 5Y D14 Corp</v>
          </cell>
          <cell r="D38" t="str">
            <v>GTRUB5YR  Corp</v>
          </cell>
          <cell r="F38" t="str">
            <v>INDEXCF Index</v>
          </cell>
          <cell r="G38" t="str">
            <v>USDRUB Curncy</v>
          </cell>
          <cell r="H38" t="str">
            <v>RUCPIYOY Index</v>
          </cell>
          <cell r="I38" t="str">
            <v>RUCPIMOM Index</v>
          </cell>
          <cell r="J38" t="str">
            <v>RUUER Index</v>
          </cell>
        </row>
        <row r="39">
          <cell r="A39" t="str">
            <v>SINGAPORE</v>
          </cell>
          <cell r="B39" t="str">
            <v>1545Z SP Equity</v>
          </cell>
          <cell r="C39" t="str">
            <v>SINGAP CDS USD SR 5Y D14 Corp</v>
          </cell>
          <cell r="D39" t="str">
            <v>MASB5Y Index</v>
          </cell>
          <cell r="E39" t="str">
            <v>SDSW5 Curncy</v>
          </cell>
          <cell r="F39" t="str">
            <v>FSSTI Index</v>
          </cell>
          <cell r="G39" t="str">
            <v>USDSGD Curncy</v>
          </cell>
          <cell r="H39" t="str">
            <v>SICPIYOY Index</v>
          </cell>
          <cell r="I39" t="str">
            <v>SICPIMOM Index</v>
          </cell>
          <cell r="J39" t="str">
            <v>SIQUTOTA Index</v>
          </cell>
        </row>
        <row r="40">
          <cell r="A40" t="str">
            <v>SOUTH KOREA</v>
          </cell>
          <cell r="B40" t="str">
            <v>ROKZ KS Equity</v>
          </cell>
          <cell r="C40" t="str">
            <v>KOREA CDS USD SR 5Y D14 Corp</v>
          </cell>
          <cell r="D40" t="str">
            <v>GVSK5YR Index</v>
          </cell>
          <cell r="E40" t="str">
            <v>KWSWO5 Curncy</v>
          </cell>
          <cell r="F40" t="str">
            <v>KOSPI Index</v>
          </cell>
          <cell r="G40" t="str">
            <v>USDKRW Curncy</v>
          </cell>
          <cell r="H40" t="str">
            <v>KOCPIYOY Index</v>
          </cell>
          <cell r="I40" t="str">
            <v>KOCPIMOM Index</v>
          </cell>
          <cell r="J40" t="str">
            <v>KOEAUERS Index</v>
          </cell>
        </row>
        <row r="41">
          <cell r="A41" t="str">
            <v>TAIWAN</v>
          </cell>
          <cell r="B41" t="str">
            <v>116657Z TT Equity</v>
          </cell>
          <cell r="D41" t="str">
            <v>GVTW5YR Index</v>
          </cell>
          <cell r="E41" t="str">
            <v>NTSWO5 Curncy</v>
          </cell>
          <cell r="F41" t="str">
            <v>TWSE Index</v>
          </cell>
          <cell r="G41" t="str">
            <v>USDTWD Curncy</v>
          </cell>
          <cell r="H41" t="str">
            <v>TWCPIYOY Index</v>
          </cell>
          <cell r="I41" t="str">
            <v>TWCPII Index</v>
          </cell>
          <cell r="J41" t="str">
            <v>TWLFADJ Index</v>
          </cell>
        </row>
        <row r="42">
          <cell r="A42" t="str">
            <v>THAILAND</v>
          </cell>
          <cell r="B42" t="str">
            <v>1179Z TB Equity</v>
          </cell>
          <cell r="C42" t="str">
            <v>THAI CDS USD SR 5Y D14 Corp</v>
          </cell>
          <cell r="D42" t="str">
            <v>GVTL5YR Index</v>
          </cell>
          <cell r="E42" t="str">
            <v>TBSWO5 Curncy</v>
          </cell>
          <cell r="F42" t="str">
            <v>SET Index</v>
          </cell>
          <cell r="G42" t="str">
            <v>USDTHB Curncy</v>
          </cell>
          <cell r="H42" t="str">
            <v>THCPIYOY Index</v>
          </cell>
          <cell r="I42" t="str">
            <v>THCPIMOM Index</v>
          </cell>
          <cell r="J42" t="str">
            <v>THLMUERT Index</v>
          </cell>
        </row>
        <row r="43">
          <cell r="A43" t="str">
            <v>South Africa</v>
          </cell>
          <cell r="B43" t="str">
            <v>50184Z SJ Equity</v>
          </cell>
          <cell r="C43" t="str">
            <v>REPSOU CDS USD SR 5Y D14 Corp</v>
          </cell>
          <cell r="D43" t="str">
            <v>GTZAR5Y Govt</v>
          </cell>
          <cell r="E43" t="str">
            <v>SASW5 Curncy</v>
          </cell>
          <cell r="F43" t="str">
            <v>TOP40 Index</v>
          </cell>
          <cell r="G43" t="str">
            <v>USDZAR Curncy</v>
          </cell>
          <cell r="H43" t="str">
            <v>SCP8EPNY Index</v>
          </cell>
          <cell r="I43" t="str">
            <v>SCP8014M Index</v>
          </cell>
          <cell r="J43" t="str">
            <v>SAUERATQ Index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>
        <row r="1">
          <cell r="C1">
            <v>46218</v>
          </cell>
        </row>
      </sheetData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62C7C-7364-4F57-A98C-BBB25BD6D341}">
  <dimension ref="A1:DY1"/>
  <sheetViews>
    <sheetView workbookViewId="0"/>
  </sheetViews>
  <sheetFormatPr defaultRowHeight="14.5"/>
  <sheetData>
    <row r="1" spans="1:129">
      <c r="A1">
        <v>129</v>
      </c>
      <c r="B1" t="s">
        <v>267</v>
      </c>
      <c r="C1" t="s">
        <v>268</v>
      </c>
      <c r="D1" t="s">
        <v>269</v>
      </c>
      <c r="E1" t="s">
        <v>270</v>
      </c>
      <c r="F1" t="s">
        <v>271</v>
      </c>
      <c r="G1" t="s">
        <v>272</v>
      </c>
      <c r="H1" t="s">
        <v>273</v>
      </c>
      <c r="I1" t="s">
        <v>274</v>
      </c>
      <c r="J1" t="s">
        <v>275</v>
      </c>
      <c r="K1" t="s">
        <v>276</v>
      </c>
      <c r="L1" t="s">
        <v>277</v>
      </c>
      <c r="M1" t="s">
        <v>278</v>
      </c>
      <c r="N1" t="s">
        <v>279</v>
      </c>
      <c r="O1" t="s">
        <v>280</v>
      </c>
      <c r="P1" t="s">
        <v>281</v>
      </c>
      <c r="Q1" t="s">
        <v>282</v>
      </c>
      <c r="R1" t="s">
        <v>283</v>
      </c>
      <c r="S1" t="s">
        <v>284</v>
      </c>
      <c r="T1" t="s">
        <v>285</v>
      </c>
      <c r="U1" t="s">
        <v>286</v>
      </c>
      <c r="V1" t="s">
        <v>287</v>
      </c>
      <c r="W1" t="s">
        <v>288</v>
      </c>
      <c r="X1" t="s">
        <v>289</v>
      </c>
      <c r="Y1" t="s">
        <v>290</v>
      </c>
      <c r="Z1" t="s">
        <v>291</v>
      </c>
      <c r="AA1" t="s">
        <v>292</v>
      </c>
      <c r="AB1" t="s">
        <v>293</v>
      </c>
      <c r="AC1" t="s">
        <v>294</v>
      </c>
      <c r="AD1" t="s">
        <v>295</v>
      </c>
      <c r="AE1" t="s">
        <v>296</v>
      </c>
      <c r="AF1" t="s">
        <v>297</v>
      </c>
      <c r="AG1" t="s">
        <v>298</v>
      </c>
      <c r="AH1" t="s">
        <v>299</v>
      </c>
      <c r="AI1" t="s">
        <v>300</v>
      </c>
      <c r="AJ1" t="s">
        <v>301</v>
      </c>
      <c r="AK1" t="s">
        <v>302</v>
      </c>
      <c r="AL1" t="s">
        <v>303</v>
      </c>
      <c r="AM1" t="s">
        <v>304</v>
      </c>
      <c r="AN1" t="s">
        <v>305</v>
      </c>
      <c r="AO1" t="s">
        <v>306</v>
      </c>
      <c r="AP1" t="s">
        <v>307</v>
      </c>
      <c r="AQ1" t="s">
        <v>308</v>
      </c>
      <c r="AR1" t="s">
        <v>309</v>
      </c>
      <c r="AS1" t="s">
        <v>310</v>
      </c>
      <c r="AT1" t="s">
        <v>311</v>
      </c>
      <c r="AU1" t="s">
        <v>312</v>
      </c>
      <c r="AV1" t="s">
        <v>313</v>
      </c>
      <c r="AW1" t="s">
        <v>314</v>
      </c>
      <c r="AX1" t="s">
        <v>315</v>
      </c>
      <c r="AY1" t="s">
        <v>316</v>
      </c>
      <c r="AZ1" t="s">
        <v>317</v>
      </c>
      <c r="BA1" t="s">
        <v>318</v>
      </c>
      <c r="BB1" t="s">
        <v>319</v>
      </c>
      <c r="BC1" t="s">
        <v>320</v>
      </c>
      <c r="BD1" t="s">
        <v>321</v>
      </c>
      <c r="BE1" t="s">
        <v>322</v>
      </c>
      <c r="BF1" t="s">
        <v>323</v>
      </c>
      <c r="BG1" t="s">
        <v>324</v>
      </c>
      <c r="BH1" t="s">
        <v>325</v>
      </c>
      <c r="BI1" t="s">
        <v>326</v>
      </c>
      <c r="BJ1" t="s">
        <v>327</v>
      </c>
      <c r="BK1" t="s">
        <v>328</v>
      </c>
      <c r="BL1" t="s">
        <v>329</v>
      </c>
      <c r="BM1" t="s">
        <v>330</v>
      </c>
      <c r="BN1" t="s">
        <v>331</v>
      </c>
      <c r="BO1" t="s">
        <v>332</v>
      </c>
      <c r="BP1" t="s">
        <v>333</v>
      </c>
      <c r="BQ1" t="s">
        <v>334</v>
      </c>
      <c r="BR1" t="s">
        <v>335</v>
      </c>
      <c r="BS1" t="s">
        <v>336</v>
      </c>
      <c r="BT1" t="s">
        <v>337</v>
      </c>
      <c r="BU1" t="s">
        <v>338</v>
      </c>
      <c r="BV1" t="s">
        <v>339</v>
      </c>
      <c r="BW1" t="s">
        <v>340</v>
      </c>
      <c r="BX1" t="s">
        <v>341</v>
      </c>
      <c r="BY1" t="s">
        <v>342</v>
      </c>
      <c r="BZ1" t="s">
        <v>343</v>
      </c>
      <c r="CA1" t="s">
        <v>344</v>
      </c>
      <c r="CB1" t="s">
        <v>345</v>
      </c>
      <c r="CC1" t="s">
        <v>346</v>
      </c>
      <c r="CD1" t="s">
        <v>347</v>
      </c>
      <c r="CE1" t="s">
        <v>348</v>
      </c>
      <c r="CF1" t="s">
        <v>349</v>
      </c>
      <c r="CG1" t="s">
        <v>350</v>
      </c>
      <c r="CH1" t="s">
        <v>351</v>
      </c>
      <c r="CI1" t="s">
        <v>352</v>
      </c>
      <c r="CJ1" t="s">
        <v>353</v>
      </c>
      <c r="CK1" t="s">
        <v>354</v>
      </c>
      <c r="CL1" t="s">
        <v>355</v>
      </c>
      <c r="CM1" t="s">
        <v>356</v>
      </c>
      <c r="CN1" t="s">
        <v>357</v>
      </c>
      <c r="CO1" t="s">
        <v>358</v>
      </c>
      <c r="CP1" t="s">
        <v>359</v>
      </c>
      <c r="CQ1" t="s">
        <v>360</v>
      </c>
      <c r="CR1" t="s">
        <v>361</v>
      </c>
      <c r="CS1" t="s">
        <v>362</v>
      </c>
      <c r="CT1" t="s">
        <v>363</v>
      </c>
      <c r="CU1" t="s">
        <v>364</v>
      </c>
      <c r="CV1" t="s">
        <v>365</v>
      </c>
      <c r="CW1" t="s">
        <v>366</v>
      </c>
      <c r="CX1" t="s">
        <v>367</v>
      </c>
      <c r="CY1" t="s">
        <v>368</v>
      </c>
      <c r="CZ1" t="s">
        <v>369</v>
      </c>
      <c r="DA1" t="s">
        <v>370</v>
      </c>
      <c r="DB1" t="s">
        <v>371</v>
      </c>
      <c r="DC1" t="s">
        <v>372</v>
      </c>
      <c r="DD1" t="s">
        <v>373</v>
      </c>
      <c r="DE1" t="s">
        <v>374</v>
      </c>
      <c r="DF1" t="s">
        <v>375</v>
      </c>
      <c r="DG1" t="s">
        <v>376</v>
      </c>
      <c r="DH1" t="s">
        <v>377</v>
      </c>
      <c r="DI1" t="s">
        <v>378</v>
      </c>
      <c r="DJ1" t="s">
        <v>379</v>
      </c>
      <c r="DK1" t="s">
        <v>380</v>
      </c>
      <c r="DL1" t="s">
        <v>381</v>
      </c>
      <c r="DM1" t="s">
        <v>382</v>
      </c>
      <c r="DN1" t="s">
        <v>383</v>
      </c>
      <c r="DO1" t="s">
        <v>384</v>
      </c>
      <c r="DP1" t="s">
        <v>385</v>
      </c>
      <c r="DQ1" t="s">
        <v>386</v>
      </c>
      <c r="DR1" t="s">
        <v>387</v>
      </c>
      <c r="DS1" t="s">
        <v>388</v>
      </c>
      <c r="DT1" t="s">
        <v>389</v>
      </c>
      <c r="DU1" t="s">
        <v>390</v>
      </c>
      <c r="DV1" t="s">
        <v>391</v>
      </c>
      <c r="DW1" t="s">
        <v>392</v>
      </c>
      <c r="DX1" t="s">
        <v>393</v>
      </c>
      <c r="DY1" t="s">
        <v>394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E67631-A035-4B26-8F61-072DACD140F6}">
  <dimension ref="A1:Q64"/>
  <sheetViews>
    <sheetView tabSelected="1" zoomScale="84" zoomScaleNormal="84" workbookViewId="0">
      <selection activeCell="H9" sqref="H9"/>
    </sheetView>
  </sheetViews>
  <sheetFormatPr defaultRowHeight="14.5"/>
  <cols>
    <col min="1" max="1" width="19.36328125" customWidth="1"/>
    <col min="2" max="2" width="27.08984375" customWidth="1"/>
    <col min="3" max="3" width="23.90625" customWidth="1"/>
    <col min="8" max="8" width="15.08984375" customWidth="1"/>
    <col min="13" max="13" width="21.453125" customWidth="1"/>
    <col min="14" max="14" width="12.7265625" customWidth="1"/>
    <col min="15" max="15" width="18.7265625" customWidth="1"/>
    <col min="16" max="16" width="18.6328125" customWidth="1"/>
    <col min="17" max="17" width="12.1796875" customWidth="1"/>
  </cols>
  <sheetData>
    <row r="1" spans="1:17">
      <c r="A1" s="44"/>
      <c r="B1" s="43"/>
      <c r="C1" s="73" t="s">
        <v>234</v>
      </c>
      <c r="D1" s="74"/>
      <c r="E1" s="74"/>
      <c r="F1" s="74"/>
      <c r="G1" s="75"/>
      <c r="H1" s="73" t="s">
        <v>1</v>
      </c>
      <c r="I1" s="74"/>
      <c r="J1" s="74"/>
      <c r="K1" s="74"/>
    </row>
    <row r="2" spans="1:17">
      <c r="A2" s="42"/>
      <c r="B2" s="45" t="s">
        <v>235</v>
      </c>
      <c r="C2" s="1"/>
      <c r="D2" s="39">
        <v>-3</v>
      </c>
      <c r="E2" s="39">
        <v>-3</v>
      </c>
      <c r="F2" s="39">
        <v>-30</v>
      </c>
      <c r="G2" s="47">
        <v>-75</v>
      </c>
      <c r="H2" s="39">
        <v>2</v>
      </c>
      <c r="I2" s="39">
        <v>10</v>
      </c>
      <c r="J2" s="39">
        <v>30</v>
      </c>
      <c r="K2" s="39">
        <v>70</v>
      </c>
      <c r="M2" s="21" t="str" cm="1">
        <f t="array" ref="M2">_xll.TR("C5YUSAX=R","PCT1W")</f>
        <v>The formula must contain at least one field or function.</v>
      </c>
    </row>
    <row r="3" spans="1:17">
      <c r="A3" s="42"/>
      <c r="B3" s="45" t="s">
        <v>236</v>
      </c>
      <c r="C3" s="1"/>
      <c r="D3" s="48">
        <v>3</v>
      </c>
      <c r="E3" s="48">
        <v>3</v>
      </c>
      <c r="F3" s="49">
        <v>20</v>
      </c>
      <c r="G3" s="49">
        <v>50</v>
      </c>
      <c r="H3" s="48">
        <v>-3</v>
      </c>
      <c r="I3" s="48">
        <v>-10</v>
      </c>
      <c r="J3" s="48">
        <v>-30</v>
      </c>
      <c r="K3" s="48">
        <v>-70</v>
      </c>
      <c r="M3" s="40"/>
      <c r="N3" s="40"/>
    </row>
    <row r="4" spans="1:17">
      <c r="A4" s="43"/>
      <c r="B4" s="46"/>
      <c r="H4" s="50"/>
      <c r="I4" s="50"/>
      <c r="J4" s="50"/>
      <c r="K4" s="50"/>
      <c r="M4" s="21"/>
    </row>
    <row r="5" spans="1:17">
      <c r="A5" s="2"/>
      <c r="B5" s="2"/>
      <c r="C5" s="76" t="s">
        <v>0</v>
      </c>
      <c r="D5" s="74"/>
      <c r="E5" s="74"/>
      <c r="F5" s="74"/>
      <c r="G5" s="75"/>
      <c r="H5" s="76" t="s">
        <v>1</v>
      </c>
      <c r="I5" s="74"/>
      <c r="J5" s="74"/>
      <c r="K5" s="74"/>
      <c r="M5" s="24" t="str" cm="1">
        <f t="array" ref="M5">_xll.TR(O10,"TR.CDSMidSpread")</f>
        <v>The formula must contain at least one field or function.</v>
      </c>
    </row>
    <row r="6" spans="1:17">
      <c r="A6" s="3" t="s">
        <v>2</v>
      </c>
      <c r="B6" s="3" t="s">
        <v>254</v>
      </c>
      <c r="C6" s="3" t="s">
        <v>3</v>
      </c>
      <c r="D6" s="3" t="s">
        <v>4</v>
      </c>
      <c r="E6" s="3" t="s">
        <v>5</v>
      </c>
      <c r="F6" s="3" t="s">
        <v>6</v>
      </c>
      <c r="G6" s="4" t="s">
        <v>7</v>
      </c>
      <c r="H6" s="3" t="s">
        <v>4</v>
      </c>
      <c r="I6" s="3" t="s">
        <v>5</v>
      </c>
      <c r="J6" s="3" t="s">
        <v>6</v>
      </c>
      <c r="K6" s="3" t="s">
        <v>7</v>
      </c>
    </row>
    <row r="7" spans="1:17">
      <c r="A7" s="5" t="s">
        <v>8</v>
      </c>
      <c r="B7" s="5" t="s">
        <v>9</v>
      </c>
      <c r="C7" s="6"/>
      <c r="D7" s="6"/>
      <c r="E7" s="6"/>
      <c r="F7" s="6"/>
      <c r="G7" s="7"/>
      <c r="H7" s="6"/>
      <c r="I7" s="6"/>
      <c r="J7" s="6"/>
      <c r="K7" s="6"/>
      <c r="M7" s="13" t="s">
        <v>2</v>
      </c>
      <c r="N7" s="13" t="s">
        <v>49</v>
      </c>
      <c r="O7" s="16" t="s">
        <v>233</v>
      </c>
    </row>
    <row r="8" spans="1:17">
      <c r="A8" s="8" t="s">
        <v>10</v>
      </c>
      <c r="B8" s="9" t="s">
        <v>263</v>
      </c>
      <c r="C8" s="10">
        <f ca="1">'CDS from CapitalIQ'!C48</f>
        <v>61.857100000000003</v>
      </c>
      <c r="D8" s="35">
        <f ca="1">'CDS from CapitalIQ'!T48</f>
        <v>0.48930000000000007</v>
      </c>
      <c r="E8" s="35">
        <f ca="1">'CDS from CapitalIQ'!V48</f>
        <v>5.4936000000000007</v>
      </c>
      <c r="F8" s="35">
        <f ca="1">'CDS from CapitalIQ'!W48</f>
        <v>10.102800000000002</v>
      </c>
      <c r="G8" s="36">
        <f ca="1">'CDS from CapitalIQ'!X48</f>
        <v>5.4969000000000037</v>
      </c>
      <c r="H8" s="11" cm="1">
        <f t="array" aca="1" ref="H8" ca="1">(_xll.TR(N8,"TR.PriceClose")-_xll.TR(N8,"TR.PriceClose","SDate:"&amp;TEXT(WORKDAY(TODAY(),-5),"yyyy-mm-dd")))/_xll.TR(N8,"TR.PriceClose","SDate:"&amp;TEXT(WORKDAY(TODAY(),-5),"yyyy-mm-dd"))</f>
        <v>-2.1399741070748626E-2</v>
      </c>
      <c r="I8" s="11" cm="1">
        <f t="array" aca="1" ref="I8" ca="1">(_xll.TR(N8,"TR.PriceClose")-_xll.TR(N8,"TR.PriceClose","SDate:"&amp;TEXT(WORKDAY(TODAY(),-10),"yyyy-mm-dd")))/_xll.TR(N8,"TR.PriceClose","SDate:"&amp;TEXT(WORKDAY(TODAY(),-10),"yyyy-mm-dd"))</f>
        <v>-4.8500555349870501E-2</v>
      </c>
      <c r="J8" s="11" cm="1">
        <f t="array" aca="1" ref="J8" ca="1">(_xll.TR(N8,"TR.PriceClose")-_xll.TR(N8,"TR.PriceClose","SDate:"&amp;EDATE(TODAY(),-3)))/_xll.TR(N8,"TR.PriceClose","SDate:"&amp;EDATE(TODAY(),-3))</f>
        <v>-8.1946131313852963E-2</v>
      </c>
      <c r="K8" s="11" cm="1">
        <f t="array" aca="1" ref="K8" ca="1">(_xll.TR(N8,"TR.PriceClose")-_xll.TR(N8,"TR.PriceClose","SDate:"&amp;EDATE(TODAY(),-12)))/_xll.TR(N8,"TR.PriceClose","SDate:"&amp;EDATE(TODAY(),-12))</f>
        <v>0.31471250255780647</v>
      </c>
      <c r="M8" s="14" t="s">
        <v>10</v>
      </c>
      <c r="N8" s="15" t="s">
        <v>50</v>
      </c>
      <c r="O8" t="s">
        <v>81</v>
      </c>
      <c r="Q8" s="31"/>
    </row>
    <row r="9" spans="1:17">
      <c r="A9" s="12" t="s">
        <v>11</v>
      </c>
      <c r="B9" s="9" t="s">
        <v>263</v>
      </c>
      <c r="C9" s="10">
        <f ca="1">'CDS from CapitalIQ'!C49</f>
        <v>63.862099999999998</v>
      </c>
      <c r="D9" s="35">
        <f ca="1">'CDS from CapitalIQ'!T49</f>
        <v>1.5457999999999998</v>
      </c>
      <c r="E9" s="35">
        <f ca="1">'CDS from CapitalIQ'!V49</f>
        <v>6.9540999999999968</v>
      </c>
      <c r="F9" s="35">
        <f ca="1">'CDS from CapitalIQ'!W49</f>
        <v>8.8907999999999987</v>
      </c>
      <c r="G9" s="36">
        <f ca="1">'CDS from CapitalIQ'!X49</f>
        <v>7.1358999999999995</v>
      </c>
      <c r="H9" s="11" cm="1">
        <f t="array" aca="1" ref="H9" ca="1">(_xll.TR(N9,"TR.PriceClose")-_xll.TR(N9,"TR.PriceClose","SDate:"&amp;TEXT(WORKDAY(TODAY(),-5),"yyyy-mm-dd")))/_xll.TR(N9,"TR.PriceClose","SDate:"&amp;TEXT(WORKDAY(TODAY(),-5),"yyyy-mm-dd"))</f>
        <v>-3.1007751937984475E-2</v>
      </c>
      <c r="I9" s="11" cm="1">
        <f t="array" aca="1" ref="I9" ca="1">(_xll.TR(N9,"TR.PriceClose")-_xll.TR(N9,"TR.PriceClose","SDate:"&amp;TEXT(WORKDAY(TODAY(),-10),"yyyy-mm-dd")))/_xll.TR(N9,"TR.PriceClose","SDate:"&amp;TEXT(WORKDAY(TODAY(),-10),"yyyy-mm-dd"))</f>
        <v>-7.2636300897170478E-2</v>
      </c>
      <c r="J9" s="11" cm="1">
        <f t="array" aca="1" ref="J9" ca="1">(_xll.TR(N9,"TR.PriceClose")-_xll.TR(N9,"TR.PriceClose","SDate:"&amp;EDATE(TODAY(),-3)))/_xll.TR(N9,"TR.PriceClose","SDate:"&amp;EDATE(TODAY(),-3))</f>
        <v>-8.4794823769793928E-2</v>
      </c>
      <c r="K9" s="11" cm="1">
        <f t="array" aca="1" ref="K9" ca="1">(_xll.TR(N9,"TR.PriceClose")-_xll.TR(N9,"TR.PriceClose","SDate:"&amp;EDATE(TODAY(),-12)))/_xll.TR(N9,"TR.PriceClose","SDate:"&amp;EDATE(TODAY(),-12))</f>
        <v>6.1413902053712471E-2</v>
      </c>
      <c r="M9" s="14" t="s">
        <v>11</v>
      </c>
      <c r="N9" s="15" t="s">
        <v>51</v>
      </c>
      <c r="O9" t="s">
        <v>82</v>
      </c>
      <c r="Q9" s="32"/>
    </row>
    <row r="10" spans="1:17">
      <c r="A10" s="8" t="s">
        <v>12</v>
      </c>
      <c r="B10" s="9" t="s">
        <v>263</v>
      </c>
      <c r="C10" s="10">
        <f ca="1">'CDS from CapitalIQ'!C50</f>
        <v>44.132100000000001</v>
      </c>
      <c r="D10" s="35">
        <f ca="1">'CDS from CapitalIQ'!T50</f>
        <v>1.2227999999999994</v>
      </c>
      <c r="E10" s="35">
        <f ca="1">'CDS from CapitalIQ'!V50</f>
        <v>3.6206000000000031</v>
      </c>
      <c r="F10" s="35">
        <f ca="1">'CDS from CapitalIQ'!W50</f>
        <v>4.1279000000000039</v>
      </c>
      <c r="G10" s="36">
        <f ca="1">'CDS from CapitalIQ'!X50</f>
        <v>0.71330000000000382</v>
      </c>
      <c r="H10" s="11" cm="1">
        <f t="array" aca="1" ref="H10" ca="1">(_xll.TR(N10,"TR.PriceClose")-_xll.TR(N10,"TR.PriceClose","SDate:"&amp;TEXT(WORKDAY(TODAY(),-5),"yyyy-mm-dd")))/_xll.TR(N10,"TR.PriceClose","SDate:"&amp;TEXT(WORKDAY(TODAY(),-5),"yyyy-mm-dd"))</f>
        <v>-1.2507798805668558E-2</v>
      </c>
      <c r="I10" s="11" cm="1">
        <f t="array" aca="1" ref="I10" ca="1">(_xll.TR(N10,"TR.PriceClose")-_xll.TR(N10,"TR.PriceClose","SDate:"&amp;TEXT(WORKDAY(TODAY(),-10),"yyyy-mm-dd")))/_xll.TR(N10,"TR.PriceClose","SDate:"&amp;TEXT(WORKDAY(TODAY(),-10),"yyyy-mm-dd"))</f>
        <v>-5.5845926599250154E-2</v>
      </c>
      <c r="J10" s="11" cm="1">
        <f t="array" aca="1" ref="J10" ca="1">(_xll.TR(N10,"TR.PriceClose")-_xll.TR(N10,"TR.PriceClose","SDate:"&amp;EDATE(TODAY(),-3)))/_xll.TR(N10,"TR.PriceClose","SDate:"&amp;EDATE(TODAY(),-3))</f>
        <v>-6.2486919604150797E-3</v>
      </c>
      <c r="K10" s="11" cm="1">
        <f t="array" aca="1" ref="K10" ca="1">(_xll.TR(N10,"TR.PriceClose")-_xll.TR(N10,"TR.PriceClose","SDate:"&amp;EDATE(TODAY(),-12)))/_xll.TR(N10,"TR.PriceClose","SDate:"&amp;EDATE(TODAY(),-12))</f>
        <v>7.2089797761507035E-2</v>
      </c>
      <c r="M10" s="14" t="s">
        <v>12</v>
      </c>
      <c r="N10" s="15" t="s">
        <v>52</v>
      </c>
      <c r="O10" t="s">
        <v>83</v>
      </c>
      <c r="Q10" s="33"/>
    </row>
    <row r="11" spans="1:17">
      <c r="A11" s="12" t="s">
        <v>13</v>
      </c>
      <c r="B11" s="9" t="s">
        <v>263</v>
      </c>
      <c r="C11" s="10">
        <f ca="1">'CDS from CapitalIQ'!C51</f>
        <v>62.0871</v>
      </c>
      <c r="D11" s="35">
        <f ca="1">'CDS from CapitalIQ'!T51</f>
        <v>0.65990000000000038</v>
      </c>
      <c r="E11" s="35">
        <f ca="1">'CDS from CapitalIQ'!V51</f>
        <v>5.1676000000000002</v>
      </c>
      <c r="F11" s="35">
        <f ca="1">'CDS from CapitalIQ'!W51</f>
        <v>8.6634000000000029</v>
      </c>
      <c r="G11" s="36">
        <f ca="1">'CDS from CapitalIQ'!X51</f>
        <v>3.1704000000000008</v>
      </c>
      <c r="H11" s="11" cm="1">
        <f t="array" aca="1" ref="H11" ca="1">(_xll.TR(N11,"TR.PriceClose")-_xll.TR(N11,"TR.PriceClose","SDate:"&amp;TEXT(WORKDAY(TODAY(),-5),"yyyy-mm-dd")))/_xll.TR(N11,"TR.PriceClose","SDate:"&amp;TEXT(WORKDAY(TODAY(),-5),"yyyy-mm-dd"))</f>
        <v>-1.497358885930068E-2</v>
      </c>
      <c r="I11" s="11" cm="1">
        <f t="array" aca="1" ref="I11" ca="1">(_xll.TR(N11,"TR.PriceClose")-_xll.TR(N11,"TR.PriceClose","SDate:"&amp;TEXT(WORKDAY(TODAY(),-10),"yyyy-mm-dd")))/_xll.TR(N11,"TR.PriceClose","SDate:"&amp;TEXT(WORKDAY(TODAY(),-10),"yyyy-mm-dd"))</f>
        <v>-5.9235555926161455E-2</v>
      </c>
      <c r="J11" s="11" cm="1">
        <f t="array" aca="1" ref="J11" ca="1">(_xll.TR(N11,"TR.PriceClose")-_xll.TR(N11,"TR.PriceClose","SDate:"&amp;EDATE(TODAY(),-3)))/_xll.TR(N11,"TR.PriceClose","SDate:"&amp;EDATE(TODAY(),-3))</f>
        <v>-0.11600391772771798</v>
      </c>
      <c r="K11" s="11" cm="1">
        <f t="array" aca="1" ref="K11" ca="1">(_xll.TR(N11,"TR.PriceClose")-_xll.TR(N11,"TR.PriceClose","SDate:"&amp;EDATE(TODAY(),-12)))/_xll.TR(N11,"TR.PriceClose","SDate:"&amp;EDATE(TODAY(),-12))</f>
        <v>0.1425099369604293</v>
      </c>
      <c r="M11" s="14" t="s">
        <v>13</v>
      </c>
      <c r="N11" s="15" t="s">
        <v>53</v>
      </c>
      <c r="O11" t="s">
        <v>84</v>
      </c>
      <c r="Q11" s="34"/>
    </row>
    <row r="12" spans="1:17">
      <c r="A12" s="8" t="s">
        <v>14</v>
      </c>
      <c r="B12" s="9" t="s">
        <v>263</v>
      </c>
      <c r="C12" s="10">
        <f ca="1">'CDS from CapitalIQ'!C52</f>
        <v>64.267499999999998</v>
      </c>
      <c r="D12" s="35">
        <f ca="1">'CDS from CapitalIQ'!T52</f>
        <v>0.46699999999999875</v>
      </c>
      <c r="E12" s="35">
        <f ca="1">'CDS from CapitalIQ'!V52</f>
        <v>5.3215999999999966</v>
      </c>
      <c r="F12" s="35">
        <f ca="1">'CDS from CapitalIQ'!W52</f>
        <v>9.1835999999999984</v>
      </c>
      <c r="G12" s="36">
        <f ca="1">'CDS from CapitalIQ'!X52</f>
        <v>9.6212000000000018</v>
      </c>
      <c r="H12" s="11" cm="1">
        <f t="array" aca="1" ref="H12" ca="1">(_xll.TR(N12,"TR.PriceClose")-_xll.TR(N12,"TR.PriceClose","SDate:"&amp;TEXT(WORKDAY(TODAY(),-5),"yyyy-mm-dd")))/_xll.TR(N12,"TR.PriceClose","SDate:"&amp;TEXT(WORKDAY(TODAY(),-5),"yyyy-mm-dd"))</f>
        <v>-1.7196860152860899E-2</v>
      </c>
      <c r="I12" s="11" cm="1">
        <f t="array" aca="1" ref="I12" ca="1">(_xll.TR(N12,"TR.PriceClose")-_xll.TR(N12,"TR.PriceClose","SDate:"&amp;TEXT(WORKDAY(TODAY(),-10),"yyyy-mm-dd")))/_xll.TR(N12,"TR.PriceClose","SDate:"&amp;TEXT(WORKDAY(TODAY(),-10),"yyyy-mm-dd"))</f>
        <v>-7.6702891519503213E-2</v>
      </c>
      <c r="J12" s="11" cm="1">
        <f t="array" aca="1" ref="J12" ca="1">(_xll.TR(N12,"TR.PriceClose")-_xll.TR(N12,"TR.PriceClose","SDate:"&amp;EDATE(TODAY(),-3)))/_xll.TR(N12,"TR.PriceClose","SDate:"&amp;EDATE(TODAY(),-3))</f>
        <v>-0.11040994717898379</v>
      </c>
      <c r="K12" s="11" cm="1">
        <f t="array" aca="1" ref="K12" ca="1">(_xll.TR(N12,"TR.PriceClose")-_xll.TR(N12,"TR.PriceClose","SDate:"&amp;EDATE(TODAY(),-12)))/_xll.TR(N12,"TR.PriceClose","SDate:"&amp;EDATE(TODAY(),-12))</f>
        <v>0.20762738752458912</v>
      </c>
      <c r="M12" s="14" t="s">
        <v>14</v>
      </c>
      <c r="N12" s="15" t="s">
        <v>54</v>
      </c>
      <c r="O12" t="s">
        <v>85</v>
      </c>
      <c r="Q12" s="21"/>
    </row>
    <row r="13" spans="1:17">
      <c r="A13" s="12" t="s">
        <v>15</v>
      </c>
      <c r="B13" s="9" t="s">
        <v>263</v>
      </c>
      <c r="C13" s="10">
        <f ca="1">'CDS from CapitalIQ'!C53</f>
        <v>56.6584</v>
      </c>
      <c r="D13" s="35">
        <f ca="1">'CDS from CapitalIQ'!T53</f>
        <v>0.5625</v>
      </c>
      <c r="E13" s="35">
        <f ca="1">'CDS from CapitalIQ'!V53</f>
        <v>6.3727000000000018</v>
      </c>
      <c r="F13" s="35">
        <f ca="1">'CDS from CapitalIQ'!W53</f>
        <v>8.2736999999999981</v>
      </c>
      <c r="G13" s="36">
        <f ca="1">'CDS from CapitalIQ'!X53</f>
        <v>7.2417000000000016</v>
      </c>
      <c r="H13" s="11" cm="1">
        <f t="array" aca="1" ref="H13" ca="1">(_xll.TR(N13,"TR.PriceClose")-_xll.TR(N13,"TR.PriceClose","SDate:"&amp;TEXT(WORKDAY(TODAY(),-5),"yyyy-mm-dd")))/_xll.TR(N13,"TR.PriceClose","SDate:"&amp;TEXT(WORKDAY(TODAY(),-5),"yyyy-mm-dd"))</f>
        <v>-4.4548941962628315E-3</v>
      </c>
      <c r="I13" s="11" cm="1">
        <f t="array" aca="1" ref="I13" ca="1">(_xll.TR(N13,"TR.PriceClose")-_xll.TR(N13,"TR.PriceClose","SDate:"&amp;TEXT(WORKDAY(TODAY(),-10),"yyyy-mm-dd")))/_xll.TR(N13,"TR.PriceClose","SDate:"&amp;TEXT(WORKDAY(TODAY(),-10),"yyyy-mm-dd"))</f>
        <v>-7.0372082274092945E-2</v>
      </c>
      <c r="J13" s="11" cm="1">
        <f t="array" aca="1" ref="J13" ca="1">(_xll.TR(N13,"TR.PriceClose")-_xll.TR(N13,"TR.PriceClose","SDate:"&amp;EDATE(TODAY(),-3)))/_xll.TR(N13,"TR.PriceClose","SDate:"&amp;EDATE(TODAY(),-3))</f>
        <v>-5.917436557127824E-2</v>
      </c>
      <c r="K13" s="11" cm="1">
        <f t="array" aca="1" ref="K13" ca="1">(_xll.TR(N13,"TR.PriceClose")-_xll.TR(N13,"TR.PriceClose","SDate:"&amp;EDATE(TODAY(),-12)))/_xll.TR(N13,"TR.PriceClose","SDate:"&amp;EDATE(TODAY(),-12))</f>
        <v>-2.7271600347092955E-3</v>
      </c>
      <c r="M13" s="14" t="s">
        <v>15</v>
      </c>
      <c r="N13" s="15" t="s">
        <v>55</v>
      </c>
      <c r="O13" s="20" t="s">
        <v>86</v>
      </c>
      <c r="Q13" s="21"/>
    </row>
    <row r="14" spans="1:17">
      <c r="A14" s="8" t="s">
        <v>16</v>
      </c>
      <c r="B14" s="9" t="s">
        <v>263</v>
      </c>
      <c r="C14" s="10">
        <f ca="1">'CDS from CapitalIQ'!C54</f>
        <v>58.5214</v>
      </c>
      <c r="D14" s="35">
        <f ca="1">'CDS from CapitalIQ'!T54</f>
        <v>1.162700000000001</v>
      </c>
      <c r="E14" s="35">
        <f ca="1">'CDS from CapitalIQ'!V54</f>
        <v>7.2935999999999979</v>
      </c>
      <c r="F14" s="35">
        <f ca="1">'CDS from CapitalIQ'!W54</f>
        <v>7.0264999999999986</v>
      </c>
      <c r="G14" s="36">
        <f ca="1">'CDS from CapitalIQ'!X54</f>
        <v>7.4268000000000001</v>
      </c>
      <c r="H14" s="11" cm="1">
        <f t="array" aca="1" ref="H14" ca="1">(_xll.TR(N14,"TR.PriceClose")-_xll.TR(N14,"TR.PriceClose","SDate:"&amp;TEXT(WORKDAY(TODAY(),-5),"yyyy-mm-dd")))/_xll.TR(N14,"TR.PriceClose","SDate:"&amp;TEXT(WORKDAY(TODAY(),-5),"yyyy-mm-dd"))</f>
        <v>-2.0975908306904701E-2</v>
      </c>
      <c r="I14" s="11" cm="1">
        <f t="array" aca="1" ref="I14" ca="1">(_xll.TR(N14,"TR.PriceClose")-_xll.TR(N14,"TR.PriceClose","SDate:"&amp;TEXT(WORKDAY(TODAY(),-10),"yyyy-mm-dd")))/_xll.TR(N14,"TR.PriceClose","SDate:"&amp;TEXT(WORKDAY(TODAY(),-10),"yyyy-mm-dd"))</f>
        <v>-4.5770065075921892E-2</v>
      </c>
      <c r="J14" s="11" cm="1">
        <f t="array" aca="1" ref="J14" ca="1">(_xll.TR(N14,"TR.PriceClose")-_xll.TR(N14,"TR.PriceClose","SDate:"&amp;EDATE(TODAY(),-3)))/_xll.TR(N14,"TR.PriceClose","SDate:"&amp;EDATE(TODAY(),-3))</f>
        <v>3.0874685101646319E-2</v>
      </c>
      <c r="K14" s="11" cm="1">
        <f t="array" aca="1" ref="K14" ca="1">(_xll.TR(N14,"TR.PriceClose")-_xll.TR(N14,"TR.PriceClose","SDate:"&amp;EDATE(TODAY(),-12)))/_xll.TR(N14,"TR.PriceClose","SDate:"&amp;EDATE(TODAY(),-12))</f>
        <v>0.51194363292661982</v>
      </c>
      <c r="M14" s="14" t="s">
        <v>16</v>
      </c>
      <c r="N14" s="15" t="s">
        <v>56</v>
      </c>
      <c r="O14" t="s">
        <v>87</v>
      </c>
      <c r="Q14" s="21"/>
    </row>
    <row r="15" spans="1:17">
      <c r="A15" s="18" t="s">
        <v>17</v>
      </c>
      <c r="B15" s="5" t="s">
        <v>264</v>
      </c>
      <c r="C15" s="22"/>
      <c r="D15" s="37"/>
      <c r="E15" s="37"/>
      <c r="F15" s="37"/>
      <c r="G15" s="38"/>
      <c r="H15" s="17"/>
      <c r="I15" s="17"/>
      <c r="J15" s="17"/>
      <c r="K15" s="17"/>
      <c r="M15" s="16"/>
    </row>
    <row r="16" spans="1:17">
      <c r="A16" s="12" t="s">
        <v>18</v>
      </c>
      <c r="B16" s="72" t="s">
        <v>214</v>
      </c>
      <c r="C16" s="10">
        <f ca="1">'CDS from CapitalIQ'!C56</f>
        <v>67.209800000000001</v>
      </c>
      <c r="D16" s="35">
        <f ca="1">'CDS from CapitalIQ'!T56</f>
        <v>5.3745000000000047</v>
      </c>
      <c r="E16" s="35">
        <f ca="1">'CDS from CapitalIQ'!V56</f>
        <v>16.250599999999999</v>
      </c>
      <c r="F16" s="35">
        <f ca="1">'CDS from CapitalIQ'!W56</f>
        <v>25.994500000000002</v>
      </c>
      <c r="G16" s="36">
        <f ca="1">'CDS from CapitalIQ'!X56</f>
        <v>21.965499999999999</v>
      </c>
      <c r="H16" s="11" cm="1">
        <f t="array" aca="1" ref="H16" ca="1">(_xll.TR(N16,"TR.PriceClose")-_xll.TR(N16,"TR.PriceClose","SDate:"&amp;TEXT(WORKDAY(TODAY(),-5),"yyyy-mm-dd")))/_xll.TR(N16,"TR.PriceClose","SDate:"&amp;TEXT(WORKDAY(TODAY(),-5),"yyyy-mm-dd"))</f>
        <v>-6.3097903521270121E-2</v>
      </c>
      <c r="I16" s="11" cm="1">
        <f t="array" aca="1" ref="I16" ca="1">(_xll.TR(N16,"TR.PriceClose")-_xll.TR(N16,"TR.PriceClose","SDate:"&amp;TEXT(WORKDAY(TODAY(),-10),"yyyy-mm-dd")))/_xll.TR(N16,"TR.PriceClose","SDate:"&amp;TEXT(WORKDAY(TODAY(),-10),"yyyy-mm-dd"))</f>
        <v>-8.9416419386745716E-2</v>
      </c>
      <c r="J16" s="11" cm="1">
        <f t="array" aca="1" ref="J16" ca="1">(_xll.TR(N16,"TR.PriceClose")-_xll.TR(N16,"TR.PriceClose","SDate:"&amp;EDATE(TODAY(),-3)))/_xll.TR(N16,"TR.PriceClose","SDate:"&amp;EDATE(TODAY(),-3))</f>
        <v>-0.10342812621737441</v>
      </c>
      <c r="K16" s="11" cm="1">
        <f t="array" aca="1" ref="K16" ca="1">(_xll.TR(N16,"TR.PriceClose")-_xll.TR(N16,"TR.PriceClose","SDate:"&amp;EDATE(TODAY(),-12)))/_xll.TR(N16,"TR.PriceClose","SDate:"&amp;EDATE(TODAY(),-12))</f>
        <v>0.18025641025641029</v>
      </c>
      <c r="M16" s="14" t="s">
        <v>18</v>
      </c>
      <c r="N16" s="15" t="s">
        <v>57</v>
      </c>
      <c r="O16" s="20" t="s">
        <v>88</v>
      </c>
    </row>
    <row r="17" spans="1:17">
      <c r="A17" s="8" t="s">
        <v>19</v>
      </c>
      <c r="B17" s="72" t="s">
        <v>214</v>
      </c>
      <c r="C17" s="10">
        <f ca="1">'CDS from CapitalIQ'!C57</f>
        <v>62.359099999999998</v>
      </c>
      <c r="D17" s="35">
        <f ca="1">'CDS from CapitalIQ'!T57</f>
        <v>5.7496999999999971</v>
      </c>
      <c r="E17" s="35">
        <f ca="1">'CDS from CapitalIQ'!V57</f>
        <v>17.285299999999999</v>
      </c>
      <c r="F17" s="35">
        <f ca="1">'CDS from CapitalIQ'!W57</f>
        <v>28.682400000000001</v>
      </c>
      <c r="G17" s="36">
        <f ca="1">'CDS from CapitalIQ'!X57</f>
        <v>20.359099999999998</v>
      </c>
      <c r="H17" s="11" cm="1">
        <f t="array" aca="1" ref="H17" ca="1">(_xll.TR(N17,"TR.PriceClose")-_xll.TR(N17,"TR.PriceClose","SDate:"&amp;TEXT(WORKDAY(TODAY(),-5),"yyyy-mm-dd")))/_xll.TR(N17,"TR.PriceClose","SDate:"&amp;TEXT(WORKDAY(TODAY(),-5),"yyyy-mm-dd"))</f>
        <v>-5.8544744912182728E-2</v>
      </c>
      <c r="I17" s="11" cm="1">
        <f t="array" aca="1" ref="I17" ca="1">(_xll.TR(N17,"TR.PriceClose")-_xll.TR(N17,"TR.PriceClose","SDate:"&amp;TEXT(WORKDAY(TODAY(),-10),"yyyy-mm-dd")))/_xll.TR(N17,"TR.PriceClose","SDate:"&amp;TEXT(WORKDAY(TODAY(),-10),"yyyy-mm-dd"))</f>
        <v>-7.2762218561230052E-2</v>
      </c>
      <c r="J17" s="11" cm="1">
        <f t="array" aca="1" ref="J17" ca="1">(_xll.TR(N17,"TR.PriceClose")-_xll.TR(N17,"TR.PriceClose","SDate:"&amp;EDATE(TODAY(),-3)))/_xll.TR(N17,"TR.PriceClose","SDate:"&amp;EDATE(TODAY(),-3))</f>
        <v>-4.7121896162528071E-2</v>
      </c>
      <c r="K17" s="11" cm="1">
        <f t="array" aca="1" ref="K17" ca="1">(_xll.TR(N17,"TR.PriceClose")-_xll.TR(N17,"TR.PriceClose","SDate:"&amp;EDATE(TODAY(),-12)))/_xll.TR(N17,"TR.PriceClose","SDate:"&amp;EDATE(TODAY(),-12))</f>
        <v>-1.773573751108341E-3</v>
      </c>
      <c r="M17" s="14" t="s">
        <v>19</v>
      </c>
      <c r="N17" s="15" t="s">
        <v>58</v>
      </c>
      <c r="O17" t="s">
        <v>89</v>
      </c>
      <c r="Q17" s="23"/>
    </row>
    <row r="18" spans="1:17">
      <c r="A18" s="12" t="s">
        <v>20</v>
      </c>
      <c r="B18" s="72" t="s">
        <v>214</v>
      </c>
      <c r="C18" s="10">
        <f ca="1">'CDS from CapitalIQ'!C58</f>
        <v>69.680899999999994</v>
      </c>
      <c r="D18" s="35">
        <f ca="1">'CDS from CapitalIQ'!T58</f>
        <v>6.0416999999999916</v>
      </c>
      <c r="E18" s="35">
        <f ca="1">'CDS from CapitalIQ'!V58</f>
        <v>16.243399999999994</v>
      </c>
      <c r="F18" s="35">
        <f ca="1">'CDS from CapitalIQ'!W58</f>
        <v>28.195899999999995</v>
      </c>
      <c r="G18" s="36">
        <f ca="1">'CDS from CapitalIQ'!X58</f>
        <v>17.029699999999991</v>
      </c>
      <c r="H18" s="11" cm="1">
        <f t="array" aca="1" ref="H18" ca="1">(_xll.TR(N18,"TR.PriceClose")-_xll.TR(N18,"TR.PriceClose","SDate:"&amp;TEXT(WORKDAY(TODAY(),-5),"yyyy-mm-dd")))/_xll.TR(N18,"TR.PriceClose","SDate:"&amp;TEXT(WORKDAY(TODAY(),-5),"yyyy-mm-dd"))</f>
        <v>-7.2208228379512976E-2</v>
      </c>
      <c r="I18" s="11" cm="1">
        <f t="array" aca="1" ref="I18" ca="1">(_xll.TR(N18,"TR.PriceClose")-_xll.TR(N18,"TR.PriceClose","SDate:"&amp;TEXT(WORKDAY(TODAY(),-10),"yyyy-mm-dd")))/_xll.TR(N18,"TR.PriceClose","SDate:"&amp;TEXT(WORKDAY(TODAY(),-10),"yyyy-mm-dd"))</f>
        <v>-0.102477325030459</v>
      </c>
      <c r="J18" s="11" cm="1">
        <f t="array" aca="1" ref="J18" ca="1">(_xll.TR(N18,"TR.PriceClose")-_xll.TR(N18,"TR.PriceClose","SDate:"&amp;EDATE(TODAY(),-3)))/_xll.TR(N18,"TR.PriceClose","SDate:"&amp;EDATE(TODAY(),-3))</f>
        <v>-0.14274631497284723</v>
      </c>
      <c r="K18" s="11" cm="1">
        <f t="array" aca="1" ref="K18" ca="1">(_xll.TR(N18,"TR.PriceClose")-_xll.TR(N18,"TR.PriceClose","SDate:"&amp;EDATE(TODAY(),-12)))/_xll.TR(N18,"TR.PriceClose","SDate:"&amp;EDATE(TODAY(),-12))</f>
        <v>0.16889985895627641</v>
      </c>
      <c r="M18" s="14" t="s">
        <v>20</v>
      </c>
      <c r="N18" s="15" t="s">
        <v>59</v>
      </c>
      <c r="O18" t="s">
        <v>90</v>
      </c>
      <c r="Q18" s="23"/>
    </row>
    <row r="19" spans="1:17">
      <c r="A19" s="18" t="s">
        <v>21</v>
      </c>
      <c r="B19" s="19"/>
      <c r="C19" s="22"/>
      <c r="D19" s="37"/>
      <c r="E19" s="37"/>
      <c r="F19" s="37"/>
      <c r="G19" s="38"/>
      <c r="H19" s="17"/>
      <c r="I19" s="17"/>
      <c r="J19" s="17"/>
      <c r="K19" s="17"/>
      <c r="M19" s="14"/>
      <c r="N19" s="15"/>
      <c r="Q19" s="23"/>
    </row>
    <row r="20" spans="1:17">
      <c r="A20" s="8" t="s">
        <v>22</v>
      </c>
      <c r="B20" s="9" t="s">
        <v>266</v>
      </c>
      <c r="C20" s="10">
        <f ca="1">'CDS from CapitalIQ'!C60</f>
        <v>57.523899999999998</v>
      </c>
      <c r="D20" s="35">
        <f ca="1">'CDS from CapitalIQ'!T60</f>
        <v>2.6644999999999968</v>
      </c>
      <c r="E20" s="35">
        <f ca="1">'CDS from CapitalIQ'!V60</f>
        <v>7.1356999999999999</v>
      </c>
      <c r="F20" s="35">
        <f ca="1">'CDS from CapitalIQ'!W60</f>
        <v>10.887599999999999</v>
      </c>
      <c r="G20" s="36">
        <f ca="1">'CDS from CapitalIQ'!X60</f>
        <v>8.623899999999999</v>
      </c>
      <c r="H20" s="11" cm="1">
        <f t="array" aca="1" ref="H20" ca="1">(_xll.TR(N20,"TR.PriceClose")-_xll.TR(N20,"TR.PriceClose","SDate:"&amp;TEXT(WORKDAY(TODAY(),-5),"yyyy-mm-dd")))/_xll.TR(N20,"TR.PriceClose","SDate:"&amp;TEXT(WORKDAY(TODAY(),-5),"yyyy-mm-dd"))</f>
        <v>-2.419155764008879E-2</v>
      </c>
      <c r="I20" s="11" cm="1">
        <f t="array" aca="1" ref="I20" ca="1">(_xll.TR(N20,"TR.PriceClose")-_xll.TR(N20,"TR.PriceClose","SDate:"&amp;TEXT(WORKDAY(TODAY(),-10),"yyyy-mm-dd")))/_xll.TR(N20,"TR.PriceClose","SDate:"&amp;TEXT(WORKDAY(TODAY(),-10),"yyyy-mm-dd"))</f>
        <v>-5.3173652694610753E-2</v>
      </c>
      <c r="J20" s="11" cm="1">
        <f t="array" aca="1" ref="J20" ca="1">(_xll.TR(N20,"TR.PriceClose")-_xll.TR(N20,"TR.PriceClose","SDate:"&amp;EDATE(TODAY(),-3)))/_xll.TR(N20,"TR.PriceClose","SDate:"&amp;EDATE(TODAY(),-3))</f>
        <v>-4.0301043942704458E-2</v>
      </c>
      <c r="K20" s="11" cm="1">
        <f t="array" aca="1" ref="K20" ca="1">(_xll.TR(N20,"TR.PriceClose")-_xll.TR(N20,"TR.PriceClose","SDate:"&amp;EDATE(TODAY(),-12)))/_xll.TR(N20,"TR.PriceClose","SDate:"&amp;EDATE(TODAY(),-12))</f>
        <v>0.20776046440574411</v>
      </c>
      <c r="M20" s="14" t="s">
        <v>22</v>
      </c>
      <c r="N20" s="15" t="s">
        <v>60</v>
      </c>
      <c r="O20" t="s">
        <v>91</v>
      </c>
    </row>
    <row r="21" spans="1:17">
      <c r="A21" s="18" t="s">
        <v>23</v>
      </c>
      <c r="B21" s="19"/>
      <c r="C21" s="22"/>
      <c r="D21" s="37"/>
      <c r="E21" s="37"/>
      <c r="F21" s="37"/>
      <c r="G21" s="38"/>
      <c r="H21" s="17"/>
      <c r="I21" s="17"/>
      <c r="J21" s="17"/>
      <c r="K21" s="17"/>
      <c r="M21" s="16"/>
      <c r="Q21" s="23"/>
    </row>
    <row r="22" spans="1:17">
      <c r="A22" s="8" t="s">
        <v>24</v>
      </c>
      <c r="B22" s="9" t="s">
        <v>214</v>
      </c>
      <c r="C22" s="10">
        <f ca="1">'CDS from CapitalIQ'!C63</f>
        <v>73.325699999999998</v>
      </c>
      <c r="D22" s="35">
        <f ca="1">'CDS from CapitalIQ'!T63</f>
        <v>5.0193000000000012</v>
      </c>
      <c r="E22" s="35">
        <f ca="1">'CDS from CapitalIQ'!T63</f>
        <v>5.0193000000000012</v>
      </c>
      <c r="F22" s="35">
        <f ca="1">'CDS from CapitalIQ'!V63</f>
        <v>11.293900000000001</v>
      </c>
      <c r="G22" s="36">
        <f ca="1">'CDS from CapitalIQ'!X63</f>
        <v>4.8868999999999971</v>
      </c>
      <c r="H22" s="11" cm="1">
        <f t="array" aca="1" ref="H22" ca="1">(_xll.TR(N22,"TR.PriceClose")-_xll.TR(N22,"TR.PriceClose","SDate:"&amp;TEXT(WORKDAY(TODAY(),-5),"yyyy-mm-dd")))/_xll.TR(N22,"TR.PriceClose","SDate:"&amp;TEXT(WORKDAY(TODAY(),-5),"yyyy-mm-dd"))</f>
        <v>-4.0549307958477512E-2</v>
      </c>
      <c r="I22" s="11" cm="1">
        <f t="array" aca="1" ref="I22" ca="1">(_xll.TR(N22,"TR.PriceClose")-_xll.TR(N22,"TR.PriceClose","SDate:"&amp;TEXT(WORKDAY(TODAY(),-10),"yyyy-mm-dd")))/_xll.TR(N22,"TR.PriceClose","SDate:"&amp;TEXT(WORKDAY(TODAY(),-10),"yyyy-mm-dd"))</f>
        <v>-5.8267883676501896E-2</v>
      </c>
      <c r="J22" s="11" cm="1">
        <f t="array" aca="1" ref="J22" ca="1">(_xll.TR(N22,"TR.PriceClose")-_xll.TR(N22,"TR.PriceClose","SDate:"&amp;EDATE(TODAY(),-3)))/_xll.TR(N22,"TR.PriceClose","SDate:"&amp;EDATE(TODAY(),-3))</f>
        <v>-0.15058395558108364</v>
      </c>
      <c r="K22" s="11" cm="1">
        <f t="array" aca="1" ref="K22" ca="1">(_xll.TR(N22,"TR.PriceClose")-_xll.TR(N22,"TR.PriceClose","SDate:"&amp;EDATE(TODAY(),-12)))/_xll.TR(N22,"TR.PriceClose","SDate:"&amp;EDATE(TODAY(),-12))</f>
        <v>0.15129103412482148</v>
      </c>
      <c r="M22" s="14" t="s">
        <v>24</v>
      </c>
      <c r="N22" s="15" t="s">
        <v>61</v>
      </c>
      <c r="O22" t="s">
        <v>92</v>
      </c>
      <c r="Q22" s="23"/>
    </row>
    <row r="23" spans="1:17">
      <c r="A23" s="12" t="s">
        <v>25</v>
      </c>
      <c r="B23" s="9" t="s">
        <v>214</v>
      </c>
      <c r="C23" s="10">
        <f ca="1">'CDS from CapitalIQ'!C64</f>
        <v>49.660699999999999</v>
      </c>
      <c r="D23" s="35">
        <f ca="1">'CDS from CapitalIQ'!T64</f>
        <v>3.240000000000002</v>
      </c>
      <c r="E23" s="35">
        <f ca="1">'CDS from CapitalIQ'!T64</f>
        <v>3.240000000000002</v>
      </c>
      <c r="F23" s="35">
        <f ca="1">'CDS from CapitalIQ'!V64</f>
        <v>8.4527000000000001</v>
      </c>
      <c r="G23" s="36">
        <f ca="1">'CDS from CapitalIQ'!X64</f>
        <v>1.6366999999999976</v>
      </c>
      <c r="H23" s="11" cm="1">
        <f t="array" aca="1" ref="H23" ca="1">(_xll.TR(N23,"TR.PriceClose")-_xll.TR(N23,"TR.PriceClose","SDate:"&amp;TEXT(WORKDAY(TODAY(),-5),"yyyy-mm-dd")))/_xll.TR(N23,"TR.PriceClose","SDate:"&amp;TEXT(WORKDAY(TODAY(),-5),"yyyy-mm-dd"))</f>
        <v>-4.893168029543659E-2</v>
      </c>
      <c r="I23" s="11" cm="1">
        <f t="array" aca="1" ref="I23" ca="1">(_xll.TR(N23,"TR.PriceClose")-_xll.TR(N23,"TR.PriceClose","SDate:"&amp;TEXT(WORKDAY(TODAY(),-10),"yyyy-mm-dd")))/_xll.TR(N23,"TR.PriceClose","SDate:"&amp;TEXT(WORKDAY(TODAY(),-10),"yyyy-mm-dd"))</f>
        <v>-5.9720954492111039E-2</v>
      </c>
      <c r="J23" s="11" cm="1">
        <f t="array" aca="1" ref="J23" ca="1">(_xll.TR(N23,"TR.PriceClose")-_xll.TR(N23,"TR.PriceClose","SDate:"&amp;EDATE(TODAY(),-3)))/_xll.TR(N23,"TR.PriceClose","SDate:"&amp;EDATE(TODAY(),-3))</f>
        <v>-6.0647829083390449E-3</v>
      </c>
      <c r="K23" s="11" cm="1">
        <f t="array" aca="1" ref="K23" ca="1">(_xll.TR(N23,"TR.PriceClose")-_xll.TR(N23,"TR.PriceClose","SDate:"&amp;EDATE(TODAY(),-12)))/_xll.TR(N23,"TR.PriceClose","SDate:"&amp;EDATE(TODAY(),-12))</f>
        <v>0.35825955923902819</v>
      </c>
      <c r="M23" s="14" t="s">
        <v>25</v>
      </c>
      <c r="N23" s="15" t="s">
        <v>62</v>
      </c>
      <c r="O23" t="s">
        <v>94</v>
      </c>
      <c r="Q23" s="23"/>
    </row>
    <row r="24" spans="1:17">
      <c r="A24" s="8" t="s">
        <v>26</v>
      </c>
      <c r="B24" s="9" t="s">
        <v>214</v>
      </c>
      <c r="C24" s="10">
        <f ca="1">'CDS from CapitalIQ'!C65</f>
        <v>68.110100000000003</v>
      </c>
      <c r="D24" s="35">
        <f ca="1">'CDS from CapitalIQ'!T65</f>
        <v>2.6423000000000059</v>
      </c>
      <c r="E24" s="35">
        <f ca="1">'CDS from CapitalIQ'!T65</f>
        <v>2.6423000000000059</v>
      </c>
      <c r="F24" s="35">
        <f ca="1">'CDS from CapitalIQ'!V65</f>
        <v>8.6876000000000033</v>
      </c>
      <c r="G24" s="36">
        <f ca="1">'CDS from CapitalIQ'!X65</f>
        <v>9.1619000000000028</v>
      </c>
      <c r="H24" s="11" cm="1">
        <f t="array" aca="1" ref="H24" ca="1">(_xll.TR(N24,"TR.PriceClose")-_xll.TR(N24,"TR.PriceClose","SDate:"&amp;TEXT(WORKDAY(TODAY(),-5),"yyyy-mm-dd")))/_xll.TR(N24,"TR.PriceClose","SDate:"&amp;TEXT(WORKDAY(TODAY(),-5),"yyyy-mm-dd"))</f>
        <v>-3.9420289855072531E-2</v>
      </c>
      <c r="I24" s="11" cm="1">
        <f t="array" aca="1" ref="I24" ca="1">(_xll.TR(N24,"TR.PriceClose")-_xll.TR(N24,"TR.PriceClose","SDate:"&amp;TEXT(WORKDAY(TODAY(),-10),"yyyy-mm-dd")))/_xll.TR(N24,"TR.PriceClose","SDate:"&amp;TEXT(WORKDAY(TODAY(),-10),"yyyy-mm-dd"))</f>
        <v>-6.516220028208751E-2</v>
      </c>
      <c r="J24" s="11" cm="1">
        <f t="array" aca="1" ref="J24" ca="1">(_xll.TR(N24,"TR.PriceClose")-_xll.TR(N24,"TR.PriceClose","SDate:"&amp;EDATE(TODAY(),-3)))/_xll.TR(N24,"TR.PriceClose","SDate:"&amp;EDATE(TODAY(),-3))</f>
        <v>-2.9291154071470416E-2</v>
      </c>
      <c r="K24" s="11" cm="1">
        <f t="array" aca="1" ref="K24" ca="1">(_xll.TR(N24,"TR.PriceClose")-_xll.TR(N24,"TR.PriceClose","SDate:"&amp;EDATE(TODAY(),-12)))/_xll.TR(N24,"TR.PriceClose","SDate:"&amp;EDATE(TODAY(),-12))</f>
        <v>0.20948905109489044</v>
      </c>
      <c r="M24" s="14" t="s">
        <v>26</v>
      </c>
      <c r="N24" s="15" t="s">
        <v>63</v>
      </c>
      <c r="O24" t="s">
        <v>95</v>
      </c>
    </row>
    <row r="25" spans="1:17">
      <c r="A25" s="12" t="s">
        <v>27</v>
      </c>
      <c r="B25" s="9" t="s">
        <v>214</v>
      </c>
      <c r="C25" s="10">
        <f ca="1">'CDS from CapitalIQ'!C66</f>
        <v>54.000700000000002</v>
      </c>
      <c r="D25" s="35">
        <f ca="1">'CDS from CapitalIQ'!T66</f>
        <v>3.6891000000000034</v>
      </c>
      <c r="E25" s="35">
        <f ca="1">'CDS from CapitalIQ'!T66</f>
        <v>3.6891000000000034</v>
      </c>
      <c r="F25" s="35">
        <f ca="1">'CDS from CapitalIQ'!V66</f>
        <v>9.6459000000000046</v>
      </c>
      <c r="G25" s="36">
        <f ca="1">'CDS from CapitalIQ'!X66</f>
        <v>0.80280000000000484</v>
      </c>
      <c r="H25" s="11" cm="1">
        <f t="array" aca="1" ref="H25" ca="1">(_xll.TR(N25,"TR.PriceClose")-_xll.TR(N25,"TR.PriceClose","SDate:"&amp;TEXT(WORKDAY(TODAY(),-5),"yyyy-mm-dd")))/_xll.TR(N25,"TR.PriceClose","SDate:"&amp;TEXT(WORKDAY(TODAY(),-5),"yyyy-mm-dd"))</f>
        <v>-5.6847545219638244E-2</v>
      </c>
      <c r="I25" s="11" cm="1">
        <f t="array" aca="1" ref="I25" ca="1">(_xll.TR(N25,"TR.PriceClose")-_xll.TR(N25,"TR.PriceClose","SDate:"&amp;TEXT(WORKDAY(TODAY(),-10),"yyyy-mm-dd")))/_xll.TR(N25,"TR.PriceClose","SDate:"&amp;TEXT(WORKDAY(TODAY(),-10),"yyyy-mm-dd"))</f>
        <v>-5.5627425614489003E-2</v>
      </c>
      <c r="J25" s="11" cm="1">
        <f t="array" aca="1" ref="J25" ca="1">(_xll.TR(N25,"TR.PriceClose")-_xll.TR(N25,"TR.PriceClose","SDate:"&amp;EDATE(TODAY(),-3)))/_xll.TR(N25,"TR.PriceClose","SDate:"&amp;EDATE(TODAY(),-3))</f>
        <v>3.2045240339302547E-2</v>
      </c>
      <c r="K25" s="11" cm="1">
        <f t="array" aca="1" ref="K25" ca="1">(_xll.TR(N25,"TR.PriceClose")-_xll.TR(N25,"TR.PriceClose","SDate:"&amp;EDATE(TODAY(),-12)))/_xll.TR(N25,"TR.PriceClose","SDate:"&amp;EDATE(TODAY(),-12))</f>
        <v>0.49284253578732107</v>
      </c>
      <c r="M25" s="14" t="s">
        <v>27</v>
      </c>
      <c r="N25" s="15" t="s">
        <v>64</v>
      </c>
      <c r="O25" t="s">
        <v>93</v>
      </c>
      <c r="Q25" s="16"/>
    </row>
    <row r="26" spans="1:17">
      <c r="A26" s="18" t="s">
        <v>28</v>
      </c>
      <c r="B26" s="19"/>
      <c r="C26" s="22"/>
      <c r="D26" s="37"/>
      <c r="E26" s="37"/>
      <c r="F26" s="37"/>
      <c r="G26" s="38"/>
      <c r="H26" s="17"/>
      <c r="I26" s="17"/>
      <c r="J26" s="17"/>
      <c r="K26" s="17"/>
      <c r="Q26" s="23"/>
    </row>
    <row r="27" spans="1:17">
      <c r="A27" s="8" t="s">
        <v>29</v>
      </c>
      <c r="B27" s="9" t="s">
        <v>214</v>
      </c>
      <c r="C27" s="10">
        <f ca="1">'CDS from CapitalIQ'!C68</f>
        <v>56.89</v>
      </c>
      <c r="D27" s="35">
        <f ca="1">'CDS from CapitalIQ'!T68</f>
        <v>2.1246999999999971</v>
      </c>
      <c r="E27" s="35">
        <f ca="1">'CDS from CapitalIQ'!V68</f>
        <v>7.0855999999999995</v>
      </c>
      <c r="F27" s="35">
        <f ca="1">'CDS from CapitalIQ'!W68</f>
        <v>9.1174999999999997</v>
      </c>
      <c r="G27" s="36">
        <f ca="1">'CDS from CapitalIQ'!X68</f>
        <v>1.3900000000000006</v>
      </c>
      <c r="H27" s="11" cm="1">
        <f t="array" aca="1" ref="H27" ca="1">(_xll.TR(N27,"TR.PriceClose")-_xll.TR(N27,"TR.PriceClose","SDate:"&amp;TEXT(WORKDAY(TODAY(),-5),"yyyy-mm-dd")))/_xll.TR(N27,"TR.PriceClose","SDate:"&amp;TEXT(WORKDAY(TODAY(),-5),"yyyy-mm-dd"))</f>
        <v>-1.980041184856645E-2</v>
      </c>
      <c r="I27" s="11" cm="1">
        <f t="array" aca="1" ref="I27" ca="1">(_xll.TR(N27,"TR.PriceClose")-_xll.TR(N27,"TR.PriceClose","SDate:"&amp;TEXT(WORKDAY(TODAY(),-10),"yyyy-mm-dd")))/_xll.TR(N27,"TR.PriceClose","SDate:"&amp;TEXT(WORKDAY(TODAY(),-10),"yyyy-mm-dd"))</f>
        <v>-6.7791503464898969E-2</v>
      </c>
      <c r="J27" s="11" cm="1">
        <f t="array" aca="1" ref="J27" ca="1">(_xll.TR(N27,"TR.PriceClose")-_xll.TR(N27,"TR.PriceClose","SDate:"&amp;EDATE(TODAY(),-3)))/_xll.TR(N27,"TR.PriceClose","SDate:"&amp;EDATE(TODAY(),-3))</f>
        <v>-2.7961043041156049E-2</v>
      </c>
      <c r="K27" s="11" cm="1">
        <f t="array" aca="1" ref="K27" ca="1">(_xll.TR(N27,"TR.PriceClose")-_xll.TR(N27,"TR.PriceClose","SDate:"&amp;EDATE(TODAY(),-12)))/_xll.TR(N27,"TR.PriceClose","SDate:"&amp;EDATE(TODAY(),-12))</f>
        <v>2.1965317919075234E-2</v>
      </c>
      <c r="M27" s="14" t="s">
        <v>29</v>
      </c>
      <c r="N27" s="15" t="s">
        <v>65</v>
      </c>
      <c r="O27" t="s">
        <v>96</v>
      </c>
      <c r="Q27" s="16"/>
    </row>
    <row r="28" spans="1:17">
      <c r="A28" s="12" t="s">
        <v>30</v>
      </c>
      <c r="B28" s="9" t="s">
        <v>214</v>
      </c>
      <c r="C28" s="10">
        <f ca="1">'CDS from CapitalIQ'!C69</f>
        <v>43.887300000000003</v>
      </c>
      <c r="D28" s="35">
        <f ca="1">'CDS from CapitalIQ'!T69</f>
        <v>2.4097000000000008</v>
      </c>
      <c r="E28" s="35">
        <f ca="1">'CDS from CapitalIQ'!V69</f>
        <v>6.5319000000000003</v>
      </c>
      <c r="F28" s="35">
        <f ca="1">'CDS from CapitalIQ'!W69</f>
        <v>6.6373000000000033</v>
      </c>
      <c r="G28" s="36">
        <f ca="1">'CDS from CapitalIQ'!X69</f>
        <v>1.3159000000000063</v>
      </c>
      <c r="H28" s="11" cm="1">
        <f t="array" aca="1" ref="H28" ca="1">(_xll.TR(N28,"TR.PriceClose")-_xll.TR(N28,"TR.PriceClose","SDate:"&amp;TEXT(WORKDAY(TODAY(),-5),"yyyy-mm-dd")))/_xll.TR(N28,"TR.PriceClose","SDate:"&amp;TEXT(WORKDAY(TODAY(),-5),"yyyy-mm-dd"))</f>
        <v>-7.621519584709778E-2</v>
      </c>
      <c r="I28" s="11" cm="1">
        <f t="array" aca="1" ref="I28" ca="1">(_xll.TR(N28,"TR.PriceClose")-_xll.TR(N28,"TR.PriceClose","SDate:"&amp;TEXT(WORKDAY(TODAY(),-10),"yyyy-mm-dd")))/_xll.TR(N28,"TR.PriceClose","SDate:"&amp;TEXT(WORKDAY(TODAY(),-10),"yyyy-mm-dd"))</f>
        <v>-6.4516129032258132E-2</v>
      </c>
      <c r="J28" s="11" cm="1">
        <f t="array" aca="1" ref="J28" ca="1">(_xll.TR(N28,"TR.PriceClose")-_xll.TR(N28,"TR.PriceClose","SDate:"&amp;EDATE(TODAY(),-3)))/_xll.TR(N28,"TR.PriceClose","SDate:"&amp;EDATE(TODAY(),-3))</f>
        <v>3.7910922587486739E-2</v>
      </c>
      <c r="K28" s="11" cm="1">
        <f t="array" aca="1" ref="K28" ca="1">(_xll.TR(N28,"TR.PriceClose")-_xll.TR(N28,"TR.PriceClose","SDate:"&amp;EDATE(TODAY(),-12)))/_xll.TR(N28,"TR.PriceClose","SDate:"&amp;EDATE(TODAY(),-12))</f>
        <v>0.22000623247117465</v>
      </c>
      <c r="M28" s="14" t="s">
        <v>30</v>
      </c>
      <c r="N28" s="15" t="s">
        <v>66</v>
      </c>
      <c r="O28" t="s">
        <v>97</v>
      </c>
      <c r="Q28" s="23"/>
    </row>
    <row r="29" spans="1:17">
      <c r="A29" s="18" t="s">
        <v>31</v>
      </c>
      <c r="B29" s="19"/>
      <c r="C29" s="22"/>
      <c r="D29" s="37"/>
      <c r="E29" s="37"/>
      <c r="F29" s="37"/>
      <c r="G29" s="38"/>
      <c r="H29" s="17"/>
      <c r="I29" s="17"/>
      <c r="J29" s="17"/>
      <c r="K29" s="17"/>
      <c r="M29" s="13"/>
      <c r="Q29" s="23"/>
    </row>
    <row r="30" spans="1:17">
      <c r="A30" s="8" t="s">
        <v>32</v>
      </c>
      <c r="B30" s="9" t="s">
        <v>266</v>
      </c>
      <c r="C30" s="10">
        <f ca="1">'CDS from CapitalIQ'!C71</f>
        <v>30.3842</v>
      </c>
      <c r="D30" s="35">
        <f ca="1">'CDS from CapitalIQ'!T71</f>
        <v>2.2591999999999999</v>
      </c>
      <c r="E30" s="35">
        <f ca="1">'CDS from CapitalIQ'!V71</f>
        <v>3.5254000000000012</v>
      </c>
      <c r="F30" s="35">
        <f ca="1">'CDS from CapitalIQ'!W71</f>
        <v>5.5091999999999999</v>
      </c>
      <c r="G30" s="36">
        <f ca="1">'CDS from CapitalIQ'!X71</f>
        <v>-4.1073000000000022</v>
      </c>
      <c r="H30" s="11" cm="1">
        <f t="array" aca="1" ref="H30" ca="1">(_xll.TR(N30,"TR.PriceClose")-_xll.TR(N30,"TR.PriceClose","SDate:"&amp;TEXT(WORKDAY(TODAY(),-5),"yyyy-mm-dd")))/_xll.TR(N30,"TR.PriceClose","SDate:"&amp;TEXT(WORKDAY(TODAY(),-5),"yyyy-mm-dd"))</f>
        <v>-3.3123028391167104E-2</v>
      </c>
      <c r="I30" s="11" cm="1">
        <f t="array" aca="1" ref="I30" ca="1">(_xll.TR(N30,"TR.PriceClose")-_xll.TR(N30,"TR.PriceClose","SDate:"&amp;TEXT(WORKDAY(TODAY(),-10),"yyyy-mm-dd")))/_xll.TR(N30,"TR.PriceClose","SDate:"&amp;TEXT(WORKDAY(TODAY(),-10),"yyyy-mm-dd"))</f>
        <v>-2.775574940523394E-2</v>
      </c>
      <c r="J30" s="11" cm="1">
        <f t="array" aca="1" ref="J30" ca="1">(_xll.TR(N30,"TR.PriceClose")-_xll.TR(N30,"TR.PriceClose","SDate:"&amp;EDATE(TODAY(),-3)))/_xll.TR(N30,"TR.PriceClose","SDate:"&amp;EDATE(TODAY(),-3))</f>
        <v>1.4900662251655724E-2</v>
      </c>
      <c r="K30" s="11" cm="1">
        <f t="array" aca="1" ref="K30" ca="1">(_xll.TR(N30,"TR.PriceClose")-_xll.TR(N30,"TR.PriceClose","SDate:"&amp;EDATE(TODAY(),-12)))/_xll.TR(N30,"TR.PriceClose","SDate:"&amp;EDATE(TODAY(),-12))</f>
        <v>0.36272693590218613</v>
      </c>
      <c r="M30" t="s">
        <v>32</v>
      </c>
      <c r="N30" t="s">
        <v>67</v>
      </c>
      <c r="O30" t="s">
        <v>98</v>
      </c>
      <c r="Q30" s="24"/>
    </row>
    <row r="31" spans="1:17">
      <c r="A31" s="18" t="s">
        <v>33</v>
      </c>
      <c r="B31" s="18" t="s">
        <v>34</v>
      </c>
      <c r="C31" s="22"/>
      <c r="D31" s="37"/>
      <c r="E31" s="37"/>
      <c r="F31" s="37"/>
      <c r="G31" s="38"/>
      <c r="H31" s="17"/>
      <c r="I31" s="17"/>
      <c r="J31" s="17"/>
      <c r="K31" s="17"/>
      <c r="M31" s="14"/>
      <c r="N31" s="15"/>
    </row>
    <row r="32" spans="1:17">
      <c r="A32" s="12" t="s">
        <v>35</v>
      </c>
      <c r="B32" s="72" t="s">
        <v>265</v>
      </c>
      <c r="C32" s="10">
        <f ca="1">'CDS from CapitalIQ'!C73</f>
        <v>43.013500000000001</v>
      </c>
      <c r="D32" s="35">
        <f ca="1">'CDS from CapitalIQ'!T73</f>
        <v>-0.17360000000000042</v>
      </c>
      <c r="E32" s="35">
        <f ca="1">'CDS from CapitalIQ'!V73</f>
        <v>2.3500000000000014</v>
      </c>
      <c r="F32" s="35">
        <f ca="1">'CDS from CapitalIQ'!W73</f>
        <v>3.5773999999999972</v>
      </c>
      <c r="G32" s="36">
        <f ca="1">'CDS from CapitalIQ'!X73</f>
        <v>9.0553999999999988</v>
      </c>
      <c r="H32" s="11" cm="1">
        <f t="array" aca="1" ref="H32" ca="1">(_xll.TR(N32,"TR.PriceClose")-_xll.TR(N32,"TR.PriceClose","SDate:"&amp;TEXT(WORKDAY(TODAY(),-5),"yyyy-mm-dd")))/_xll.TR(N32,"TR.PriceClose","SDate:"&amp;TEXT(WORKDAY(TODAY(),-5),"yyyy-mm-dd"))</f>
        <v>-2.8486965869389948E-2</v>
      </c>
      <c r="I32" s="11" cm="1">
        <f t="array" aca="1" ref="I32" ca="1">(_xll.TR(N32,"TR.PriceClose")-_xll.TR(N32,"TR.PriceClose","SDate:"&amp;TEXT(WORKDAY(TODAY(),-10),"yyyy-mm-dd")))/_xll.TR(N32,"TR.PriceClose","SDate:"&amp;TEXT(WORKDAY(TODAY(),-10),"yyyy-mm-dd"))</f>
        <v>-1.3812154696132596E-3</v>
      </c>
      <c r="J32" s="11" cm="1">
        <f t="array" aca="1" ref="J32" ca="1">(_xll.TR(N32,"TR.PriceClose")-_xll.TR(N32,"TR.PriceClose","SDate:"&amp;EDATE(TODAY(),-3)))/_xll.TR(N32,"TR.PriceClose","SDate:"&amp;EDATE(TODAY(),-3))</f>
        <v>8.6891160553217078E-2</v>
      </c>
      <c r="K32" s="11" cm="1">
        <f t="array" aca="1" ref="K32" ca="1">(_xll.TR(N32,"TR.PriceClose")-_xll.TR(N32,"TR.PriceClose","SDate:"&amp;EDATE(TODAY(),-12)))/_xll.TR(N32,"TR.PriceClose","SDate:"&amp;EDATE(TODAY(),-12))</f>
        <v>0.562905317769131</v>
      </c>
      <c r="M32" s="14" t="s">
        <v>68</v>
      </c>
      <c r="N32" s="15" t="s">
        <v>69</v>
      </c>
      <c r="O32" t="s">
        <v>99</v>
      </c>
      <c r="Q32" s="16"/>
    </row>
    <row r="33" spans="1:17">
      <c r="A33" s="8" t="s">
        <v>36</v>
      </c>
      <c r="B33" s="72" t="s">
        <v>265</v>
      </c>
      <c r="C33" s="10">
        <f ca="1">'CDS from CapitalIQ'!C74</f>
        <v>45.280500000000004</v>
      </c>
      <c r="D33" s="35">
        <f ca="1">'CDS from CapitalIQ'!T74</f>
        <v>1.5258000000000038</v>
      </c>
      <c r="E33" s="35">
        <f ca="1">'CDS from CapitalIQ'!V74</f>
        <v>4.32</v>
      </c>
      <c r="F33" s="35">
        <f ca="1">'CDS from CapitalIQ'!W74</f>
        <v>4.2293000000000021</v>
      </c>
      <c r="G33" s="36">
        <f ca="1">'CDS from CapitalIQ'!X74</f>
        <v>16.323400000000003</v>
      </c>
      <c r="H33" s="11" cm="1">
        <f t="array" aca="1" ref="H33" ca="1">(_xll.TR(N33,"TR.PriceClose")-_xll.TR(N33,"TR.PriceClose","SDate:"&amp;TEXT(WORKDAY(TODAY(),-5),"yyyy-mm-dd")))/_xll.TR(N33,"TR.PriceClose","SDate:"&amp;TEXT(WORKDAY(TODAY(),-5),"yyyy-mm-dd"))</f>
        <v>-3.4620886981402005E-2</v>
      </c>
      <c r="I33" s="11" cm="1">
        <f t="array" aca="1" ref="I33" ca="1">(_xll.TR(N33,"TR.PriceClose")-_xll.TR(N33,"TR.PriceClose","SDate:"&amp;TEXT(WORKDAY(TODAY(),-10),"yyyy-mm-dd")))/_xll.TR(N33,"TR.PriceClose","SDate:"&amp;TEXT(WORKDAY(TODAY(),-10),"yyyy-mm-dd"))</f>
        <v>-1.2005856515373352E-2</v>
      </c>
      <c r="J33" s="11" cm="1">
        <f t="array" aca="1" ref="J33" ca="1">(_xll.TR(N33,"TR.PriceClose")-_xll.TR(N33,"TR.PriceClose","SDate:"&amp;EDATE(TODAY(),-3)))/_xll.TR(N33,"TR.PriceClose","SDate:"&amp;EDATE(TODAY(),-3))</f>
        <v>1.1390887290167866E-2</v>
      </c>
      <c r="K33" s="11" cm="1">
        <f t="array" aca="1" ref="K33" ca="1">(_xll.TR(N33,"TR.PriceClose")-_xll.TR(N33,"TR.PriceClose","SDate:"&amp;EDATE(TODAY(),-12)))/_xll.TR(N33,"TR.PriceClose","SDate:"&amp;EDATE(TODAY(),-12))</f>
        <v>0.66699604743083007</v>
      </c>
      <c r="M33" s="14" t="s">
        <v>36</v>
      </c>
      <c r="N33" s="15" t="s">
        <v>70</v>
      </c>
      <c r="O33" t="s">
        <v>100</v>
      </c>
      <c r="Q33" s="23"/>
    </row>
    <row r="34" spans="1:17">
      <c r="A34" s="12" t="s">
        <v>37</v>
      </c>
      <c r="B34" s="72" t="s">
        <v>265</v>
      </c>
      <c r="C34" s="10">
        <f ca="1">'CDS from CapitalIQ'!C75</f>
        <v>56.4983</v>
      </c>
      <c r="D34" s="35">
        <f ca="1">'CDS from CapitalIQ'!T75</f>
        <v>0.35869999999999891</v>
      </c>
      <c r="E34" s="35">
        <f ca="1">'CDS from CapitalIQ'!V75</f>
        <v>3.984099999999998</v>
      </c>
      <c r="F34" s="35">
        <f ca="1">'CDS from CapitalIQ'!W75</f>
        <v>13.261400000000002</v>
      </c>
      <c r="G34" s="36">
        <f ca="1">'CDS from CapitalIQ'!X75</f>
        <v>1.4389000000000038</v>
      </c>
      <c r="H34" s="11" cm="1">
        <f t="array" aca="1" ref="H34" ca="1">(_xll.TR(N34,"TR.PriceClose")-_xll.TR(N34,"TR.PriceClose","SDate:"&amp;TEXT(WORKDAY(TODAY(),-5),"yyyy-mm-dd")))/_xll.TR(N34,"TR.PriceClose","SDate:"&amp;TEXT(WORKDAY(TODAY(),-5),"yyyy-mm-dd"))</f>
        <v>-1.4888055460847824E-2</v>
      </c>
      <c r="I34" s="11" cm="1">
        <f t="array" aca="1" ref="I34" ca="1">(_xll.TR(N34,"TR.PriceClose")-_xll.TR(N34,"TR.PriceClose","SDate:"&amp;TEXT(WORKDAY(TODAY(),-10),"yyyy-mm-dd")))/_xll.TR(N34,"TR.PriceClose","SDate:"&amp;TEXT(WORKDAY(TODAY(),-10),"yyyy-mm-dd"))</f>
        <v>2.0364920541494996E-2</v>
      </c>
      <c r="J34" s="11" cm="1">
        <f t="array" aca="1" ref="J34" ca="1">(_xll.TR(N34,"TR.PriceClose")-_xll.TR(N34,"TR.PriceClose","SDate:"&amp;EDATE(TODAY(),-3)))/_xll.TR(N34,"TR.PriceClose","SDate:"&amp;EDATE(TODAY(),-3))</f>
        <v>7.3037880663530577E-2</v>
      </c>
      <c r="K34" s="11" cm="1">
        <f t="array" aca="1" ref="K34" ca="1">(_xll.TR(N34,"TR.PriceClose")-_xll.TR(N34,"TR.PriceClose","SDate:"&amp;EDATE(TODAY(),-12)))/_xll.TR(N34,"TR.PriceClose","SDate:"&amp;EDATE(TODAY(),-12))</f>
        <v>0.80583333333333329</v>
      </c>
      <c r="M34" s="14" t="s">
        <v>37</v>
      </c>
      <c r="N34" s="15" t="s">
        <v>71</v>
      </c>
      <c r="O34" t="s">
        <v>101</v>
      </c>
      <c r="Q34" s="23"/>
    </row>
    <row r="35" spans="1:17">
      <c r="A35" s="8" t="s">
        <v>38</v>
      </c>
      <c r="B35" s="72" t="s">
        <v>265</v>
      </c>
      <c r="C35" s="10">
        <f ca="1">'CDS from CapitalIQ'!C76</f>
        <v>70.204599999999999</v>
      </c>
      <c r="D35" s="35">
        <f ca="1">'CDS from CapitalIQ'!T76</f>
        <v>0.38519999999999754</v>
      </c>
      <c r="E35" s="35">
        <f ca="1">'CDS from CapitalIQ'!V76</f>
        <v>10.653300000000002</v>
      </c>
      <c r="F35" s="35">
        <f ca="1">'CDS from CapitalIQ'!W76</f>
        <v>5.3699000000000012</v>
      </c>
      <c r="G35" s="36">
        <f ca="1">'CDS from CapitalIQ'!X76</f>
        <v>0.10229999999999961</v>
      </c>
      <c r="H35" s="11" cm="1">
        <f t="array" aca="1" ref="H35" ca="1">(_xll.TR(N35,"TR.PriceClose")-_xll.TR(N35,"TR.PriceClose","SDate:"&amp;TEXT(WORKDAY(TODAY(),-5),"yyyy-mm-dd")))/_xll.TR(N35,"TR.PriceClose","SDate:"&amp;TEXT(WORKDAY(TODAY(),-5),"yyyy-mm-dd"))</f>
        <v>-5.1337476357741149E-2</v>
      </c>
      <c r="I35" s="11" cm="1">
        <f t="array" aca="1" ref="I35" ca="1">(_xll.TR(N35,"TR.PriceClose")-_xll.TR(N35,"TR.PriceClose","SDate:"&amp;TEXT(WORKDAY(TODAY(),-10),"yyyy-mm-dd")))/_xll.TR(N35,"TR.PriceClose","SDate:"&amp;TEXT(WORKDAY(TODAY(),-10),"yyyy-mm-dd"))</f>
        <v>-4.8767271742075319E-2</v>
      </c>
      <c r="J35" s="11" cm="1">
        <f t="array" aca="1" ref="J35" ca="1">(_xll.TR(N35,"TR.PriceClose")-_xll.TR(N35,"TR.PriceClose","SDate:"&amp;EDATE(TODAY(),-3)))/_xll.TR(N35,"TR.PriceClose","SDate:"&amp;EDATE(TODAY(),-3))</f>
        <v>4.2458432304038007E-2</v>
      </c>
      <c r="K35" s="11" cm="1">
        <f t="array" aca="1" ref="K35" ca="1">(_xll.TR(N35,"TR.PriceClose")-_xll.TR(N35,"TR.PriceClose","SDate:"&amp;EDATE(TODAY(),-12)))/_xll.TR(N35,"TR.PriceClose","SDate:"&amp;EDATE(TODAY(),-12))</f>
        <v>0.48834251801610851</v>
      </c>
      <c r="M35" s="14" t="s">
        <v>38</v>
      </c>
      <c r="N35" s="15" t="s">
        <v>72</v>
      </c>
      <c r="O35" t="s">
        <v>102</v>
      </c>
    </row>
    <row r="36" spans="1:17">
      <c r="A36" s="12" t="s">
        <v>39</v>
      </c>
      <c r="B36" s="72" t="s">
        <v>265</v>
      </c>
      <c r="C36" s="10">
        <f ca="1">'CDS from CapitalIQ'!C77</f>
        <v>74.756299999999996</v>
      </c>
      <c r="D36" s="35">
        <f ca="1">'CDS from CapitalIQ'!T77</f>
        <v>6.7999999999983629E-3</v>
      </c>
      <c r="E36" s="35">
        <f ca="1">'CDS from CapitalIQ'!V77</f>
        <v>2.0493999999999915</v>
      </c>
      <c r="F36" s="35">
        <f ca="1">'CDS from CapitalIQ'!W77</f>
        <v>-1.1219000000000108</v>
      </c>
      <c r="G36" s="36">
        <f ca="1">'CDS from CapitalIQ'!X77</f>
        <v>-1.0600000000000023</v>
      </c>
      <c r="H36" s="11" cm="1">
        <f t="array" aca="1" ref="H36" ca="1">(_xll.TR(N36,"TR.PriceClose")-_xll.TR(N36,"TR.PriceClose","SDate:"&amp;TEXT(WORKDAY(TODAY(),-5),"yyyy-mm-dd")))/_xll.TR(N36,"TR.PriceClose","SDate:"&amp;TEXT(WORKDAY(TODAY(),-5),"yyyy-mm-dd"))</f>
        <v>-4.2633228840125395E-2</v>
      </c>
      <c r="I36" s="11" cm="1">
        <f t="array" aca="1" ref="I36" ca="1">(_xll.TR(N36,"TR.PriceClose")-_xll.TR(N36,"TR.PriceClose","SDate:"&amp;TEXT(WORKDAY(TODAY(),-10),"yyyy-mm-dd")))/_xll.TR(N36,"TR.PriceClose","SDate:"&amp;TEXT(WORKDAY(TODAY(),-10),"yyyy-mm-dd"))</f>
        <v>-3.4155597722960153E-2</v>
      </c>
      <c r="J36" s="11" cm="1">
        <f t="array" aca="1" ref="J36" ca="1">(_xll.TR(N36,"TR.PriceClose")-_xll.TR(N36,"TR.PriceClose","SDate:"&amp;TEXT(WORKDAY(TODAY(),-65),"yyyy-mm-dd")))/_xll.TR(N36,"TR.PriceClose","SDate:"&amp;TEXT(WORKDAY(TODAY(),-65),"yyyy-mm-dd"))</f>
        <v>2.4832214765100672E-2</v>
      </c>
      <c r="K36" s="11" cm="1">
        <f t="array" aca="1" ref="K36" ca="1">(_xll.TR(N36,"TR.PriceClose")-_xll.TR(N36,"TR.PriceClose","SDate:"&amp;EDATE(TODAY(),-12)))/_xll.TR(N36,"TR.PriceClose","SDate:"&amp;EDATE(TODAY(),-12))</f>
        <v>0.45845272206303728</v>
      </c>
      <c r="M36" s="14" t="s">
        <v>39</v>
      </c>
      <c r="N36" s="15" t="s">
        <v>73</v>
      </c>
      <c r="O36" t="s">
        <v>103</v>
      </c>
      <c r="Q36" s="16"/>
    </row>
    <row r="37" spans="1:17">
      <c r="A37" s="18" t="s">
        <v>40</v>
      </c>
      <c r="B37" s="18" t="s">
        <v>41</v>
      </c>
      <c r="C37" s="22"/>
      <c r="D37" s="37"/>
      <c r="E37" s="37"/>
      <c r="F37" s="37"/>
      <c r="G37" s="38"/>
      <c r="H37" s="17"/>
      <c r="I37" s="17"/>
      <c r="J37" s="17"/>
      <c r="K37" s="17"/>
      <c r="M37" s="13"/>
      <c r="N37" s="13"/>
      <c r="Q37" s="23"/>
    </row>
    <row r="38" spans="1:17">
      <c r="A38" s="8" t="s">
        <v>42</v>
      </c>
      <c r="B38" s="9" t="s">
        <v>263</v>
      </c>
      <c r="C38" s="10">
        <f ca="1">'CDS from CapitalIQ'!C79</f>
        <v>64.386700000000005</v>
      </c>
      <c r="D38" s="35">
        <f ca="1">'CDS from CapitalIQ'!T79</f>
        <v>5.4400000000001114E-2</v>
      </c>
      <c r="E38" s="35">
        <f ca="1">'CDS from CapitalIQ'!V79</f>
        <v>0.75060000000000571</v>
      </c>
      <c r="F38" s="35">
        <f ca="1">'CDS from CapitalIQ'!W79</f>
        <v>3.0534000000000034</v>
      </c>
      <c r="G38" s="36">
        <f ca="1">'CDS from CapitalIQ'!X79</f>
        <v>20.669800000000002</v>
      </c>
      <c r="H38" s="11" cm="1">
        <f t="array" aca="1" ref="H38" ca="1">(_xll.TR(N38,"TR.PriceClose")-_xll.TR(N38,"TR.PriceClose","SDate:"&amp;TEXT(WORKDAY(TODAY(),-5),"yyyy-mm-dd")))/_xll.TR(N38,"TR.PriceClose","SDate:"&amp;TEXT(WORKDAY(TODAY(),-5),"yyyy-mm-dd"))</f>
        <v>-1.2464847609637352E-2</v>
      </c>
      <c r="I38" s="11" cm="1">
        <f t="array" aca="1" ref="I38" ca="1">(_xll.TR(N38,"TR.PriceClose")-_xll.TR(N38,"TR.PriceClose","SDate:"&amp;TEXT(WORKDAY(TODAY(),-10),"yyyy-mm-dd")))/_xll.TR(N38,"TR.PriceClose","SDate:"&amp;TEXT(WORKDAY(TODAY(),-10),"yyyy-mm-dd"))</f>
        <v>-2.9431538059311254E-2</v>
      </c>
      <c r="J38" s="11" cm="1">
        <f t="array" aca="1" ref="J38" ca="1">(_xll.TR(N38,"TR.PriceClose")-_xll.TR(N38,"TR.PriceClose","SDate:"&amp;TEXT(WORKDAY(TODAY(),-65),"yyyy-mm-dd")))/_xll.TR(N38,"TR.PriceClose","SDate:"&amp;TEXT(WORKDAY(TODAY(),-65),"yyyy-mm-dd"))</f>
        <v>5.2149971657624195E-2</v>
      </c>
      <c r="K38" s="11" cm="1">
        <f t="array" aca="1" ref="K38" ca="1">(_xll.TR(N38,"TR.PriceClose")-_xll.TR(N38,"TR.PriceClose","SDate:"&amp;EDATE(TODAY(),-12)))/_xll.TR(N38,"TR.PriceClose","SDate:"&amp;EDATE(TODAY(),-12))</f>
        <v>0.4273316489069538</v>
      </c>
      <c r="M38" s="14" t="s">
        <v>42</v>
      </c>
      <c r="N38" s="15" t="s">
        <v>74</v>
      </c>
      <c r="O38" t="s">
        <v>104</v>
      </c>
      <c r="Q38" s="23"/>
    </row>
    <row r="39" spans="1:17">
      <c r="A39" s="12" t="s">
        <v>43</v>
      </c>
      <c r="B39" s="9" t="s">
        <v>263</v>
      </c>
      <c r="C39" s="10">
        <f ca="1">'CDS from CapitalIQ'!C80</f>
        <v>53.895699999999998</v>
      </c>
      <c r="D39" s="35">
        <f ca="1">'CDS from CapitalIQ'!T80</f>
        <v>-1.9759999999999991</v>
      </c>
      <c r="E39" s="35">
        <f ca="1">'CDS from CapitalIQ'!V80</f>
        <v>-2.6548000000000016</v>
      </c>
      <c r="F39" s="35">
        <f ca="1">'CDS from CapitalIQ'!W80</f>
        <v>-2.1043000000000021</v>
      </c>
      <c r="G39" s="36">
        <f ca="1">'CDS from CapitalIQ'!X80</f>
        <v>5.832099999999997</v>
      </c>
      <c r="H39" s="11" cm="1">
        <f t="array" aca="1" ref="H39" ca="1">(_xll.TR(N39,"TR.PriceClose")-_xll.TR(N39,"TR.PriceClose","SDate:"&amp;TEXT(WORKDAY(TODAY(),-5),"yyyy-mm-dd")))/_xll.TR(N39,"TR.PriceClose","SDate:"&amp;TEXT(WORKDAY(TODAY(),-5),"yyyy-mm-dd"))</f>
        <v>-2.6415560867056775E-2</v>
      </c>
      <c r="I39" s="11" cm="1">
        <f t="array" aca="1" ref="I39" ca="1">(_xll.TR(N39,"TR.PriceClose")-_xll.TR(N39,"TR.PriceClose","SDate:"&amp;TEXT(WORKDAY(TODAY(),-10),"yyyy-mm-dd")))/_xll.TR(N39,"TR.PriceClose","SDate:"&amp;TEXT(WORKDAY(TODAY(),-10),"yyyy-mm-dd"))</f>
        <v>-5.0594759684938123E-2</v>
      </c>
      <c r="J39" s="11" cm="1">
        <f t="array" aca="1" ref="J39" ca="1">(_xll.TR(N39,"TR.PriceClose")-_xll.TR(N39,"TR.PriceClose","SDate:"&amp;TEXT(WORKDAY(TODAY(),-65),"yyyy-mm-dd")))/_xll.TR(N39,"TR.PriceClose","SDate:"&amp;TEXT(WORKDAY(TODAY(),-65),"yyyy-mm-dd"))</f>
        <v>-5.5566660003997626E-2</v>
      </c>
      <c r="K39" s="11" cm="1">
        <f t="array" aca="1" ref="K39" ca="1">(_xll.TR(N39,"TR.PriceClose")-_xll.TR(N39,"TR.PriceClose","SDate:"&amp;EDATE(TODAY(),-12)))/_xll.TR(N39,"TR.PriceClose","SDate:"&amp;EDATE(TODAY(),-12))</f>
        <v>0.31235418286857008</v>
      </c>
      <c r="M39" s="14" t="s">
        <v>43</v>
      </c>
      <c r="N39" s="15" t="s">
        <v>75</v>
      </c>
      <c r="O39" t="s">
        <v>108</v>
      </c>
      <c r="Q39" s="23"/>
    </row>
    <row r="40" spans="1:17">
      <c r="A40" s="8" t="s">
        <v>44</v>
      </c>
      <c r="B40" s="9" t="s">
        <v>263</v>
      </c>
      <c r="C40" s="10">
        <f ca="1">'CDS from CapitalIQ'!C81</f>
        <v>63.878999999999998</v>
      </c>
      <c r="D40" s="35">
        <f ca="1">'CDS from CapitalIQ'!T81</f>
        <v>0.24949999999999761</v>
      </c>
      <c r="E40" s="35">
        <f ca="1">'CDS from CapitalIQ'!V81</f>
        <v>1.1295999999999964</v>
      </c>
      <c r="F40" s="35">
        <f ca="1">'CDS from CapitalIQ'!W81</f>
        <v>2.7055999999999969</v>
      </c>
      <c r="G40" s="36">
        <f ca="1">'CDS from CapitalIQ'!X81</f>
        <v>18.930799999999998</v>
      </c>
      <c r="H40" s="11" cm="1">
        <f t="array" aca="1" ref="H40" ca="1">(_xll.TR(N40,"TR.PriceClose")-_xll.TR(N40,"TR.PriceClose","SDate:"&amp;TEXT(WORKDAY(TODAY(),-5),"yyyy-mm-dd")))/_xll.TR(N40,"TR.PriceClose","SDate:"&amp;TEXT(WORKDAY(TODAY(),-5),"yyyy-mm-dd"))</f>
        <v>-5.091777721900944E-3</v>
      </c>
      <c r="I40" s="11" cm="1">
        <f t="array" aca="1" ref="I40" ca="1">(_xll.TR(N40,"TR.PriceClose")-_xll.TR(N40,"TR.PriceClose","SDate:"&amp;TEXT(WORKDAY(TODAY(),-10),"yyyy-mm-dd")))/_xll.TR(N40,"TR.PriceClose","SDate:"&amp;TEXT(WORKDAY(TODAY(),-10),"yyyy-mm-dd"))</f>
        <v>-3.0564743354158895E-2</v>
      </c>
      <c r="J40" s="11" cm="1">
        <f t="array" aca="1" ref="J40" ca="1">(_xll.TR(N40,"TR.PriceClose")-_xll.TR(N40,"TR.PriceClose","SDate:"&amp;TEXT(WORKDAY(TODAY(),-65),"yyyy-mm-dd")))/_xll.TR(N40,"TR.PriceClose","SDate:"&amp;TEXT(WORKDAY(TODAY(),-65),"yyyy-mm-dd"))</f>
        <v>-3.3583684435488793E-2</v>
      </c>
      <c r="K40" s="11" cm="1">
        <f t="array" aca="1" ref="K40" ca="1">(_xll.TR(N40,"TR.PriceClose")-_xll.TR(N40,"TR.PriceClose","SDate:"&amp;EDATE(TODAY(),-12)))/_xll.TR(N40,"TR.PriceClose","SDate:"&amp;EDATE(TODAY(),-12))</f>
        <v>0.39260888693356799</v>
      </c>
      <c r="M40" s="14" t="s">
        <v>44</v>
      </c>
      <c r="N40" s="15" t="s">
        <v>76</v>
      </c>
      <c r="O40" t="s">
        <v>105</v>
      </c>
      <c r="Q40" s="23"/>
    </row>
    <row r="41" spans="1:17">
      <c r="A41" s="12" t="s">
        <v>45</v>
      </c>
      <c r="B41" s="9" t="s">
        <v>263</v>
      </c>
      <c r="C41" s="10">
        <f ca="1">'CDS from CapitalIQ'!C82</f>
        <v>60.5</v>
      </c>
      <c r="D41" s="35">
        <f ca="1">'CDS from CapitalIQ'!T82</f>
        <v>0</v>
      </c>
      <c r="E41" s="35">
        <f ca="1">'CDS from CapitalIQ'!V82</f>
        <v>0.49179999999999779</v>
      </c>
      <c r="F41" s="35">
        <f ca="1">'CDS from CapitalIQ'!W82</f>
        <v>4.5</v>
      </c>
      <c r="G41" s="36">
        <f ca="1">'CDS from CapitalIQ'!X82</f>
        <v>18.778199999999998</v>
      </c>
      <c r="H41" s="11" cm="1">
        <f t="array" aca="1" ref="H41" ca="1">(_xll.TR(N41,"TR.PriceClose")-_xll.TR(N41,"TR.PriceClose","SDate:"&amp;TEXT(WORKDAY(TODAY(),-5),"yyyy-mm-dd")))/_xll.TR(N41,"TR.PriceClose","SDate:"&amp;TEXT(WORKDAY(TODAY(),-5),"yyyy-mm-dd"))</f>
        <v>-9.0212264150943463E-3</v>
      </c>
      <c r="I41" s="11" cm="1">
        <f t="array" aca="1" ref="I41" ca="1">(_xll.TR(N41,"TR.PriceClose")-_xll.TR(N41,"TR.PriceClose","SDate:"&amp;TEXT(WORKDAY(TODAY(),-10),"yyyy-mm-dd")))/_xll.TR(N41,"TR.PriceClose","SDate:"&amp;TEXT(WORKDAY(TODAY(),-10),"yyyy-mm-dd"))</f>
        <v>-3.4635267087880534E-2</v>
      </c>
      <c r="J41" s="11" cm="1">
        <f t="array" aca="1" ref="J41" ca="1">(_xll.TR(N41,"TR.PriceClose")-_xll.TR(N41,"TR.PriceClose","SDate:"&amp;TEXT(WORKDAY(TODAY(),-65),"yyyy-mm-dd")))/_xll.TR(N41,"TR.PriceClose","SDate:"&amp;TEXT(WORKDAY(TODAY(),-65),"yyyy-mm-dd"))</f>
        <v>-1.8970347886995097E-2</v>
      </c>
      <c r="K41" s="11" cm="1">
        <f t="array" aca="1" ref="K41" ca="1">(_xll.TR(N41,"TR.PriceClose")-_xll.TR(N41,"TR.PriceClose","SDate:"&amp;EDATE(TODAY(),-12)))/_xll.TR(N41,"TR.PriceClose","SDate:"&amp;EDATE(TODAY(),-12))</f>
        <v>0.48393077873918405</v>
      </c>
      <c r="M41" s="14" t="s">
        <v>45</v>
      </c>
      <c r="N41" s="15" t="s">
        <v>77</v>
      </c>
      <c r="O41" t="s">
        <v>109</v>
      </c>
      <c r="Q41" s="23"/>
    </row>
    <row r="42" spans="1:17">
      <c r="A42" s="8" t="s">
        <v>46</v>
      </c>
      <c r="B42" s="9" t="s">
        <v>263</v>
      </c>
      <c r="C42" s="10">
        <f ca="1">'CDS from CapitalIQ'!C83</f>
        <v>61.484200000000001</v>
      </c>
      <c r="D42" s="35" cm="1">
        <f t="array" ref="D42">_xll.TR(O42,"MID_SPREAD")*_xll.TR(O42,"PCTCHG_1W")/(100+_xll.TR(O42,"PCTCHG_1W"))</f>
        <v>0.90462189986884545</v>
      </c>
      <c r="E42" s="35">
        <f ca="1">'CDS from CapitalIQ'!V83</f>
        <v>-2.0627999999999957</v>
      </c>
      <c r="F42" s="35">
        <f ca="1">'CDS from CapitalIQ'!W83</f>
        <v>1.8488000000000042</v>
      </c>
      <c r="G42" s="36">
        <f ca="1">'CDS from CapitalIQ'!X83</f>
        <v>7.8999999999999986</v>
      </c>
      <c r="H42" s="11" cm="1">
        <f t="array" aca="1" ref="H42" ca="1">(_xll.TR(N42,"TR.PriceClose")-_xll.TR(N42,"TR.PriceClose","SDate:"&amp;TEXT(WORKDAY(TODAY(),-5),"yyyy-mm-dd")))/_xll.TR(N42,"TR.PriceClose","SDate:"&amp;TEXT(WORKDAY(TODAY(),-5),"yyyy-mm-dd"))</f>
        <v>-2.1608727680920363E-2</v>
      </c>
      <c r="I42" s="11" cm="1">
        <f t="array" aca="1" ref="I42" ca="1">(_xll.TR(N42,"TR.PriceClose")-_xll.TR(N42,"TR.PriceClose","SDate:"&amp;TEXT(WORKDAY(TODAY(),-10),"yyyy-mm-dd")))/_xll.TR(N42,"TR.PriceClose","SDate:"&amp;TEXT(WORKDAY(TODAY(),-10),"yyyy-mm-dd"))</f>
        <v>-3.7045988123187275E-2</v>
      </c>
      <c r="J42" s="11" cm="1">
        <f t="array" aca="1" ref="J42" ca="1">(_xll.TR(N42,"TR.PriceClose")-_xll.TR(N42,"TR.PriceClose","SDate:"&amp;TEXT(WORKDAY(TODAY(),-65),"yyyy-mm-dd")))/_xll.TR(N42,"TR.PriceClose","SDate:"&amp;TEXT(WORKDAY(TODAY(),-65),"yyyy-mm-dd"))</f>
        <v>-5.5470893020420582E-2</v>
      </c>
      <c r="K42" s="11" cm="1">
        <f t="array" aca="1" ref="K42" ca="1">(_xll.TR(N42,"TR.PriceClose")-_xll.TR(N42,"TR.PriceClose","SDate:"&amp;EDATE(TODAY(),-12)))/_xll.TR(N42,"TR.PriceClose","SDate:"&amp;EDATE(TODAY(),-12))</f>
        <v>0.3601384960499367</v>
      </c>
      <c r="M42" s="14" t="s">
        <v>46</v>
      </c>
      <c r="N42" s="15" t="s">
        <v>78</v>
      </c>
      <c r="O42" t="s">
        <v>106</v>
      </c>
      <c r="Q42" s="23"/>
    </row>
    <row r="43" spans="1:17">
      <c r="A43" s="12" t="s">
        <v>47</v>
      </c>
      <c r="B43" s="9" t="s">
        <v>263</v>
      </c>
      <c r="C43" s="10">
        <f ca="1">'CDS from CapitalIQ'!C84</f>
        <v>54.808500000000002</v>
      </c>
      <c r="D43" s="35">
        <f ca="1">'CDS from CapitalIQ'!T84</f>
        <v>-1.1141999999999967</v>
      </c>
      <c r="E43" s="35">
        <f ca="1">'CDS from CapitalIQ'!V84</f>
        <v>-2.6649999999999991</v>
      </c>
      <c r="F43" s="35">
        <f ca="1">'CDS from CapitalIQ'!W84</f>
        <v>-5.2088999999999999</v>
      </c>
      <c r="G43" s="36">
        <f ca="1">'CDS from CapitalIQ'!X84</f>
        <v>4.5016000000000034</v>
      </c>
      <c r="H43" s="11" cm="1">
        <f t="array" aca="1" ref="H43" ca="1">(_xll.TR(N43,"TR.PriceClose")-_xll.TR(N43,"TR.PriceClose","SDate:"&amp;TEXT(WORKDAY(TODAY(),-5),"yyyy-mm-dd")))/_xll.TR(N43,"TR.PriceClose","SDate:"&amp;TEXT(WORKDAY(TODAY(),-5),"yyyy-mm-dd"))</f>
        <v>-3.6354984534856125E-2</v>
      </c>
      <c r="I43" s="11" cm="1">
        <f t="array" aca="1" ref="I43" ca="1">(_xll.TR(N43,"TR.PriceClose")-_xll.TR(N43,"TR.PriceClose","SDate:"&amp;TEXT(WORKDAY(TODAY(),-10),"yyyy-mm-dd")))/_xll.TR(N43,"TR.PriceClose","SDate:"&amp;TEXT(WORKDAY(TODAY(),-10),"yyyy-mm-dd"))</f>
        <v>-5.7391547197914783E-2</v>
      </c>
      <c r="J43" s="11" cm="1">
        <f t="array" aca="1" ref="J43" ca="1">(_xll.TR(N43,"TR.PriceClose")-_xll.TR(N43,"TR.PriceClose","SDate:"&amp;TEXT(WORKDAY(TODAY(),-65),"yyyy-mm-dd")))/_xll.TR(N43,"TR.PriceClose","SDate:"&amp;TEXT(WORKDAY(TODAY(),-65),"yyyy-mm-dd"))</f>
        <v>-0.10690187431091515</v>
      </c>
      <c r="K43" s="11" cm="1">
        <f t="array" aca="1" ref="K43" ca="1">(_xll.TR(N43,"TR.PriceClose")-_xll.TR(N43,"TR.PriceClose","SDate:"&amp;EDATE(TODAY(),-12)))/_xll.TR(N43,"TR.PriceClose","SDate:"&amp;EDATE(TODAY(),-12))</f>
        <v>0.33944043918248556</v>
      </c>
      <c r="M43" s="14" t="s">
        <v>47</v>
      </c>
      <c r="N43" s="15" t="s">
        <v>79</v>
      </c>
      <c r="O43" t="s">
        <v>107</v>
      </c>
    </row>
    <row r="44" spans="1:17">
      <c r="A44" s="8" t="s">
        <v>48</v>
      </c>
      <c r="B44" s="9" t="s">
        <v>263</v>
      </c>
      <c r="C44" s="10" t="str" cm="1">
        <f t="array" ref="C44">_xll.TR(O44,"MID_SPREAD")</f>
        <v>The record could not be found (Error code: 0)</v>
      </c>
      <c r="D44" s="35" t="e" cm="1">
        <f t="array" ref="D44">_xll.TR(O44,"MID_SPREAD")*_xll.TR(O44,"PCTCHG_1W")/(100+_xll.TR(O44,"PCTCHG_1W"))</f>
        <v>#VALUE!</v>
      </c>
      <c r="E44" s="35">
        <f>'CDS from CapitalIQ'!V85</f>
        <v>0</v>
      </c>
      <c r="F44" s="35">
        <f>'CDS from CapitalIQ'!W85</f>
        <v>0</v>
      </c>
      <c r="G44" s="36">
        <f>'CDS from CapitalIQ'!X85</f>
        <v>0</v>
      </c>
      <c r="H44" s="11" cm="1">
        <f t="array" aca="1" ref="H44" ca="1">(_xll.TR(N44,"TR.PriceClose")-_xll.TR(N44,"TR.PriceClose","SDate:"&amp;TEXT(WORKDAY(TODAY(),-5),"yyyy-mm-dd")))/_xll.TR(N44,"TR.PriceClose","SDate:"&amp;TEXT(WORKDAY(TODAY(),-5),"yyyy-mm-dd"))</f>
        <v>-8.3661417322835486E-3</v>
      </c>
      <c r="I44" s="11" cm="1">
        <f t="array" aca="1" ref="I44" ca="1">(_xll.TR(N44,"TR.PriceClose")-_xll.TR(N44,"TR.PriceClose","SDate:"&amp;TEXT(WORKDAY(TODAY(),-10),"yyyy-mm-dd")))/_xll.TR(N44,"TR.PriceClose","SDate:"&amp;TEXT(WORKDAY(TODAY(),-10),"yyyy-mm-dd"))</f>
        <v>-8.853910477127384E-3</v>
      </c>
      <c r="J44" s="11" cm="1">
        <f t="array" aca="1" ref="J44" ca="1">(_xll.TR(N44,"TR.PriceClose")-_xll.TR(N44,"TR.PriceClose","SDate:"&amp;TEXT(WORKDAY(TODAY(),-65),"yyyy-mm-dd")))/_xll.TR(N44,"TR.PriceClose","SDate:"&amp;TEXT(WORKDAY(TODAY(),-65),"yyyy-mm-dd"))</f>
        <v>2.2382491917432557E-3</v>
      </c>
      <c r="K44" s="11" cm="1">
        <f t="array" aca="1" ref="K44" ca="1">(_xll.TR(N44,"TR.PriceClose")-_xll.TR(N44,"TR.PriceClose","SDate:"&amp;EDATE(TODAY(),-12)))/_xll.TR(N44,"TR.PriceClose","SDate:"&amp;EDATE(TODAY(),-12))</f>
        <v>0.2271619975639462</v>
      </c>
      <c r="M44" s="14" t="s">
        <v>48</v>
      </c>
      <c r="N44" s="15" t="s">
        <v>80</v>
      </c>
      <c r="O44" t="s">
        <v>110</v>
      </c>
      <c r="Q44" s="16"/>
    </row>
    <row r="45" spans="1:17">
      <c r="Q45" s="23"/>
    </row>
    <row r="46" spans="1:17">
      <c r="A46" t="s">
        <v>237</v>
      </c>
      <c r="F46" s="24"/>
      <c r="H46" s="52">
        <f ca="1">_xlfn.PERCENTILE.INC(H$8:H$44,0.2)</f>
        <v>-4.9412839507897502E-2</v>
      </c>
      <c r="I46" s="52">
        <f ca="1">_xlfn.PERCENTILE.INC(I$8:I$44,0.2)</f>
        <v>-6.8307619226737767E-2</v>
      </c>
      <c r="J46" s="53">
        <f ca="1">_xlfn.PERCENTILE.INC(J$8:J$44,0.2)</f>
        <v>-8.8521484259310015E-2</v>
      </c>
      <c r="K46" s="53">
        <f ca="1">_xlfn.PERCENTILE.INC(K$8:K$44,0.2)</f>
        <v>0.14953481469194305</v>
      </c>
      <c r="M46" s="16"/>
      <c r="Q46" s="23"/>
    </row>
    <row r="47" spans="1:17">
      <c r="H47" s="51">
        <f ca="1">_xlfn.PERCENTILE.INC(H$8:H$44,0.8)</f>
        <v>-1.4412004129811964E-2</v>
      </c>
      <c r="I47" s="51">
        <f ca="1">_xlfn.PERCENTILE.INC(I$8:I$44,0.8)</f>
        <v>-3.0338102295189365E-2</v>
      </c>
      <c r="J47" s="54">
        <f ca="1">_xlfn.PERCENTILE.INC(J$8:J$44,0.8)</f>
        <v>3.1108796149177567E-2</v>
      </c>
      <c r="K47" s="54">
        <f ca="1">_xlfn.PERCENTILE.INC(K$8:K$44,0.8)</f>
        <v>0.48481312659456893</v>
      </c>
      <c r="Q47" s="23"/>
    </row>
    <row r="48" spans="1:17">
      <c r="C48" s="41"/>
      <c r="D48" s="41"/>
      <c r="M48" s="13"/>
      <c r="N48" s="13"/>
      <c r="Q48" s="23"/>
    </row>
    <row r="49" spans="4:17">
      <c r="M49" s="14"/>
      <c r="N49" s="15"/>
      <c r="Q49" s="23"/>
    </row>
    <row r="50" spans="4:17">
      <c r="D50" s="41"/>
      <c r="M50" s="14"/>
      <c r="N50" s="15"/>
      <c r="Q50" s="23"/>
    </row>
    <row r="51" spans="4:17">
      <c r="M51" s="14"/>
      <c r="N51" s="15"/>
      <c r="Q51" s="23"/>
    </row>
    <row r="52" spans="4:17">
      <c r="M52" s="14"/>
      <c r="N52" s="15"/>
      <c r="Q52" s="23"/>
    </row>
    <row r="53" spans="4:17">
      <c r="M53" s="14"/>
      <c r="N53" s="15"/>
    </row>
    <row r="55" spans="4:17">
      <c r="M55" s="16"/>
    </row>
    <row r="57" spans="4:17">
      <c r="M57" s="13"/>
      <c r="N57" s="13"/>
    </row>
    <row r="58" spans="4:17">
      <c r="M58" s="14"/>
      <c r="N58" s="15"/>
    </row>
    <row r="59" spans="4:17">
      <c r="M59" s="14"/>
      <c r="N59" s="15"/>
    </row>
    <row r="60" spans="4:17">
      <c r="M60" s="14"/>
      <c r="N60" s="15"/>
    </row>
    <row r="61" spans="4:17">
      <c r="M61" s="14"/>
      <c r="N61" s="15"/>
    </row>
    <row r="62" spans="4:17">
      <c r="M62" s="14"/>
      <c r="N62" s="15"/>
    </row>
    <row r="63" spans="4:17">
      <c r="M63" s="14"/>
      <c r="N63" s="15"/>
    </row>
    <row r="64" spans="4:17">
      <c r="M64" s="14"/>
      <c r="N64" s="15"/>
    </row>
  </sheetData>
  <mergeCells count="4">
    <mergeCell ref="C1:G1"/>
    <mergeCell ref="C5:G5"/>
    <mergeCell ref="H1:K1"/>
    <mergeCell ref="H5:K5"/>
  </mergeCells>
  <conditionalFormatting sqref="D8:D43">
    <cfRule type="expression" dxfId="23" priority="15" stopIfTrue="1">
      <formula>D8&lt;=-3</formula>
    </cfRule>
    <cfRule type="expression" dxfId="22" priority="16" stopIfTrue="1">
      <formula>D8&gt;3</formula>
    </cfRule>
  </conditionalFormatting>
  <conditionalFormatting sqref="E8:E44">
    <cfRule type="expression" dxfId="21" priority="13" stopIfTrue="1">
      <formula>E8&lt;=-3</formula>
    </cfRule>
    <cfRule type="expression" dxfId="20" priority="14" stopIfTrue="1">
      <formula>E8&gt;3</formula>
    </cfRule>
  </conditionalFormatting>
  <conditionalFormatting sqref="F8:G44">
    <cfRule type="expression" dxfId="19" priority="9" stopIfTrue="1">
      <formula>F8&lt;=-20</formula>
    </cfRule>
    <cfRule type="expression" dxfId="18" priority="10" stopIfTrue="1">
      <formula>F8&gt;20</formula>
    </cfRule>
  </conditionalFormatting>
  <conditionalFormatting sqref="H8:H44 H46">
    <cfRule type="expression" dxfId="17" priority="7" stopIfTrue="1">
      <formula>H8&gt;=0.02</formula>
    </cfRule>
    <cfRule type="expression" dxfId="16" priority="8" stopIfTrue="1">
      <formula>H8&lt;=-0.03</formula>
    </cfRule>
  </conditionalFormatting>
  <conditionalFormatting sqref="I8:I44 I46">
    <cfRule type="expression" dxfId="15" priority="5" stopIfTrue="1">
      <formula>I8&gt;=0.1</formula>
    </cfRule>
    <cfRule type="expression" dxfId="14" priority="6" stopIfTrue="1">
      <formula>I8&lt;=-0.03</formula>
    </cfRule>
  </conditionalFormatting>
  <conditionalFormatting sqref="J8:J44">
    <cfRule type="expression" dxfId="13" priority="3" stopIfTrue="1">
      <formula>J8&gt;=0.3</formula>
    </cfRule>
    <cfRule type="expression" dxfId="12" priority="4" stopIfTrue="1">
      <formula>J8&lt;=-0.13</formula>
    </cfRule>
  </conditionalFormatting>
  <conditionalFormatting sqref="K8:K44">
    <cfRule type="expression" dxfId="11" priority="1" stopIfTrue="1">
      <formula>K8&gt;=0.7</formula>
    </cfRule>
    <cfRule type="expression" dxfId="10" priority="2" stopIfTrue="1">
      <formula>K8&lt;=-0.3</formula>
    </cfRule>
  </conditionalFormatting>
  <pageMargins left="0.7" right="0.7" top="0.75" bottom="0.75" header="0.3" footer="0.3"/>
  <pageSetup orientation="portrait" r:id="rId1"/>
  <headerFooter>
    <oddHeader>&amp;R&amp;"Aptos"&amp;10&amp;K000000 Category/Catégorie: Non-Sensitive/Non-Délicat&amp;1#_x000D_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7D83A-8344-46DF-9263-3D6EDECA8BF0}">
  <dimension ref="A1:K44"/>
  <sheetViews>
    <sheetView zoomScale="98" zoomScaleNormal="98" workbookViewId="0">
      <selection activeCell="F16" sqref="F16"/>
    </sheetView>
  </sheetViews>
  <sheetFormatPr defaultRowHeight="14"/>
  <cols>
    <col min="1" max="1" width="27.26953125" style="55" customWidth="1"/>
    <col min="2" max="3" width="15.26953125" style="55" customWidth="1"/>
    <col min="4" max="4" width="21.81640625" style="55" customWidth="1"/>
    <col min="5" max="5" width="19.6328125" style="55" customWidth="1"/>
    <col min="6" max="6" width="21.81640625" style="55" customWidth="1"/>
    <col min="7" max="7" width="20.7265625" style="55" customWidth="1"/>
    <col min="8" max="8" width="16.36328125" style="55" customWidth="1"/>
    <col min="9" max="9" width="8.7265625" style="55"/>
    <col min="10" max="10" width="19.6328125" style="55" customWidth="1"/>
    <col min="11" max="11" width="24" style="55" customWidth="1"/>
    <col min="12" max="16384" width="8.7265625" style="55"/>
  </cols>
  <sheetData>
    <row r="1" spans="1:11" ht="18" customHeight="1">
      <c r="A1" s="80" t="s">
        <v>262</v>
      </c>
      <c r="B1" s="80"/>
      <c r="C1" s="80"/>
      <c r="D1" s="80"/>
      <c r="E1" s="80"/>
      <c r="F1" s="80"/>
      <c r="G1" s="80"/>
      <c r="H1" s="80"/>
      <c r="J1" s="81" t="s">
        <v>261</v>
      </c>
      <c r="K1" s="81"/>
    </row>
    <row r="2" spans="1:11">
      <c r="J2" s="70" t="s">
        <v>260</v>
      </c>
      <c r="K2" s="71">
        <v>0.6</v>
      </c>
    </row>
    <row r="3" spans="1:11">
      <c r="J3" s="70" t="s">
        <v>259</v>
      </c>
      <c r="K3" s="71">
        <v>0.4</v>
      </c>
    </row>
    <row r="4" spans="1:11">
      <c r="J4" s="70" t="s">
        <v>258</v>
      </c>
      <c r="K4" s="69" t="s">
        <v>257</v>
      </c>
    </row>
    <row r="5" spans="1:11">
      <c r="J5" s="70" t="s">
        <v>256</v>
      </c>
      <c r="K5" s="69" t="s">
        <v>255</v>
      </c>
    </row>
    <row r="7" spans="1:11" ht="34.5" customHeight="1">
      <c r="A7" s="68" t="s">
        <v>2</v>
      </c>
      <c r="B7" s="68" t="s">
        <v>254</v>
      </c>
      <c r="C7" s="68" t="s">
        <v>253</v>
      </c>
      <c r="D7" s="68" t="s">
        <v>252</v>
      </c>
      <c r="E7" s="68" t="s">
        <v>251</v>
      </c>
      <c r="F7" s="68" t="s">
        <v>250</v>
      </c>
      <c r="G7" s="68" t="s">
        <v>249</v>
      </c>
      <c r="H7" s="68" t="s">
        <v>247</v>
      </c>
    </row>
    <row r="8" spans="1:11">
      <c r="A8" s="60" t="s">
        <v>10</v>
      </c>
      <c r="B8" s="60" t="s">
        <v>238</v>
      </c>
      <c r="C8" s="59">
        <f ca="1">Report!$C$8</f>
        <v>61.857100000000003</v>
      </c>
      <c r="D8" s="58">
        <f ca="1">Report!$I$8</f>
        <v>-4.8500555349870501E-2</v>
      </c>
      <c r="E8" s="62">
        <f ca="1">_xlfn.PERCENTRANK.INC($C$8:$C$14,C8)*100</f>
        <v>50</v>
      </c>
      <c r="F8" s="62">
        <f ca="1">(1-_xlfn.PERCENTRANK.INC($D$8:$D$14,D8))*100</f>
        <v>16.700000000000003</v>
      </c>
      <c r="G8" s="62">
        <f t="shared" ref="G8:G14" ca="1" si="0">IF(OR(E8="",F8=""),"",$K$2*E8+$K$3*F8)</f>
        <v>36.68</v>
      </c>
      <c r="H8" s="61" t="str">
        <f t="shared" ref="H8:H14" ca="1" si="1">IF(G8="","",IF(G8&lt;=25,"Low",IF(G8&lt;=50,"Moderate",IF(G8&lt;=75,"Elevated","High"))))</f>
        <v>Moderate</v>
      </c>
      <c r="J8" s="67" t="s">
        <v>248</v>
      </c>
      <c r="K8" s="67" t="s">
        <v>247</v>
      </c>
    </row>
    <row r="9" spans="1:11">
      <c r="A9" s="60" t="s">
        <v>11</v>
      </c>
      <c r="B9" s="60" t="s">
        <v>238</v>
      </c>
      <c r="C9" s="59">
        <f ca="1">Report!$C$9</f>
        <v>63.862099999999998</v>
      </c>
      <c r="D9" s="58">
        <f ca="1">Report!$I$9</f>
        <v>-7.2636300897170478E-2</v>
      </c>
      <c r="E9" s="62">
        <f t="shared" ref="E9:E14" ca="1" si="2">_xlfn.PERCENTRANK.INC($C$8:$C$14,C9)*100</f>
        <v>83.3</v>
      </c>
      <c r="F9" s="62">
        <f t="shared" ref="F9:F14" ca="1" si="3">(1-_xlfn.PERCENTRANK.INC($D$8:$D$14,D9))*100</f>
        <v>83.399999999999991</v>
      </c>
      <c r="G9" s="62">
        <f t="shared" ca="1" si="0"/>
        <v>83.34</v>
      </c>
      <c r="H9" s="61" t="str">
        <f t="shared" ca="1" si="1"/>
        <v>High</v>
      </c>
      <c r="J9" s="66" t="s">
        <v>246</v>
      </c>
      <c r="K9" s="66" t="s">
        <v>245</v>
      </c>
    </row>
    <row r="10" spans="1:11">
      <c r="A10" s="60" t="s">
        <v>12</v>
      </c>
      <c r="B10" s="60" t="s">
        <v>238</v>
      </c>
      <c r="C10" s="59">
        <f ca="1">Report!$C$10</f>
        <v>44.132100000000001</v>
      </c>
      <c r="D10" s="58">
        <f ca="1">Report!$I$10</f>
        <v>-5.5845926599250154E-2</v>
      </c>
      <c r="E10" s="62">
        <f t="shared" ca="1" si="2"/>
        <v>0</v>
      </c>
      <c r="F10" s="62">
        <f t="shared" ca="1" si="3"/>
        <v>33.4</v>
      </c>
      <c r="G10" s="62">
        <f t="shared" ca="1" si="0"/>
        <v>13.36</v>
      </c>
      <c r="H10" s="61" t="str">
        <f t="shared" ca="1" si="1"/>
        <v>Low</v>
      </c>
      <c r="J10" s="65" t="s">
        <v>244</v>
      </c>
      <c r="K10" s="65" t="s">
        <v>243</v>
      </c>
    </row>
    <row r="11" spans="1:11">
      <c r="A11" s="60" t="s">
        <v>13</v>
      </c>
      <c r="B11" s="60" t="s">
        <v>238</v>
      </c>
      <c r="C11" s="59">
        <f ca="1">Report!$C$11</f>
        <v>62.0871</v>
      </c>
      <c r="D11" s="58">
        <f ca="1">Report!$I$11</f>
        <v>-5.9235555926161455E-2</v>
      </c>
      <c r="E11" s="62">
        <f t="shared" ca="1" si="2"/>
        <v>66.600000000000009</v>
      </c>
      <c r="F11" s="62">
        <f t="shared" ca="1" si="3"/>
        <v>50</v>
      </c>
      <c r="G11" s="62">
        <f t="shared" ca="1" si="0"/>
        <v>59.96</v>
      </c>
      <c r="H11" s="61" t="str">
        <f t="shared" ca="1" si="1"/>
        <v>Elevated</v>
      </c>
      <c r="J11" s="64" t="s">
        <v>242</v>
      </c>
      <c r="K11" s="64" t="s">
        <v>241</v>
      </c>
    </row>
    <row r="12" spans="1:11">
      <c r="A12" s="60" t="s">
        <v>14</v>
      </c>
      <c r="B12" s="60" t="s">
        <v>238</v>
      </c>
      <c r="C12" s="59">
        <f ca="1">Report!$C$12</f>
        <v>64.267499999999998</v>
      </c>
      <c r="D12" s="58">
        <f ca="1">Report!$I$12</f>
        <v>-7.6702891519503213E-2</v>
      </c>
      <c r="E12" s="62">
        <f t="shared" ca="1" si="2"/>
        <v>100</v>
      </c>
      <c r="F12" s="62">
        <f t="shared" ca="1" si="3"/>
        <v>100</v>
      </c>
      <c r="G12" s="62">
        <f t="shared" ca="1" si="0"/>
        <v>100</v>
      </c>
      <c r="H12" s="61" t="str">
        <f t="shared" ca="1" si="1"/>
        <v>High</v>
      </c>
      <c r="J12" s="63" t="s">
        <v>240</v>
      </c>
      <c r="K12" s="63" t="s">
        <v>239</v>
      </c>
    </row>
    <row r="13" spans="1:11">
      <c r="A13" s="60" t="s">
        <v>15</v>
      </c>
      <c r="B13" s="60" t="s">
        <v>238</v>
      </c>
      <c r="C13" s="59">
        <f ca="1">Report!$C$13</f>
        <v>56.6584</v>
      </c>
      <c r="D13" s="58">
        <f ca="1">Report!$I$13</f>
        <v>-7.0372082274092945E-2</v>
      </c>
      <c r="E13" s="62">
        <f t="shared" ca="1" si="2"/>
        <v>16.600000000000001</v>
      </c>
      <c r="F13" s="62">
        <f t="shared" ca="1" si="3"/>
        <v>66.7</v>
      </c>
      <c r="G13" s="62">
        <f t="shared" ca="1" si="0"/>
        <v>36.64</v>
      </c>
      <c r="H13" s="61" t="str">
        <f t="shared" ca="1" si="1"/>
        <v>Moderate</v>
      </c>
    </row>
    <row r="14" spans="1:11">
      <c r="A14" s="60" t="s">
        <v>16</v>
      </c>
      <c r="B14" s="60" t="s">
        <v>238</v>
      </c>
      <c r="C14" s="59">
        <f ca="1">Report!$C$14</f>
        <v>58.5214</v>
      </c>
      <c r="D14" s="58">
        <f ca="1">Report!$I$14</f>
        <v>-4.5770065075921892E-2</v>
      </c>
      <c r="E14" s="62">
        <f t="shared" ca="1" si="2"/>
        <v>33.300000000000004</v>
      </c>
      <c r="F14" s="62">
        <f t="shared" ca="1" si="3"/>
        <v>0</v>
      </c>
      <c r="G14" s="62">
        <f t="shared" ca="1" si="0"/>
        <v>19.98</v>
      </c>
      <c r="H14" s="61" t="str">
        <f t="shared" ca="1" si="1"/>
        <v>Low</v>
      </c>
    </row>
    <row r="15" spans="1:11" ht="14.65" customHeight="1">
      <c r="A15" s="77" t="s">
        <v>17</v>
      </c>
      <c r="B15" s="77"/>
      <c r="C15" s="78"/>
      <c r="D15" s="79"/>
      <c r="E15" s="78"/>
      <c r="F15" s="78"/>
      <c r="G15" s="78"/>
      <c r="H15" s="77"/>
    </row>
    <row r="16" spans="1:11">
      <c r="A16" s="60" t="s">
        <v>18</v>
      </c>
      <c r="B16" s="60" t="s">
        <v>17</v>
      </c>
      <c r="C16" s="59">
        <f ca="1">Report!$C$16</f>
        <v>67.209800000000001</v>
      </c>
      <c r="D16" s="58">
        <f ca="1">Report!$I$16</f>
        <v>-8.9416419386745716E-2</v>
      </c>
      <c r="E16" s="62">
        <f ca="1">_xlfn.PERCENTRANK.INC($C$16:$C$18,C16)*100</f>
        <v>50</v>
      </c>
      <c r="F16" s="62">
        <f ca="1">(1-_xlfn.PERCENTRANK.INC($D$16:$D$18,D16))*100</f>
        <v>50</v>
      </c>
      <c r="G16" s="62" t="e">
        <f ca="1">IF(OR(#REF!="",F16=""),"",$K$2*#REF!+$K$3*F16)</f>
        <v>#REF!</v>
      </c>
      <c r="H16" s="61" t="e">
        <f ca="1">IF(G16="","",IF(G16&lt;=25,"Low",IF(G16&lt;=50,"Moderate",IF(G16&lt;=75,"Elevated","High"))))</f>
        <v>#REF!</v>
      </c>
    </row>
    <row r="17" spans="1:8">
      <c r="A17" s="60" t="s">
        <v>19</v>
      </c>
      <c r="B17" s="60" t="s">
        <v>17</v>
      </c>
      <c r="C17" s="59">
        <f ca="1">Report!$C$17</f>
        <v>62.359099999999998</v>
      </c>
      <c r="D17" s="58">
        <f ca="1">Report!$I$17</f>
        <v>-7.2762218561230052E-2</v>
      </c>
      <c r="E17" s="62">
        <f t="shared" ref="E17:E18" ca="1" si="4">_xlfn.PERCENTRANK.INC($C$16:$C$18,C17)*100</f>
        <v>0</v>
      </c>
      <c r="F17" s="62">
        <f t="shared" ref="F17:F18" ca="1" si="5">(1-_xlfn.PERCENTRANK.INC($D$16:$D$18,D17))*100</f>
        <v>0</v>
      </c>
      <c r="G17" s="62">
        <f ca="1">IF(OR(E16="",F17=""),"",$K$2*E16+$K$3*F17)</f>
        <v>30</v>
      </c>
      <c r="H17" s="61" t="str">
        <f ca="1">IF(G17="","",IF(G17&lt;=25,"Low",IF(G17&lt;=50,"Moderate",IF(G17&lt;=75,"Elevated","High"))))</f>
        <v>Moderate</v>
      </c>
    </row>
    <row r="18" spans="1:8">
      <c r="A18" s="60" t="s">
        <v>20</v>
      </c>
      <c r="B18" s="60" t="s">
        <v>17</v>
      </c>
      <c r="C18" s="59">
        <f ca="1">Report!$C$18</f>
        <v>69.680899999999994</v>
      </c>
      <c r="D18" s="58">
        <f ca="1">Report!$I$18</f>
        <v>-0.102477325030459</v>
      </c>
      <c r="E18" s="62">
        <f t="shared" ca="1" si="4"/>
        <v>100</v>
      </c>
      <c r="F18" s="62">
        <f t="shared" ca="1" si="5"/>
        <v>100</v>
      </c>
      <c r="G18" s="62">
        <f ca="1">IF(OR(E18="",F18=""),"",$K$2*E18+$K$3*F18)</f>
        <v>100</v>
      </c>
      <c r="H18" s="61" t="str">
        <f ca="1">IF(G18="","",IF(G18&lt;=25,"Low",IF(G18&lt;=50,"Moderate",IF(G18&lt;=75,"Elevated","High"))))</f>
        <v>High</v>
      </c>
    </row>
    <row r="19" spans="1:8" ht="14.65" customHeight="1">
      <c r="A19" s="77" t="s">
        <v>21</v>
      </c>
      <c r="B19" s="77"/>
      <c r="C19" s="78"/>
      <c r="D19" s="79"/>
      <c r="E19" s="78"/>
      <c r="F19" s="78"/>
      <c r="G19" s="78"/>
      <c r="H19" s="77"/>
    </row>
    <row r="20" spans="1:8">
      <c r="A20" s="60" t="s">
        <v>22</v>
      </c>
      <c r="B20" s="60" t="s">
        <v>21</v>
      </c>
      <c r="C20" s="59">
        <f ca="1">Report!$C$20</f>
        <v>57.523899999999998</v>
      </c>
      <c r="D20" s="58">
        <f ca="1">Report!$I$20</f>
        <v>-5.3173652694610753E-2</v>
      </c>
      <c r="E20" s="62" t="str">
        <f ca="1">IF(OR(C20="",COUNTIFS($B$8:$B$44,B20,$C$8:$C$44,"&lt;&gt;")&lt;2),"",100*(COUNTIFS($B$8:$B$44,B20,$C$8:$C$44,"&lt;"&amp;C20)+0.5*(COUNTIFS($B$8:$B$44,B20,$C$8:$C$44,"="&amp;C20)-1))/(COUNTIFS($B$8:$B$44,B20,$C$8:$C$44,"&lt;&gt;")-1))</f>
        <v/>
      </c>
      <c r="F20" s="62" t="str">
        <f ca="1">IF(OR(D20="",COUNTIFS($B$8:$B$44,B20,$D$8:$D$44,"&lt;&gt;")&lt;2),"",100*(COUNTIFS($B$8:$B$44,B20,$D$8:$D$44,"&gt;"&amp;D20)+0.5*(COUNTIFS($B$8:$B$44,B20,$D$8:$D$44,"="&amp;D20)-1))/(COUNTIFS($B$8:$B$44,B20,$D$8:$D$44,"&lt;&gt;")-1))</f>
        <v/>
      </c>
      <c r="G20" s="62" t="str">
        <f ca="1">IF(OR(E20="",F20=""),"",$K$2*E20+$K$3*F20)</f>
        <v/>
      </c>
      <c r="H20" s="61" t="str">
        <f ca="1">IF(G20="","",IF(G20&lt;=25,"Low",IF(G20&lt;=50,"Moderate",IF(G20&lt;=75,"Elevated","High"))))</f>
        <v/>
      </c>
    </row>
    <row r="21" spans="1:8" ht="14.65" customHeight="1">
      <c r="A21" s="77" t="s">
        <v>23</v>
      </c>
      <c r="B21" s="77"/>
      <c r="C21" s="78"/>
      <c r="D21" s="79"/>
      <c r="E21" s="78"/>
      <c r="F21" s="78"/>
      <c r="G21" s="78"/>
      <c r="H21" s="77"/>
    </row>
    <row r="22" spans="1:8">
      <c r="A22" s="60" t="s">
        <v>24</v>
      </c>
      <c r="B22" s="60" t="s">
        <v>23</v>
      </c>
      <c r="C22" s="59">
        <f ca="1">Report!$C$22</f>
        <v>73.325699999999998</v>
      </c>
      <c r="D22" s="58">
        <f ca="1">Report!$I$22</f>
        <v>-5.8267883676501896E-2</v>
      </c>
      <c r="E22" s="62">
        <f ca="1">_xlfn.PERCENTRANK.INC($C$22:$C$25,C22)*100</f>
        <v>100</v>
      </c>
      <c r="F22" s="62">
        <f ca="1">(1-_xlfn.PERCENTRANK.INC($D$22:$D$25,D22))*100</f>
        <v>33.4</v>
      </c>
      <c r="G22" s="62">
        <f ca="1">IF(OR(E22="",F22=""),"",$K$2*E22+$K$3*F22)</f>
        <v>73.36</v>
      </c>
      <c r="H22" s="61" t="str">
        <f ca="1">IF(G22="","",IF(G22&lt;=25,"Low",IF(G22&lt;=50,"Moderate",IF(G22&lt;=75,"Elevated","High"))))</f>
        <v>Elevated</v>
      </c>
    </row>
    <row r="23" spans="1:8">
      <c r="A23" s="60" t="s">
        <v>25</v>
      </c>
      <c r="B23" s="60" t="s">
        <v>23</v>
      </c>
      <c r="C23" s="59">
        <f ca="1">Report!$C$23</f>
        <v>49.660699999999999</v>
      </c>
      <c r="D23" s="58">
        <f ca="1">Report!$I$23</f>
        <v>-5.9720954492111039E-2</v>
      </c>
      <c r="E23" s="62">
        <f t="shared" ref="E23:E25" ca="1" si="6">_xlfn.PERCENTRANK.INC($C$22:$C$25,C23)*100</f>
        <v>0</v>
      </c>
      <c r="F23" s="62">
        <f t="shared" ref="F23:F25" ca="1" si="7">(1-_xlfn.PERCENTRANK.INC($D$22:$D$25,D23))*100</f>
        <v>66.7</v>
      </c>
      <c r="G23" s="62">
        <f ca="1">IF(OR(E23="",F23=""),"",$K$2*E23+$K$3*F23)</f>
        <v>26.680000000000003</v>
      </c>
      <c r="H23" s="61" t="str">
        <f ca="1">IF(G23="","",IF(G23&lt;=25,"Low",IF(G23&lt;=50,"Moderate",IF(G23&lt;=75,"Elevated","High"))))</f>
        <v>Moderate</v>
      </c>
    </row>
    <row r="24" spans="1:8">
      <c r="A24" s="60" t="s">
        <v>26</v>
      </c>
      <c r="B24" s="60" t="s">
        <v>23</v>
      </c>
      <c r="C24" s="59">
        <f ca="1">Report!$C$24</f>
        <v>68.110100000000003</v>
      </c>
      <c r="D24" s="58">
        <f ca="1">Report!$I$24</f>
        <v>-6.516220028208751E-2</v>
      </c>
      <c r="E24" s="62">
        <f t="shared" ca="1" si="6"/>
        <v>66.600000000000009</v>
      </c>
      <c r="F24" s="62">
        <f t="shared" ca="1" si="7"/>
        <v>100</v>
      </c>
      <c r="G24" s="62">
        <f ca="1">IF(OR(E24="",F24=""),"",$K$2*E24+$K$3*F24)</f>
        <v>79.960000000000008</v>
      </c>
      <c r="H24" s="61" t="str">
        <f ca="1">IF(G24="","",IF(G24&lt;=25,"Low",IF(G24&lt;=50,"Moderate",IF(G24&lt;=75,"Elevated","High"))))</f>
        <v>High</v>
      </c>
    </row>
    <row r="25" spans="1:8">
      <c r="A25" s="60" t="s">
        <v>27</v>
      </c>
      <c r="B25" s="60" t="s">
        <v>23</v>
      </c>
      <c r="C25" s="59">
        <f ca="1">Report!$C$25</f>
        <v>54.000700000000002</v>
      </c>
      <c r="D25" s="58">
        <f ca="1">Report!$I$25</f>
        <v>-5.5627425614489003E-2</v>
      </c>
      <c r="E25" s="62">
        <f t="shared" ca="1" si="6"/>
        <v>33.300000000000004</v>
      </c>
      <c r="F25" s="62">
        <f t="shared" ca="1" si="7"/>
        <v>0</v>
      </c>
      <c r="G25" s="62">
        <f ca="1">IF(OR(E25="",F25=""),"",$K$2*E25+$K$3*F25)</f>
        <v>19.98</v>
      </c>
      <c r="H25" s="61" t="str">
        <f ca="1">IF(G25="","",IF(G25&lt;=25,"Low",IF(G25&lt;=50,"Moderate",IF(G25&lt;=75,"Elevated","High"))))</f>
        <v>Low</v>
      </c>
    </row>
    <row r="26" spans="1:8" ht="14.65" customHeight="1">
      <c r="A26" s="77" t="s">
        <v>28</v>
      </c>
      <c r="B26" s="77"/>
      <c r="C26" s="78"/>
      <c r="D26" s="79"/>
      <c r="E26" s="78"/>
      <c r="F26" s="78"/>
      <c r="G26" s="78"/>
      <c r="H26" s="77"/>
    </row>
    <row r="27" spans="1:8">
      <c r="A27" s="60" t="s">
        <v>29</v>
      </c>
      <c r="B27" s="60" t="s">
        <v>28</v>
      </c>
      <c r="C27" s="59">
        <f ca="1">Report!$C$27</f>
        <v>56.89</v>
      </c>
      <c r="D27" s="58">
        <f ca="1">Report!$I$27</f>
        <v>-6.7791503464898969E-2</v>
      </c>
      <c r="E27" s="62">
        <f ca="1">_xlfn.PERCENTRANK.INC($C$27:$C$28,C27)*100</f>
        <v>100</v>
      </c>
      <c r="F27" s="62">
        <f ca="1">(1-_xlfn.PERCENTRANK.INC($D$27:$D$28,D27))*100</f>
        <v>100</v>
      </c>
      <c r="G27" s="62">
        <f ca="1">IF(OR(E27="",F27=""),"",$K$2*E27+$K$3*F27)</f>
        <v>100</v>
      </c>
      <c r="H27" s="61" t="str">
        <f ca="1">IF(G27="","",IF(G27&lt;=25,"Low",IF(G27&lt;=50,"Moderate",IF(G27&lt;=75,"Elevated","High"))))</f>
        <v>High</v>
      </c>
    </row>
    <row r="28" spans="1:8">
      <c r="A28" s="60" t="s">
        <v>30</v>
      </c>
      <c r="B28" s="60" t="s">
        <v>28</v>
      </c>
      <c r="C28" s="59">
        <f ca="1">Report!$C$28</f>
        <v>43.887300000000003</v>
      </c>
      <c r="D28" s="58">
        <f ca="1">Report!$I$28</f>
        <v>-6.4516129032258132E-2</v>
      </c>
      <c r="E28" s="62">
        <f ca="1">_xlfn.PERCENTRANK.INC($C$27:$C$28,C28)*100</f>
        <v>0</v>
      </c>
      <c r="F28" s="62">
        <f ca="1">(1-_xlfn.PERCENTRANK.INC($D$27:$D$28,D28))*100</f>
        <v>0</v>
      </c>
      <c r="G28" s="62">
        <f ca="1">IF(OR(E28="",F28=""),"",$K$2*E28+$K$3*F28)</f>
        <v>0</v>
      </c>
      <c r="H28" s="61" t="str">
        <f ca="1">IF(G28="","",IF(G28&lt;=25,"Low",IF(G28&lt;=50,"Moderate",IF(G28&lt;=75,"Elevated","High"))))</f>
        <v>Low</v>
      </c>
    </row>
    <row r="29" spans="1:8" ht="14.65" customHeight="1">
      <c r="A29" s="77" t="s">
        <v>31</v>
      </c>
      <c r="B29" s="77"/>
      <c r="C29" s="78"/>
      <c r="D29" s="79"/>
      <c r="E29" s="78"/>
      <c r="F29" s="78"/>
      <c r="G29" s="78"/>
      <c r="H29" s="77"/>
    </row>
    <row r="30" spans="1:8">
      <c r="A30" s="60" t="s">
        <v>32</v>
      </c>
      <c r="B30" s="60" t="s">
        <v>31</v>
      </c>
      <c r="C30" s="59">
        <f ca="1">Report!$C$30</f>
        <v>30.3842</v>
      </c>
      <c r="D30" s="58">
        <f ca="1">Report!$I$30</f>
        <v>-2.775574940523394E-2</v>
      </c>
      <c r="E30" s="62" t="str">
        <f ca="1">IF(OR(C30="",COUNTIFS($B$8:$B$44,B30,$C$8:$C$44,"&lt;&gt;")&lt;2),"",100*(COUNTIFS($B$8:$B$44,B30,$C$8:$C$44,"&lt;"&amp;C30)+0.5*(COUNTIFS($B$8:$B$44,B30,$C$8:$C$44,"="&amp;C30)-1))/(COUNTIFS($B$8:$B$44,B30,$C$8:$C$44,"&lt;&gt;")-1))</f>
        <v/>
      </c>
      <c r="F30" s="62" t="str">
        <f ca="1">IF(OR(D30="",COUNTIFS($B$8:$B$44,B30,$D$8:$D$44,"&lt;&gt;")&lt;2),"",100*(COUNTIFS($B$8:$B$44,B30,$D$8:$D$44,"&gt;"&amp;D30)+0.5*(COUNTIFS($B$8:$B$44,B30,$D$8:$D$44,"="&amp;D30)-1))/(COUNTIFS($B$8:$B$44,B30,$D$8:$D$44,"&lt;&gt;")-1))</f>
        <v/>
      </c>
      <c r="G30" s="62" t="str">
        <f ca="1">IF(OR(E30="",F30=""),"",$K$2*E30+$K$3*F30)</f>
        <v/>
      </c>
      <c r="H30" s="61" t="str">
        <f ca="1">IF(G30="","",IF(G30&lt;=25,"Low",IF(G30&lt;=50,"Moderate",IF(G30&lt;=75,"Elevated","High"))))</f>
        <v/>
      </c>
    </row>
    <row r="31" spans="1:8" ht="14.65" customHeight="1">
      <c r="A31" s="77" t="s">
        <v>33</v>
      </c>
      <c r="B31" s="77"/>
      <c r="C31" s="78"/>
      <c r="D31" s="79"/>
      <c r="E31" s="78"/>
      <c r="F31" s="78"/>
      <c r="G31" s="78"/>
      <c r="H31" s="77"/>
    </row>
    <row r="32" spans="1:8">
      <c r="A32" s="60" t="s">
        <v>35</v>
      </c>
      <c r="B32" s="60" t="s">
        <v>33</v>
      </c>
      <c r="C32" s="59">
        <f ca="1">Report!$C$32</f>
        <v>43.013500000000001</v>
      </c>
      <c r="D32" s="58">
        <f ca="1">Report!$I$32</f>
        <v>-1.3812154696132596E-3</v>
      </c>
      <c r="E32" s="62">
        <f ca="1">_xlfn.PERCENTRANK.INC($C$32:$C$36,C32)*100</f>
        <v>0</v>
      </c>
      <c r="F32" s="62">
        <f ca="1">(1-_xlfn.PERCENTRANK.INC($D$32:$D$36,D32))*100</f>
        <v>25</v>
      </c>
      <c r="G32" s="62">
        <f ca="1">IF(OR(E32="",F32=""),"",$K$2*E32+$K$3*F32)</f>
        <v>10</v>
      </c>
      <c r="H32" s="61" t="str">
        <f ca="1">IF(G32="","",IF(G32&lt;=25,"Low",IF(G32&lt;=50,"Moderate",IF(G32&lt;=75,"Elevated","High"))))</f>
        <v>Low</v>
      </c>
    </row>
    <row r="33" spans="1:8">
      <c r="A33" s="60" t="s">
        <v>36</v>
      </c>
      <c r="B33" s="60" t="s">
        <v>33</v>
      </c>
      <c r="C33" s="59">
        <f ca="1">Report!$C$33</f>
        <v>45.280500000000004</v>
      </c>
      <c r="D33" s="58">
        <f ca="1">Report!$I$33</f>
        <v>-1.2005856515373352E-2</v>
      </c>
      <c r="E33" s="62">
        <f t="shared" ref="E33:E36" ca="1" si="8">_xlfn.PERCENTRANK.INC($C$32:$C$36,C33)*100</f>
        <v>25</v>
      </c>
      <c r="F33" s="62">
        <f t="shared" ref="F33:F36" ca="1" si="9">(1-_xlfn.PERCENTRANK.INC($D$32:$D$36,D33))*100</f>
        <v>50</v>
      </c>
      <c r="G33" s="62">
        <f ca="1">IF(OR(E33="",F33=""),"",$K$2*E33+$K$3*F33)</f>
        <v>35</v>
      </c>
      <c r="H33" s="61" t="str">
        <f ca="1">IF(G33="","",IF(G33&lt;=25,"Low",IF(G33&lt;=50,"Moderate",IF(G33&lt;=75,"Elevated","High"))))</f>
        <v>Moderate</v>
      </c>
    </row>
    <row r="34" spans="1:8">
      <c r="A34" s="60" t="s">
        <v>37</v>
      </c>
      <c r="B34" s="60" t="s">
        <v>33</v>
      </c>
      <c r="C34" s="59">
        <f ca="1">Report!$C$34</f>
        <v>56.4983</v>
      </c>
      <c r="D34" s="58">
        <f ca="1">Report!$I$34</f>
        <v>2.0364920541494996E-2</v>
      </c>
      <c r="E34" s="62">
        <f t="shared" ca="1" si="8"/>
        <v>50</v>
      </c>
      <c r="F34" s="62">
        <f t="shared" ca="1" si="9"/>
        <v>0</v>
      </c>
      <c r="G34" s="62">
        <f ca="1">IF(OR(E34="",F34=""),"",$K$2*E34+$K$3*F34)</f>
        <v>30</v>
      </c>
      <c r="H34" s="61" t="str">
        <f ca="1">IF(G34="","",IF(G34&lt;=25,"Low",IF(G34&lt;=50,"Moderate",IF(G34&lt;=75,"Elevated","High"))))</f>
        <v>Moderate</v>
      </c>
    </row>
    <row r="35" spans="1:8">
      <c r="A35" s="60" t="s">
        <v>38</v>
      </c>
      <c r="B35" s="60" t="s">
        <v>33</v>
      </c>
      <c r="C35" s="59">
        <f ca="1">Report!$C$35</f>
        <v>70.204599999999999</v>
      </c>
      <c r="D35" s="58">
        <f ca="1">Report!$I$35</f>
        <v>-4.8767271742075319E-2</v>
      </c>
      <c r="E35" s="62">
        <f t="shared" ca="1" si="8"/>
        <v>75</v>
      </c>
      <c r="F35" s="62">
        <f t="shared" ca="1" si="9"/>
        <v>100</v>
      </c>
      <c r="G35" s="62">
        <f ca="1">IF(OR(E35="",F35=""),"",$K$2*E35+$K$3*F35)</f>
        <v>85</v>
      </c>
      <c r="H35" s="61" t="str">
        <f ca="1">IF(G35="","",IF(G35&lt;=25,"Low",IF(G35&lt;=50,"Moderate",IF(G35&lt;=75,"Elevated","High"))))</f>
        <v>High</v>
      </c>
    </row>
    <row r="36" spans="1:8">
      <c r="A36" s="60" t="s">
        <v>39</v>
      </c>
      <c r="B36" s="60" t="s">
        <v>33</v>
      </c>
      <c r="C36" s="59">
        <f ca="1">Report!$C$36</f>
        <v>74.756299999999996</v>
      </c>
      <c r="D36" s="58">
        <f ca="1">Report!$I$36</f>
        <v>-3.4155597722960153E-2</v>
      </c>
      <c r="E36" s="62">
        <f t="shared" ca="1" si="8"/>
        <v>100</v>
      </c>
      <c r="F36" s="62">
        <f t="shared" ca="1" si="9"/>
        <v>75</v>
      </c>
      <c r="G36" s="62">
        <f ca="1">IF(OR(E36="",F36=""),"",$K$2*E36+$K$3*F36)</f>
        <v>90</v>
      </c>
      <c r="H36" s="61" t="str">
        <f ca="1">IF(G36="","",IF(G36&lt;=25,"Low",IF(G36&lt;=50,"Moderate",IF(G36&lt;=75,"Elevated","High"))))</f>
        <v>High</v>
      </c>
    </row>
    <row r="37" spans="1:8" ht="14.65" customHeight="1">
      <c r="A37" s="77" t="s">
        <v>40</v>
      </c>
      <c r="B37" s="77"/>
      <c r="C37" s="78"/>
      <c r="D37" s="79"/>
      <c r="E37" s="78"/>
      <c r="F37" s="78"/>
      <c r="G37" s="78"/>
      <c r="H37" s="77"/>
    </row>
    <row r="38" spans="1:8">
      <c r="A38" s="60" t="s">
        <v>42</v>
      </c>
      <c r="B38" s="60" t="s">
        <v>40</v>
      </c>
      <c r="C38" s="59">
        <f ca="1">Report!$C$38</f>
        <v>64.386700000000005</v>
      </c>
      <c r="D38" s="58">
        <f ca="1">Report!$I$38</f>
        <v>-2.9431538059311254E-2</v>
      </c>
      <c r="E38" s="62">
        <f ca="1">_xlfn.PERCENTRANK.INC($C$38:$C$43,C38)*100</f>
        <v>100</v>
      </c>
      <c r="F38" s="62">
        <f ca="1">(1-_xlfn.PERCENTRANK.INC($D$38:$D$43,D38))*100</f>
        <v>0</v>
      </c>
      <c r="G38" s="62">
        <f t="shared" ref="G38:G44" ca="1" si="10">IF(OR(E38="",F38=""),"",$K$2*E38+$K$3*F38)</f>
        <v>60</v>
      </c>
      <c r="H38" s="61" t="str">
        <f t="shared" ref="H38:H44" ca="1" si="11">IF(G38="","",IF(G38&lt;=25,"Low",IF(G38&lt;=50,"Moderate",IF(G38&lt;=75,"Elevated","High"))))</f>
        <v>Elevated</v>
      </c>
    </row>
    <row r="39" spans="1:8">
      <c r="A39" s="60" t="s">
        <v>43</v>
      </c>
      <c r="B39" s="60" t="s">
        <v>40</v>
      </c>
      <c r="C39" s="59">
        <f ca="1">Report!$C$39</f>
        <v>53.895699999999998</v>
      </c>
      <c r="D39" s="58">
        <f ca="1">Report!$I$39</f>
        <v>-5.0594759684938123E-2</v>
      </c>
      <c r="E39" s="62">
        <f t="shared" ref="E39:E43" ca="1" si="12">_xlfn.PERCENTRANK.INC($C$38:$C$43,C39)*100</f>
        <v>0</v>
      </c>
      <c r="F39" s="62">
        <f t="shared" ref="F39:F42" ca="1" si="13">(1-_xlfn.PERCENTRANK.INC($D$38:$D$43,D39))*100</f>
        <v>80</v>
      </c>
      <c r="G39" s="62">
        <f t="shared" ca="1" si="10"/>
        <v>32</v>
      </c>
      <c r="H39" s="61" t="str">
        <f t="shared" ca="1" si="11"/>
        <v>Moderate</v>
      </c>
    </row>
    <row r="40" spans="1:8">
      <c r="A40" s="60" t="s">
        <v>44</v>
      </c>
      <c r="B40" s="60" t="s">
        <v>40</v>
      </c>
      <c r="C40" s="59">
        <f ca="1">Report!$C$40</f>
        <v>63.878999999999998</v>
      </c>
      <c r="D40" s="58">
        <f ca="1">Report!$I$40</f>
        <v>-3.0564743354158895E-2</v>
      </c>
      <c r="E40" s="62">
        <f t="shared" ca="1" si="12"/>
        <v>80</v>
      </c>
      <c r="F40" s="62">
        <f t="shared" ca="1" si="13"/>
        <v>19.999999999999996</v>
      </c>
      <c r="G40" s="57">
        <f t="shared" ca="1" si="10"/>
        <v>56</v>
      </c>
      <c r="H40" s="56" t="str">
        <f t="shared" ca="1" si="11"/>
        <v>Elevated</v>
      </c>
    </row>
    <row r="41" spans="1:8">
      <c r="A41" s="60" t="s">
        <v>45</v>
      </c>
      <c r="B41" s="60" t="s">
        <v>40</v>
      </c>
      <c r="C41" s="59">
        <f ca="1">Report!$C$41</f>
        <v>60.5</v>
      </c>
      <c r="D41" s="58">
        <f ca="1">Report!$I$41</f>
        <v>-3.4635267087880534E-2</v>
      </c>
      <c r="E41" s="62">
        <f t="shared" ca="1" si="12"/>
        <v>40</v>
      </c>
      <c r="F41" s="62">
        <f t="shared" ca="1" si="13"/>
        <v>40</v>
      </c>
      <c r="G41" s="57">
        <f t="shared" ca="1" si="10"/>
        <v>40</v>
      </c>
      <c r="H41" s="56" t="str">
        <f t="shared" ca="1" si="11"/>
        <v>Moderate</v>
      </c>
    </row>
    <row r="42" spans="1:8">
      <c r="A42" s="60" t="s">
        <v>46</v>
      </c>
      <c r="B42" s="60" t="s">
        <v>40</v>
      </c>
      <c r="C42" s="59">
        <f ca="1">Report!$C$42</f>
        <v>61.484200000000001</v>
      </c>
      <c r="D42" s="58">
        <f ca="1">Report!$I$42</f>
        <v>-3.7045988123187275E-2</v>
      </c>
      <c r="E42" s="62">
        <f t="shared" ca="1" si="12"/>
        <v>60</v>
      </c>
      <c r="F42" s="62">
        <f t="shared" ca="1" si="13"/>
        <v>60</v>
      </c>
      <c r="G42" s="57">
        <f t="shared" ca="1" si="10"/>
        <v>60</v>
      </c>
      <c r="H42" s="56" t="str">
        <f t="shared" ca="1" si="11"/>
        <v>Elevated</v>
      </c>
    </row>
    <row r="43" spans="1:8">
      <c r="A43" s="60" t="s">
        <v>47</v>
      </c>
      <c r="B43" s="60" t="s">
        <v>40</v>
      </c>
      <c r="C43" s="59">
        <f ca="1">Report!$C$43</f>
        <v>54.808500000000002</v>
      </c>
      <c r="D43" s="58">
        <f ca="1">Report!$I$43</f>
        <v>-5.7391547197914783E-2</v>
      </c>
      <c r="E43" s="62">
        <f t="shared" ca="1" si="12"/>
        <v>20</v>
      </c>
      <c r="F43" s="57">
        <f t="shared" ref="F43" ca="1" si="14">IF(OR(D43="",COUNTIFS($B$8:$B$44,B43,$D$8:$D$44,"&lt;&gt;")&lt;2),"",100*(COUNTIFS($B$8:$B$44,B43,$D$8:$D$44,"&gt;"&amp;D43)+0.5*(COUNTIFS($B$8:$B$44,B43,$D$8:$D$44,"="&amp;D43)-1))/(COUNTIFS($B$8:$B$44,B43,$D$8:$D$44,"&lt;&gt;")-1))</f>
        <v>100</v>
      </c>
      <c r="G43" s="57">
        <f t="shared" ca="1" si="10"/>
        <v>52</v>
      </c>
      <c r="H43" s="56" t="str">
        <f t="shared" ca="1" si="11"/>
        <v>Elevated</v>
      </c>
    </row>
    <row r="44" spans="1:8">
      <c r="A44" s="60" t="s">
        <v>48</v>
      </c>
      <c r="B44" s="60" t="s">
        <v>40</v>
      </c>
      <c r="C44" s="59"/>
      <c r="D44" s="58"/>
      <c r="E44" s="57" t="str">
        <f t="shared" ref="E44" ca="1" si="15">IF(OR(C44="",COUNTIFS($B$8:$B$44,B44,$C$8:$C$44,"&lt;&gt;")&lt;2),"",100*(COUNTIFS($B$8:$B$44,B44,$C$8:$C$44,"&lt;"&amp;C44)+0.5*(COUNTIFS($B$8:$B$44,B44,$C$8:$C$44,"="&amp;C44)-1))/(COUNTIFS($B$8:$B$44,B44,$C$8:$C$44,"&lt;&gt;")-1))</f>
        <v/>
      </c>
      <c r="F44" s="57"/>
      <c r="G44" s="57" t="str">
        <f t="shared" ca="1" si="10"/>
        <v/>
      </c>
      <c r="H44" s="56" t="str">
        <f t="shared" ca="1" si="11"/>
        <v/>
      </c>
    </row>
  </sheetData>
  <mergeCells count="9">
    <mergeCell ref="A29:H29"/>
    <mergeCell ref="A31:H31"/>
    <mergeCell ref="A37:H37"/>
    <mergeCell ref="A1:H1"/>
    <mergeCell ref="J1:K1"/>
    <mergeCell ref="A15:H15"/>
    <mergeCell ref="A19:H19"/>
    <mergeCell ref="A21:H21"/>
    <mergeCell ref="A26:H26"/>
  </mergeCells>
  <conditionalFormatting sqref="G8:G39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8:G4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8:H39">
    <cfRule type="expression" dxfId="9" priority="2">
      <formula>H8="Low"</formula>
    </cfRule>
    <cfRule type="expression" dxfId="8" priority="3">
      <formula>H8="Moderate"</formula>
    </cfRule>
    <cfRule type="expression" dxfId="7" priority="4">
      <formula>H8="Elevated"</formula>
    </cfRule>
    <cfRule type="expression" dxfId="6" priority="5">
      <formula>H8="High"</formula>
    </cfRule>
  </conditionalFormatting>
  <conditionalFormatting sqref="H8:H44">
    <cfRule type="expression" dxfId="5" priority="7">
      <formula>H8="Low"</formula>
    </cfRule>
    <cfRule type="expression" dxfId="4" priority="8">
      <formula>H8="Moderate"</formula>
    </cfRule>
    <cfRule type="expression" dxfId="3" priority="9">
      <formula>H8="Elevated"</formula>
    </cfRule>
    <cfRule type="expression" dxfId="2" priority="10">
      <formula>H8="High"</formula>
    </cfRule>
  </conditionalFormatting>
  <dataValidations count="1">
    <dataValidation type="list" sqref="B8:B39" xr:uid="{00000000-0002-0000-0000-000000000000}">
      <formula1>"US,Canada,Europe,UK,Japan,Other"</formula1>
    </dataValidation>
  </dataValidations>
  <pageMargins left="0.7" right="0.7" top="0.75" bottom="0.75" header="0.3" footer="0.3"/>
  <headerFooter>
    <oddHeader>&amp;R&amp;"Aptos"&amp;10&amp;K000000 Category/Catégorie: Non-Sensitive/Non-Délicat&amp;1#_x000D_</oddHead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706BCC-4358-41B8-AA3B-EAD66D71F3CC}">
  <dimension ref="A1:Z85"/>
  <sheetViews>
    <sheetView topLeftCell="A56" workbookViewId="0">
      <selection activeCell="K74" sqref="K74"/>
    </sheetView>
  </sheetViews>
  <sheetFormatPr defaultColWidth="9.1796875" defaultRowHeight="14.5"/>
  <cols>
    <col min="1" max="1" width="27.54296875" customWidth="1"/>
    <col min="2" max="2" width="13.81640625" customWidth="1"/>
    <col min="3" max="3" width="14.54296875" customWidth="1"/>
    <col min="4" max="8" width="10.54296875" customWidth="1"/>
    <col min="9" max="9" width="10.81640625" customWidth="1"/>
    <col min="10" max="10" width="11.453125" customWidth="1"/>
    <col min="11" max="11" width="10.54296875" customWidth="1"/>
    <col min="12" max="12" width="11.453125" customWidth="1"/>
    <col min="13" max="13" width="13.453125" customWidth="1"/>
    <col min="14" max="14" width="11.453125" customWidth="1"/>
    <col min="15" max="17" width="10.54296875" bestFit="1" customWidth="1"/>
    <col min="18" max="18" width="10.54296875" customWidth="1"/>
    <col min="19" max="19" width="10.54296875" bestFit="1" customWidth="1"/>
  </cols>
  <sheetData>
    <row r="1" spans="1:26">
      <c r="A1" s="16" t="s">
        <v>232</v>
      </c>
      <c r="B1" s="16" t="s">
        <v>231</v>
      </c>
    </row>
    <row r="2" spans="1:26">
      <c r="A2" s="16" t="s">
        <v>230</v>
      </c>
      <c r="C2" s="30">
        <f ca="1">TODAY()</f>
        <v>46300</v>
      </c>
      <c r="D2" s="30">
        <f ca="1">TODAY() - 1</f>
        <v>46299</v>
      </c>
      <c r="E2" s="30">
        <f ca="1">TODAY() - 2</f>
        <v>46298</v>
      </c>
      <c r="F2" s="30">
        <f ca="1">TODAY() - 3</f>
        <v>46297</v>
      </c>
      <c r="G2" s="30">
        <f ca="1">TODAY() - 4</f>
        <v>46296</v>
      </c>
      <c r="H2" s="30">
        <f ca="1">TODAY() - 5</f>
        <v>46295</v>
      </c>
      <c r="I2" s="30">
        <f ca="1">TODAY() - 6</f>
        <v>46294</v>
      </c>
      <c r="J2" s="30">
        <f ca="1">TODAY() - 7</f>
        <v>46293</v>
      </c>
      <c r="K2" s="30">
        <f ca="1">TODAY() - 8</f>
        <v>46292</v>
      </c>
      <c r="L2" s="30">
        <f ca="1">TODAY() - 9</f>
        <v>46291</v>
      </c>
      <c r="M2" s="30">
        <f ca="1">TODAY() - 10</f>
        <v>46290</v>
      </c>
      <c r="N2" s="30">
        <f ca="1">TODAY() - 11</f>
        <v>46289</v>
      </c>
      <c r="O2" s="30">
        <f ca="1">TODAY() - 12</f>
        <v>46288</v>
      </c>
      <c r="P2" s="30">
        <f ca="1">TODAY() - 13</f>
        <v>46287</v>
      </c>
      <c r="Q2" s="30">
        <f ca="1">TODAY() - 14</f>
        <v>46286</v>
      </c>
      <c r="R2" s="30">
        <f ca="1">EDATE(TODAY(), -3)</f>
        <v>46208</v>
      </c>
      <c r="S2" s="30">
        <f ca="1">EDATE(TODAY(), -12)</f>
        <v>45935</v>
      </c>
      <c r="T2" t="s">
        <v>229</v>
      </c>
      <c r="U2" t="s">
        <v>228</v>
      </c>
      <c r="V2" t="s">
        <v>227</v>
      </c>
      <c r="W2" t="s">
        <v>226</v>
      </c>
      <c r="X2" t="s">
        <v>225</v>
      </c>
      <c r="Y2" t="s">
        <v>224</v>
      </c>
    </row>
    <row r="3" spans="1:26">
      <c r="A3" t="s">
        <v>223</v>
      </c>
      <c r="B3" s="25" t="s">
        <v>222</v>
      </c>
      <c r="C3">
        <f ca="1">_xll.ciqfunctions.udf.CIQ($B3,"IQ_CDS_mid",C$2)</f>
        <v>132.78630000000001</v>
      </c>
      <c r="D3">
        <f ca="1">_xll.ciqfunctions.udf.CIQ($B3,"IQ_CDS_mid",D$2)</f>
        <v>132.78630000000001</v>
      </c>
      <c r="E3">
        <f ca="1">_xll.ciqfunctions.udf.CIQ($B3,"IQ_CDS_mid",E$2)</f>
        <v>132.78630000000001</v>
      </c>
      <c r="F3">
        <f ca="1">_xll.ciqfunctions.udf.CIQ($B3,"IQ_CDS_mid",F$2)</f>
        <v>132.78630000000001</v>
      </c>
      <c r="G3">
        <f ca="1">_xll.ciqfunctions.udf.CIQ($B3,"IQ_CDS_mid",G$2)</f>
        <v>132.1661</v>
      </c>
      <c r="H3">
        <f ca="1">_xll.ciqfunctions.udf.CIQ($B3,"IQ_CDS_mid",H$2)</f>
        <v>130.6661</v>
      </c>
      <c r="I3">
        <f ca="1">_xll.ciqfunctions.udf.CIQ($B3,"IQ_CDS_mid",I$2)</f>
        <v>130.4829</v>
      </c>
      <c r="J3">
        <f ca="1">_xll.ciqfunctions.udf.CIQ($B3,"IQ_CDS_mid",J$2)</f>
        <v>129.75989999999999</v>
      </c>
      <c r="K3">
        <f ca="1">_xll.ciqfunctions.udf.CIQ($B3,"IQ_CDS_mid",K$2)</f>
        <v>126.7869</v>
      </c>
      <c r="L3">
        <f ca="1">_xll.ciqfunctions.udf.CIQ($B3,"IQ_CDS_mid",L$2)</f>
        <v>126.7869</v>
      </c>
      <c r="M3">
        <f ca="1">_xll.ciqfunctions.udf.CIQ($B3,"IQ_CDS_mid",M$2)</f>
        <v>126.7869</v>
      </c>
      <c r="N3">
        <f ca="1">_xll.ciqfunctions.udf.CIQ($B3,"IQ_CDS_mid",N$2)</f>
        <v>123.45350000000001</v>
      </c>
      <c r="O3">
        <f ca="1">_xll.ciqfunctions.udf.CIQ($B3,"IQ_CDS_mid",O$2)</f>
        <v>121.59610000000001</v>
      </c>
      <c r="P3">
        <f ca="1">_xll.ciqfunctions.udf.CIQ($B3,"IQ_CDS_mid",P$2)</f>
        <v>119.526</v>
      </c>
      <c r="Q3">
        <f ca="1">_xll.ciqfunctions.udf.CIQ($B3,"IQ_CDS_mid",Q$2)</f>
        <v>119.45529999999999</v>
      </c>
      <c r="R3">
        <f ca="1">_xll.ciqfunctions.udf.CIQ($B3,"IQ_CDS_mid",R$2)</f>
        <v>125.36669999999999</v>
      </c>
      <c r="S3">
        <f ca="1">_xll.ciqfunctions.udf.CIQ($B3,"IQ_CDS_mid",S$2)</f>
        <v>134.81139999999999</v>
      </c>
      <c r="T3">
        <f ca="1">C3-H3</f>
        <v>2.1202000000000112</v>
      </c>
      <c r="U3">
        <f ca="1">C3-M3</f>
        <v>5.9994000000000085</v>
      </c>
      <c r="V3">
        <f ca="1">C3-Q3</f>
        <v>13.331000000000017</v>
      </c>
      <c r="W3">
        <f ca="1">C3-R3</f>
        <v>7.4196000000000168</v>
      </c>
      <c r="X3">
        <f t="shared" ref="X3:X40" ca="1" si="0">C3-S3</f>
        <v>-2.0250999999999806</v>
      </c>
      <c r="Y3" t="s">
        <v>221</v>
      </c>
      <c r="Z3" t="s">
        <v>220</v>
      </c>
    </row>
    <row r="4" spans="1:26">
      <c r="A4" t="s">
        <v>40</v>
      </c>
      <c r="B4" s="25" t="s">
        <v>219</v>
      </c>
      <c r="C4">
        <f ca="1">_xll.ciqfunctions.udf.CIQ($B4,"IQ_CDS_mid",C$2)</f>
        <v>12.4099</v>
      </c>
      <c r="D4">
        <f ca="1">_xll.ciqfunctions.udf.CIQ($B4,"IQ_CDS_mid",D$2)</f>
        <v>12.4099</v>
      </c>
      <c r="E4">
        <f ca="1">_xll.ciqfunctions.udf.CIQ($B4,"IQ_CDS_mid",E$2)</f>
        <v>12.4099</v>
      </c>
      <c r="F4">
        <f ca="1">_xll.ciqfunctions.udf.CIQ($B4,"IQ_CDS_mid",F$2)</f>
        <v>12.4099</v>
      </c>
      <c r="G4">
        <f ca="1">_xll.ciqfunctions.udf.CIQ($B4,"IQ_CDS_mid",G$2)</f>
        <v>12.1351</v>
      </c>
      <c r="H4">
        <f ca="1">_xll.ciqfunctions.udf.CIQ($B4,"IQ_CDS_mid",H$2)</f>
        <v>11.7088</v>
      </c>
      <c r="I4">
        <f ca="1">_xll.ciqfunctions.udf.CIQ($B4,"IQ_CDS_mid",I$2)</f>
        <v>11.5511</v>
      </c>
      <c r="J4">
        <f ca="1">_xll.ciqfunctions.udf.CIQ($B4,"IQ_CDS_mid",J$2)</f>
        <v>11.3332</v>
      </c>
      <c r="K4">
        <f ca="1">_xll.ciqfunctions.udf.CIQ($B4,"IQ_CDS_mid",K$2)</f>
        <v>11.423999999999999</v>
      </c>
      <c r="L4">
        <f ca="1">_xll.ciqfunctions.udf.CIQ($B4,"IQ_CDS_mid",L$2)</f>
        <v>11.423999999999999</v>
      </c>
      <c r="M4">
        <f ca="1">_xll.ciqfunctions.udf.CIQ($B4,"IQ_CDS_mid",M$2)</f>
        <v>11.423999999999999</v>
      </c>
      <c r="N4">
        <f ca="1">_xll.ciqfunctions.udf.CIQ($B4,"IQ_CDS_mid",N$2)</f>
        <v>11.3018</v>
      </c>
      <c r="O4">
        <f ca="1">_xll.ciqfunctions.udf.CIQ($B4,"IQ_CDS_mid",O$2)</f>
        <v>11.3536</v>
      </c>
      <c r="P4">
        <f ca="1">_xll.ciqfunctions.udf.CIQ($B4,"IQ_CDS_mid",P$2)</f>
        <v>11.4259</v>
      </c>
      <c r="Q4">
        <f ca="1">_xll.ciqfunctions.udf.CIQ($B4,"IQ_CDS_mid",Q$2)</f>
        <v>11.159000000000001</v>
      </c>
      <c r="R4">
        <f ca="1">_xll.ciqfunctions.udf.CIQ($B4,"IQ_CDS_mid",R$2)</f>
        <v>11.348000000000001</v>
      </c>
      <c r="S4">
        <f ca="1">_xll.ciqfunctions.udf.CIQ($B4,"IQ_CDS_mid",S$2)</f>
        <v>18.393000000000001</v>
      </c>
      <c r="T4">
        <f ca="1">C4-H4</f>
        <v>0.70110000000000028</v>
      </c>
      <c r="U4">
        <f ca="1">C4-M4</f>
        <v>0.98590000000000089</v>
      </c>
      <c r="V4">
        <f ca="1">C4-Q4</f>
        <v>1.2508999999999997</v>
      </c>
      <c r="W4">
        <f ca="1">C4-R4</f>
        <v>1.0618999999999996</v>
      </c>
      <c r="X4">
        <f t="shared" ca="1" si="0"/>
        <v>-5.9831000000000003</v>
      </c>
      <c r="Y4">
        <v>150</v>
      </c>
      <c r="Z4">
        <v>10</v>
      </c>
    </row>
    <row r="5" spans="1:26">
      <c r="A5" t="s">
        <v>218</v>
      </c>
      <c r="B5" s="25" t="s">
        <v>217</v>
      </c>
      <c r="C5">
        <f ca="1">_xll.ciqfunctions.udf.CIQ($B5,"IQ_CDS_mid",C$2)</f>
        <v>100.9982</v>
      </c>
      <c r="D5">
        <f ca="1">_xll.ciqfunctions.udf.CIQ($B5,"IQ_CDS_mid",D$2)</f>
        <v>100.9982</v>
      </c>
      <c r="E5">
        <f ca="1">_xll.ciqfunctions.udf.CIQ($B5,"IQ_CDS_mid",E$2)</f>
        <v>100.9982</v>
      </c>
      <c r="F5">
        <f ca="1">_xll.ciqfunctions.udf.CIQ($B5,"IQ_CDS_mid",F$2)</f>
        <v>100.9982</v>
      </c>
      <c r="G5">
        <f ca="1">_xll.ciqfunctions.udf.CIQ($B5,"IQ_CDS_mid",G$2)</f>
        <v>100.971</v>
      </c>
      <c r="H5">
        <f ca="1">_xll.ciqfunctions.udf.CIQ($B5,"IQ_CDS_mid",H$2)</f>
        <v>95.94</v>
      </c>
      <c r="I5">
        <f ca="1">_xll.ciqfunctions.udf.CIQ($B5,"IQ_CDS_mid",I$2)</f>
        <v>92.230400000000003</v>
      </c>
      <c r="J5">
        <f ca="1">_xll.ciqfunctions.udf.CIQ($B5,"IQ_CDS_mid",J$2)</f>
        <v>91.536900000000003</v>
      </c>
      <c r="K5">
        <f ca="1">_xll.ciqfunctions.udf.CIQ($B5,"IQ_CDS_mid",K$2)</f>
        <v>89.096999999999994</v>
      </c>
      <c r="L5">
        <f ca="1">_xll.ciqfunctions.udf.CIQ($B5,"IQ_CDS_mid",L$2)</f>
        <v>89.096999999999994</v>
      </c>
      <c r="M5">
        <f ca="1">_xll.ciqfunctions.udf.CIQ($B5,"IQ_CDS_mid",M$2)</f>
        <v>89.096999999999994</v>
      </c>
      <c r="N5">
        <f ca="1">_xll.ciqfunctions.udf.CIQ($B5,"IQ_CDS_mid",N$2)</f>
        <v>88.371499999999997</v>
      </c>
      <c r="O5">
        <f ca="1">_xll.ciqfunctions.udf.CIQ($B5,"IQ_CDS_mid",O$2)</f>
        <v>87.0227</v>
      </c>
      <c r="P5">
        <f ca="1">_xll.ciqfunctions.udf.CIQ($B5,"IQ_CDS_mid",P$2)</f>
        <v>83.623999999999995</v>
      </c>
      <c r="Q5">
        <f ca="1">_xll.ciqfunctions.udf.CIQ($B5,"IQ_CDS_mid",Q$2)</f>
        <v>83.917199999999994</v>
      </c>
      <c r="R5">
        <f ca="1">_xll.ciqfunctions.udf.CIQ($B5,"IQ_CDS_mid",R$2)</f>
        <v>86.382400000000004</v>
      </c>
      <c r="S5">
        <f ca="1">_xll.ciqfunctions.udf.CIQ($B5,"IQ_CDS_mid",S$2)</f>
        <v>88.237099999999998</v>
      </c>
      <c r="T5">
        <f ca="1">C5-H5</f>
        <v>5.0581999999999994</v>
      </c>
      <c r="U5">
        <f ca="1">C5-M5</f>
        <v>11.901200000000003</v>
      </c>
      <c r="V5">
        <f ca="1">C5-Q5</f>
        <v>17.081000000000003</v>
      </c>
      <c r="W5">
        <f ca="1">C5-R5</f>
        <v>14.615799999999993</v>
      </c>
      <c r="X5">
        <f t="shared" ca="1" si="0"/>
        <v>12.761099999999999</v>
      </c>
    </row>
    <row r="6" spans="1:26">
      <c r="A6" t="s">
        <v>216</v>
      </c>
      <c r="B6" s="25" t="s">
        <v>215</v>
      </c>
      <c r="C6">
        <f ca="1">_xll.ciqfunctions.udf.CIQ($B6,"IQ_CDS_mid",C$2)</f>
        <v>42.704599999999999</v>
      </c>
      <c r="D6">
        <f ca="1">_xll.ciqfunctions.udf.CIQ($B6,"IQ_CDS_mid",D$2)</f>
        <v>42.704599999999999</v>
      </c>
      <c r="E6">
        <f ca="1">_xll.ciqfunctions.udf.CIQ($B6,"IQ_CDS_mid",E$2)</f>
        <v>42.704599999999999</v>
      </c>
      <c r="F6">
        <f ca="1">_xll.ciqfunctions.udf.CIQ($B6,"IQ_CDS_mid",F$2)</f>
        <v>42.704599999999999</v>
      </c>
      <c r="G6">
        <f ca="1">_xll.ciqfunctions.udf.CIQ($B6,"IQ_CDS_mid",G$2)</f>
        <v>42.382100000000001</v>
      </c>
      <c r="H6">
        <f ca="1">_xll.ciqfunctions.udf.CIQ($B6,"IQ_CDS_mid",H$2)</f>
        <v>40.580800000000004</v>
      </c>
      <c r="I6">
        <f ca="1">_xll.ciqfunctions.udf.CIQ($B6,"IQ_CDS_mid",I$2)</f>
        <v>39.870699999999999</v>
      </c>
      <c r="J6">
        <f ca="1">_xll.ciqfunctions.udf.CIQ($B6,"IQ_CDS_mid",J$2)</f>
        <v>38.813499999999998</v>
      </c>
      <c r="K6">
        <f ca="1">_xll.ciqfunctions.udf.CIQ($B6,"IQ_CDS_mid",K$2)</f>
        <v>37.914999999999999</v>
      </c>
      <c r="L6">
        <f ca="1">_xll.ciqfunctions.udf.CIQ($B6,"IQ_CDS_mid",L$2)</f>
        <v>37.914999999999999</v>
      </c>
      <c r="M6">
        <f ca="1">_xll.ciqfunctions.udf.CIQ($B6,"IQ_CDS_mid",M$2)</f>
        <v>37.914999999999999</v>
      </c>
      <c r="N6">
        <f ca="1">_xll.ciqfunctions.udf.CIQ($B6,"IQ_CDS_mid",N$2)</f>
        <v>36.75</v>
      </c>
      <c r="O6">
        <f ca="1">_xll.ciqfunctions.udf.CIQ($B6,"IQ_CDS_mid",O$2)</f>
        <v>36.754100000000001</v>
      </c>
      <c r="P6">
        <f ca="1">_xll.ciqfunctions.udf.CIQ($B6,"IQ_CDS_mid",P$2)</f>
        <v>36.5</v>
      </c>
      <c r="Q6">
        <f ca="1">_xll.ciqfunctions.udf.CIQ($B6,"IQ_CDS_mid",Q$2)</f>
        <v>35.706600000000002</v>
      </c>
      <c r="R6">
        <f ca="1">_xll.ciqfunctions.udf.CIQ($B6,"IQ_CDS_mid",R$2)</f>
        <v>42.0715</v>
      </c>
      <c r="S6">
        <f ca="1">_xll.ciqfunctions.udf.CIQ($B6,"IQ_CDS_mid",S$2)</f>
        <v>41.833300000000001</v>
      </c>
      <c r="T6">
        <f ca="1">C6-H6</f>
        <v>2.1237999999999957</v>
      </c>
      <c r="U6">
        <f ca="1">C6-M6</f>
        <v>4.7896000000000001</v>
      </c>
      <c r="V6">
        <f ca="1">C6-Q6</f>
        <v>6.9979999999999976</v>
      </c>
      <c r="W6">
        <f ca="1">C6-R6</f>
        <v>0.63309999999999889</v>
      </c>
      <c r="X6">
        <f t="shared" ca="1" si="0"/>
        <v>0.87129999999999797</v>
      </c>
    </row>
    <row r="7" spans="1:26">
      <c r="A7" s="16" t="s">
        <v>214</v>
      </c>
      <c r="X7">
        <f t="shared" si="0"/>
        <v>0</v>
      </c>
    </row>
    <row r="8" spans="1:26">
      <c r="A8" t="s">
        <v>213</v>
      </c>
      <c r="B8" s="25" t="s">
        <v>212</v>
      </c>
      <c r="C8">
        <f ca="1">_xll.ciqfunctions.udf.CIQ($B8,"IQ_CDS_mid",C$2)</f>
        <v>16.8535</v>
      </c>
      <c r="D8">
        <f ca="1">_xll.ciqfunctions.udf.CIQ($B8,"IQ_CDS_mid",D$2)</f>
        <v>16.8535</v>
      </c>
      <c r="E8">
        <f ca="1">_xll.ciqfunctions.udf.CIQ($B8,"IQ_CDS_mid",E$2)</f>
        <v>16.8535</v>
      </c>
      <c r="F8">
        <f ca="1">_xll.ciqfunctions.udf.CIQ($B8,"IQ_CDS_mid",F$2)</f>
        <v>16.8535</v>
      </c>
      <c r="G8">
        <f ca="1">_xll.ciqfunctions.udf.CIQ($B8,"IQ_CDS_mid",G$2)</f>
        <v>15.3095</v>
      </c>
      <c r="H8">
        <f ca="1">_xll.ciqfunctions.udf.CIQ($B8,"IQ_CDS_mid",H$2)</f>
        <v>14.2628</v>
      </c>
      <c r="I8">
        <f ca="1">_xll.ciqfunctions.udf.CIQ($B8,"IQ_CDS_mid",I$2)</f>
        <v>14.077</v>
      </c>
      <c r="J8">
        <f ca="1">_xll.ciqfunctions.udf.CIQ($B8,"IQ_CDS_mid",J$2)</f>
        <v>13.565200000000001</v>
      </c>
      <c r="K8">
        <f ca="1">_xll.ciqfunctions.udf.CIQ($B8,"IQ_CDS_mid",K$2)</f>
        <v>13.391400000000001</v>
      </c>
      <c r="L8">
        <f ca="1">_xll.ciqfunctions.udf.CIQ($B8,"IQ_CDS_mid",L$2)</f>
        <v>13.391400000000001</v>
      </c>
      <c r="M8">
        <f ca="1">_xll.ciqfunctions.udf.CIQ($B8,"IQ_CDS_mid",M$2)</f>
        <v>13.391400000000001</v>
      </c>
      <c r="N8">
        <f ca="1">_xll.ciqfunctions.udf.CIQ($B8,"IQ_CDS_mid",N$2)</f>
        <v>13.375</v>
      </c>
      <c r="O8">
        <f ca="1">_xll.ciqfunctions.udf.CIQ($B8,"IQ_CDS_mid",O$2)</f>
        <v>12.4543</v>
      </c>
      <c r="P8">
        <f ca="1">_xll.ciqfunctions.udf.CIQ($B8,"IQ_CDS_mid",P$2)</f>
        <v>12.5</v>
      </c>
      <c r="Q8">
        <f ca="1">_xll.ciqfunctions.udf.CIQ($B8,"IQ_CDS_mid",Q$2)</f>
        <v>12.4</v>
      </c>
      <c r="R8">
        <f ca="1">_xll.ciqfunctions.udf.CIQ($B8,"IQ_CDS_mid",R$2)</f>
        <v>11</v>
      </c>
      <c r="S8">
        <f ca="1">_xll.ciqfunctions.udf.CIQ($B8,"IQ_CDS_mid",S$2)</f>
        <v>15.0002</v>
      </c>
      <c r="T8">
        <f t="shared" ref="T8:T20" ca="1" si="1">C8-H8</f>
        <v>2.5907</v>
      </c>
      <c r="U8">
        <f t="shared" ref="U8:U20" ca="1" si="2">C8-M8</f>
        <v>3.4620999999999995</v>
      </c>
      <c r="V8">
        <f t="shared" ref="V8:V20" ca="1" si="3">C8-Q8</f>
        <v>4.4535</v>
      </c>
      <c r="W8">
        <f t="shared" ref="W8:W20" ca="1" si="4">C8-R8</f>
        <v>5.8535000000000004</v>
      </c>
      <c r="X8">
        <f t="shared" ca="1" si="0"/>
        <v>1.8533000000000008</v>
      </c>
    </row>
    <row r="9" spans="1:26">
      <c r="A9" t="s">
        <v>211</v>
      </c>
      <c r="B9" s="25" t="s">
        <v>210</v>
      </c>
      <c r="C9">
        <f ca="1">_xll.ciqfunctions.udf.CIQ($B9,"IQ_CDS_mid",C$2)</f>
        <v>27.96</v>
      </c>
      <c r="D9">
        <f ca="1">_xll.ciqfunctions.udf.CIQ($B9,"IQ_CDS_mid",D$2)</f>
        <v>27.96</v>
      </c>
      <c r="E9">
        <f ca="1">_xll.ciqfunctions.udf.CIQ($B9,"IQ_CDS_mid",E$2)</f>
        <v>27.96</v>
      </c>
      <c r="F9">
        <f ca="1">_xll.ciqfunctions.udf.CIQ($B9,"IQ_CDS_mid",F$2)</f>
        <v>27.96</v>
      </c>
      <c r="G9">
        <f ca="1">_xll.ciqfunctions.udf.CIQ($B9,"IQ_CDS_mid",G$2)</f>
        <v>26.566500000000001</v>
      </c>
      <c r="H9">
        <f ca="1">_xll.ciqfunctions.udf.CIQ($B9,"IQ_CDS_mid",H$2)</f>
        <v>24.423999999999999</v>
      </c>
      <c r="I9">
        <f ca="1">_xll.ciqfunctions.udf.CIQ($B9,"IQ_CDS_mid",I$2)</f>
        <v>23.39</v>
      </c>
      <c r="J9">
        <f ca="1">_xll.ciqfunctions.udf.CIQ($B9,"IQ_CDS_mid",J$2)</f>
        <v>22.4024</v>
      </c>
      <c r="K9">
        <f ca="1">_xll.ciqfunctions.udf.CIQ($B9,"IQ_CDS_mid",K$2)</f>
        <v>22</v>
      </c>
      <c r="L9">
        <f ca="1">_xll.ciqfunctions.udf.CIQ($B9,"IQ_CDS_mid",L$2)</f>
        <v>22</v>
      </c>
      <c r="M9">
        <f ca="1">_xll.ciqfunctions.udf.CIQ($B9,"IQ_CDS_mid",M$2)</f>
        <v>22</v>
      </c>
      <c r="N9">
        <f ca="1">_xll.ciqfunctions.udf.CIQ($B9,"IQ_CDS_mid",N$2)</f>
        <v>20.603300000000001</v>
      </c>
      <c r="O9">
        <f ca="1">_xll.ciqfunctions.udf.CIQ($B9,"IQ_CDS_mid",O$2)</f>
        <v>20.025700000000001</v>
      </c>
      <c r="P9">
        <f ca="1">_xll.ciqfunctions.udf.CIQ($B9,"IQ_CDS_mid",P$2)</f>
        <v>19.739999999999998</v>
      </c>
      <c r="Q9">
        <f ca="1">_xll.ciqfunctions.udf.CIQ($B9,"IQ_CDS_mid",Q$2)</f>
        <v>19.574999999999999</v>
      </c>
      <c r="R9">
        <f ca="1">_xll.ciqfunctions.udf.CIQ($B9,"IQ_CDS_mid",R$2)</f>
        <v>17.375</v>
      </c>
      <c r="S9">
        <f ca="1">_xll.ciqfunctions.udf.CIQ($B9,"IQ_CDS_mid",S$2)</f>
        <v>21.5</v>
      </c>
      <c r="T9">
        <f t="shared" ca="1" si="1"/>
        <v>3.5360000000000014</v>
      </c>
      <c r="U9">
        <f t="shared" ca="1" si="2"/>
        <v>5.9600000000000009</v>
      </c>
      <c r="V9">
        <f t="shared" ca="1" si="3"/>
        <v>8.3850000000000016</v>
      </c>
      <c r="W9">
        <f t="shared" ca="1" si="4"/>
        <v>10.585000000000001</v>
      </c>
      <c r="X9">
        <f t="shared" ca="1" si="0"/>
        <v>6.4600000000000009</v>
      </c>
    </row>
    <row r="10" spans="1:26">
      <c r="A10" t="s">
        <v>209</v>
      </c>
      <c r="B10" s="25" t="s">
        <v>208</v>
      </c>
      <c r="C10">
        <f ca="1">_xll.ciqfunctions.udf.CIQ($B10,"IQ_CDS_mid",C$2)</f>
        <v>13.1898</v>
      </c>
      <c r="D10">
        <f ca="1">_xll.ciqfunctions.udf.CIQ($B10,"IQ_CDS_mid",D$2)</f>
        <v>13.1898</v>
      </c>
      <c r="E10">
        <f ca="1">_xll.ciqfunctions.udf.CIQ($B10,"IQ_CDS_mid",E$2)</f>
        <v>13.1898</v>
      </c>
      <c r="F10">
        <f ca="1">_xll.ciqfunctions.udf.CIQ($B10,"IQ_CDS_mid",F$2)</f>
        <v>13.1898</v>
      </c>
      <c r="G10">
        <f ca="1">_xll.ciqfunctions.udf.CIQ($B10,"IQ_CDS_mid",G$2)</f>
        <v>12.5</v>
      </c>
      <c r="H10">
        <f ca="1">_xll.ciqfunctions.udf.CIQ($B10,"IQ_CDS_mid",H$2)</f>
        <v>12.333299999999999</v>
      </c>
      <c r="I10">
        <f ca="1">_xll.ciqfunctions.udf.CIQ($B10,"IQ_CDS_mid",I$2)</f>
        <v>12.0625</v>
      </c>
      <c r="J10">
        <f ca="1">_xll.ciqfunctions.udf.CIQ($B10,"IQ_CDS_mid",J$2)</f>
        <v>11.907500000000001</v>
      </c>
      <c r="K10">
        <f ca="1">_xll.ciqfunctions.udf.CIQ($B10,"IQ_CDS_mid",K$2)</f>
        <v>11.86</v>
      </c>
      <c r="L10">
        <f ca="1">_xll.ciqfunctions.udf.CIQ($B10,"IQ_CDS_mid",L$2)</f>
        <v>11.86</v>
      </c>
      <c r="M10">
        <f ca="1">_xll.ciqfunctions.udf.CIQ($B10,"IQ_CDS_mid",M$2)</f>
        <v>11.86</v>
      </c>
      <c r="N10">
        <f ca="1">_xll.ciqfunctions.udf.CIQ($B10,"IQ_CDS_mid",N$2)</f>
        <v>11.833299999999999</v>
      </c>
      <c r="O10">
        <f ca="1">_xll.ciqfunctions.udf.CIQ($B10,"IQ_CDS_mid",O$2)</f>
        <v>11.666700000000001</v>
      </c>
      <c r="P10">
        <f ca="1">_xll.ciqfunctions.udf.CIQ($B10,"IQ_CDS_mid",P$2)</f>
        <v>11.744400000000001</v>
      </c>
      <c r="Q10">
        <f ca="1">_xll.ciqfunctions.udf.CIQ($B10,"IQ_CDS_mid",Q$2)</f>
        <v>11.75</v>
      </c>
      <c r="R10">
        <f ca="1">_xll.ciqfunctions.udf.CIQ($B10,"IQ_CDS_mid",R$2)</f>
        <v>11.375</v>
      </c>
      <c r="S10">
        <f ca="1">_xll.ciqfunctions.udf.CIQ($B10,"IQ_CDS_mid",S$2)</f>
        <v>15.220700000000001</v>
      </c>
      <c r="T10">
        <f t="shared" ca="1" si="1"/>
        <v>0.85650000000000048</v>
      </c>
      <c r="U10">
        <f t="shared" ca="1" si="2"/>
        <v>1.3298000000000005</v>
      </c>
      <c r="V10">
        <f t="shared" ca="1" si="3"/>
        <v>1.4398</v>
      </c>
      <c r="W10">
        <f t="shared" ca="1" si="4"/>
        <v>1.8148</v>
      </c>
      <c r="X10">
        <f t="shared" ca="1" si="0"/>
        <v>-2.0309000000000008</v>
      </c>
    </row>
    <row r="11" spans="1:26">
      <c r="A11" t="s">
        <v>17</v>
      </c>
      <c r="B11" s="25" t="s">
        <v>207</v>
      </c>
      <c r="C11">
        <f ca="1">_xll.ciqfunctions.udf.CIQ($B11,"IQ_CDS_mid",C$2)</f>
        <v>84.186099999999996</v>
      </c>
      <c r="D11">
        <f ca="1">_xll.ciqfunctions.udf.CIQ($B11,"IQ_CDS_mid",D$2)</f>
        <v>84.186099999999996</v>
      </c>
      <c r="E11">
        <f ca="1">_xll.ciqfunctions.udf.CIQ($B11,"IQ_CDS_mid",E$2)</f>
        <v>84.186099999999996</v>
      </c>
      <c r="F11">
        <f ca="1">_xll.ciqfunctions.udf.CIQ($B11,"IQ_CDS_mid",F$2)</f>
        <v>84.186099999999996</v>
      </c>
      <c r="G11">
        <f ca="1">_xll.ciqfunctions.udf.CIQ($B11,"IQ_CDS_mid",G$2)</f>
        <v>76.507400000000004</v>
      </c>
      <c r="H11">
        <f ca="1">_xll.ciqfunctions.udf.CIQ($B11,"IQ_CDS_mid",H$2)</f>
        <v>70.225800000000007</v>
      </c>
      <c r="I11">
        <f ca="1">_xll.ciqfunctions.udf.CIQ($B11,"IQ_CDS_mid",I$2)</f>
        <v>65.137299999999996</v>
      </c>
      <c r="J11">
        <f ca="1">_xll.ciqfunctions.udf.CIQ($B11,"IQ_CDS_mid",J$2)</f>
        <v>61.833799999999997</v>
      </c>
      <c r="K11">
        <f ca="1">_xll.ciqfunctions.udf.CIQ($B11,"IQ_CDS_mid",K$2)</f>
        <v>58.462000000000003</v>
      </c>
      <c r="L11">
        <f ca="1">_xll.ciqfunctions.udf.CIQ($B11,"IQ_CDS_mid",L$2)</f>
        <v>58.462000000000003</v>
      </c>
      <c r="M11">
        <f ca="1">_xll.ciqfunctions.udf.CIQ($B11,"IQ_CDS_mid",M$2)</f>
        <v>58.462000000000003</v>
      </c>
      <c r="N11">
        <f ca="1">_xll.ciqfunctions.udf.CIQ($B11,"IQ_CDS_mid",N$2)</f>
        <v>57.0595</v>
      </c>
      <c r="O11">
        <f ca="1">_xll.ciqfunctions.udf.CIQ($B11,"IQ_CDS_mid",O$2)</f>
        <v>54.065399999999997</v>
      </c>
      <c r="P11">
        <f ca="1">_xll.ciqfunctions.udf.CIQ($B11,"IQ_CDS_mid",P$2)</f>
        <v>48.646000000000001</v>
      </c>
      <c r="Q11">
        <f ca="1">_xll.ciqfunctions.udf.CIQ($B11,"IQ_CDS_mid",Q$2)</f>
        <v>46.7226</v>
      </c>
      <c r="R11">
        <f ca="1">_xll.ciqfunctions.udf.CIQ($B11,"IQ_CDS_mid",R$2)</f>
        <v>29.062899999999999</v>
      </c>
      <c r="S11">
        <f ca="1">_xll.ciqfunctions.udf.CIQ($B11,"IQ_CDS_mid",S$2)</f>
        <v>38.281700000000001</v>
      </c>
      <c r="T11">
        <f t="shared" ca="1" si="1"/>
        <v>13.960299999999989</v>
      </c>
      <c r="U11">
        <f t="shared" ca="1" si="2"/>
        <v>25.724099999999993</v>
      </c>
      <c r="V11">
        <f t="shared" ca="1" si="3"/>
        <v>37.463499999999996</v>
      </c>
      <c r="W11">
        <f t="shared" ca="1" si="4"/>
        <v>55.123199999999997</v>
      </c>
      <c r="X11">
        <f t="shared" ca="1" si="0"/>
        <v>45.904399999999995</v>
      </c>
    </row>
    <row r="12" spans="1:26">
      <c r="A12" t="s">
        <v>28</v>
      </c>
      <c r="B12" s="25" t="s">
        <v>206</v>
      </c>
      <c r="C12">
        <f ca="1">_xll.ciqfunctions.udf.CIQ($B12,"IQ_CDS_mid",C$2)</f>
        <v>12.5</v>
      </c>
      <c r="D12">
        <f ca="1">_xll.ciqfunctions.udf.CIQ($B12,"IQ_CDS_mid",D$2)</f>
        <v>12.5</v>
      </c>
      <c r="E12">
        <f ca="1">_xll.ciqfunctions.udf.CIQ($B12,"IQ_CDS_mid",E$2)</f>
        <v>12.5</v>
      </c>
      <c r="F12">
        <f ca="1">_xll.ciqfunctions.udf.CIQ($B12,"IQ_CDS_mid",F$2)</f>
        <v>12.5</v>
      </c>
      <c r="G12">
        <f ca="1">_xll.ciqfunctions.udf.CIQ($B12,"IQ_CDS_mid",G$2)</f>
        <v>10.73</v>
      </c>
      <c r="H12">
        <f ca="1">_xll.ciqfunctions.udf.CIQ($B12,"IQ_CDS_mid",H$2)</f>
        <v>10.130000000000001</v>
      </c>
      <c r="I12">
        <f ca="1">_xll.ciqfunctions.udf.CIQ($B12,"IQ_CDS_mid",I$2)</f>
        <v>10.003399999999999</v>
      </c>
      <c r="J12">
        <f ca="1">_xll.ciqfunctions.udf.CIQ($B12,"IQ_CDS_mid",J$2)</f>
        <v>9.1167999999999996</v>
      </c>
      <c r="K12">
        <f ca="1">_xll.ciqfunctions.udf.CIQ($B12,"IQ_CDS_mid",K$2)</f>
        <v>8.6037999999999997</v>
      </c>
      <c r="L12">
        <f ca="1">_xll.ciqfunctions.udf.CIQ($B12,"IQ_CDS_mid",L$2)</f>
        <v>8.6037999999999997</v>
      </c>
      <c r="M12">
        <f ca="1">_xll.ciqfunctions.udf.CIQ($B12,"IQ_CDS_mid",M$2)</f>
        <v>8.6037999999999997</v>
      </c>
      <c r="N12">
        <f ca="1">_xll.ciqfunctions.udf.CIQ($B12,"IQ_CDS_mid",N$2)</f>
        <v>8.875</v>
      </c>
      <c r="O12">
        <f ca="1">_xll.ciqfunctions.udf.CIQ($B12,"IQ_CDS_mid",O$2)</f>
        <v>8.2490000000000006</v>
      </c>
      <c r="P12">
        <f ca="1">_xll.ciqfunctions.udf.CIQ($B12,"IQ_CDS_mid",P$2)</f>
        <v>8.2624999999999993</v>
      </c>
      <c r="Q12">
        <f ca="1">_xll.ciqfunctions.udf.CIQ($B12,"IQ_CDS_mid",Q$2)</f>
        <v>8.5716999999999999</v>
      </c>
      <c r="R12">
        <f ca="1">_xll.ciqfunctions.udf.CIQ($B12,"IQ_CDS_mid",R$2)</f>
        <v>7.0164999999999997</v>
      </c>
      <c r="S12">
        <f ca="1">_xll.ciqfunctions.udf.CIQ($B12,"IQ_CDS_mid",S$2)</f>
        <v>8.7673000000000005</v>
      </c>
      <c r="T12">
        <f t="shared" ca="1" si="1"/>
        <v>2.3699999999999992</v>
      </c>
      <c r="U12">
        <f t="shared" ca="1" si="2"/>
        <v>3.8962000000000003</v>
      </c>
      <c r="V12">
        <f t="shared" ca="1" si="3"/>
        <v>3.9283000000000001</v>
      </c>
      <c r="W12">
        <f t="shared" ca="1" si="4"/>
        <v>5.4835000000000003</v>
      </c>
      <c r="X12">
        <f t="shared" ca="1" si="0"/>
        <v>3.7326999999999995</v>
      </c>
    </row>
    <row r="13" spans="1:26">
      <c r="A13" t="s">
        <v>205</v>
      </c>
      <c r="B13" s="25" t="s">
        <v>204</v>
      </c>
      <c r="C13">
        <f ca="1">_xll.ciqfunctions.udf.CIQ($B13,"IQ_CDS_mid",C$2)</f>
        <v>46.227200000000003</v>
      </c>
      <c r="D13">
        <f ca="1">_xll.ciqfunctions.udf.CIQ($B13,"IQ_CDS_mid",D$2)</f>
        <v>46.227200000000003</v>
      </c>
      <c r="E13">
        <f ca="1">_xll.ciqfunctions.udf.CIQ($B13,"IQ_CDS_mid",E$2)</f>
        <v>46.227200000000003</v>
      </c>
      <c r="F13">
        <f ca="1">_xll.ciqfunctions.udf.CIQ($B13,"IQ_CDS_mid",F$2)</f>
        <v>46.227200000000003</v>
      </c>
      <c r="G13">
        <f ca="1">_xll.ciqfunctions.udf.CIQ($B13,"IQ_CDS_mid",G$2)</f>
        <v>42.684899999999999</v>
      </c>
      <c r="H13">
        <f ca="1">_xll.ciqfunctions.udf.CIQ($B13,"IQ_CDS_mid",H$2)</f>
        <v>40.076000000000001</v>
      </c>
      <c r="I13">
        <f ca="1">_xll.ciqfunctions.udf.CIQ($B13,"IQ_CDS_mid",I$2)</f>
        <v>37.4101</v>
      </c>
      <c r="J13">
        <f ca="1">_xll.ciqfunctions.udf.CIQ($B13,"IQ_CDS_mid",J$2)</f>
        <v>36.1</v>
      </c>
      <c r="K13">
        <f ca="1">_xll.ciqfunctions.udf.CIQ($B13,"IQ_CDS_mid",K$2)</f>
        <v>35.607999999999997</v>
      </c>
      <c r="L13">
        <f ca="1">_xll.ciqfunctions.udf.CIQ($B13,"IQ_CDS_mid",L$2)</f>
        <v>35.607999999999997</v>
      </c>
      <c r="M13">
        <f ca="1">_xll.ciqfunctions.udf.CIQ($B13,"IQ_CDS_mid",M$2)</f>
        <v>35.607999999999997</v>
      </c>
      <c r="N13">
        <f ca="1">_xll.ciqfunctions.udf.CIQ($B13,"IQ_CDS_mid",N$2)</f>
        <v>35.244500000000002</v>
      </c>
      <c r="O13">
        <f ca="1">_xll.ciqfunctions.udf.CIQ($B13,"IQ_CDS_mid",O$2)</f>
        <v>33.755000000000003</v>
      </c>
      <c r="P13">
        <f ca="1">_xll.ciqfunctions.udf.CIQ($B13,"IQ_CDS_mid",P$2)</f>
        <v>34.799999999999997</v>
      </c>
      <c r="Q13">
        <f ca="1">_xll.ciqfunctions.udf.CIQ($B13,"IQ_CDS_mid",Q$2)</f>
        <v>33.409799999999997</v>
      </c>
      <c r="R13">
        <f ca="1">_xll.ciqfunctions.udf.CIQ($B13,"IQ_CDS_mid",R$2)</f>
        <v>28.995999999999999</v>
      </c>
      <c r="S13">
        <f ca="1">_xll.ciqfunctions.udf.CIQ($B13,"IQ_CDS_mid",S$2)</f>
        <v>40.660600000000002</v>
      </c>
      <c r="T13">
        <f t="shared" ca="1" si="1"/>
        <v>6.1512000000000029</v>
      </c>
      <c r="U13">
        <f t="shared" ca="1" si="2"/>
        <v>10.619200000000006</v>
      </c>
      <c r="V13">
        <f t="shared" ca="1" si="3"/>
        <v>12.817400000000006</v>
      </c>
      <c r="W13">
        <f t="shared" ca="1" si="4"/>
        <v>17.231200000000005</v>
      </c>
      <c r="X13">
        <f t="shared" ca="1" si="0"/>
        <v>5.5666000000000011</v>
      </c>
    </row>
    <row r="14" spans="1:26">
      <c r="A14" t="s">
        <v>203</v>
      </c>
      <c r="B14" s="25" t="s">
        <v>202</v>
      </c>
      <c r="C14">
        <f ca="1">_xll.ciqfunctions.udf.CIQ($B14,"IQ_CDS_mid",C$2)</f>
        <v>19.625</v>
      </c>
      <c r="D14">
        <f ca="1">_xll.ciqfunctions.udf.CIQ($B14,"IQ_CDS_mid",D$2)</f>
        <v>19.625</v>
      </c>
      <c r="E14">
        <f ca="1">_xll.ciqfunctions.udf.CIQ($B14,"IQ_CDS_mid",E$2)</f>
        <v>19.625</v>
      </c>
      <c r="F14">
        <f ca="1">_xll.ciqfunctions.udf.CIQ($B14,"IQ_CDS_mid",F$2)</f>
        <v>19.625</v>
      </c>
      <c r="G14">
        <f ca="1">_xll.ciqfunctions.udf.CIQ($B14,"IQ_CDS_mid",G$2)</f>
        <v>17.2667</v>
      </c>
      <c r="H14">
        <f ca="1">_xll.ciqfunctions.udf.CIQ($B14,"IQ_CDS_mid",H$2)</f>
        <v>16.5</v>
      </c>
      <c r="I14">
        <f ca="1">_xll.ciqfunctions.udf.CIQ($B14,"IQ_CDS_mid",I$2)</f>
        <v>16.3</v>
      </c>
      <c r="J14">
        <f ca="1">_xll.ciqfunctions.udf.CIQ($B14,"IQ_CDS_mid",J$2)</f>
        <v>15.6767</v>
      </c>
      <c r="K14">
        <f ca="1">_xll.ciqfunctions.udf.CIQ($B14,"IQ_CDS_mid",K$2)</f>
        <v>15.667999999999999</v>
      </c>
      <c r="L14">
        <f ca="1">_xll.ciqfunctions.udf.CIQ($B14,"IQ_CDS_mid",L$2)</f>
        <v>15.667999999999999</v>
      </c>
      <c r="M14">
        <f ca="1">_xll.ciqfunctions.udf.CIQ($B14,"IQ_CDS_mid",M$2)</f>
        <v>15.667999999999999</v>
      </c>
      <c r="N14">
        <f ca="1">_xll.ciqfunctions.udf.CIQ($B14,"IQ_CDS_mid",N$2)</f>
        <v>15.5</v>
      </c>
      <c r="O14">
        <f ca="1">_xll.ciqfunctions.udf.CIQ($B14,"IQ_CDS_mid",O$2)</f>
        <v>15.15</v>
      </c>
      <c r="P14">
        <f ca="1">_xll.ciqfunctions.udf.CIQ($B14,"IQ_CDS_mid",P$2)</f>
        <v>15.09</v>
      </c>
      <c r="Q14">
        <f ca="1">_xll.ciqfunctions.udf.CIQ($B14,"IQ_CDS_mid",Q$2)</f>
        <v>15.05</v>
      </c>
      <c r="R14">
        <f ca="1">_xll.ciqfunctions.udf.CIQ($B14,"IQ_CDS_mid",R$2)</f>
        <v>14.125</v>
      </c>
      <c r="S14">
        <f ca="1">_xll.ciqfunctions.udf.CIQ($B14,"IQ_CDS_mid",S$2)</f>
        <v>16.5</v>
      </c>
      <c r="T14">
        <f t="shared" ca="1" si="1"/>
        <v>3.125</v>
      </c>
      <c r="U14">
        <f t="shared" ca="1" si="2"/>
        <v>3.9570000000000007</v>
      </c>
      <c r="V14">
        <f t="shared" ca="1" si="3"/>
        <v>4.5749999999999993</v>
      </c>
      <c r="W14">
        <f t="shared" ca="1" si="4"/>
        <v>5.5</v>
      </c>
      <c r="X14">
        <f t="shared" ca="1" si="0"/>
        <v>3.125</v>
      </c>
    </row>
    <row r="15" spans="1:26">
      <c r="A15" t="s">
        <v>201</v>
      </c>
      <c r="B15" s="25" t="s">
        <v>200</v>
      </c>
      <c r="C15">
        <f ca="1">_xll.ciqfunctions.udf.CIQ($B15,"IQ_CDS_mid",C$2)</f>
        <v>72.458100000000002</v>
      </c>
      <c r="D15">
        <f ca="1">_xll.ciqfunctions.udf.CIQ($B15,"IQ_CDS_mid",D$2)</f>
        <v>72.458100000000002</v>
      </c>
      <c r="E15">
        <f ca="1">_xll.ciqfunctions.udf.CIQ($B15,"IQ_CDS_mid",E$2)</f>
        <v>72.458100000000002</v>
      </c>
      <c r="F15">
        <f ca="1">_xll.ciqfunctions.udf.CIQ($B15,"IQ_CDS_mid",F$2)</f>
        <v>72.458100000000002</v>
      </c>
      <c r="G15">
        <f ca="1">_xll.ciqfunctions.udf.CIQ($B15,"IQ_CDS_mid",G$2)</f>
        <v>62.536299999999997</v>
      </c>
      <c r="H15">
        <f ca="1">_xll.ciqfunctions.udf.CIQ($B15,"IQ_CDS_mid",H$2)</f>
        <v>51.116999999999997</v>
      </c>
      <c r="I15">
        <f ca="1">_xll.ciqfunctions.udf.CIQ($B15,"IQ_CDS_mid",I$2)</f>
        <v>48.8643</v>
      </c>
      <c r="J15">
        <f ca="1">_xll.ciqfunctions.udf.CIQ($B15,"IQ_CDS_mid",J$2)</f>
        <v>47.086599999999997</v>
      </c>
      <c r="K15">
        <f ca="1">_xll.ciqfunctions.udf.CIQ($B15,"IQ_CDS_mid",K$2)</f>
        <v>44.418599999999998</v>
      </c>
      <c r="L15">
        <f ca="1">_xll.ciqfunctions.udf.CIQ($B15,"IQ_CDS_mid",L$2)</f>
        <v>44.418599999999998</v>
      </c>
      <c r="M15">
        <f ca="1">_xll.ciqfunctions.udf.CIQ($B15,"IQ_CDS_mid",M$2)</f>
        <v>44.418599999999998</v>
      </c>
      <c r="N15">
        <f ca="1">_xll.ciqfunctions.udf.CIQ($B15,"IQ_CDS_mid",N$2)</f>
        <v>43.816200000000002</v>
      </c>
      <c r="O15">
        <f ca="1">_xll.ciqfunctions.udf.CIQ($B15,"IQ_CDS_mid",O$2)</f>
        <v>41.153100000000002</v>
      </c>
      <c r="P15">
        <f ca="1">_xll.ciqfunctions.udf.CIQ($B15,"IQ_CDS_mid",P$2)</f>
        <v>39.169800000000002</v>
      </c>
      <c r="Q15">
        <f ca="1">_xll.ciqfunctions.udf.CIQ($B15,"IQ_CDS_mid",Q$2)</f>
        <v>38.7761</v>
      </c>
      <c r="R15">
        <f ca="1">_xll.ciqfunctions.udf.CIQ($B15,"IQ_CDS_mid",R$2)</f>
        <v>28.5</v>
      </c>
      <c r="S15">
        <f ca="1">_xll.ciqfunctions.udf.CIQ($B15,"IQ_CDS_mid",S$2)</f>
        <v>38.5625</v>
      </c>
      <c r="T15">
        <f t="shared" ca="1" si="1"/>
        <v>21.341100000000004</v>
      </c>
      <c r="U15">
        <f t="shared" ca="1" si="2"/>
        <v>28.039500000000004</v>
      </c>
      <c r="V15">
        <f t="shared" ca="1" si="3"/>
        <v>33.682000000000002</v>
      </c>
      <c r="W15">
        <f t="shared" ca="1" si="4"/>
        <v>43.958100000000002</v>
      </c>
      <c r="X15">
        <f t="shared" ca="1" si="0"/>
        <v>33.895600000000002</v>
      </c>
    </row>
    <row r="16" spans="1:26">
      <c r="A16" t="s">
        <v>199</v>
      </c>
      <c r="B16" s="25" t="s">
        <v>198</v>
      </c>
      <c r="C16">
        <f ca="1">_xll.ciqfunctions.udf.CIQ($B16,"IQ_CDS_mid",C$2)</f>
        <v>10.9572</v>
      </c>
      <c r="D16">
        <f ca="1">_xll.ciqfunctions.udf.CIQ($B16,"IQ_CDS_mid",D$2)</f>
        <v>10.9572</v>
      </c>
      <c r="E16">
        <f ca="1">_xll.ciqfunctions.udf.CIQ($B16,"IQ_CDS_mid",E$2)</f>
        <v>10.9572</v>
      </c>
      <c r="F16">
        <f ca="1">_xll.ciqfunctions.udf.CIQ($B16,"IQ_CDS_mid",F$2)</f>
        <v>10.9572</v>
      </c>
      <c r="G16">
        <f ca="1">_xll.ciqfunctions.udf.CIQ($B16,"IQ_CDS_mid",G$2)</f>
        <v>12.062200000000001</v>
      </c>
      <c r="H16">
        <f ca="1">_xll.ciqfunctions.udf.CIQ($B16,"IQ_CDS_mid",H$2)</f>
        <v>10.421799999999999</v>
      </c>
      <c r="I16">
        <f ca="1">_xll.ciqfunctions.udf.CIQ($B16,"IQ_CDS_mid",I$2)</f>
        <v>10.480399999999999</v>
      </c>
      <c r="J16">
        <f ca="1">_xll.ciqfunctions.udf.CIQ($B16,"IQ_CDS_mid",J$2)</f>
        <v>11.2989</v>
      </c>
      <c r="K16">
        <f ca="1">_xll.ciqfunctions.udf.CIQ($B16,"IQ_CDS_mid",K$2)</f>
        <v>11.0334</v>
      </c>
      <c r="L16">
        <f ca="1">_xll.ciqfunctions.udf.CIQ($B16,"IQ_CDS_mid",L$2)</f>
        <v>11.0334</v>
      </c>
      <c r="M16">
        <f ca="1">_xll.ciqfunctions.udf.CIQ($B16,"IQ_CDS_mid",M$2)</f>
        <v>11.0334</v>
      </c>
      <c r="N16">
        <f ca="1">_xll.ciqfunctions.udf.CIQ($B16,"IQ_CDS_mid",N$2)</f>
        <v>11.133699999999999</v>
      </c>
      <c r="O16">
        <f ca="1">_xll.ciqfunctions.udf.CIQ($B16,"IQ_CDS_mid",O$2)</f>
        <v>10.3926</v>
      </c>
      <c r="P16">
        <f ca="1">_xll.ciqfunctions.udf.CIQ($B16,"IQ_CDS_mid",P$2)</f>
        <v>10.3748</v>
      </c>
      <c r="Q16">
        <f ca="1">_xll.ciqfunctions.udf.CIQ($B16,"IQ_CDS_mid",Q$2)</f>
        <v>10.6166</v>
      </c>
      <c r="R16">
        <f ca="1">_xll.ciqfunctions.udf.CIQ($B16,"IQ_CDS_mid",R$2)</f>
        <v>10.018800000000001</v>
      </c>
      <c r="S16">
        <f ca="1">_xll.ciqfunctions.udf.CIQ($B16,"IQ_CDS_mid",S$2)</f>
        <v>13.236800000000001</v>
      </c>
      <c r="T16">
        <f t="shared" ca="1" si="1"/>
        <v>0.53540000000000099</v>
      </c>
      <c r="U16">
        <f t="shared" ca="1" si="2"/>
        <v>-7.6200000000000045E-2</v>
      </c>
      <c r="V16">
        <f t="shared" ca="1" si="3"/>
        <v>0.34060000000000024</v>
      </c>
      <c r="W16">
        <f t="shared" ca="1" si="4"/>
        <v>0.93839999999999968</v>
      </c>
      <c r="X16">
        <f t="shared" ca="1" si="0"/>
        <v>-2.2796000000000003</v>
      </c>
    </row>
    <row r="17" spans="1:24">
      <c r="A17" t="s">
        <v>197</v>
      </c>
      <c r="B17" s="25" t="s">
        <v>196</v>
      </c>
      <c r="C17">
        <f ca="1">_xll.ciqfunctions.udf.CIQ($B17,"IQ_CDS_mid",C$2)</f>
        <v>13.120699999999999</v>
      </c>
      <c r="D17">
        <f ca="1">_xll.ciqfunctions.udf.CIQ($B17,"IQ_CDS_mid",D$2)</f>
        <v>13.120699999999999</v>
      </c>
      <c r="E17">
        <f ca="1">_xll.ciqfunctions.udf.CIQ($B17,"IQ_CDS_mid",E$2)</f>
        <v>13.120699999999999</v>
      </c>
      <c r="F17">
        <f ca="1">_xll.ciqfunctions.udf.CIQ($B17,"IQ_CDS_mid",F$2)</f>
        <v>13.120699999999999</v>
      </c>
      <c r="G17">
        <f ca="1">_xll.ciqfunctions.udf.CIQ($B17,"IQ_CDS_mid",G$2)</f>
        <v>12.2006</v>
      </c>
      <c r="H17">
        <f ca="1">_xll.ciqfunctions.udf.CIQ($B17,"IQ_CDS_mid",H$2)</f>
        <v>11.25</v>
      </c>
      <c r="I17">
        <f ca="1">_xll.ciqfunctions.udf.CIQ($B17,"IQ_CDS_mid",I$2)</f>
        <v>10.398400000000001</v>
      </c>
      <c r="J17">
        <f ca="1">_xll.ciqfunctions.udf.CIQ($B17,"IQ_CDS_mid",J$2)</f>
        <v>9.8965999999999994</v>
      </c>
      <c r="K17">
        <f ca="1">_xll.ciqfunctions.udf.CIQ($B17,"IQ_CDS_mid",K$2)</f>
        <v>9.7033000000000005</v>
      </c>
      <c r="L17">
        <f ca="1">_xll.ciqfunctions.udf.CIQ($B17,"IQ_CDS_mid",L$2)</f>
        <v>9.7033000000000005</v>
      </c>
      <c r="M17">
        <f ca="1">_xll.ciqfunctions.udf.CIQ($B17,"IQ_CDS_mid",M$2)</f>
        <v>9.7033000000000005</v>
      </c>
      <c r="N17">
        <f ca="1">_xll.ciqfunctions.udf.CIQ($B17,"IQ_CDS_mid",N$2)</f>
        <v>9.375</v>
      </c>
      <c r="O17">
        <f ca="1">_xll.ciqfunctions.udf.CIQ($B17,"IQ_CDS_mid",O$2)</f>
        <v>9</v>
      </c>
      <c r="P17">
        <f ca="1">_xll.ciqfunctions.udf.CIQ($B17,"IQ_CDS_mid",P$2)</f>
        <v>8.8016000000000005</v>
      </c>
      <c r="Q17">
        <f ca="1">_xll.ciqfunctions.udf.CIQ($B17,"IQ_CDS_mid",Q$2)</f>
        <v>8.6571999999999996</v>
      </c>
      <c r="R17">
        <f ca="1">_xll.ciqfunctions.udf.CIQ($B17,"IQ_CDS_mid",R$2)</f>
        <v>7.8125</v>
      </c>
      <c r="S17">
        <f ca="1">_xll.ciqfunctions.udf.CIQ($B17,"IQ_CDS_mid",S$2)</f>
        <v>9.5</v>
      </c>
      <c r="T17">
        <f t="shared" ca="1" si="1"/>
        <v>1.8706999999999994</v>
      </c>
      <c r="U17">
        <f t="shared" ca="1" si="2"/>
        <v>3.4173999999999989</v>
      </c>
      <c r="V17">
        <f t="shared" ca="1" si="3"/>
        <v>4.4634999999999998</v>
      </c>
      <c r="W17">
        <f t="shared" ca="1" si="4"/>
        <v>5.3081999999999994</v>
      </c>
      <c r="X17">
        <f t="shared" ca="1" si="0"/>
        <v>3.6206999999999994</v>
      </c>
    </row>
    <row r="18" spans="1:24">
      <c r="A18" t="s">
        <v>195</v>
      </c>
      <c r="B18" s="25" t="s">
        <v>194</v>
      </c>
      <c r="C18">
        <f ca="1">_xll.ciqfunctions.udf.CIQ($B18,"IQ_CDS_mid",C$2)</f>
        <v>22.6326</v>
      </c>
      <c r="D18">
        <f ca="1">_xll.ciqfunctions.udf.CIQ($B18,"IQ_CDS_mid",D$2)</f>
        <v>22.6326</v>
      </c>
      <c r="E18">
        <f ca="1">_xll.ciqfunctions.udf.CIQ($B18,"IQ_CDS_mid",E$2)</f>
        <v>22.6326</v>
      </c>
      <c r="F18">
        <f ca="1">_xll.ciqfunctions.udf.CIQ($B18,"IQ_CDS_mid",F$2)</f>
        <v>22.6326</v>
      </c>
      <c r="G18">
        <f ca="1">_xll.ciqfunctions.udf.CIQ($B18,"IQ_CDS_mid",G$2)</f>
        <v>19.6646</v>
      </c>
      <c r="H18">
        <f ca="1">_xll.ciqfunctions.udf.CIQ($B18,"IQ_CDS_mid",H$2)</f>
        <v>18.5</v>
      </c>
      <c r="I18">
        <f ca="1">_xll.ciqfunctions.udf.CIQ($B18,"IQ_CDS_mid",I$2)</f>
        <v>17.895700000000001</v>
      </c>
      <c r="J18">
        <f ca="1">_xll.ciqfunctions.udf.CIQ($B18,"IQ_CDS_mid",J$2)</f>
        <v>16.899999999999999</v>
      </c>
      <c r="K18">
        <f ca="1">_xll.ciqfunctions.udf.CIQ($B18,"IQ_CDS_mid",K$2)</f>
        <v>16.25</v>
      </c>
      <c r="L18">
        <f ca="1">_xll.ciqfunctions.udf.CIQ($B18,"IQ_CDS_mid",L$2)</f>
        <v>16.25</v>
      </c>
      <c r="M18">
        <f ca="1">_xll.ciqfunctions.udf.CIQ($B18,"IQ_CDS_mid",M$2)</f>
        <v>16.25</v>
      </c>
      <c r="N18">
        <f ca="1">_xll.ciqfunctions.udf.CIQ($B18,"IQ_CDS_mid",N$2)</f>
        <v>16.6875</v>
      </c>
      <c r="O18">
        <f ca="1">_xll.ciqfunctions.udf.CIQ($B18,"IQ_CDS_mid",O$2)</f>
        <v>15.6875</v>
      </c>
      <c r="P18">
        <f ca="1">_xll.ciqfunctions.udf.CIQ($B18,"IQ_CDS_mid",P$2)</f>
        <v>15.8063</v>
      </c>
      <c r="Q18">
        <f ca="1">_xll.ciqfunctions.udf.CIQ($B18,"IQ_CDS_mid",Q$2)</f>
        <v>15.8375</v>
      </c>
      <c r="R18">
        <f ca="1">_xll.ciqfunctions.udf.CIQ($B18,"IQ_CDS_mid",R$2)</f>
        <v>14.333299999999999</v>
      </c>
      <c r="S18">
        <f ca="1">_xll.ciqfunctions.udf.CIQ($B18,"IQ_CDS_mid",S$2)</f>
        <v>21.333300000000001</v>
      </c>
      <c r="T18">
        <f t="shared" ca="1" si="1"/>
        <v>4.1326000000000001</v>
      </c>
      <c r="U18">
        <f t="shared" ca="1" si="2"/>
        <v>6.3826000000000001</v>
      </c>
      <c r="V18">
        <f t="shared" ca="1" si="3"/>
        <v>6.7950999999999997</v>
      </c>
      <c r="W18">
        <f t="shared" ca="1" si="4"/>
        <v>8.2993000000000006</v>
      </c>
      <c r="X18">
        <f t="shared" ca="1" si="0"/>
        <v>1.2992999999999988</v>
      </c>
    </row>
    <row r="19" spans="1:24">
      <c r="A19" t="s">
        <v>193</v>
      </c>
      <c r="B19" s="25" t="s">
        <v>192</v>
      </c>
      <c r="C19">
        <f ca="1">_xll.ciqfunctions.udf.CIQ($B19,"IQ_CDS_mid",C$2)</f>
        <v>44.139299999999999</v>
      </c>
      <c r="D19">
        <f ca="1">_xll.ciqfunctions.udf.CIQ($B19,"IQ_CDS_mid",D$2)</f>
        <v>44.139299999999999</v>
      </c>
      <c r="E19">
        <f ca="1">_xll.ciqfunctions.udf.CIQ($B19,"IQ_CDS_mid",E$2)</f>
        <v>44.139299999999999</v>
      </c>
      <c r="F19">
        <f ca="1">_xll.ciqfunctions.udf.CIQ($B19,"IQ_CDS_mid",F$2)</f>
        <v>44.139299999999999</v>
      </c>
      <c r="G19">
        <f ca="1">_xll.ciqfunctions.udf.CIQ($B19,"IQ_CDS_mid",G$2)</f>
        <v>43.684899999999999</v>
      </c>
      <c r="H19">
        <f ca="1">_xll.ciqfunctions.udf.CIQ($B19,"IQ_CDS_mid",H$2)</f>
        <v>43.3718</v>
      </c>
      <c r="I19">
        <f ca="1">_xll.ciqfunctions.udf.CIQ($B19,"IQ_CDS_mid",I$2)</f>
        <v>41.620699999999999</v>
      </c>
      <c r="J19">
        <f ca="1">_xll.ciqfunctions.udf.CIQ($B19,"IQ_CDS_mid",J$2)</f>
        <v>42.742699999999999</v>
      </c>
      <c r="K19">
        <f ca="1">_xll.ciqfunctions.udf.CIQ($B19,"IQ_CDS_mid",K$2)</f>
        <v>42.093400000000003</v>
      </c>
      <c r="L19">
        <f ca="1">_xll.ciqfunctions.udf.CIQ($B19,"IQ_CDS_mid",L$2)</f>
        <v>42.093400000000003</v>
      </c>
      <c r="M19">
        <f ca="1">_xll.ciqfunctions.udf.CIQ($B19,"IQ_CDS_mid",M$2)</f>
        <v>42.093400000000003</v>
      </c>
      <c r="N19">
        <f ca="1">_xll.ciqfunctions.udf.CIQ($B19,"IQ_CDS_mid",N$2)</f>
        <v>41.423900000000003</v>
      </c>
      <c r="O19">
        <f ca="1">_xll.ciqfunctions.udf.CIQ($B19,"IQ_CDS_mid",O$2)</f>
        <v>40.240299999999998</v>
      </c>
      <c r="P19">
        <f ca="1">_xll.ciqfunctions.udf.CIQ($B19,"IQ_CDS_mid",P$2)</f>
        <v>38.981099999999998</v>
      </c>
      <c r="Q19">
        <f ca="1">_xll.ciqfunctions.udf.CIQ($B19,"IQ_CDS_mid",Q$2)</f>
        <v>36.464500000000001</v>
      </c>
      <c r="R19">
        <f ca="1">_xll.ciqfunctions.udf.CIQ($B19,"IQ_CDS_mid",R$2)</f>
        <v>37.551699999999997</v>
      </c>
      <c r="S19">
        <f ca="1">_xll.ciqfunctions.udf.CIQ($B19,"IQ_CDS_mid",S$2)</f>
        <v>37.0075</v>
      </c>
      <c r="T19">
        <f t="shared" ca="1" si="1"/>
        <v>0.76749999999999829</v>
      </c>
      <c r="U19">
        <f t="shared" ca="1" si="2"/>
        <v>2.0458999999999961</v>
      </c>
      <c r="V19">
        <f t="shared" ca="1" si="3"/>
        <v>7.6747999999999976</v>
      </c>
      <c r="W19">
        <f t="shared" ca="1" si="4"/>
        <v>6.5876000000000019</v>
      </c>
      <c r="X19">
        <f t="shared" ca="1" si="0"/>
        <v>7.1317999999999984</v>
      </c>
    </row>
    <row r="20" spans="1:24">
      <c r="A20" t="s">
        <v>191</v>
      </c>
      <c r="B20" s="25" t="s">
        <v>190</v>
      </c>
      <c r="C20">
        <f ca="1">_xll.ciqfunctions.udf.CIQ($B20,"IQ_CDS_mid",C$2)</f>
        <v>29.297499999999999</v>
      </c>
      <c r="D20">
        <f ca="1">_xll.ciqfunctions.udf.CIQ($B20,"IQ_CDS_mid",D$2)</f>
        <v>29.297499999999999</v>
      </c>
      <c r="E20">
        <f ca="1">_xll.ciqfunctions.udf.CIQ($B20,"IQ_CDS_mid",E$2)</f>
        <v>29.297499999999999</v>
      </c>
      <c r="F20">
        <f ca="1">_xll.ciqfunctions.udf.CIQ($B20,"IQ_CDS_mid",F$2)</f>
        <v>29.297499999999999</v>
      </c>
      <c r="G20">
        <f ca="1">_xll.ciqfunctions.udf.CIQ($B20,"IQ_CDS_mid",G$2)</f>
        <v>24.663399999999999</v>
      </c>
      <c r="H20">
        <f ca="1">_xll.ciqfunctions.udf.CIQ($B20,"IQ_CDS_mid",H$2)</f>
        <v>22.8</v>
      </c>
      <c r="I20">
        <f ca="1">_xll.ciqfunctions.udf.CIQ($B20,"IQ_CDS_mid",I$2)</f>
        <v>21.473400000000002</v>
      </c>
      <c r="J20">
        <f ca="1">_xll.ciqfunctions.udf.CIQ($B20,"IQ_CDS_mid",J$2)</f>
        <v>19.342600000000001</v>
      </c>
      <c r="K20">
        <f ca="1">_xll.ciqfunctions.udf.CIQ($B20,"IQ_CDS_mid",K$2)</f>
        <v>18.656700000000001</v>
      </c>
      <c r="L20">
        <f ca="1">_xll.ciqfunctions.udf.CIQ($B20,"IQ_CDS_mid",L$2)</f>
        <v>18.656700000000001</v>
      </c>
      <c r="M20">
        <f ca="1">_xll.ciqfunctions.udf.CIQ($B20,"IQ_CDS_mid",M$2)</f>
        <v>18.656700000000001</v>
      </c>
      <c r="N20">
        <f ca="1">_xll.ciqfunctions.udf.CIQ($B20,"IQ_CDS_mid",N$2)</f>
        <v>18.75</v>
      </c>
      <c r="O20">
        <f ca="1">_xll.ciqfunctions.udf.CIQ($B20,"IQ_CDS_mid",O$2)</f>
        <v>18.166699999999999</v>
      </c>
      <c r="P20">
        <f ca="1">_xll.ciqfunctions.udf.CIQ($B20,"IQ_CDS_mid",P$2)</f>
        <v>17.8</v>
      </c>
      <c r="Q20">
        <f ca="1">_xll.ciqfunctions.udf.CIQ($B20,"IQ_CDS_mid",Q$2)</f>
        <v>17.8171</v>
      </c>
      <c r="R20">
        <f ca="1">_xll.ciqfunctions.udf.CIQ($B20,"IQ_CDS_mid",R$2)</f>
        <v>15.8125</v>
      </c>
      <c r="S20">
        <f ca="1">_xll.ciqfunctions.udf.CIQ($B20,"IQ_CDS_mid",S$2)</f>
        <v>25.308</v>
      </c>
      <c r="T20">
        <f t="shared" ca="1" si="1"/>
        <v>6.4974999999999987</v>
      </c>
      <c r="U20">
        <f t="shared" ca="1" si="2"/>
        <v>10.640799999999999</v>
      </c>
      <c r="V20">
        <f t="shared" ca="1" si="3"/>
        <v>11.480399999999999</v>
      </c>
      <c r="W20">
        <f t="shared" ca="1" si="4"/>
        <v>13.484999999999999</v>
      </c>
      <c r="X20">
        <f t="shared" ca="1" si="0"/>
        <v>3.9894999999999996</v>
      </c>
    </row>
    <row r="21" spans="1:24">
      <c r="A21" s="16" t="s">
        <v>189</v>
      </c>
      <c r="X21">
        <f t="shared" si="0"/>
        <v>0</v>
      </c>
    </row>
    <row r="22" spans="1:24">
      <c r="A22" t="s">
        <v>188</v>
      </c>
      <c r="B22" s="25" t="s">
        <v>187</v>
      </c>
      <c r="C22">
        <f ca="1">_xll.ciqfunctions.udf.CIQ($B22,"IQ_CDS_mid",C$2)</f>
        <v>26.798300000000001</v>
      </c>
      <c r="D22">
        <f ca="1">_xll.ciqfunctions.udf.CIQ($B22,"IQ_CDS_mid",D$2)</f>
        <v>26.798300000000001</v>
      </c>
      <c r="E22">
        <f ca="1">_xll.ciqfunctions.udf.CIQ($B22,"IQ_CDS_mid",E$2)</f>
        <v>26.798300000000001</v>
      </c>
      <c r="F22">
        <f ca="1">_xll.ciqfunctions.udf.CIQ($B22,"IQ_CDS_mid",F$2)</f>
        <v>26.798300000000001</v>
      </c>
      <c r="G22">
        <f ca="1">_xll.ciqfunctions.udf.CIQ($B22,"IQ_CDS_mid",G$2)</f>
        <v>24.450299999999999</v>
      </c>
      <c r="H22">
        <f ca="1">_xll.ciqfunctions.udf.CIQ($B22,"IQ_CDS_mid",H$2)</f>
        <v>22.135000000000002</v>
      </c>
      <c r="I22">
        <f ca="1">_xll.ciqfunctions.udf.CIQ($B22,"IQ_CDS_mid",I$2)</f>
        <v>21.273499999999999</v>
      </c>
      <c r="J22">
        <f ca="1">_xll.ciqfunctions.udf.CIQ($B22,"IQ_CDS_mid",J$2)</f>
        <v>20.767600000000002</v>
      </c>
      <c r="K22">
        <f ca="1">_xll.ciqfunctions.udf.CIQ($B22,"IQ_CDS_mid",K$2)</f>
        <v>20.559899999999999</v>
      </c>
      <c r="L22">
        <f ca="1">_xll.ciqfunctions.udf.CIQ($B22,"IQ_CDS_mid",L$2)</f>
        <v>20.559899999999999</v>
      </c>
      <c r="M22">
        <f ca="1">_xll.ciqfunctions.udf.CIQ($B22,"IQ_CDS_mid",M$2)</f>
        <v>20.559899999999999</v>
      </c>
      <c r="N22">
        <f ca="1">_xll.ciqfunctions.udf.CIQ($B22,"IQ_CDS_mid",N$2)</f>
        <v>20.260999999999999</v>
      </c>
      <c r="O22">
        <f ca="1">_xll.ciqfunctions.udf.CIQ($B22,"IQ_CDS_mid",O$2)</f>
        <v>20.121600000000001</v>
      </c>
      <c r="P22">
        <f ca="1">_xll.ciqfunctions.udf.CIQ($B22,"IQ_CDS_mid",P$2)</f>
        <v>20.206099999999999</v>
      </c>
      <c r="Q22">
        <f ca="1">_xll.ciqfunctions.udf.CIQ($B22,"IQ_CDS_mid",Q$2)</f>
        <v>20.383400000000002</v>
      </c>
      <c r="R22">
        <f ca="1">_xll.ciqfunctions.udf.CIQ($B22,"IQ_CDS_mid",R$2)</f>
        <v>17.875</v>
      </c>
      <c r="S22">
        <f ca="1">_xll.ciqfunctions.udf.CIQ($B22,"IQ_CDS_mid",S$2)</f>
        <v>21.625</v>
      </c>
      <c r="T22">
        <f t="shared" ref="T22:T29" ca="1" si="5">C22-H22</f>
        <v>4.6632999999999996</v>
      </c>
      <c r="U22">
        <f t="shared" ref="U22:U29" ca="1" si="6">C22-M22</f>
        <v>6.2384000000000022</v>
      </c>
      <c r="V22">
        <f t="shared" ref="V22:V29" ca="1" si="7">C22-Q22</f>
        <v>6.4148999999999994</v>
      </c>
      <c r="W22">
        <f t="shared" ref="W22:W29" ca="1" si="8">C22-R22</f>
        <v>8.9233000000000011</v>
      </c>
      <c r="X22">
        <f t="shared" ca="1" si="0"/>
        <v>5.1733000000000011</v>
      </c>
    </row>
    <row r="23" spans="1:24">
      <c r="A23" t="s">
        <v>186</v>
      </c>
      <c r="B23" s="25" t="s">
        <v>185</v>
      </c>
      <c r="C23">
        <f ca="1">_xll.ciqfunctions.udf.CIQ($B23,"IQ_CDS_mid",C$2)</f>
        <v>33.479999999999997</v>
      </c>
      <c r="D23">
        <f ca="1">_xll.ciqfunctions.udf.CIQ($B23,"IQ_CDS_mid",D$2)</f>
        <v>33.479999999999997</v>
      </c>
      <c r="E23">
        <f ca="1">_xll.ciqfunctions.udf.CIQ($B23,"IQ_CDS_mid",E$2)</f>
        <v>33.479999999999997</v>
      </c>
      <c r="F23">
        <f ca="1">_xll.ciqfunctions.udf.CIQ($B23,"IQ_CDS_mid",F$2)</f>
        <v>33.479999999999997</v>
      </c>
      <c r="G23">
        <f ca="1">_xll.ciqfunctions.udf.CIQ($B23,"IQ_CDS_mid",G$2)</f>
        <v>32.997100000000003</v>
      </c>
      <c r="H23">
        <f ca="1">_xll.ciqfunctions.udf.CIQ($B23,"IQ_CDS_mid",H$2)</f>
        <v>33.490099999999998</v>
      </c>
      <c r="I23">
        <f ca="1">_xll.ciqfunctions.udf.CIQ($B23,"IQ_CDS_mid",I$2)</f>
        <v>33.307600000000001</v>
      </c>
      <c r="J23">
        <f ca="1">_xll.ciqfunctions.udf.CIQ($B23,"IQ_CDS_mid",J$2)</f>
        <v>32.833300000000001</v>
      </c>
      <c r="K23">
        <f ca="1">_xll.ciqfunctions.udf.CIQ($B23,"IQ_CDS_mid",K$2)</f>
        <v>32.597299999999997</v>
      </c>
      <c r="L23">
        <f ca="1">_xll.ciqfunctions.udf.CIQ($B23,"IQ_CDS_mid",L$2)</f>
        <v>32.597299999999997</v>
      </c>
      <c r="M23">
        <f ca="1">_xll.ciqfunctions.udf.CIQ($B23,"IQ_CDS_mid",M$2)</f>
        <v>32.597299999999997</v>
      </c>
      <c r="N23">
        <f ca="1">_xll.ciqfunctions.udf.CIQ($B23,"IQ_CDS_mid",N$2)</f>
        <v>32.449399999999997</v>
      </c>
      <c r="O23">
        <f ca="1">_xll.ciqfunctions.udf.CIQ($B23,"IQ_CDS_mid",O$2)</f>
        <v>32.329799999999999</v>
      </c>
      <c r="P23">
        <f ca="1">_xll.ciqfunctions.udf.CIQ($B23,"IQ_CDS_mid",P$2)</f>
        <v>32.127499999999998</v>
      </c>
      <c r="Q23">
        <f ca="1">_xll.ciqfunctions.udf.CIQ($B23,"IQ_CDS_mid",Q$2)</f>
        <v>31.392600000000002</v>
      </c>
      <c r="R23">
        <f ca="1">_xll.ciqfunctions.udf.CIQ($B23,"IQ_CDS_mid",R$2)</f>
        <v>26.422899999999998</v>
      </c>
      <c r="S23">
        <f ca="1">_xll.ciqfunctions.udf.CIQ($B23,"IQ_CDS_mid",S$2)</f>
        <v>25.523599999999998</v>
      </c>
      <c r="T23">
        <f t="shared" ca="1" si="5"/>
        <v>-1.010000000000133E-2</v>
      </c>
      <c r="U23">
        <f t="shared" ca="1" si="6"/>
        <v>0.88269999999999982</v>
      </c>
      <c r="V23">
        <f t="shared" ca="1" si="7"/>
        <v>2.0873999999999953</v>
      </c>
      <c r="W23">
        <f t="shared" ca="1" si="8"/>
        <v>7.0570999999999984</v>
      </c>
      <c r="X23">
        <f t="shared" ca="1" si="0"/>
        <v>7.9563999999999986</v>
      </c>
    </row>
    <row r="24" spans="1:24">
      <c r="A24" t="s">
        <v>31</v>
      </c>
      <c r="B24" s="25" t="s">
        <v>184</v>
      </c>
      <c r="C24">
        <f ca="1">_xll.ciqfunctions.udf.CIQ($B24,"IQ_CDS_mid",C$2)</f>
        <v>9.6908999999999992</v>
      </c>
      <c r="D24">
        <f ca="1">_xll.ciqfunctions.udf.CIQ($B24,"IQ_CDS_mid",D$2)</f>
        <v>9.6908999999999992</v>
      </c>
      <c r="E24">
        <f ca="1">_xll.ciqfunctions.udf.CIQ($B24,"IQ_CDS_mid",E$2)</f>
        <v>9.6908999999999992</v>
      </c>
      <c r="F24">
        <f ca="1">_xll.ciqfunctions.udf.CIQ($B24,"IQ_CDS_mid",F$2)</f>
        <v>9.6908999999999992</v>
      </c>
      <c r="G24">
        <f ca="1">_xll.ciqfunctions.udf.CIQ($B24,"IQ_CDS_mid",G$2)</f>
        <v>9.1132000000000009</v>
      </c>
      <c r="H24">
        <f ca="1">_xll.ciqfunctions.udf.CIQ($B24,"IQ_CDS_mid",H$2)</f>
        <v>8.9821000000000009</v>
      </c>
      <c r="I24">
        <f ca="1">_xll.ciqfunctions.udf.CIQ($B24,"IQ_CDS_mid",I$2)</f>
        <v>8.9664000000000001</v>
      </c>
      <c r="J24">
        <f ca="1">_xll.ciqfunctions.udf.CIQ($B24,"IQ_CDS_mid",J$2)</f>
        <v>8.8416999999999994</v>
      </c>
      <c r="K24">
        <f ca="1">_xll.ciqfunctions.udf.CIQ($B24,"IQ_CDS_mid",K$2)</f>
        <v>8.7650000000000006</v>
      </c>
      <c r="L24">
        <f ca="1">_xll.ciqfunctions.udf.CIQ($B24,"IQ_CDS_mid",L$2)</f>
        <v>8.7650000000000006</v>
      </c>
      <c r="M24">
        <f ca="1">_xll.ciqfunctions.udf.CIQ($B24,"IQ_CDS_mid",M$2)</f>
        <v>8.7650000000000006</v>
      </c>
      <c r="N24">
        <f ca="1">_xll.ciqfunctions.udf.CIQ($B24,"IQ_CDS_mid",N$2)</f>
        <v>8.8285</v>
      </c>
      <c r="O24">
        <f ca="1">_xll.ciqfunctions.udf.CIQ($B24,"IQ_CDS_mid",O$2)</f>
        <v>8.8332999999999995</v>
      </c>
      <c r="P24">
        <f ca="1">_xll.ciqfunctions.udf.CIQ($B24,"IQ_CDS_mid",P$2)</f>
        <v>8.8332999999999995</v>
      </c>
      <c r="Q24">
        <f ca="1">_xll.ciqfunctions.udf.CIQ($B24,"IQ_CDS_mid",Q$2)</f>
        <v>8.8332999999999995</v>
      </c>
      <c r="R24">
        <f ca="1">_xll.ciqfunctions.udf.CIQ($B24,"IQ_CDS_mid",R$2)</f>
        <v>8.125</v>
      </c>
      <c r="S24">
        <f ca="1">_xll.ciqfunctions.udf.CIQ($B24,"IQ_CDS_mid",S$2)</f>
        <v>9.4304000000000006</v>
      </c>
      <c r="T24">
        <f t="shared" ca="1" si="5"/>
        <v>0.70879999999999832</v>
      </c>
      <c r="U24">
        <f t="shared" ca="1" si="6"/>
        <v>0.92589999999999861</v>
      </c>
      <c r="V24">
        <f t="shared" ca="1" si="7"/>
        <v>0.8575999999999997</v>
      </c>
      <c r="W24">
        <f t="shared" ca="1" si="8"/>
        <v>1.5658999999999992</v>
      </c>
      <c r="X24">
        <f t="shared" ca="1" si="0"/>
        <v>0.26049999999999862</v>
      </c>
    </row>
    <row r="25" spans="1:24">
      <c r="A25" t="s">
        <v>183</v>
      </c>
      <c r="B25" s="25" t="s">
        <v>182</v>
      </c>
      <c r="C25">
        <f ca="1">_xll.ciqfunctions.udf.CIQ($B25,"IQ_CDS_mid",C$2)</f>
        <v>7.1974999999999998</v>
      </c>
      <c r="D25">
        <f ca="1">_xll.ciqfunctions.udf.CIQ($B25,"IQ_CDS_mid",D$2)</f>
        <v>7.1974999999999998</v>
      </c>
      <c r="E25">
        <f ca="1">_xll.ciqfunctions.udf.CIQ($B25,"IQ_CDS_mid",E$2)</f>
        <v>7.1974999999999998</v>
      </c>
      <c r="F25">
        <f ca="1">_xll.ciqfunctions.udf.CIQ($B25,"IQ_CDS_mid",F$2)</f>
        <v>7.1974999999999998</v>
      </c>
      <c r="G25">
        <f ca="1">_xll.ciqfunctions.udf.CIQ($B25,"IQ_CDS_mid",G$2)</f>
        <v>6.6292999999999997</v>
      </c>
      <c r="H25">
        <f ca="1">_xll.ciqfunctions.udf.CIQ($B25,"IQ_CDS_mid",H$2)</f>
        <v>6.1106999999999996</v>
      </c>
      <c r="I25">
        <f ca="1">_xll.ciqfunctions.udf.CIQ($B25,"IQ_CDS_mid",I$2)</f>
        <v>5.6875999999999998</v>
      </c>
      <c r="J25">
        <f ca="1">_xll.ciqfunctions.udf.CIQ($B25,"IQ_CDS_mid",J$2)</f>
        <v>5.5515999999999996</v>
      </c>
      <c r="K25">
        <f ca="1">_xll.ciqfunctions.udf.CIQ($B25,"IQ_CDS_mid",K$2)</f>
        <v>5.7210999999999999</v>
      </c>
      <c r="L25">
        <f ca="1">_xll.ciqfunctions.udf.CIQ($B25,"IQ_CDS_mid",L$2)</f>
        <v>5.7210999999999999</v>
      </c>
      <c r="M25">
        <f ca="1">_xll.ciqfunctions.udf.CIQ($B25,"IQ_CDS_mid",M$2)</f>
        <v>5.7210999999999999</v>
      </c>
      <c r="N25">
        <f ca="1">_xll.ciqfunctions.udf.CIQ($B25,"IQ_CDS_mid",N$2)</f>
        <v>5.5681000000000003</v>
      </c>
      <c r="O25">
        <f ca="1">_xll.ciqfunctions.udf.CIQ($B25,"IQ_CDS_mid",O$2)</f>
        <v>5.5568999999999997</v>
      </c>
      <c r="P25">
        <f ca="1">_xll.ciqfunctions.udf.CIQ($B25,"IQ_CDS_mid",P$2)</f>
        <v>5.5770999999999997</v>
      </c>
      <c r="Q25">
        <f ca="1">_xll.ciqfunctions.udf.CIQ($B25,"IQ_CDS_mid",Q$2)</f>
        <v>5.4175000000000004</v>
      </c>
      <c r="R25">
        <f ca="1">_xll.ciqfunctions.udf.CIQ($B25,"IQ_CDS_mid",R$2)</f>
        <v>4.7058</v>
      </c>
      <c r="S25">
        <f ca="1">_xll.ciqfunctions.udf.CIQ($B25,"IQ_CDS_mid",S$2)</f>
        <v>6.2328999999999999</v>
      </c>
      <c r="T25">
        <f t="shared" ca="1" si="5"/>
        <v>1.0868000000000002</v>
      </c>
      <c r="U25">
        <f t="shared" ca="1" si="6"/>
        <v>1.4763999999999999</v>
      </c>
      <c r="V25">
        <f t="shared" ca="1" si="7"/>
        <v>1.7799999999999994</v>
      </c>
      <c r="W25">
        <f t="shared" ca="1" si="8"/>
        <v>2.4916999999999998</v>
      </c>
      <c r="X25">
        <f t="shared" ca="1" si="0"/>
        <v>0.9645999999999999</v>
      </c>
    </row>
    <row r="26" spans="1:24">
      <c r="A26" t="s">
        <v>181</v>
      </c>
      <c r="B26" s="25" t="s">
        <v>180</v>
      </c>
      <c r="C26">
        <f ca="1">_xll.ciqfunctions.udf.CIQ($B26,"IQ_CDS_mid",C$2)</f>
        <v>56.833799999999997</v>
      </c>
      <c r="D26">
        <f ca="1">_xll.ciqfunctions.udf.CIQ($B26,"IQ_CDS_mid",D$2)</f>
        <v>56.833799999999997</v>
      </c>
      <c r="E26">
        <f ca="1">_xll.ciqfunctions.udf.CIQ($B26,"IQ_CDS_mid",E$2)</f>
        <v>56.833799999999997</v>
      </c>
      <c r="F26">
        <f ca="1">_xll.ciqfunctions.udf.CIQ($B26,"IQ_CDS_mid",F$2)</f>
        <v>56.833799999999997</v>
      </c>
      <c r="G26">
        <f ca="1">_xll.ciqfunctions.udf.CIQ($B26,"IQ_CDS_mid",G$2)</f>
        <v>57.084099999999999</v>
      </c>
      <c r="H26">
        <f ca="1">_xll.ciqfunctions.udf.CIQ($B26,"IQ_CDS_mid",H$2)</f>
        <v>55.144500000000001</v>
      </c>
      <c r="I26">
        <f ca="1">_xll.ciqfunctions.udf.CIQ($B26,"IQ_CDS_mid",I$2)</f>
        <v>55.346499999999999</v>
      </c>
      <c r="J26">
        <f ca="1">_xll.ciqfunctions.udf.CIQ($B26,"IQ_CDS_mid",J$2)</f>
        <v>55.233199999999997</v>
      </c>
      <c r="K26">
        <f ca="1">_xll.ciqfunctions.udf.CIQ($B26,"IQ_CDS_mid",K$2)</f>
        <v>55.3583</v>
      </c>
      <c r="L26">
        <f ca="1">_xll.ciqfunctions.udf.CIQ($B26,"IQ_CDS_mid",L$2)</f>
        <v>55.3583</v>
      </c>
      <c r="M26">
        <f ca="1">_xll.ciqfunctions.udf.CIQ($B26,"IQ_CDS_mid",M$2)</f>
        <v>55.3583</v>
      </c>
      <c r="N26">
        <f ca="1">_xll.ciqfunctions.udf.CIQ($B26,"IQ_CDS_mid",N$2)</f>
        <v>55.375</v>
      </c>
      <c r="O26">
        <f ca="1">_xll.ciqfunctions.udf.CIQ($B26,"IQ_CDS_mid",O$2)</f>
        <v>55.097700000000003</v>
      </c>
      <c r="P26">
        <f ca="1">_xll.ciqfunctions.udf.CIQ($B26,"IQ_CDS_mid",P$2)</f>
        <v>54.581200000000003</v>
      </c>
      <c r="Q26">
        <f ca="1">_xll.ciqfunctions.udf.CIQ($B26,"IQ_CDS_mid",Q$2)</f>
        <v>54.734200000000001</v>
      </c>
      <c r="R26">
        <f ca="1">_xll.ciqfunctions.udf.CIQ($B26,"IQ_CDS_mid",R$2)</f>
        <v>50.5486</v>
      </c>
      <c r="S26">
        <f ca="1">_xll.ciqfunctions.udf.CIQ($B26,"IQ_CDS_mid",S$2)</f>
        <v>64.662499999999994</v>
      </c>
      <c r="T26">
        <f t="shared" ca="1" si="5"/>
        <v>1.6892999999999958</v>
      </c>
      <c r="U26">
        <f t="shared" ca="1" si="6"/>
        <v>1.4754999999999967</v>
      </c>
      <c r="V26">
        <f t="shared" ca="1" si="7"/>
        <v>2.0995999999999952</v>
      </c>
      <c r="W26">
        <f t="shared" ca="1" si="8"/>
        <v>6.2851999999999961</v>
      </c>
      <c r="X26">
        <f t="shared" ca="1" si="0"/>
        <v>-7.8286999999999978</v>
      </c>
    </row>
    <row r="27" spans="1:24">
      <c r="A27" t="s">
        <v>179</v>
      </c>
      <c r="B27" s="25" t="s">
        <v>178</v>
      </c>
      <c r="C27">
        <f ca="1">_xll.ciqfunctions.udf.CIQ($B27,"IQ_CDS_mid",C$2)</f>
        <v>8.9749999999999996</v>
      </c>
      <c r="D27">
        <f ca="1">_xll.ciqfunctions.udf.CIQ($B27,"IQ_CDS_mid",D$2)</f>
        <v>8.9749999999999996</v>
      </c>
      <c r="E27">
        <f ca="1">_xll.ciqfunctions.udf.CIQ($B27,"IQ_CDS_mid",E$2)</f>
        <v>8.9749999999999996</v>
      </c>
      <c r="F27">
        <f ca="1">_xll.ciqfunctions.udf.CIQ($B27,"IQ_CDS_mid",F$2)</f>
        <v>8.9749999999999996</v>
      </c>
      <c r="G27">
        <f ca="1">_xll.ciqfunctions.udf.CIQ($B27,"IQ_CDS_mid",G$2)</f>
        <v>8.625</v>
      </c>
      <c r="H27">
        <f ca="1">_xll.ciqfunctions.udf.CIQ($B27,"IQ_CDS_mid",H$2)</f>
        <v>8.25</v>
      </c>
      <c r="I27">
        <f ca="1">_xll.ciqfunctions.udf.CIQ($B27,"IQ_CDS_mid",I$2)</f>
        <v>8.0259999999999998</v>
      </c>
      <c r="J27">
        <f ca="1">_xll.ciqfunctions.udf.CIQ($B27,"IQ_CDS_mid",J$2)</f>
        <v>7.8657000000000004</v>
      </c>
      <c r="K27">
        <f ca="1">_xll.ciqfunctions.udf.CIQ($B27,"IQ_CDS_mid",K$2)</f>
        <v>7.8242000000000003</v>
      </c>
      <c r="L27">
        <f ca="1">_xll.ciqfunctions.udf.CIQ($B27,"IQ_CDS_mid",L$2)</f>
        <v>7.8242000000000003</v>
      </c>
      <c r="M27">
        <f ca="1">_xll.ciqfunctions.udf.CIQ($B27,"IQ_CDS_mid",M$2)</f>
        <v>7.8242000000000003</v>
      </c>
      <c r="N27">
        <f ca="1">_xll.ciqfunctions.udf.CIQ($B27,"IQ_CDS_mid",N$2)</f>
        <v>7.5949</v>
      </c>
      <c r="O27">
        <f ca="1">_xll.ciqfunctions.udf.CIQ($B27,"IQ_CDS_mid",O$2)</f>
        <v>7.875</v>
      </c>
      <c r="P27">
        <f ca="1">_xll.ciqfunctions.udf.CIQ($B27,"IQ_CDS_mid",P$2)</f>
        <v>7.2652999999999999</v>
      </c>
      <c r="Q27">
        <f ca="1">_xll.ciqfunctions.udf.CIQ($B27,"IQ_CDS_mid",Q$2)</f>
        <v>7.1749999999999998</v>
      </c>
      <c r="R27">
        <f ca="1">_xll.ciqfunctions.udf.CIQ($B27,"IQ_CDS_mid",R$2)</f>
        <v>7.5</v>
      </c>
      <c r="S27">
        <f ca="1">_xll.ciqfunctions.udf.CIQ($B27,"IQ_CDS_mid",S$2)</f>
        <v>9.5395000000000003</v>
      </c>
      <c r="T27">
        <f t="shared" ca="1" si="5"/>
        <v>0.72499999999999964</v>
      </c>
      <c r="U27">
        <f t="shared" ca="1" si="6"/>
        <v>1.1507999999999994</v>
      </c>
      <c r="V27">
        <f t="shared" ca="1" si="7"/>
        <v>1.7999999999999998</v>
      </c>
      <c r="W27">
        <f t="shared" ca="1" si="8"/>
        <v>1.4749999999999996</v>
      </c>
      <c r="X27">
        <f t="shared" ca="1" si="0"/>
        <v>-0.56450000000000067</v>
      </c>
    </row>
    <row r="28" spans="1:24">
      <c r="A28" t="s">
        <v>21</v>
      </c>
      <c r="B28" s="25" t="s">
        <v>177</v>
      </c>
      <c r="C28">
        <f ca="1">_xll.ciqfunctions.udf.CIQ($B28,"IQ_CDS_mid",C$2)</f>
        <v>7.2923999999999998</v>
      </c>
      <c r="D28">
        <f ca="1">_xll.ciqfunctions.udf.CIQ($B28,"IQ_CDS_mid",D$2)</f>
        <v>7.2923999999999998</v>
      </c>
      <c r="E28">
        <f ca="1">_xll.ciqfunctions.udf.CIQ($B28,"IQ_CDS_mid",E$2)</f>
        <v>7.2923999999999998</v>
      </c>
      <c r="F28">
        <f ca="1">_xll.ciqfunctions.udf.CIQ($B28,"IQ_CDS_mid",F$2)</f>
        <v>7.2923999999999998</v>
      </c>
      <c r="G28">
        <f ca="1">_xll.ciqfunctions.udf.CIQ($B28,"IQ_CDS_mid",G$2)</f>
        <v>7.3906000000000001</v>
      </c>
      <c r="H28">
        <f ca="1">_xll.ciqfunctions.udf.CIQ($B28,"IQ_CDS_mid",H$2)</f>
        <v>7.2946999999999997</v>
      </c>
      <c r="I28">
        <f ca="1">_xll.ciqfunctions.udf.CIQ($B28,"IQ_CDS_mid",I$2)</f>
        <v>7.3739999999999997</v>
      </c>
      <c r="J28">
        <f ca="1">_xll.ciqfunctions.udf.CIQ($B28,"IQ_CDS_mid",J$2)</f>
        <v>7.2986000000000004</v>
      </c>
      <c r="K28">
        <f ca="1">_xll.ciqfunctions.udf.CIQ($B28,"IQ_CDS_mid",K$2)</f>
        <v>7.3821000000000003</v>
      </c>
      <c r="L28">
        <f ca="1">_xll.ciqfunctions.udf.CIQ($B28,"IQ_CDS_mid",L$2)</f>
        <v>7.3821000000000003</v>
      </c>
      <c r="M28">
        <f ca="1">_xll.ciqfunctions.udf.CIQ($B28,"IQ_CDS_mid",M$2)</f>
        <v>7.3821000000000003</v>
      </c>
      <c r="N28">
        <f ca="1">_xll.ciqfunctions.udf.CIQ($B28,"IQ_CDS_mid",N$2)</f>
        <v>7.3305999999999996</v>
      </c>
      <c r="O28">
        <f ca="1">_xll.ciqfunctions.udf.CIQ($B28,"IQ_CDS_mid",O$2)</f>
        <v>7.3475000000000001</v>
      </c>
      <c r="P28">
        <f ca="1">_xll.ciqfunctions.udf.CIQ($B28,"IQ_CDS_mid",P$2)</f>
        <v>7.3642000000000003</v>
      </c>
      <c r="Q28">
        <f ca="1">_xll.ciqfunctions.udf.CIQ($B28,"IQ_CDS_mid",Q$2)</f>
        <v>7.6436999999999999</v>
      </c>
      <c r="R28">
        <f ca="1">_xll.ciqfunctions.udf.CIQ($B28,"IQ_CDS_mid",R$2)</f>
        <v>7.2411000000000003</v>
      </c>
      <c r="S28">
        <f ca="1">_xll.ciqfunctions.udf.CIQ($B28,"IQ_CDS_mid",S$2)</f>
        <v>8.5085999999999995</v>
      </c>
      <c r="T28">
        <f t="shared" ca="1" si="5"/>
        <v>-2.2999999999999687E-3</v>
      </c>
      <c r="U28">
        <f t="shared" ca="1" si="6"/>
        <v>-8.9700000000000557E-2</v>
      </c>
      <c r="V28">
        <f t="shared" ca="1" si="7"/>
        <v>-0.35130000000000017</v>
      </c>
      <c r="W28">
        <f t="shared" ca="1" si="8"/>
        <v>5.1299999999999457E-2</v>
      </c>
      <c r="X28">
        <f t="shared" ca="1" si="0"/>
        <v>-1.2161999999999997</v>
      </c>
    </row>
    <row r="29" spans="1:24">
      <c r="A29" t="s">
        <v>176</v>
      </c>
      <c r="B29" s="25" t="s">
        <v>175</v>
      </c>
      <c r="C29">
        <f ca="1">_xll.ciqfunctions.udf.CIQ($B29,"IQ_CDS_mid",C$2)</f>
        <v>754.29169999999999</v>
      </c>
      <c r="D29">
        <f ca="1">_xll.ciqfunctions.udf.CIQ($B29,"IQ_CDS_mid",D$2)</f>
        <v>754.29169999999999</v>
      </c>
      <c r="E29">
        <f ca="1">_xll.ciqfunctions.udf.CIQ($B29,"IQ_CDS_mid",E$2)</f>
        <v>754.29169999999999</v>
      </c>
      <c r="F29">
        <f ca="1">_xll.ciqfunctions.udf.CIQ($B29,"IQ_CDS_mid",F$2)</f>
        <v>754.29169999999999</v>
      </c>
      <c r="G29">
        <f ca="1">_xll.ciqfunctions.udf.CIQ($B29,"IQ_CDS_mid",G$2)</f>
        <v>587.34119999999996</v>
      </c>
      <c r="H29">
        <f ca="1">_xll.ciqfunctions.udf.CIQ($B29,"IQ_CDS_mid",H$2)</f>
        <v>755.08569999999997</v>
      </c>
      <c r="I29">
        <f ca="1">_xll.ciqfunctions.udf.CIQ($B29,"IQ_CDS_mid",I$2)</f>
        <v>586.97630000000004</v>
      </c>
      <c r="J29">
        <f ca="1">_xll.ciqfunctions.udf.CIQ($B29,"IQ_CDS_mid",J$2)</f>
        <v>754.03719999999998</v>
      </c>
      <c r="K29">
        <f ca="1">_xll.ciqfunctions.udf.CIQ($B29,"IQ_CDS_mid",K$2)</f>
        <v>754.81479999999999</v>
      </c>
      <c r="L29">
        <f ca="1">_xll.ciqfunctions.udf.CIQ($B29,"IQ_CDS_mid",L$2)</f>
        <v>754.81479999999999</v>
      </c>
      <c r="M29">
        <f ca="1">_xll.ciqfunctions.udf.CIQ($B29,"IQ_CDS_mid",M$2)</f>
        <v>754.81479999999999</v>
      </c>
      <c r="N29">
        <f ca="1">_xll.ciqfunctions.udf.CIQ($B29,"IQ_CDS_mid",N$2)</f>
        <v>754.10159999999996</v>
      </c>
      <c r="O29">
        <f ca="1">_xll.ciqfunctions.udf.CIQ($B29,"IQ_CDS_mid",O$2)</f>
        <v>752.05690000000004</v>
      </c>
      <c r="P29">
        <f ca="1">_xll.ciqfunctions.udf.CIQ($B29,"IQ_CDS_mid",P$2)</f>
        <v>752.75480000000005</v>
      </c>
      <c r="Q29">
        <f ca="1">_xll.ciqfunctions.udf.CIQ($B29,"IQ_CDS_mid",Q$2)</f>
        <v>753.0249</v>
      </c>
      <c r="R29">
        <f ca="1">_xll.ciqfunctions.udf.CIQ($B29,"IQ_CDS_mid",R$2)</f>
        <v>758.83259999999996</v>
      </c>
      <c r="S29">
        <f ca="1">_xll.ciqfunctions.udf.CIQ($B29,"IQ_CDS_mid",S$2)</f>
        <v>14787.329299999999</v>
      </c>
      <c r="T29">
        <f t="shared" ca="1" si="5"/>
        <v>-0.79399999999998272</v>
      </c>
      <c r="U29">
        <f t="shared" ca="1" si="6"/>
        <v>-0.52309999999999945</v>
      </c>
      <c r="V29">
        <f t="shared" ca="1" si="7"/>
        <v>1.2667999999999893</v>
      </c>
      <c r="W29">
        <f t="shared" ca="1" si="8"/>
        <v>-4.5408999999999651</v>
      </c>
      <c r="X29">
        <f t="shared" ca="1" si="0"/>
        <v>-14033.0376</v>
      </c>
    </row>
    <row r="30" spans="1:24">
      <c r="A30" s="16" t="s">
        <v>174</v>
      </c>
      <c r="X30">
        <f t="shared" si="0"/>
        <v>0</v>
      </c>
    </row>
    <row r="31" spans="1:24">
      <c r="A31" t="s">
        <v>173</v>
      </c>
      <c r="B31" s="25" t="s">
        <v>172</v>
      </c>
      <c r="C31">
        <f ca="1">_xll.ciqfunctions.udf.CIQ($B31,"IQ_CDS_mid",C$2)</f>
        <v>15.8423</v>
      </c>
      <c r="D31">
        <f ca="1">_xll.ciqfunctions.udf.CIQ($B31,"IQ_CDS_mid",D$2)</f>
        <v>15.8423</v>
      </c>
      <c r="E31">
        <f ca="1">_xll.ciqfunctions.udf.CIQ($B31,"IQ_CDS_mid",E$2)</f>
        <v>15.8423</v>
      </c>
      <c r="F31">
        <f ca="1">_xll.ciqfunctions.udf.CIQ($B31,"IQ_CDS_mid",F$2)</f>
        <v>15.8423</v>
      </c>
      <c r="G31">
        <f ca="1">_xll.ciqfunctions.udf.CIQ($B31,"IQ_CDS_mid",G$2)</f>
        <v>15.628299999999999</v>
      </c>
      <c r="H31">
        <f ca="1">_xll.ciqfunctions.udf.CIQ($B31,"IQ_CDS_mid",H$2)</f>
        <v>15.517099999999999</v>
      </c>
      <c r="I31">
        <f ca="1">_xll.ciqfunctions.udf.CIQ($B31,"IQ_CDS_mid",I$2)</f>
        <v>15.6296</v>
      </c>
      <c r="J31">
        <f ca="1">_xll.ciqfunctions.udf.CIQ($B31,"IQ_CDS_mid",J$2)</f>
        <v>15.062799999999999</v>
      </c>
      <c r="K31">
        <f ca="1">_xll.ciqfunctions.udf.CIQ($B31,"IQ_CDS_mid",K$2)</f>
        <v>15.0337</v>
      </c>
      <c r="L31">
        <f ca="1">_xll.ciqfunctions.udf.CIQ($B31,"IQ_CDS_mid",L$2)</f>
        <v>15.0337</v>
      </c>
      <c r="M31">
        <f ca="1">_xll.ciqfunctions.udf.CIQ($B31,"IQ_CDS_mid",M$2)</f>
        <v>15.0337</v>
      </c>
      <c r="N31">
        <f ca="1">_xll.ciqfunctions.udf.CIQ($B31,"IQ_CDS_mid",N$2)</f>
        <v>14.9857</v>
      </c>
      <c r="O31">
        <f ca="1">_xll.ciqfunctions.udf.CIQ($B31,"IQ_CDS_mid",O$2)</f>
        <v>15.057399999999999</v>
      </c>
      <c r="P31">
        <f ca="1">_xll.ciqfunctions.udf.CIQ($B31,"IQ_CDS_mid",P$2)</f>
        <v>15.105</v>
      </c>
      <c r="Q31">
        <f ca="1">_xll.ciqfunctions.udf.CIQ($B31,"IQ_CDS_mid",Q$2)</f>
        <v>15.8309</v>
      </c>
      <c r="R31">
        <f ca="1">_xll.ciqfunctions.udf.CIQ($B31,"IQ_CDS_mid",R$2)</f>
        <v>13.4581</v>
      </c>
      <c r="S31">
        <f ca="1">_xll.ciqfunctions.udf.CIQ($B31,"IQ_CDS_mid",S$2)</f>
        <v>11.398400000000001</v>
      </c>
      <c r="T31">
        <f t="shared" ref="T31:T40" ca="1" si="9">C31-H31</f>
        <v>0.3252000000000006</v>
      </c>
      <c r="U31">
        <f t="shared" ref="U31:U40" ca="1" si="10">C31-M31</f>
        <v>0.80860000000000021</v>
      </c>
      <c r="V31">
        <f t="shared" ref="V31:V40" ca="1" si="11">C31-Q31</f>
        <v>1.1400000000000077E-2</v>
      </c>
      <c r="W31">
        <f t="shared" ref="W31:W40" ca="1" si="12">C31-R31</f>
        <v>2.3841999999999999</v>
      </c>
      <c r="X31">
        <f t="shared" ca="1" si="0"/>
        <v>4.4438999999999993</v>
      </c>
    </row>
    <row r="32" spans="1:24">
      <c r="A32" t="s">
        <v>171</v>
      </c>
      <c r="B32" s="25" t="s">
        <v>170</v>
      </c>
      <c r="C32">
        <f ca="1">_xll.ciqfunctions.udf.CIQ($B32,"IQ_CDS_mid",C$2)</f>
        <v>36.872599999999998</v>
      </c>
      <c r="D32">
        <f ca="1">_xll.ciqfunctions.udf.CIQ($B32,"IQ_CDS_mid",D$2)</f>
        <v>36.872599999999998</v>
      </c>
      <c r="E32">
        <f ca="1">_xll.ciqfunctions.udf.CIQ($B32,"IQ_CDS_mid",E$2)</f>
        <v>36.872599999999998</v>
      </c>
      <c r="F32">
        <f ca="1">_xll.ciqfunctions.udf.CIQ($B32,"IQ_CDS_mid",F$2)</f>
        <v>36.872599999999998</v>
      </c>
      <c r="G32">
        <f ca="1">_xll.ciqfunctions.udf.CIQ($B32,"IQ_CDS_mid",G$2)</f>
        <v>35.258299999999998</v>
      </c>
      <c r="H32">
        <f ca="1">_xll.ciqfunctions.udf.CIQ($B32,"IQ_CDS_mid",H$2)</f>
        <v>35.182299999999998</v>
      </c>
      <c r="I32">
        <f ca="1">_xll.ciqfunctions.udf.CIQ($B32,"IQ_CDS_mid",I$2)</f>
        <v>35.068100000000001</v>
      </c>
      <c r="J32">
        <f ca="1">_xll.ciqfunctions.udf.CIQ($B32,"IQ_CDS_mid",J$2)</f>
        <v>34.340000000000003</v>
      </c>
      <c r="K32">
        <f ca="1">_xll.ciqfunctions.udf.CIQ($B32,"IQ_CDS_mid",K$2)</f>
        <v>33.881599999999999</v>
      </c>
      <c r="L32">
        <f ca="1">_xll.ciqfunctions.udf.CIQ($B32,"IQ_CDS_mid",L$2)</f>
        <v>33.881599999999999</v>
      </c>
      <c r="M32">
        <f ca="1">_xll.ciqfunctions.udf.CIQ($B32,"IQ_CDS_mid",M$2)</f>
        <v>33.881599999999999</v>
      </c>
      <c r="N32">
        <f ca="1">_xll.ciqfunctions.udf.CIQ($B32,"IQ_CDS_mid",N$2)</f>
        <v>33.741100000000003</v>
      </c>
      <c r="O32">
        <f ca="1">_xll.ciqfunctions.udf.CIQ($B32,"IQ_CDS_mid",O$2)</f>
        <v>33.1402</v>
      </c>
      <c r="P32">
        <f ca="1">_xll.ciqfunctions.udf.CIQ($B32,"IQ_CDS_mid",P$2)</f>
        <v>33.599699999999999</v>
      </c>
      <c r="Q32">
        <f ca="1">_xll.ciqfunctions.udf.CIQ($B32,"IQ_CDS_mid",Q$2)</f>
        <v>34.278300000000002</v>
      </c>
      <c r="R32">
        <f ca="1">_xll.ciqfunctions.udf.CIQ($B32,"IQ_CDS_mid",R$2)</f>
        <v>37.033099999999997</v>
      </c>
      <c r="S32">
        <f ca="1">_xll.ciqfunctions.udf.CIQ($B32,"IQ_CDS_mid",S$2)</f>
        <v>38.115699999999997</v>
      </c>
      <c r="T32">
        <f t="shared" ca="1" si="9"/>
        <v>1.6903000000000006</v>
      </c>
      <c r="U32">
        <f t="shared" ca="1" si="10"/>
        <v>2.9909999999999997</v>
      </c>
      <c r="V32">
        <f t="shared" ca="1" si="11"/>
        <v>2.5942999999999969</v>
      </c>
      <c r="W32">
        <f t="shared" ca="1" si="12"/>
        <v>-0.16049999999999898</v>
      </c>
      <c r="X32">
        <f t="shared" ca="1" si="0"/>
        <v>-1.2430999999999983</v>
      </c>
    </row>
    <row r="33" spans="1:24">
      <c r="A33" t="s">
        <v>169</v>
      </c>
      <c r="B33" s="25" t="s">
        <v>168</v>
      </c>
      <c r="C33">
        <f ca="1">_xll.ciqfunctions.udf.CIQ($B33,"IQ_CDS_mid",C$2)</f>
        <v>21.9391</v>
      </c>
      <c r="D33">
        <f ca="1">_xll.ciqfunctions.udf.CIQ($B33,"IQ_CDS_mid",D$2)</f>
        <v>21.9391</v>
      </c>
      <c r="E33">
        <f ca="1">_xll.ciqfunctions.udf.CIQ($B33,"IQ_CDS_mid",E$2)</f>
        <v>21.9391</v>
      </c>
      <c r="F33">
        <f ca="1">_xll.ciqfunctions.udf.CIQ($B33,"IQ_CDS_mid",F$2)</f>
        <v>21.9391</v>
      </c>
      <c r="G33">
        <f ca="1">_xll.ciqfunctions.udf.CIQ($B33,"IQ_CDS_mid",G$2)</f>
        <v>21.9438</v>
      </c>
      <c r="H33">
        <f ca="1">_xll.ciqfunctions.udf.CIQ($B33,"IQ_CDS_mid",H$2)</f>
        <v>21.398499999999999</v>
      </c>
      <c r="I33">
        <f ca="1">_xll.ciqfunctions.udf.CIQ($B33,"IQ_CDS_mid",I$2)</f>
        <v>21.317299999999999</v>
      </c>
      <c r="J33">
        <f ca="1">_xll.ciqfunctions.udf.CIQ($B33,"IQ_CDS_mid",J$2)</f>
        <v>21.309000000000001</v>
      </c>
      <c r="K33">
        <f ca="1">_xll.ciqfunctions.udf.CIQ($B33,"IQ_CDS_mid",K$2)</f>
        <v>21.178799999999999</v>
      </c>
      <c r="L33">
        <f ca="1">_xll.ciqfunctions.udf.CIQ($B33,"IQ_CDS_mid",L$2)</f>
        <v>21.178799999999999</v>
      </c>
      <c r="M33">
        <f ca="1">_xll.ciqfunctions.udf.CIQ($B33,"IQ_CDS_mid",M$2)</f>
        <v>21.178799999999999</v>
      </c>
      <c r="N33">
        <f ca="1">_xll.ciqfunctions.udf.CIQ($B33,"IQ_CDS_mid",N$2)</f>
        <v>21.1</v>
      </c>
      <c r="O33">
        <f ca="1">_xll.ciqfunctions.udf.CIQ($B33,"IQ_CDS_mid",O$2)</f>
        <v>21.121099999999998</v>
      </c>
      <c r="P33">
        <f ca="1">_xll.ciqfunctions.udf.CIQ($B33,"IQ_CDS_mid",P$2)</f>
        <v>20.980699999999999</v>
      </c>
      <c r="Q33">
        <f ca="1">_xll.ciqfunctions.udf.CIQ($B33,"IQ_CDS_mid",Q$2)</f>
        <v>20.990300000000001</v>
      </c>
      <c r="R33">
        <f ca="1">_xll.ciqfunctions.udf.CIQ($B33,"IQ_CDS_mid",R$2)</f>
        <v>24.883500000000002</v>
      </c>
      <c r="S33">
        <f ca="1">_xll.ciqfunctions.udf.CIQ($B33,"IQ_CDS_mid",S$2)</f>
        <v>29.813300000000002</v>
      </c>
      <c r="T33">
        <f t="shared" ca="1" si="9"/>
        <v>0.5406000000000013</v>
      </c>
      <c r="U33">
        <f t="shared" ca="1" si="10"/>
        <v>0.76030000000000086</v>
      </c>
      <c r="V33">
        <f t="shared" ca="1" si="11"/>
        <v>0.94879999999999853</v>
      </c>
      <c r="W33">
        <f t="shared" ca="1" si="12"/>
        <v>-2.9444000000000017</v>
      </c>
      <c r="X33">
        <f t="shared" ca="1" si="0"/>
        <v>-7.8742000000000019</v>
      </c>
    </row>
    <row r="34" spans="1:24">
      <c r="A34" t="s">
        <v>167</v>
      </c>
      <c r="B34" s="25" t="s">
        <v>166</v>
      </c>
      <c r="C34">
        <f ca="1">_xll.ciqfunctions.udf.CIQ($B34,"IQ_CDS_mid",C$2)</f>
        <v>0</v>
      </c>
      <c r="D34">
        <f ca="1">_xll.ciqfunctions.udf.CIQ($B34,"IQ_CDS_mid",D$2)</f>
        <v>0</v>
      </c>
      <c r="E34">
        <f ca="1">_xll.ciqfunctions.udf.CIQ($B34,"IQ_CDS_mid",E$2)</f>
        <v>0</v>
      </c>
      <c r="F34">
        <f ca="1">_xll.ciqfunctions.udf.CIQ($B34,"IQ_CDS_mid",F$2)</f>
        <v>0</v>
      </c>
      <c r="G34">
        <f ca="1">_xll.ciqfunctions.udf.CIQ($B34,"IQ_CDS_mid",G$2)</f>
        <v>0</v>
      </c>
      <c r="H34">
        <f ca="1">_xll.ciqfunctions.udf.CIQ($B34,"IQ_CDS_mid",H$2)</f>
        <v>0</v>
      </c>
      <c r="I34">
        <f ca="1">_xll.ciqfunctions.udf.CIQ($B34,"IQ_CDS_mid",I$2)</f>
        <v>0</v>
      </c>
      <c r="J34">
        <f ca="1">_xll.ciqfunctions.udf.CIQ($B34,"IQ_CDS_mid",J$2)</f>
        <v>0</v>
      </c>
      <c r="K34">
        <f ca="1">_xll.ciqfunctions.udf.CIQ($B34,"IQ_CDS_mid",K$2)</f>
        <v>0</v>
      </c>
      <c r="L34">
        <f ca="1">_xll.ciqfunctions.udf.CIQ($B34,"IQ_CDS_mid",L$2)</f>
        <v>0</v>
      </c>
      <c r="M34">
        <f ca="1">_xll.ciqfunctions.udf.CIQ($B34,"IQ_CDS_mid",M$2)</f>
        <v>0</v>
      </c>
      <c r="N34">
        <f ca="1">_xll.ciqfunctions.udf.CIQ($B34,"IQ_CDS_mid",N$2)</f>
        <v>0</v>
      </c>
      <c r="O34">
        <f ca="1">_xll.ciqfunctions.udf.CIQ($B34,"IQ_CDS_mid",O$2)</f>
        <v>0</v>
      </c>
      <c r="P34">
        <f ca="1">_xll.ciqfunctions.udf.CIQ($B34,"IQ_CDS_mid",P$2)</f>
        <v>0</v>
      </c>
      <c r="Q34">
        <f ca="1">_xll.ciqfunctions.udf.CIQ($B34,"IQ_CDS_mid",Q$2)</f>
        <v>0</v>
      </c>
      <c r="R34">
        <f ca="1">_xll.ciqfunctions.udf.CIQ($B34,"IQ_CDS_mid",R$2)</f>
        <v>0</v>
      </c>
      <c r="S34">
        <f ca="1">_xll.ciqfunctions.udf.CIQ($B34,"IQ_CDS_mid",S$2)</f>
        <v>43.155299999999997</v>
      </c>
      <c r="T34">
        <f t="shared" ca="1" si="9"/>
        <v>0</v>
      </c>
      <c r="U34">
        <f t="shared" ca="1" si="10"/>
        <v>0</v>
      </c>
      <c r="V34">
        <f t="shared" ca="1" si="11"/>
        <v>0</v>
      </c>
      <c r="W34">
        <f t="shared" ca="1" si="12"/>
        <v>0</v>
      </c>
      <c r="X34">
        <f t="shared" ca="1" si="0"/>
        <v>-43.155299999999997</v>
      </c>
    </row>
    <row r="35" spans="1:24">
      <c r="A35" t="s">
        <v>33</v>
      </c>
      <c r="B35" s="25" t="s">
        <v>165</v>
      </c>
      <c r="C35">
        <f ca="1">_xll.ciqfunctions.udf.CIQ($B35,"IQ_CDS_mid",C$2)</f>
        <v>28.938600000000001</v>
      </c>
      <c r="D35">
        <f ca="1">_xll.ciqfunctions.udf.CIQ($B35,"IQ_CDS_mid",D$2)</f>
        <v>28.938600000000001</v>
      </c>
      <c r="E35">
        <f ca="1">_xll.ciqfunctions.udf.CIQ($B35,"IQ_CDS_mid",E$2)</f>
        <v>28.938600000000001</v>
      </c>
      <c r="F35">
        <f ca="1">_xll.ciqfunctions.udf.CIQ($B35,"IQ_CDS_mid",F$2)</f>
        <v>28.938600000000001</v>
      </c>
      <c r="G35">
        <f ca="1">_xll.ciqfunctions.udf.CIQ($B35,"IQ_CDS_mid",G$2)</f>
        <v>27.612400000000001</v>
      </c>
      <c r="H35">
        <f ca="1">_xll.ciqfunctions.udf.CIQ($B35,"IQ_CDS_mid",H$2)</f>
        <v>26.231999999999999</v>
      </c>
      <c r="I35">
        <f ca="1">_xll.ciqfunctions.udf.CIQ($B35,"IQ_CDS_mid",I$2)</f>
        <v>26.252700000000001</v>
      </c>
      <c r="J35">
        <f ca="1">_xll.ciqfunctions.udf.CIQ($B35,"IQ_CDS_mid",J$2)</f>
        <v>24.775300000000001</v>
      </c>
      <c r="K35">
        <f ca="1">_xll.ciqfunctions.udf.CIQ($B35,"IQ_CDS_mid",K$2)</f>
        <v>24.6706</v>
      </c>
      <c r="L35">
        <f ca="1">_xll.ciqfunctions.udf.CIQ($B35,"IQ_CDS_mid",L$2)</f>
        <v>24.6706</v>
      </c>
      <c r="M35">
        <f ca="1">_xll.ciqfunctions.udf.CIQ($B35,"IQ_CDS_mid",M$2)</f>
        <v>24.6706</v>
      </c>
      <c r="N35">
        <f ca="1">_xll.ciqfunctions.udf.CIQ($B35,"IQ_CDS_mid",N$2)</f>
        <v>24.121400000000001</v>
      </c>
      <c r="O35">
        <f ca="1">_xll.ciqfunctions.udf.CIQ($B35,"IQ_CDS_mid",O$2)</f>
        <v>23.901900000000001</v>
      </c>
      <c r="P35">
        <f ca="1">_xll.ciqfunctions.udf.CIQ($B35,"IQ_CDS_mid",P$2)</f>
        <v>24.296900000000001</v>
      </c>
      <c r="Q35">
        <f ca="1">_xll.ciqfunctions.udf.CIQ($B35,"IQ_CDS_mid",Q$2)</f>
        <v>24.0746</v>
      </c>
      <c r="R35">
        <f ca="1">_xll.ciqfunctions.udf.CIQ($B35,"IQ_CDS_mid",R$2)</f>
        <v>26.638300000000001</v>
      </c>
      <c r="S35">
        <f ca="1">_xll.ciqfunctions.udf.CIQ($B35,"IQ_CDS_mid",S$2)</f>
        <v>18.8294</v>
      </c>
      <c r="T35">
        <f t="shared" ca="1" si="9"/>
        <v>2.7066000000000017</v>
      </c>
      <c r="U35">
        <f t="shared" ca="1" si="10"/>
        <v>4.2680000000000007</v>
      </c>
      <c r="V35">
        <f t="shared" ca="1" si="11"/>
        <v>4.8640000000000008</v>
      </c>
      <c r="W35">
        <f t="shared" ca="1" si="12"/>
        <v>2.3003</v>
      </c>
      <c r="X35">
        <f t="shared" ca="1" si="0"/>
        <v>10.109200000000001</v>
      </c>
    </row>
    <row r="36" spans="1:24">
      <c r="A36" t="s">
        <v>164</v>
      </c>
      <c r="B36" s="25" t="s">
        <v>163</v>
      </c>
      <c r="C36">
        <f ca="1">_xll.ciqfunctions.udf.CIQ($B36,"IQ_CDS_mid",C$2)</f>
        <v>35.4587</v>
      </c>
      <c r="D36">
        <f ca="1">_xll.ciqfunctions.udf.CIQ($B36,"IQ_CDS_mid",D$2)</f>
        <v>35.4587</v>
      </c>
      <c r="E36">
        <f ca="1">_xll.ciqfunctions.udf.CIQ($B36,"IQ_CDS_mid",E$2)</f>
        <v>35.4587</v>
      </c>
      <c r="F36">
        <f ca="1">_xll.ciqfunctions.udf.CIQ($B36,"IQ_CDS_mid",F$2)</f>
        <v>35.4587</v>
      </c>
      <c r="G36">
        <f ca="1">_xll.ciqfunctions.udf.CIQ($B36,"IQ_CDS_mid",G$2)</f>
        <v>36.427599999999998</v>
      </c>
      <c r="H36">
        <f ca="1">_xll.ciqfunctions.udf.CIQ($B36,"IQ_CDS_mid",H$2)</f>
        <v>34.6494</v>
      </c>
      <c r="I36">
        <f ca="1">_xll.ciqfunctions.udf.CIQ($B36,"IQ_CDS_mid",I$2)</f>
        <v>35.3874</v>
      </c>
      <c r="J36">
        <f ca="1">_xll.ciqfunctions.udf.CIQ($B36,"IQ_CDS_mid",J$2)</f>
        <v>35.450800000000001</v>
      </c>
      <c r="K36">
        <f ca="1">_xll.ciqfunctions.udf.CIQ($B36,"IQ_CDS_mid",K$2)</f>
        <v>34.825000000000003</v>
      </c>
      <c r="L36">
        <f ca="1">_xll.ciqfunctions.udf.CIQ($B36,"IQ_CDS_mid",L$2)</f>
        <v>34.825000000000003</v>
      </c>
      <c r="M36">
        <f ca="1">_xll.ciqfunctions.udf.CIQ($B36,"IQ_CDS_mid",M$2)</f>
        <v>34.825000000000003</v>
      </c>
      <c r="N36">
        <f ca="1">_xll.ciqfunctions.udf.CIQ($B36,"IQ_CDS_mid",N$2)</f>
        <v>34.840299999999999</v>
      </c>
      <c r="O36">
        <f ca="1">_xll.ciqfunctions.udf.CIQ($B36,"IQ_CDS_mid",O$2)</f>
        <v>34.458199999999998</v>
      </c>
      <c r="P36">
        <f ca="1">_xll.ciqfunctions.udf.CIQ($B36,"IQ_CDS_mid",P$2)</f>
        <v>34.560400000000001</v>
      </c>
      <c r="Q36">
        <f ca="1">_xll.ciqfunctions.udf.CIQ($B36,"IQ_CDS_mid",Q$2)</f>
        <v>35.216799999999999</v>
      </c>
      <c r="R36">
        <f ca="1">_xll.ciqfunctions.udf.CIQ($B36,"IQ_CDS_mid",R$2)</f>
        <v>37.412500000000001</v>
      </c>
      <c r="S36">
        <f ca="1">_xll.ciqfunctions.udf.CIQ($B36,"IQ_CDS_mid",S$2)</f>
        <v>40.896500000000003</v>
      </c>
      <c r="T36">
        <f t="shared" ca="1" si="9"/>
        <v>0.80930000000000035</v>
      </c>
      <c r="U36">
        <f t="shared" ca="1" si="10"/>
        <v>0.63369999999999749</v>
      </c>
      <c r="V36">
        <f t="shared" ca="1" si="11"/>
        <v>0.24190000000000111</v>
      </c>
      <c r="W36">
        <f t="shared" ca="1" si="12"/>
        <v>-1.9538000000000011</v>
      </c>
      <c r="X36">
        <f t="shared" ca="1" si="0"/>
        <v>-5.4378000000000029</v>
      </c>
    </row>
    <row r="37" spans="1:24">
      <c r="A37" t="s">
        <v>162</v>
      </c>
      <c r="B37" s="25" t="s">
        <v>161</v>
      </c>
      <c r="C37">
        <f ca="1">_xll.ciqfunctions.udf.CIQ($B37,"IQ_CDS_mid",C$2)</f>
        <v>16.064</v>
      </c>
      <c r="D37">
        <f ca="1">_xll.ciqfunctions.udf.CIQ($B37,"IQ_CDS_mid",D$2)</f>
        <v>16.064</v>
      </c>
      <c r="E37">
        <f ca="1">_xll.ciqfunctions.udf.CIQ($B37,"IQ_CDS_mid",E$2)</f>
        <v>16.064</v>
      </c>
      <c r="F37">
        <f ca="1">_xll.ciqfunctions.udf.CIQ($B37,"IQ_CDS_mid",F$2)</f>
        <v>16.064</v>
      </c>
      <c r="G37">
        <f ca="1">_xll.ciqfunctions.udf.CIQ($B37,"IQ_CDS_mid",G$2)</f>
        <v>16.008500000000002</v>
      </c>
      <c r="H37">
        <f ca="1">_xll.ciqfunctions.udf.CIQ($B37,"IQ_CDS_mid",H$2)</f>
        <v>16.065000000000001</v>
      </c>
      <c r="I37">
        <f ca="1">_xll.ciqfunctions.udf.CIQ($B37,"IQ_CDS_mid",I$2)</f>
        <v>15.781499999999999</v>
      </c>
      <c r="J37">
        <f ca="1">_xll.ciqfunctions.udf.CIQ($B37,"IQ_CDS_mid",J$2)</f>
        <v>15.766999999999999</v>
      </c>
      <c r="K37">
        <f ca="1">_xll.ciqfunctions.udf.CIQ($B37,"IQ_CDS_mid",K$2)</f>
        <v>14.25</v>
      </c>
      <c r="L37">
        <f ca="1">_xll.ciqfunctions.udf.CIQ($B37,"IQ_CDS_mid",L$2)</f>
        <v>14.25</v>
      </c>
      <c r="M37">
        <f ca="1">_xll.ciqfunctions.udf.CIQ($B37,"IQ_CDS_mid",M$2)</f>
        <v>14.25</v>
      </c>
      <c r="N37">
        <f ca="1">_xll.ciqfunctions.udf.CIQ($B37,"IQ_CDS_mid",N$2)</f>
        <v>15.778499999999999</v>
      </c>
      <c r="O37">
        <f ca="1">_xll.ciqfunctions.udf.CIQ($B37,"IQ_CDS_mid",O$2)</f>
        <v>15.8025</v>
      </c>
      <c r="P37">
        <f ca="1">_xll.ciqfunctions.udf.CIQ($B37,"IQ_CDS_mid",P$2)</f>
        <v>16.165500000000002</v>
      </c>
      <c r="Q37">
        <f ca="1">_xll.ciqfunctions.udf.CIQ($B37,"IQ_CDS_mid",Q$2)</f>
        <v>15.9655</v>
      </c>
      <c r="R37">
        <f ca="1">_xll.ciqfunctions.udf.CIQ($B37,"IQ_CDS_mid",R$2)</f>
        <v>14.9895</v>
      </c>
      <c r="S37">
        <f ca="1">_xll.ciqfunctions.udf.CIQ($B37,"IQ_CDS_mid",S$2)</f>
        <v>13.9605</v>
      </c>
      <c r="T37">
        <f t="shared" ca="1" si="9"/>
        <v>-1.0000000000012221E-3</v>
      </c>
      <c r="U37">
        <f t="shared" ca="1" si="10"/>
        <v>1.8140000000000001</v>
      </c>
      <c r="V37">
        <f t="shared" ca="1" si="11"/>
        <v>9.8499999999999588E-2</v>
      </c>
      <c r="W37">
        <f t="shared" ca="1" si="12"/>
        <v>1.0745000000000005</v>
      </c>
      <c r="X37">
        <f t="shared" ca="1" si="0"/>
        <v>2.1035000000000004</v>
      </c>
    </row>
    <row r="38" spans="1:24">
      <c r="A38" t="s">
        <v>160</v>
      </c>
      <c r="B38" s="25" t="s">
        <v>159</v>
      </c>
      <c r="C38">
        <f ca="1">_xll.ciqfunctions.udf.CIQ($B38,"IQ_CDS_mid",C$2)</f>
        <v>0</v>
      </c>
      <c r="D38">
        <f ca="1">_xll.ciqfunctions.udf.CIQ($B38,"IQ_CDS_mid",D$2)</f>
        <v>0</v>
      </c>
      <c r="E38">
        <f ca="1">_xll.ciqfunctions.udf.CIQ($B38,"IQ_CDS_mid",E$2)</f>
        <v>0</v>
      </c>
      <c r="F38">
        <f ca="1">_xll.ciqfunctions.udf.CIQ($B38,"IQ_CDS_mid",F$2)</f>
        <v>0</v>
      </c>
      <c r="G38">
        <f ca="1">_xll.ciqfunctions.udf.CIQ($B38,"IQ_CDS_mid",G$2)</f>
        <v>0</v>
      </c>
      <c r="H38">
        <f ca="1">_xll.ciqfunctions.udf.CIQ($B38,"IQ_CDS_mid",H$2)</f>
        <v>0</v>
      </c>
      <c r="I38">
        <f ca="1">_xll.ciqfunctions.udf.CIQ($B38,"IQ_CDS_mid",I$2)</f>
        <v>0</v>
      </c>
      <c r="J38">
        <f ca="1">_xll.ciqfunctions.udf.CIQ($B38,"IQ_CDS_mid",J$2)</f>
        <v>0</v>
      </c>
      <c r="K38">
        <f ca="1">_xll.ciqfunctions.udf.CIQ($B38,"IQ_CDS_mid",K$2)</f>
        <v>0</v>
      </c>
      <c r="L38">
        <f ca="1">_xll.ciqfunctions.udf.CIQ($B38,"IQ_CDS_mid",L$2)</f>
        <v>0</v>
      </c>
      <c r="M38">
        <f ca="1">_xll.ciqfunctions.udf.CIQ($B38,"IQ_CDS_mid",M$2)</f>
        <v>0</v>
      </c>
      <c r="N38">
        <f ca="1">_xll.ciqfunctions.udf.CIQ($B38,"IQ_CDS_mid",N$2)</f>
        <v>0</v>
      </c>
      <c r="O38">
        <f ca="1">_xll.ciqfunctions.udf.CIQ($B38,"IQ_CDS_mid",O$2)</f>
        <v>0</v>
      </c>
      <c r="P38">
        <f ca="1">_xll.ciqfunctions.udf.CIQ($B38,"IQ_CDS_mid",P$2)</f>
        <v>0</v>
      </c>
      <c r="Q38">
        <f ca="1">_xll.ciqfunctions.udf.CIQ($B38,"IQ_CDS_mid",Q$2)</f>
        <v>0</v>
      </c>
      <c r="R38">
        <f ca="1">_xll.ciqfunctions.udf.CIQ($B38,"IQ_CDS_mid",R$2)</f>
        <v>0</v>
      </c>
      <c r="S38">
        <f ca="1">_xll.ciqfunctions.udf.CIQ($B38,"IQ_CDS_mid",S$2)</f>
        <v>0</v>
      </c>
      <c r="T38">
        <f t="shared" ca="1" si="9"/>
        <v>0</v>
      </c>
      <c r="U38">
        <f t="shared" ca="1" si="10"/>
        <v>0</v>
      </c>
      <c r="V38">
        <f t="shared" ca="1" si="11"/>
        <v>0</v>
      </c>
      <c r="W38">
        <f t="shared" ca="1" si="12"/>
        <v>0</v>
      </c>
      <c r="X38">
        <f t="shared" ca="1" si="0"/>
        <v>0</v>
      </c>
    </row>
    <row r="39" spans="1:24">
      <c r="A39" t="s">
        <v>158</v>
      </c>
      <c r="B39" s="25" t="s">
        <v>157</v>
      </c>
      <c r="C39">
        <f ca="1">_xll.ciqfunctions.udf.CIQ($B39,"IQ_CDS_mid",C$2)</f>
        <v>2.2938999999999998</v>
      </c>
      <c r="D39">
        <f ca="1">_xll.ciqfunctions.udf.CIQ($B39,"IQ_CDS_mid",D$2)</f>
        <v>2.2938999999999998</v>
      </c>
      <c r="E39">
        <f ca="1">_xll.ciqfunctions.udf.CIQ($B39,"IQ_CDS_mid",E$2)</f>
        <v>2.2938999999999998</v>
      </c>
      <c r="F39">
        <f ca="1">_xll.ciqfunctions.udf.CIQ($B39,"IQ_CDS_mid",F$2)</f>
        <v>2.2938999999999998</v>
      </c>
      <c r="G39">
        <f ca="1">_xll.ciqfunctions.udf.CIQ($B39,"IQ_CDS_mid",G$2)</f>
        <v>2.2938999999999998</v>
      </c>
      <c r="H39">
        <f ca="1">_xll.ciqfunctions.udf.CIQ($B39,"IQ_CDS_mid",H$2)</f>
        <v>2.2938999999999998</v>
      </c>
      <c r="I39">
        <f ca="1">_xll.ciqfunctions.udf.CIQ($B39,"IQ_CDS_mid",I$2)</f>
        <v>2.2938999999999998</v>
      </c>
      <c r="J39">
        <f ca="1">_xll.ciqfunctions.udf.CIQ($B39,"IQ_CDS_mid",J$2)</f>
        <v>2.2938999999999998</v>
      </c>
      <c r="K39">
        <f ca="1">_xll.ciqfunctions.udf.CIQ($B39,"IQ_CDS_mid",K$2)</f>
        <v>2.2938999999999998</v>
      </c>
      <c r="L39">
        <f ca="1">_xll.ciqfunctions.udf.CIQ($B39,"IQ_CDS_mid",L$2)</f>
        <v>2.2938999999999998</v>
      </c>
      <c r="M39">
        <f ca="1">_xll.ciqfunctions.udf.CIQ($B39,"IQ_CDS_mid",M$2)</f>
        <v>2.2938999999999998</v>
      </c>
      <c r="N39">
        <f ca="1">_xll.ciqfunctions.udf.CIQ($B39,"IQ_CDS_mid",N$2)</f>
        <v>2.2938999999999998</v>
      </c>
      <c r="O39">
        <f ca="1">_xll.ciqfunctions.udf.CIQ($B39,"IQ_CDS_mid",O$2)</f>
        <v>2.2938999999999998</v>
      </c>
      <c r="P39">
        <f ca="1">_xll.ciqfunctions.udf.CIQ($B39,"IQ_CDS_mid",P$2)</f>
        <v>2.2938999999999998</v>
      </c>
      <c r="Q39">
        <f ca="1">_xll.ciqfunctions.udf.CIQ($B39,"IQ_CDS_mid",Q$2)</f>
        <v>2.2938999999999998</v>
      </c>
      <c r="R39">
        <f ca="1">_xll.ciqfunctions.udf.CIQ($B39,"IQ_CDS_mid",R$2)</f>
        <v>2.3334000000000001</v>
      </c>
      <c r="S39">
        <f ca="1">_xll.ciqfunctions.udf.CIQ($B39,"IQ_CDS_mid",S$2)</f>
        <v>3.2726000000000002</v>
      </c>
      <c r="T39">
        <f t="shared" ca="1" si="9"/>
        <v>0</v>
      </c>
      <c r="U39">
        <f t="shared" ca="1" si="10"/>
        <v>0</v>
      </c>
      <c r="V39">
        <f t="shared" ca="1" si="11"/>
        <v>0</v>
      </c>
      <c r="W39">
        <f t="shared" ca="1" si="12"/>
        <v>-3.9500000000000313E-2</v>
      </c>
      <c r="X39">
        <f t="shared" ca="1" si="0"/>
        <v>-0.97870000000000035</v>
      </c>
    </row>
    <row r="40" spans="1:24">
      <c r="A40" t="s">
        <v>156</v>
      </c>
      <c r="B40" s="25" t="s">
        <v>155</v>
      </c>
      <c r="C40">
        <f ca="1">_xll.ciqfunctions.udf.CIQ($B40,"IQ_CDS_mid",C$2)</f>
        <v>24.2516</v>
      </c>
      <c r="D40">
        <f ca="1">_xll.ciqfunctions.udf.CIQ($B40,"IQ_CDS_mid",D$2)</f>
        <v>24.2516</v>
      </c>
      <c r="E40">
        <f ca="1">_xll.ciqfunctions.udf.CIQ($B40,"IQ_CDS_mid",E$2)</f>
        <v>24.2516</v>
      </c>
      <c r="F40">
        <f ca="1">_xll.ciqfunctions.udf.CIQ($B40,"IQ_CDS_mid",F$2)</f>
        <v>24.2516</v>
      </c>
      <c r="G40">
        <f ca="1">_xll.ciqfunctions.udf.CIQ($B40,"IQ_CDS_mid",G$2)</f>
        <v>23.591200000000001</v>
      </c>
      <c r="H40">
        <f ca="1">_xll.ciqfunctions.udf.CIQ($B40,"IQ_CDS_mid",H$2)</f>
        <v>23.400200000000002</v>
      </c>
      <c r="I40">
        <f ca="1">_xll.ciqfunctions.udf.CIQ($B40,"IQ_CDS_mid",I$2)</f>
        <v>23.625</v>
      </c>
      <c r="J40">
        <f ca="1">_xll.ciqfunctions.udf.CIQ($B40,"IQ_CDS_mid",J$2)</f>
        <v>23.343599999999999</v>
      </c>
      <c r="K40">
        <f ca="1">_xll.ciqfunctions.udf.CIQ($B40,"IQ_CDS_mid",K$2)</f>
        <v>23.378699999999998</v>
      </c>
      <c r="L40">
        <f ca="1">_xll.ciqfunctions.udf.CIQ($B40,"IQ_CDS_mid",L$2)</f>
        <v>23.378699999999998</v>
      </c>
      <c r="M40">
        <f ca="1">_xll.ciqfunctions.udf.CIQ($B40,"IQ_CDS_mid",M$2)</f>
        <v>23.378699999999998</v>
      </c>
      <c r="N40">
        <f ca="1">_xll.ciqfunctions.udf.CIQ($B40,"IQ_CDS_mid",N$2)</f>
        <v>22.95</v>
      </c>
      <c r="O40">
        <f ca="1">_xll.ciqfunctions.udf.CIQ($B40,"IQ_CDS_mid",O$2)</f>
        <v>22.75</v>
      </c>
      <c r="P40">
        <f ca="1">_xll.ciqfunctions.udf.CIQ($B40,"IQ_CDS_mid",P$2)</f>
        <v>22.586500000000001</v>
      </c>
      <c r="Q40">
        <f ca="1">_xll.ciqfunctions.udf.CIQ($B40,"IQ_CDS_mid",Q$2)</f>
        <v>23.022099999999998</v>
      </c>
      <c r="R40">
        <f ca="1">_xll.ciqfunctions.udf.CIQ($B40,"IQ_CDS_mid",R$2)</f>
        <v>22.3004</v>
      </c>
      <c r="S40">
        <f ca="1">_xll.ciqfunctions.udf.CIQ($B40,"IQ_CDS_mid",S$2)</f>
        <v>23.6</v>
      </c>
      <c r="T40">
        <f t="shared" ca="1" si="9"/>
        <v>0.85139999999999816</v>
      </c>
      <c r="U40">
        <f t="shared" ca="1" si="10"/>
        <v>0.87290000000000134</v>
      </c>
      <c r="V40">
        <f t="shared" ca="1" si="11"/>
        <v>1.2295000000000016</v>
      </c>
      <c r="W40">
        <f t="shared" ca="1" si="12"/>
        <v>1.9512</v>
      </c>
      <c r="X40">
        <f t="shared" ca="1" si="0"/>
        <v>0.6515999999999984</v>
      </c>
    </row>
    <row r="41" spans="1:24">
      <c r="A41" t="s">
        <v>154</v>
      </c>
      <c r="B41" s="25"/>
    </row>
    <row r="42" spans="1:24">
      <c r="A42" t="s">
        <v>153</v>
      </c>
      <c r="B42" s="25" t="s">
        <v>152</v>
      </c>
      <c r="C42">
        <f ca="1">_xll.ciqfunctions.udf.CIQ($B42,"IQ_CDS_mid",C$2)</f>
        <v>41.491999999999997</v>
      </c>
      <c r="D42">
        <f ca="1">_xll.ciqfunctions.udf.CIQ($B42,"IQ_CDS_mid",D$2)</f>
        <v>41.491999999999997</v>
      </c>
      <c r="E42">
        <f ca="1">_xll.ciqfunctions.udf.CIQ($B42,"IQ_CDS_mid",E$2)</f>
        <v>41.491999999999997</v>
      </c>
      <c r="F42">
        <f ca="1">_xll.ciqfunctions.udf.CIQ($B42,"IQ_CDS_mid",F$2)</f>
        <v>41.491999999999997</v>
      </c>
      <c r="G42">
        <f ca="1">_xll.ciqfunctions.udf.CIQ($B42,"IQ_CDS_mid",G$2)</f>
        <v>40.505299999999998</v>
      </c>
      <c r="H42">
        <f ca="1">_xll.ciqfunctions.udf.CIQ($B42,"IQ_CDS_mid",H$2)</f>
        <v>40.031300000000002</v>
      </c>
      <c r="I42">
        <f ca="1">_xll.ciqfunctions.udf.CIQ($B42,"IQ_CDS_mid",I$2)</f>
        <v>40.5</v>
      </c>
      <c r="J42">
        <f ca="1">_xll.ciqfunctions.udf.CIQ($B42,"IQ_CDS_mid",J$2)</f>
        <v>40.1875</v>
      </c>
      <c r="K42">
        <f ca="1">_xll.ciqfunctions.udf.CIQ($B42,"IQ_CDS_mid",K$2)</f>
        <v>40.131399999999999</v>
      </c>
      <c r="L42">
        <f ca="1">_xll.ciqfunctions.udf.CIQ($B42,"IQ_CDS_mid",L$2)</f>
        <v>40.131399999999999</v>
      </c>
      <c r="M42">
        <f ca="1">_xll.ciqfunctions.udf.CIQ($B42,"IQ_CDS_mid",M$2)</f>
        <v>40.131399999999999</v>
      </c>
      <c r="N42">
        <f ca="1">_xll.ciqfunctions.udf.CIQ($B42,"IQ_CDS_mid",N$2)</f>
        <v>40.2226</v>
      </c>
      <c r="O42">
        <f ca="1">_xll.ciqfunctions.udf.CIQ($B42,"IQ_CDS_mid",O$2)</f>
        <v>41.3309</v>
      </c>
      <c r="P42">
        <f ca="1">_xll.ciqfunctions.udf.CIQ($B42,"IQ_CDS_mid",P$2)</f>
        <v>41.7</v>
      </c>
      <c r="Q42">
        <f ca="1">_xll.ciqfunctions.udf.CIQ($B42,"IQ_CDS_mid",Q$2)</f>
        <v>42.938299999999998</v>
      </c>
      <c r="R42">
        <f ca="1">_xll.ciqfunctions.udf.CIQ($B42,"IQ_CDS_mid",R$2)</f>
        <v>40</v>
      </c>
      <c r="S42">
        <f ca="1">_xll.ciqfunctions.udf.CIQ($B42,"IQ_CDS_mid",S$2)</f>
        <v>39.4666</v>
      </c>
      <c r="T42">
        <f ca="1">C42-H42</f>
        <v>1.4606999999999957</v>
      </c>
      <c r="U42">
        <f ca="1">C42-M42</f>
        <v>1.360599999999998</v>
      </c>
      <c r="V42">
        <f ca="1">C42-Q42</f>
        <v>-1.4463000000000008</v>
      </c>
      <c r="W42">
        <f ca="1">C42-R42</f>
        <v>1.4919999999999973</v>
      </c>
      <c r="X42">
        <f t="shared" ref="X42:X84" ca="1" si="13">C42-S42</f>
        <v>2.0253999999999976</v>
      </c>
    </row>
    <row r="43" spans="1:24">
      <c r="A43" s="16" t="s">
        <v>151</v>
      </c>
      <c r="X43">
        <f t="shared" si="13"/>
        <v>0</v>
      </c>
    </row>
    <row r="44" spans="1:24">
      <c r="A44" t="s">
        <v>150</v>
      </c>
      <c r="B44" t="s">
        <v>149</v>
      </c>
      <c r="C44">
        <f ca="1">_xll.ciqfunctions.udf.CIQ($B44,"IQ_CDS_mid",C$2)</f>
        <v>143.6773</v>
      </c>
      <c r="D44">
        <f ca="1">_xll.ciqfunctions.udf.CIQ($B44,"IQ_CDS_mid",D$2)</f>
        <v>143.6773</v>
      </c>
      <c r="E44">
        <f ca="1">_xll.ciqfunctions.udf.CIQ($B44,"IQ_CDS_mid",E$2)</f>
        <v>143.6773</v>
      </c>
      <c r="F44">
        <f ca="1">_xll.ciqfunctions.udf.CIQ($B44,"IQ_CDS_mid",F$2)</f>
        <v>143.6773</v>
      </c>
      <c r="G44">
        <f ca="1">_xll.ciqfunctions.udf.CIQ($B44,"IQ_CDS_mid",G$2)</f>
        <v>141.98939999999999</v>
      </c>
      <c r="H44">
        <f ca="1">_xll.ciqfunctions.udf.CIQ($B44,"IQ_CDS_mid",H$2)</f>
        <v>134.04509999999999</v>
      </c>
      <c r="I44">
        <f ca="1">_xll.ciqfunctions.udf.CIQ($B44,"IQ_CDS_mid",I$2)</f>
        <v>132.26740000000001</v>
      </c>
      <c r="J44">
        <f ca="1">_xll.ciqfunctions.udf.CIQ($B44,"IQ_CDS_mid",J$2)</f>
        <v>134.3449</v>
      </c>
      <c r="K44">
        <f ca="1">_xll.ciqfunctions.udf.CIQ($B44,"IQ_CDS_mid",K$2)</f>
        <v>129.60380000000001</v>
      </c>
      <c r="L44">
        <f ca="1">_xll.ciqfunctions.udf.CIQ($B44,"IQ_CDS_mid",L$2)</f>
        <v>129.60380000000001</v>
      </c>
      <c r="M44">
        <f ca="1">_xll.ciqfunctions.udf.CIQ($B44,"IQ_CDS_mid",M$2)</f>
        <v>129.60380000000001</v>
      </c>
      <c r="N44">
        <f ca="1">_xll.ciqfunctions.udf.CIQ($B44,"IQ_CDS_mid",N$2)</f>
        <v>128.55590000000001</v>
      </c>
      <c r="O44">
        <f ca="1">_xll.ciqfunctions.udf.CIQ($B44,"IQ_CDS_mid",O$2)</f>
        <v>125.7296</v>
      </c>
      <c r="P44">
        <f ca="1">_xll.ciqfunctions.udf.CIQ($B44,"IQ_CDS_mid",P$2)</f>
        <v>123.4611</v>
      </c>
      <c r="Q44">
        <f ca="1">_xll.ciqfunctions.udf.CIQ($B44,"IQ_CDS_mid",Q$2)</f>
        <v>124.73220000000001</v>
      </c>
      <c r="R44">
        <f ca="1">_xll.ciqfunctions.udf.CIQ($B44,"IQ_CDS_mid",R$2)</f>
        <v>125.95910000000001</v>
      </c>
      <c r="S44">
        <f ca="1">_xll.ciqfunctions.udf.CIQ($B44,"IQ_CDS_mid",S$2)</f>
        <v>163.32499999999999</v>
      </c>
      <c r="T44">
        <f ca="1">C44-H44</f>
        <v>9.6322000000000116</v>
      </c>
      <c r="U44">
        <f ca="1">C44-M44</f>
        <v>14.073499999999996</v>
      </c>
      <c r="V44">
        <f ca="1">C44-Q44</f>
        <v>18.945099999999996</v>
      </c>
      <c r="W44">
        <f ca="1">C44-R44</f>
        <v>17.718199999999996</v>
      </c>
      <c r="X44">
        <f t="shared" ca="1" si="13"/>
        <v>-19.647699999999986</v>
      </c>
    </row>
    <row r="45" spans="1:24">
      <c r="X45">
        <f t="shared" si="13"/>
        <v>0</v>
      </c>
    </row>
    <row r="46" spans="1:24">
      <c r="X46">
        <f t="shared" si="13"/>
        <v>0</v>
      </c>
    </row>
    <row r="47" spans="1:24" ht="15.5">
      <c r="A47" s="28" t="s">
        <v>8</v>
      </c>
      <c r="X47">
        <f t="shared" si="13"/>
        <v>0</v>
      </c>
    </row>
    <row r="48" spans="1:24" ht="15.5">
      <c r="A48" s="27" t="s">
        <v>10</v>
      </c>
      <c r="B48" s="25" t="s">
        <v>148</v>
      </c>
      <c r="C48">
        <f ca="1">_xll.ciqfunctions.udf.CIQ($B48,"IQ_CDS_mid",C$2)</f>
        <v>61.857100000000003</v>
      </c>
      <c r="D48">
        <f ca="1">_xll.ciqfunctions.udf.CIQ($B48,"IQ_CDS_mid",D$2)</f>
        <v>61.857100000000003</v>
      </c>
      <c r="E48">
        <f ca="1">_xll.ciqfunctions.udf.CIQ($B48,"IQ_CDS_mid",E$2)</f>
        <v>61.857100000000003</v>
      </c>
      <c r="F48">
        <f ca="1">_xll.ciqfunctions.udf.CIQ($B48,"IQ_CDS_mid",F$2)</f>
        <v>61.857100000000003</v>
      </c>
      <c r="G48">
        <f ca="1">_xll.ciqfunctions.udf.CIQ($B48,"IQ_CDS_mid",G$2)</f>
        <v>62.357500000000002</v>
      </c>
      <c r="H48">
        <f ca="1">_xll.ciqfunctions.udf.CIQ($B48,"IQ_CDS_mid",H$2)</f>
        <v>61.367800000000003</v>
      </c>
      <c r="I48">
        <f ca="1">_xll.ciqfunctions.udf.CIQ($B48,"IQ_CDS_mid",I$2)</f>
        <v>61.381999999999998</v>
      </c>
      <c r="J48">
        <f ca="1">_xll.ciqfunctions.udf.CIQ($B48,"IQ_CDS_mid",J$2)</f>
        <v>61.298299999999998</v>
      </c>
      <c r="K48">
        <f ca="1">_xll.ciqfunctions.udf.CIQ($B48,"IQ_CDS_mid",K$2)</f>
        <v>60.0441</v>
      </c>
      <c r="L48">
        <f ca="1">_xll.ciqfunctions.udf.CIQ($B48,"IQ_CDS_mid",L$2)</f>
        <v>60.0441</v>
      </c>
      <c r="M48">
        <f ca="1">_xll.ciqfunctions.udf.CIQ($B48,"IQ_CDS_mid",M$2)</f>
        <v>60.0441</v>
      </c>
      <c r="N48">
        <f ca="1">_xll.ciqfunctions.udf.CIQ($B48,"IQ_CDS_mid",N$2)</f>
        <v>59.384399999999999</v>
      </c>
      <c r="O48">
        <f ca="1">_xll.ciqfunctions.udf.CIQ($B48,"IQ_CDS_mid",O$2)</f>
        <v>56.800800000000002</v>
      </c>
      <c r="P48">
        <f ca="1">_xll.ciqfunctions.udf.CIQ($B48,"IQ_CDS_mid",P$2)</f>
        <v>56.379199999999997</v>
      </c>
      <c r="Q48">
        <f ca="1">_xll.ciqfunctions.udf.CIQ($B48,"IQ_CDS_mid",Q$2)</f>
        <v>56.363500000000002</v>
      </c>
      <c r="R48">
        <f ca="1">_xll.ciqfunctions.udf.CIQ($B48,"IQ_CDS_mid",R$2)</f>
        <v>51.754300000000001</v>
      </c>
      <c r="S48">
        <f ca="1">_xll.ciqfunctions.udf.CIQ($B48,"IQ_CDS_mid",S$2)</f>
        <v>56.360199999999999</v>
      </c>
      <c r="T48">
        <f t="shared" ref="T48:T54" ca="1" si="14">C48-H48</f>
        <v>0.48930000000000007</v>
      </c>
      <c r="U48">
        <f t="shared" ref="U48:U54" ca="1" si="15">C48-M48</f>
        <v>1.8130000000000024</v>
      </c>
      <c r="V48">
        <f t="shared" ref="V48:V54" ca="1" si="16">C48-Q48</f>
        <v>5.4936000000000007</v>
      </c>
      <c r="W48">
        <f t="shared" ref="W48:W54" ca="1" si="17">C48-R48</f>
        <v>10.102800000000002</v>
      </c>
      <c r="X48">
        <f t="shared" ca="1" si="13"/>
        <v>5.4969000000000037</v>
      </c>
    </row>
    <row r="49" spans="1:24" ht="15.5">
      <c r="A49" s="27" t="s">
        <v>11</v>
      </c>
      <c r="B49" s="25" t="s">
        <v>147</v>
      </c>
      <c r="C49">
        <f ca="1">_xll.ciqfunctions.udf.CIQ($B49,"IQ_CDS_mid",C$2)</f>
        <v>63.862099999999998</v>
      </c>
      <c r="D49">
        <f ca="1">_xll.ciqfunctions.udf.CIQ($B49,"IQ_CDS_mid",D$2)</f>
        <v>63.862099999999998</v>
      </c>
      <c r="E49">
        <f ca="1">_xll.ciqfunctions.udf.CIQ($B49,"IQ_CDS_mid",E$2)</f>
        <v>63.862099999999998</v>
      </c>
      <c r="F49">
        <f ca="1">_xll.ciqfunctions.udf.CIQ($B49,"IQ_CDS_mid",F$2)</f>
        <v>63.862099999999998</v>
      </c>
      <c r="G49">
        <f ca="1">_xll.ciqfunctions.udf.CIQ($B49,"IQ_CDS_mid",G$2)</f>
        <v>63.587600000000002</v>
      </c>
      <c r="H49">
        <f ca="1">_xll.ciqfunctions.udf.CIQ($B49,"IQ_CDS_mid",H$2)</f>
        <v>62.316299999999998</v>
      </c>
      <c r="I49">
        <f ca="1">_xll.ciqfunctions.udf.CIQ($B49,"IQ_CDS_mid",I$2)</f>
        <v>61.984000000000002</v>
      </c>
      <c r="J49">
        <f ca="1">_xll.ciqfunctions.udf.CIQ($B49,"IQ_CDS_mid",J$2)</f>
        <v>61.589399999999998</v>
      </c>
      <c r="K49">
        <f ca="1">_xll.ciqfunctions.udf.CIQ($B49,"IQ_CDS_mid",K$2)</f>
        <v>60.710999999999999</v>
      </c>
      <c r="L49">
        <f ca="1">_xll.ciqfunctions.udf.CIQ($B49,"IQ_CDS_mid",L$2)</f>
        <v>60.710999999999999</v>
      </c>
      <c r="M49">
        <f ca="1">_xll.ciqfunctions.udf.CIQ($B49,"IQ_CDS_mid",M$2)</f>
        <v>60.710999999999999</v>
      </c>
      <c r="N49">
        <f ca="1">_xll.ciqfunctions.udf.CIQ($B49,"IQ_CDS_mid",N$2)</f>
        <v>60.124499999999998</v>
      </c>
      <c r="O49">
        <f ca="1">_xll.ciqfunctions.udf.CIQ($B49,"IQ_CDS_mid",O$2)</f>
        <v>57.900199999999998</v>
      </c>
      <c r="P49">
        <f ca="1">_xll.ciqfunctions.udf.CIQ($B49,"IQ_CDS_mid",P$2)</f>
        <v>57.047899999999998</v>
      </c>
      <c r="Q49">
        <f ca="1">_xll.ciqfunctions.udf.CIQ($B49,"IQ_CDS_mid",Q$2)</f>
        <v>56.908000000000001</v>
      </c>
      <c r="R49">
        <f ca="1">_xll.ciqfunctions.udf.CIQ($B49,"IQ_CDS_mid",R$2)</f>
        <v>54.971299999999999</v>
      </c>
      <c r="S49">
        <f ca="1">_xll.ciqfunctions.udf.CIQ($B49,"IQ_CDS_mid",S$2)</f>
        <v>56.726199999999999</v>
      </c>
      <c r="T49">
        <f t="shared" ca="1" si="14"/>
        <v>1.5457999999999998</v>
      </c>
      <c r="U49">
        <f t="shared" ca="1" si="15"/>
        <v>3.1510999999999996</v>
      </c>
      <c r="V49">
        <f t="shared" ca="1" si="16"/>
        <v>6.9540999999999968</v>
      </c>
      <c r="W49">
        <f t="shared" ca="1" si="17"/>
        <v>8.8907999999999987</v>
      </c>
      <c r="X49">
        <f t="shared" ca="1" si="13"/>
        <v>7.1358999999999995</v>
      </c>
    </row>
    <row r="50" spans="1:24" ht="15.5">
      <c r="A50" s="27" t="s">
        <v>146</v>
      </c>
      <c r="B50" s="25" t="s">
        <v>145</v>
      </c>
      <c r="C50">
        <f ca="1">_xll.ciqfunctions.udf.CIQ($B50,"IQ_CDS_mid",C$2)</f>
        <v>44.132100000000001</v>
      </c>
      <c r="D50">
        <f ca="1">_xll.ciqfunctions.udf.CIQ($B50,"IQ_CDS_mid",D$2)</f>
        <v>44.132100000000001</v>
      </c>
      <c r="E50">
        <f ca="1">_xll.ciqfunctions.udf.CIQ($B50,"IQ_CDS_mid",E$2)</f>
        <v>44.132100000000001</v>
      </c>
      <c r="F50">
        <f ca="1">_xll.ciqfunctions.udf.CIQ($B50,"IQ_CDS_mid",F$2)</f>
        <v>44.132100000000001</v>
      </c>
      <c r="G50">
        <f ca="1">_xll.ciqfunctions.udf.CIQ($B50,"IQ_CDS_mid",G$2)</f>
        <v>43.822000000000003</v>
      </c>
      <c r="H50">
        <f ca="1">_xll.ciqfunctions.udf.CIQ($B50,"IQ_CDS_mid",H$2)</f>
        <v>42.909300000000002</v>
      </c>
      <c r="I50">
        <f ca="1">_xll.ciqfunctions.udf.CIQ($B50,"IQ_CDS_mid",I$2)</f>
        <v>43.069699999999997</v>
      </c>
      <c r="J50">
        <f ca="1">_xll.ciqfunctions.udf.CIQ($B50,"IQ_CDS_mid",J$2)</f>
        <v>42.9054</v>
      </c>
      <c r="K50">
        <f ca="1">_xll.ciqfunctions.udf.CIQ($B50,"IQ_CDS_mid",K$2)</f>
        <v>42.084600000000002</v>
      </c>
      <c r="L50">
        <f ca="1">_xll.ciqfunctions.udf.CIQ($B50,"IQ_CDS_mid",L$2)</f>
        <v>42.084600000000002</v>
      </c>
      <c r="M50">
        <f ca="1">_xll.ciqfunctions.udf.CIQ($B50,"IQ_CDS_mid",M$2)</f>
        <v>42.084600000000002</v>
      </c>
      <c r="N50">
        <f ca="1">_xll.ciqfunctions.udf.CIQ($B50,"IQ_CDS_mid",N$2)</f>
        <v>41.613599999999998</v>
      </c>
      <c r="O50">
        <f ca="1">_xll.ciqfunctions.udf.CIQ($B50,"IQ_CDS_mid",O$2)</f>
        <v>40.6006</v>
      </c>
      <c r="P50">
        <f ca="1">_xll.ciqfunctions.udf.CIQ($B50,"IQ_CDS_mid",P$2)</f>
        <v>40.206299999999999</v>
      </c>
      <c r="Q50">
        <f ca="1">_xll.ciqfunctions.udf.CIQ($B50,"IQ_CDS_mid",Q$2)</f>
        <v>40.511499999999998</v>
      </c>
      <c r="R50">
        <f ca="1">_xll.ciqfunctions.udf.CIQ($B50,"IQ_CDS_mid",R$2)</f>
        <v>40.004199999999997</v>
      </c>
      <c r="S50">
        <f ca="1">_xll.ciqfunctions.udf.CIQ($B50,"IQ_CDS_mid",S$2)</f>
        <v>43.418799999999997</v>
      </c>
      <c r="T50">
        <f t="shared" ca="1" si="14"/>
        <v>1.2227999999999994</v>
      </c>
      <c r="U50">
        <f t="shared" ca="1" si="15"/>
        <v>2.0474999999999994</v>
      </c>
      <c r="V50">
        <f t="shared" ca="1" si="16"/>
        <v>3.6206000000000031</v>
      </c>
      <c r="W50">
        <f t="shared" ca="1" si="17"/>
        <v>4.1279000000000039</v>
      </c>
      <c r="X50">
        <f t="shared" ca="1" si="13"/>
        <v>0.71330000000000382</v>
      </c>
    </row>
    <row r="51" spans="1:24" ht="15.5">
      <c r="A51" s="27" t="s">
        <v>144</v>
      </c>
      <c r="B51" s="25" t="s">
        <v>143</v>
      </c>
      <c r="C51">
        <f ca="1">_xll.ciqfunctions.udf.CIQ($B51,"IQ_CDS_mid",C$2)</f>
        <v>62.0871</v>
      </c>
      <c r="D51">
        <f ca="1">_xll.ciqfunctions.udf.CIQ($B51,"IQ_CDS_mid",D$2)</f>
        <v>62.0871</v>
      </c>
      <c r="E51">
        <f ca="1">_xll.ciqfunctions.udf.CIQ($B51,"IQ_CDS_mid",E$2)</f>
        <v>62.0871</v>
      </c>
      <c r="F51">
        <f ca="1">_xll.ciqfunctions.udf.CIQ($B51,"IQ_CDS_mid",F$2)</f>
        <v>62.0871</v>
      </c>
      <c r="G51">
        <f ca="1">_xll.ciqfunctions.udf.CIQ($B51,"IQ_CDS_mid",G$2)</f>
        <v>62.341200000000001</v>
      </c>
      <c r="H51">
        <f ca="1">_xll.ciqfunctions.udf.CIQ($B51,"IQ_CDS_mid",H$2)</f>
        <v>61.427199999999999</v>
      </c>
      <c r="I51">
        <f ca="1">_xll.ciqfunctions.udf.CIQ($B51,"IQ_CDS_mid",I$2)</f>
        <v>61.068800000000003</v>
      </c>
      <c r="J51">
        <f ca="1">_xll.ciqfunctions.udf.CIQ($B51,"IQ_CDS_mid",J$2)</f>
        <v>61.290799999999997</v>
      </c>
      <c r="K51">
        <f ca="1">_xll.ciqfunctions.udf.CIQ($B51,"IQ_CDS_mid",K$2)</f>
        <v>60.404800000000002</v>
      </c>
      <c r="L51">
        <f ca="1">_xll.ciqfunctions.udf.CIQ($B51,"IQ_CDS_mid",L$2)</f>
        <v>60.404800000000002</v>
      </c>
      <c r="M51">
        <f ca="1">_xll.ciqfunctions.udf.CIQ($B51,"IQ_CDS_mid",M$2)</f>
        <v>60.404800000000002</v>
      </c>
      <c r="N51">
        <f ca="1">_xll.ciqfunctions.udf.CIQ($B51,"IQ_CDS_mid",N$2)</f>
        <v>59.534799999999997</v>
      </c>
      <c r="O51">
        <f ca="1">_xll.ciqfunctions.udf.CIQ($B51,"IQ_CDS_mid",O$2)</f>
        <v>57.5289</v>
      </c>
      <c r="P51">
        <f ca="1">_xll.ciqfunctions.udf.CIQ($B51,"IQ_CDS_mid",P$2)</f>
        <v>56.8125</v>
      </c>
      <c r="Q51">
        <f ca="1">_xll.ciqfunctions.udf.CIQ($B51,"IQ_CDS_mid",Q$2)</f>
        <v>56.919499999999999</v>
      </c>
      <c r="R51">
        <f ca="1">_xll.ciqfunctions.udf.CIQ($B51,"IQ_CDS_mid",R$2)</f>
        <v>53.423699999999997</v>
      </c>
      <c r="S51">
        <f ca="1">_xll.ciqfunctions.udf.CIQ($B51,"IQ_CDS_mid",S$2)</f>
        <v>58.916699999999999</v>
      </c>
      <c r="T51">
        <f t="shared" ca="1" si="14"/>
        <v>0.65990000000000038</v>
      </c>
      <c r="U51">
        <f t="shared" ca="1" si="15"/>
        <v>1.6822999999999979</v>
      </c>
      <c r="V51">
        <f t="shared" ca="1" si="16"/>
        <v>5.1676000000000002</v>
      </c>
      <c r="W51">
        <f t="shared" ca="1" si="17"/>
        <v>8.6634000000000029</v>
      </c>
      <c r="X51">
        <f t="shared" ca="1" si="13"/>
        <v>3.1704000000000008</v>
      </c>
    </row>
    <row r="52" spans="1:24" ht="15.5">
      <c r="A52" s="27" t="s">
        <v>14</v>
      </c>
      <c r="B52" s="25" t="s">
        <v>142</v>
      </c>
      <c r="C52">
        <f ca="1">_xll.ciqfunctions.udf.CIQ($B52,"IQ_CDS_mid",C$2)</f>
        <v>64.267499999999998</v>
      </c>
      <c r="D52">
        <f ca="1">_xll.ciqfunctions.udf.CIQ($B52,"IQ_CDS_mid",D$2)</f>
        <v>64.267499999999998</v>
      </c>
      <c r="E52">
        <f ca="1">_xll.ciqfunctions.udf.CIQ($B52,"IQ_CDS_mid",E$2)</f>
        <v>64.267499999999998</v>
      </c>
      <c r="F52">
        <f ca="1">_xll.ciqfunctions.udf.CIQ($B52,"IQ_CDS_mid",F$2)</f>
        <v>64.267499999999998</v>
      </c>
      <c r="G52">
        <f ca="1">_xll.ciqfunctions.udf.CIQ($B52,"IQ_CDS_mid",G$2)</f>
        <v>64.857299999999995</v>
      </c>
      <c r="H52">
        <f ca="1">_xll.ciqfunctions.udf.CIQ($B52,"IQ_CDS_mid",H$2)</f>
        <v>63.8005</v>
      </c>
      <c r="I52">
        <f ca="1">_xll.ciqfunctions.udf.CIQ($B52,"IQ_CDS_mid",I$2)</f>
        <v>63.848700000000001</v>
      </c>
      <c r="J52">
        <f ca="1">_xll.ciqfunctions.udf.CIQ($B52,"IQ_CDS_mid",J$2)</f>
        <v>63.802</v>
      </c>
      <c r="K52">
        <f ca="1">_xll.ciqfunctions.udf.CIQ($B52,"IQ_CDS_mid",K$2)</f>
        <v>62.5867</v>
      </c>
      <c r="L52">
        <f ca="1">_xll.ciqfunctions.udf.CIQ($B52,"IQ_CDS_mid",L$2)</f>
        <v>62.5867</v>
      </c>
      <c r="M52">
        <f ca="1">_xll.ciqfunctions.udf.CIQ($B52,"IQ_CDS_mid",M$2)</f>
        <v>62.5867</v>
      </c>
      <c r="N52">
        <f ca="1">_xll.ciqfunctions.udf.CIQ($B52,"IQ_CDS_mid",N$2)</f>
        <v>62.155200000000001</v>
      </c>
      <c r="O52">
        <f ca="1">_xll.ciqfunctions.udf.CIQ($B52,"IQ_CDS_mid",O$2)</f>
        <v>59.691699999999997</v>
      </c>
      <c r="P52">
        <f ca="1">_xll.ciqfunctions.udf.CIQ($B52,"IQ_CDS_mid",P$2)</f>
        <v>58.833300000000001</v>
      </c>
      <c r="Q52">
        <f ca="1">_xll.ciqfunctions.udf.CIQ($B52,"IQ_CDS_mid",Q$2)</f>
        <v>58.945900000000002</v>
      </c>
      <c r="R52">
        <f ca="1">_xll.ciqfunctions.udf.CIQ($B52,"IQ_CDS_mid",R$2)</f>
        <v>55.0839</v>
      </c>
      <c r="S52">
        <f ca="1">_xll.ciqfunctions.udf.CIQ($B52,"IQ_CDS_mid",S$2)</f>
        <v>54.646299999999997</v>
      </c>
      <c r="T52">
        <f t="shared" ca="1" si="14"/>
        <v>0.46699999999999875</v>
      </c>
      <c r="U52">
        <f t="shared" ca="1" si="15"/>
        <v>1.6807999999999979</v>
      </c>
      <c r="V52">
        <f t="shared" ca="1" si="16"/>
        <v>5.3215999999999966</v>
      </c>
      <c r="W52">
        <f t="shared" ca="1" si="17"/>
        <v>9.1835999999999984</v>
      </c>
      <c r="X52">
        <f t="shared" ca="1" si="13"/>
        <v>9.6212000000000018</v>
      </c>
    </row>
    <row r="53" spans="1:24" ht="15.5">
      <c r="A53" s="27" t="s">
        <v>15</v>
      </c>
      <c r="B53" s="25" t="s">
        <v>141</v>
      </c>
      <c r="C53">
        <f ca="1">_xll.ciqfunctions.udf.CIQ($B53,"IQ_CDS_mid",C$2)</f>
        <v>56.6584</v>
      </c>
      <c r="D53">
        <f ca="1">_xll.ciqfunctions.udf.CIQ($B53,"IQ_CDS_mid",D$2)</f>
        <v>56.6584</v>
      </c>
      <c r="E53">
        <f ca="1">_xll.ciqfunctions.udf.CIQ($B53,"IQ_CDS_mid",E$2)</f>
        <v>56.6584</v>
      </c>
      <c r="F53">
        <f ca="1">_xll.ciqfunctions.udf.CIQ($B53,"IQ_CDS_mid",F$2)</f>
        <v>56.6584</v>
      </c>
      <c r="G53">
        <f ca="1">_xll.ciqfunctions.udf.CIQ($B53,"IQ_CDS_mid",G$2)</f>
        <v>57.1496</v>
      </c>
      <c r="H53">
        <f ca="1">_xll.ciqfunctions.udf.CIQ($B53,"IQ_CDS_mid",H$2)</f>
        <v>56.0959</v>
      </c>
      <c r="I53">
        <f ca="1">_xll.ciqfunctions.udf.CIQ($B53,"IQ_CDS_mid",I$2)</f>
        <v>55.847700000000003</v>
      </c>
      <c r="J53">
        <f ca="1">_xll.ciqfunctions.udf.CIQ($B53,"IQ_CDS_mid",J$2)</f>
        <v>55.373699999999999</v>
      </c>
      <c r="K53">
        <f ca="1">_xll.ciqfunctions.udf.CIQ($B53,"IQ_CDS_mid",K$2)</f>
        <v>54.606900000000003</v>
      </c>
      <c r="L53">
        <f ca="1">_xll.ciqfunctions.udf.CIQ($B53,"IQ_CDS_mid",L$2)</f>
        <v>54.606900000000003</v>
      </c>
      <c r="M53">
        <f ca="1">_xll.ciqfunctions.udf.CIQ($B53,"IQ_CDS_mid",M$2)</f>
        <v>54.606900000000003</v>
      </c>
      <c r="N53">
        <f ca="1">_xll.ciqfunctions.udf.CIQ($B53,"IQ_CDS_mid",N$2)</f>
        <v>53.794899999999998</v>
      </c>
      <c r="O53">
        <f ca="1">_xll.ciqfunctions.udf.CIQ($B53,"IQ_CDS_mid",O$2)</f>
        <v>51.862299999999998</v>
      </c>
      <c r="P53">
        <f ca="1">_xll.ciqfunctions.udf.CIQ($B53,"IQ_CDS_mid",P$2)</f>
        <v>50.631399999999999</v>
      </c>
      <c r="Q53">
        <f ca="1">_xll.ciqfunctions.udf.CIQ($B53,"IQ_CDS_mid",Q$2)</f>
        <v>50.285699999999999</v>
      </c>
      <c r="R53">
        <f ca="1">_xll.ciqfunctions.udf.CIQ($B53,"IQ_CDS_mid",R$2)</f>
        <v>48.384700000000002</v>
      </c>
      <c r="S53">
        <f ca="1">_xll.ciqfunctions.udf.CIQ($B53,"IQ_CDS_mid",S$2)</f>
        <v>49.416699999999999</v>
      </c>
      <c r="T53">
        <f t="shared" ca="1" si="14"/>
        <v>0.5625</v>
      </c>
      <c r="U53">
        <f t="shared" ca="1" si="15"/>
        <v>2.0514999999999972</v>
      </c>
      <c r="V53">
        <f t="shared" ca="1" si="16"/>
        <v>6.3727000000000018</v>
      </c>
      <c r="W53">
        <f t="shared" ca="1" si="17"/>
        <v>8.2736999999999981</v>
      </c>
      <c r="X53">
        <f t="shared" ca="1" si="13"/>
        <v>7.2417000000000016</v>
      </c>
    </row>
    <row r="54" spans="1:24" ht="15.5">
      <c r="A54" s="27" t="s">
        <v>140</v>
      </c>
      <c r="B54" s="25" t="s">
        <v>139</v>
      </c>
      <c r="C54">
        <f ca="1">_xll.ciqfunctions.udf.CIQ($B54,"IQ_CDS_mid",C$2)</f>
        <v>58.5214</v>
      </c>
      <c r="D54">
        <f ca="1">_xll.ciqfunctions.udf.CIQ($B54,"IQ_CDS_mid",D$2)</f>
        <v>58.5214</v>
      </c>
      <c r="E54">
        <f ca="1">_xll.ciqfunctions.udf.CIQ($B54,"IQ_CDS_mid",E$2)</f>
        <v>58.5214</v>
      </c>
      <c r="F54">
        <f ca="1">_xll.ciqfunctions.udf.CIQ($B54,"IQ_CDS_mid",F$2)</f>
        <v>58.5214</v>
      </c>
      <c r="G54">
        <f ca="1">_xll.ciqfunctions.udf.CIQ($B54,"IQ_CDS_mid",G$2)</f>
        <v>58.897500000000001</v>
      </c>
      <c r="H54">
        <f ca="1">_xll.ciqfunctions.udf.CIQ($B54,"IQ_CDS_mid",H$2)</f>
        <v>57.358699999999999</v>
      </c>
      <c r="I54">
        <f ca="1">_xll.ciqfunctions.udf.CIQ($B54,"IQ_CDS_mid",I$2)</f>
        <v>57.470599999999997</v>
      </c>
      <c r="J54">
        <f ca="1">_xll.ciqfunctions.udf.CIQ($B54,"IQ_CDS_mid",J$2)</f>
        <v>57.279000000000003</v>
      </c>
      <c r="K54">
        <f ca="1">_xll.ciqfunctions.udf.CIQ($B54,"IQ_CDS_mid",K$2)</f>
        <v>55.901000000000003</v>
      </c>
      <c r="L54">
        <f ca="1">_xll.ciqfunctions.udf.CIQ($B54,"IQ_CDS_mid",L$2)</f>
        <v>55.901000000000003</v>
      </c>
      <c r="M54">
        <f ca="1">_xll.ciqfunctions.udf.CIQ($B54,"IQ_CDS_mid",M$2)</f>
        <v>55.901000000000003</v>
      </c>
      <c r="N54">
        <f ca="1">_xll.ciqfunctions.udf.CIQ($B54,"IQ_CDS_mid",N$2)</f>
        <v>54.589599999999997</v>
      </c>
      <c r="O54">
        <f ca="1">_xll.ciqfunctions.udf.CIQ($B54,"IQ_CDS_mid",O$2)</f>
        <v>52.900100000000002</v>
      </c>
      <c r="P54">
        <f ca="1">_xll.ciqfunctions.udf.CIQ($B54,"IQ_CDS_mid",P$2)</f>
        <v>51.531500000000001</v>
      </c>
      <c r="Q54">
        <f ca="1">_xll.ciqfunctions.udf.CIQ($B54,"IQ_CDS_mid",Q$2)</f>
        <v>51.227800000000002</v>
      </c>
      <c r="R54">
        <f ca="1">_xll.ciqfunctions.udf.CIQ($B54,"IQ_CDS_mid",R$2)</f>
        <v>51.494900000000001</v>
      </c>
      <c r="S54">
        <f ca="1">_xll.ciqfunctions.udf.CIQ($B54,"IQ_CDS_mid",S$2)</f>
        <v>51.0946</v>
      </c>
      <c r="T54">
        <f t="shared" ca="1" si="14"/>
        <v>1.162700000000001</v>
      </c>
      <c r="U54">
        <f t="shared" ca="1" si="15"/>
        <v>2.6203999999999965</v>
      </c>
      <c r="V54">
        <f t="shared" ca="1" si="16"/>
        <v>7.2935999999999979</v>
      </c>
      <c r="W54">
        <f t="shared" ca="1" si="17"/>
        <v>7.0264999999999986</v>
      </c>
      <c r="X54">
        <f t="shared" ca="1" si="13"/>
        <v>7.4268000000000001</v>
      </c>
    </row>
    <row r="55" spans="1:24" ht="15.5">
      <c r="A55" s="28" t="s">
        <v>17</v>
      </c>
      <c r="X55">
        <f t="shared" si="13"/>
        <v>0</v>
      </c>
    </row>
    <row r="56" spans="1:24" ht="15.5">
      <c r="A56" s="27" t="s">
        <v>18</v>
      </c>
      <c r="B56" s="25" t="s">
        <v>138</v>
      </c>
      <c r="C56">
        <f ca="1">_xll.ciqfunctions.udf.CIQ($B56,"IQ_CDS_mid",C$2)</f>
        <v>67.209800000000001</v>
      </c>
      <c r="D56">
        <f ca="1">_xll.ciqfunctions.udf.CIQ($B56,"IQ_CDS_mid",D$2)</f>
        <v>67.209800000000001</v>
      </c>
      <c r="E56">
        <f ca="1">_xll.ciqfunctions.udf.CIQ($B56,"IQ_CDS_mid",E$2)</f>
        <v>67.209800000000001</v>
      </c>
      <c r="F56">
        <f ca="1">_xll.ciqfunctions.udf.CIQ($B56,"IQ_CDS_mid",F$2)</f>
        <v>67.209800000000001</v>
      </c>
      <c r="G56">
        <f ca="1">_xll.ciqfunctions.udf.CIQ($B56,"IQ_CDS_mid",G$2)</f>
        <v>64.640199999999993</v>
      </c>
      <c r="H56">
        <f ca="1">_xll.ciqfunctions.udf.CIQ($B56,"IQ_CDS_mid",H$2)</f>
        <v>61.835299999999997</v>
      </c>
      <c r="I56">
        <f ca="1">_xll.ciqfunctions.udf.CIQ($B56,"IQ_CDS_mid",I$2)</f>
        <v>58.8172</v>
      </c>
      <c r="J56">
        <f ca="1">_xll.ciqfunctions.udf.CIQ($B56,"IQ_CDS_mid",J$2)</f>
        <v>57.873699999999999</v>
      </c>
      <c r="K56">
        <f ca="1">_xll.ciqfunctions.udf.CIQ($B56,"IQ_CDS_mid",K$2)</f>
        <v>56.705500000000001</v>
      </c>
      <c r="L56">
        <f ca="1">_xll.ciqfunctions.udf.CIQ($B56,"IQ_CDS_mid",L$2)</f>
        <v>56.705500000000001</v>
      </c>
      <c r="M56">
        <f ca="1">_xll.ciqfunctions.udf.CIQ($B56,"IQ_CDS_mid",M$2)</f>
        <v>56.705500000000001</v>
      </c>
      <c r="N56">
        <f ca="1">_xll.ciqfunctions.udf.CIQ($B56,"IQ_CDS_mid",N$2)</f>
        <v>56.4482</v>
      </c>
      <c r="O56">
        <f ca="1">_xll.ciqfunctions.udf.CIQ($B56,"IQ_CDS_mid",O$2)</f>
        <v>54.187899999999999</v>
      </c>
      <c r="P56">
        <f ca="1">_xll.ciqfunctions.udf.CIQ($B56,"IQ_CDS_mid",P$2)</f>
        <v>52.555100000000003</v>
      </c>
      <c r="Q56">
        <f ca="1">_xll.ciqfunctions.udf.CIQ($B56,"IQ_CDS_mid",Q$2)</f>
        <v>50.959200000000003</v>
      </c>
      <c r="R56">
        <f ca="1">_xll.ciqfunctions.udf.CIQ($B56,"IQ_CDS_mid",R$2)</f>
        <v>41.215299999999999</v>
      </c>
      <c r="S56">
        <f ca="1">_xll.ciqfunctions.udf.CIQ($B56,"IQ_CDS_mid",S$2)</f>
        <v>45.244300000000003</v>
      </c>
      <c r="T56">
        <f ca="1">C56-H56</f>
        <v>5.3745000000000047</v>
      </c>
      <c r="U56">
        <f ca="1">C56-M56</f>
        <v>10.504300000000001</v>
      </c>
      <c r="V56">
        <f ca="1">C56-Q56</f>
        <v>16.250599999999999</v>
      </c>
      <c r="W56">
        <f ca="1">C56-R56</f>
        <v>25.994500000000002</v>
      </c>
      <c r="X56">
        <f t="shared" ca="1" si="13"/>
        <v>21.965499999999999</v>
      </c>
    </row>
    <row r="57" spans="1:24" ht="15.5">
      <c r="A57" s="27" t="s">
        <v>19</v>
      </c>
      <c r="B57" s="25" t="s">
        <v>137</v>
      </c>
      <c r="C57">
        <f ca="1">_xll.ciqfunctions.udf.CIQ($B57,"IQ_CDS_mid",C$2)</f>
        <v>62.359099999999998</v>
      </c>
      <c r="D57">
        <f ca="1">_xll.ciqfunctions.udf.CIQ($B57,"IQ_CDS_mid",D$2)</f>
        <v>62.359099999999998</v>
      </c>
      <c r="E57">
        <f ca="1">_xll.ciqfunctions.udf.CIQ($B57,"IQ_CDS_mid",E$2)</f>
        <v>62.359099999999998</v>
      </c>
      <c r="F57">
        <f ca="1">_xll.ciqfunctions.udf.CIQ($B57,"IQ_CDS_mid",F$2)</f>
        <v>62.359099999999998</v>
      </c>
      <c r="G57">
        <f ca="1">_xll.ciqfunctions.udf.CIQ($B57,"IQ_CDS_mid",G$2)</f>
        <v>60.209800000000001</v>
      </c>
      <c r="H57">
        <f ca="1">_xll.ciqfunctions.udf.CIQ($B57,"IQ_CDS_mid",H$2)</f>
        <v>56.609400000000001</v>
      </c>
      <c r="I57">
        <f ca="1">_xll.ciqfunctions.udf.CIQ($B57,"IQ_CDS_mid",I$2)</f>
        <v>53.242400000000004</v>
      </c>
      <c r="J57">
        <f ca="1">_xll.ciqfunctions.udf.CIQ($B57,"IQ_CDS_mid",J$2)</f>
        <v>52.603900000000003</v>
      </c>
      <c r="K57">
        <f ca="1">_xll.ciqfunctions.udf.CIQ($B57,"IQ_CDS_mid",K$2)</f>
        <v>51.606699999999996</v>
      </c>
      <c r="L57">
        <f ca="1">_xll.ciqfunctions.udf.CIQ($B57,"IQ_CDS_mid",L$2)</f>
        <v>51.606699999999996</v>
      </c>
      <c r="M57">
        <f ca="1">_xll.ciqfunctions.udf.CIQ($B57,"IQ_CDS_mid",M$2)</f>
        <v>51.606699999999996</v>
      </c>
      <c r="N57">
        <f ca="1">_xll.ciqfunctions.udf.CIQ($B57,"IQ_CDS_mid",N$2)</f>
        <v>50.823099999999997</v>
      </c>
      <c r="O57">
        <f ca="1">_xll.ciqfunctions.udf.CIQ($B57,"IQ_CDS_mid",O$2)</f>
        <v>48.927999999999997</v>
      </c>
      <c r="P57">
        <f ca="1">_xll.ciqfunctions.udf.CIQ($B57,"IQ_CDS_mid",P$2)</f>
        <v>46.971400000000003</v>
      </c>
      <c r="Q57">
        <f ca="1">_xll.ciqfunctions.udf.CIQ($B57,"IQ_CDS_mid",Q$2)</f>
        <v>45.073799999999999</v>
      </c>
      <c r="R57">
        <f ca="1">_xll.ciqfunctions.udf.CIQ($B57,"IQ_CDS_mid",R$2)</f>
        <v>33.676699999999997</v>
      </c>
      <c r="S57">
        <f ca="1">_xll.ciqfunctions.udf.CIQ($B57,"IQ_CDS_mid",S$2)</f>
        <v>42</v>
      </c>
      <c r="T57">
        <f ca="1">C57-H57</f>
        <v>5.7496999999999971</v>
      </c>
      <c r="U57">
        <f ca="1">C57-M57</f>
        <v>10.752400000000002</v>
      </c>
      <c r="V57">
        <f ca="1">C57-Q57</f>
        <v>17.285299999999999</v>
      </c>
      <c r="W57">
        <f ca="1">C57-R57</f>
        <v>28.682400000000001</v>
      </c>
      <c r="X57">
        <f t="shared" ca="1" si="13"/>
        <v>20.359099999999998</v>
      </c>
    </row>
    <row r="58" spans="1:24" ht="15.5">
      <c r="A58" s="27" t="s">
        <v>136</v>
      </c>
      <c r="B58" s="25" t="s">
        <v>135</v>
      </c>
      <c r="C58">
        <f ca="1">_xll.ciqfunctions.udf.CIQ($B58,"IQ_CDS_mid",C$2)</f>
        <v>69.680899999999994</v>
      </c>
      <c r="D58">
        <f ca="1">_xll.ciqfunctions.udf.CIQ($B58,"IQ_CDS_mid",D$2)</f>
        <v>69.680899999999994</v>
      </c>
      <c r="E58">
        <f ca="1">_xll.ciqfunctions.udf.CIQ($B58,"IQ_CDS_mid",E$2)</f>
        <v>69.680899999999994</v>
      </c>
      <c r="F58">
        <f ca="1">_xll.ciqfunctions.udf.CIQ($B58,"IQ_CDS_mid",F$2)</f>
        <v>69.680899999999994</v>
      </c>
      <c r="G58">
        <f ca="1">_xll.ciqfunctions.udf.CIQ($B58,"IQ_CDS_mid",G$2)</f>
        <v>66.876800000000003</v>
      </c>
      <c r="H58">
        <f ca="1">_xll.ciqfunctions.udf.CIQ($B58,"IQ_CDS_mid",H$2)</f>
        <v>63.639200000000002</v>
      </c>
      <c r="I58">
        <f ca="1">_xll.ciqfunctions.udf.CIQ($B58,"IQ_CDS_mid",I$2)</f>
        <v>60.211500000000001</v>
      </c>
      <c r="J58">
        <f ca="1">_xll.ciqfunctions.udf.CIQ($B58,"IQ_CDS_mid",J$2)</f>
        <v>59.587600000000002</v>
      </c>
      <c r="K58">
        <f ca="1">_xll.ciqfunctions.udf.CIQ($B58,"IQ_CDS_mid",K$2)</f>
        <v>58.639000000000003</v>
      </c>
      <c r="L58">
        <f ca="1">_xll.ciqfunctions.udf.CIQ($B58,"IQ_CDS_mid",L$2)</f>
        <v>58.639000000000003</v>
      </c>
      <c r="M58">
        <f ca="1">_xll.ciqfunctions.udf.CIQ($B58,"IQ_CDS_mid",M$2)</f>
        <v>58.639000000000003</v>
      </c>
      <c r="N58">
        <f ca="1">_xll.ciqfunctions.udf.CIQ($B58,"IQ_CDS_mid",N$2)</f>
        <v>57.971499999999999</v>
      </c>
      <c r="O58">
        <f ca="1">_xll.ciqfunctions.udf.CIQ($B58,"IQ_CDS_mid",O$2)</f>
        <v>55.921799999999998</v>
      </c>
      <c r="P58">
        <f ca="1">_xll.ciqfunctions.udf.CIQ($B58,"IQ_CDS_mid",P$2)</f>
        <v>54.758699999999997</v>
      </c>
      <c r="Q58">
        <f ca="1">_xll.ciqfunctions.udf.CIQ($B58,"IQ_CDS_mid",Q$2)</f>
        <v>53.4375</v>
      </c>
      <c r="R58">
        <f ca="1">_xll.ciqfunctions.udf.CIQ($B58,"IQ_CDS_mid",R$2)</f>
        <v>41.484999999999999</v>
      </c>
      <c r="S58">
        <f ca="1">_xll.ciqfunctions.udf.CIQ($B58,"IQ_CDS_mid",S$2)</f>
        <v>52.651200000000003</v>
      </c>
      <c r="T58">
        <f ca="1">C58-H58</f>
        <v>6.0416999999999916</v>
      </c>
      <c r="U58">
        <f ca="1">C58-M58</f>
        <v>11.041899999999991</v>
      </c>
      <c r="V58">
        <f ca="1">C58-Q58</f>
        <v>16.243399999999994</v>
      </c>
      <c r="W58">
        <f ca="1">C58-R58</f>
        <v>28.195899999999995</v>
      </c>
      <c r="X58">
        <f t="shared" ca="1" si="13"/>
        <v>17.029699999999991</v>
      </c>
    </row>
    <row r="59" spans="1:24" ht="15.5">
      <c r="A59" s="28" t="s">
        <v>21</v>
      </c>
      <c r="X59">
        <f t="shared" si="13"/>
        <v>0</v>
      </c>
    </row>
    <row r="60" spans="1:24" ht="15.5">
      <c r="A60" s="27" t="s">
        <v>134</v>
      </c>
      <c r="B60" s="25" t="s">
        <v>133</v>
      </c>
      <c r="C60">
        <f ca="1">_xll.ciqfunctions.udf.CIQ($B60,"IQ_CDS_mid",C$2)</f>
        <v>57.523899999999998</v>
      </c>
      <c r="D60">
        <f ca="1">_xll.ciqfunctions.udf.CIQ($B60,"IQ_CDS_mid",D$2)</f>
        <v>57.523899999999998</v>
      </c>
      <c r="E60">
        <f ca="1">_xll.ciqfunctions.udf.CIQ($B60,"IQ_CDS_mid",E$2)</f>
        <v>57.523899999999998</v>
      </c>
      <c r="F60">
        <f ca="1">_xll.ciqfunctions.udf.CIQ($B60,"IQ_CDS_mid",F$2)</f>
        <v>57.523899999999998</v>
      </c>
      <c r="G60">
        <f ca="1">_xll.ciqfunctions.udf.CIQ($B60,"IQ_CDS_mid",G$2)</f>
        <v>56.662399999999998</v>
      </c>
      <c r="H60">
        <f ca="1">_xll.ciqfunctions.udf.CIQ($B60,"IQ_CDS_mid",H$2)</f>
        <v>54.859400000000001</v>
      </c>
      <c r="I60">
        <f ca="1">_xll.ciqfunctions.udf.CIQ($B60,"IQ_CDS_mid",I$2)</f>
        <v>54.014400000000002</v>
      </c>
      <c r="J60">
        <f ca="1">_xll.ciqfunctions.udf.CIQ($B60,"IQ_CDS_mid",J$2)</f>
        <v>53.390500000000003</v>
      </c>
      <c r="K60">
        <f ca="1">_xll.ciqfunctions.udf.CIQ($B60,"IQ_CDS_mid",K$2)</f>
        <v>51.886699999999998</v>
      </c>
      <c r="L60">
        <f ca="1">_xll.ciqfunctions.udf.CIQ($B60,"IQ_CDS_mid",L$2)</f>
        <v>51.886699999999998</v>
      </c>
      <c r="M60">
        <f ca="1">_xll.ciqfunctions.udf.CIQ($B60,"IQ_CDS_mid",M$2)</f>
        <v>51.886699999999998</v>
      </c>
      <c r="N60">
        <f ca="1">_xll.ciqfunctions.udf.CIQ($B60,"IQ_CDS_mid",N$2)</f>
        <v>51.653300000000002</v>
      </c>
      <c r="O60">
        <f ca="1">_xll.ciqfunctions.udf.CIQ($B60,"IQ_CDS_mid",O$2)</f>
        <v>50.640799999999999</v>
      </c>
      <c r="P60">
        <f ca="1">_xll.ciqfunctions.udf.CIQ($B60,"IQ_CDS_mid",P$2)</f>
        <v>50.320799999999998</v>
      </c>
      <c r="Q60">
        <f ca="1">_xll.ciqfunctions.udf.CIQ($B60,"IQ_CDS_mid",Q$2)</f>
        <v>50.388199999999998</v>
      </c>
      <c r="R60">
        <f ca="1">_xll.ciqfunctions.udf.CIQ($B60,"IQ_CDS_mid",R$2)</f>
        <v>46.636299999999999</v>
      </c>
      <c r="S60">
        <f ca="1">_xll.ciqfunctions.udf.CIQ($B60,"IQ_CDS_mid",S$2)</f>
        <v>48.9</v>
      </c>
      <c r="T60">
        <f ca="1">C60-H60</f>
        <v>2.6644999999999968</v>
      </c>
      <c r="U60">
        <f ca="1">C60-M60</f>
        <v>5.6372</v>
      </c>
      <c r="V60">
        <f ca="1">C60-Q60</f>
        <v>7.1356999999999999</v>
      </c>
      <c r="W60">
        <f ca="1">C60-R60</f>
        <v>10.887599999999999</v>
      </c>
      <c r="X60">
        <f t="shared" ca="1" si="13"/>
        <v>8.623899999999999</v>
      </c>
    </row>
    <row r="61" spans="1:24" ht="15.5">
      <c r="A61" s="27" t="s">
        <v>132</v>
      </c>
      <c r="B61" s="25" t="s">
        <v>131</v>
      </c>
      <c r="C61">
        <f ca="1">_xll.ciqfunctions.udf.CIQ($B61,"IQ_CDS_mid",C$2)</f>
        <v>0</v>
      </c>
      <c r="D61">
        <f ca="1">_xll.ciqfunctions.udf.CIQ($B61,"IQ_CDS_mid",D$2)</f>
        <v>0</v>
      </c>
      <c r="E61">
        <f ca="1">_xll.ciqfunctions.udf.CIQ($B61,"IQ_CDS_mid",E$2)</f>
        <v>0</v>
      </c>
      <c r="F61">
        <f ca="1">_xll.ciqfunctions.udf.CIQ($B61,"IQ_CDS_mid",F$2)</f>
        <v>0</v>
      </c>
      <c r="G61">
        <f ca="1">_xll.ciqfunctions.udf.CIQ($B61,"IQ_CDS_mid",G$2)</f>
        <v>0</v>
      </c>
      <c r="H61">
        <f ca="1">_xll.ciqfunctions.udf.CIQ($B61,"IQ_CDS_mid",H$2)</f>
        <v>0</v>
      </c>
      <c r="I61">
        <f ca="1">_xll.ciqfunctions.udf.CIQ($B61,"IQ_CDS_mid",I$2)</f>
        <v>0</v>
      </c>
      <c r="J61">
        <f ca="1">_xll.ciqfunctions.udf.CIQ($B61,"IQ_CDS_mid",J$2)</f>
        <v>0</v>
      </c>
      <c r="K61">
        <f ca="1">_xll.ciqfunctions.udf.CIQ($B61,"IQ_CDS_mid",K$2)</f>
        <v>0</v>
      </c>
      <c r="L61">
        <f ca="1">_xll.ciqfunctions.udf.CIQ($B61,"IQ_CDS_mid",L$2)</f>
        <v>0</v>
      </c>
      <c r="M61">
        <f ca="1">_xll.ciqfunctions.udf.CIQ($B61,"IQ_CDS_mid",M$2)</f>
        <v>0</v>
      </c>
      <c r="N61">
        <f ca="1">_xll.ciqfunctions.udf.CIQ($B61,"IQ_CDS_mid",N$2)</f>
        <v>0</v>
      </c>
      <c r="O61">
        <f ca="1">_xll.ciqfunctions.udf.CIQ($B61,"IQ_CDS_mid",O$2)</f>
        <v>0</v>
      </c>
      <c r="P61">
        <f ca="1">_xll.ciqfunctions.udf.CIQ($B61,"IQ_CDS_mid",P$2)</f>
        <v>0</v>
      </c>
      <c r="Q61">
        <f ca="1">_xll.ciqfunctions.udf.CIQ($B61,"IQ_CDS_mid",Q$2)</f>
        <v>0</v>
      </c>
      <c r="R61">
        <f ca="1">_xll.ciqfunctions.udf.CIQ($B61,"IQ_CDS_mid",R$2)</f>
        <v>0</v>
      </c>
      <c r="S61">
        <f ca="1">_xll.ciqfunctions.udf.CIQ($B61,"IQ_CDS_mid",S$2)</f>
        <v>0</v>
      </c>
      <c r="T61">
        <f ca="1">C61-H61</f>
        <v>0</v>
      </c>
      <c r="U61">
        <f ca="1">C61-M61</f>
        <v>0</v>
      </c>
      <c r="V61">
        <f ca="1">C61-Q61</f>
        <v>0</v>
      </c>
      <c r="W61">
        <f ca="1">C61-R61</f>
        <v>0</v>
      </c>
      <c r="X61">
        <f t="shared" ca="1" si="13"/>
        <v>0</v>
      </c>
    </row>
    <row r="62" spans="1:24" ht="15.5">
      <c r="A62" s="28" t="s">
        <v>23</v>
      </c>
      <c r="X62">
        <f t="shared" si="13"/>
        <v>0</v>
      </c>
    </row>
    <row r="63" spans="1:24" ht="15.5">
      <c r="A63" s="27" t="s">
        <v>24</v>
      </c>
      <c r="B63" s="25" t="s">
        <v>130</v>
      </c>
      <c r="C63">
        <f ca="1">_xll.ciqfunctions.udf.CIQ($B63,"IQ_CDS_mid",C$2)</f>
        <v>73.325699999999998</v>
      </c>
      <c r="D63">
        <f ca="1">_xll.ciqfunctions.udf.CIQ($B63,"IQ_CDS_mid",D$2)</f>
        <v>73.325699999999998</v>
      </c>
      <c r="E63">
        <f ca="1">_xll.ciqfunctions.udf.CIQ($B63,"IQ_CDS_mid",E$2)</f>
        <v>73.325699999999998</v>
      </c>
      <c r="F63">
        <f ca="1">_xll.ciqfunctions.udf.CIQ($B63,"IQ_CDS_mid",F$2)</f>
        <v>73.325699999999998</v>
      </c>
      <c r="G63">
        <f ca="1">_xll.ciqfunctions.udf.CIQ($B63,"IQ_CDS_mid",G$2)</f>
        <v>72.549700000000001</v>
      </c>
      <c r="H63">
        <f ca="1">_xll.ciqfunctions.udf.CIQ($B63,"IQ_CDS_mid",H$2)</f>
        <v>68.306399999999996</v>
      </c>
      <c r="I63">
        <f ca="1">_xll.ciqfunctions.udf.CIQ($B63,"IQ_CDS_mid",I$2)</f>
        <v>67.442899999999995</v>
      </c>
      <c r="J63">
        <f ca="1">_xll.ciqfunctions.udf.CIQ($B63,"IQ_CDS_mid",J$2)</f>
        <v>66.965500000000006</v>
      </c>
      <c r="K63">
        <f ca="1">_xll.ciqfunctions.udf.CIQ($B63,"IQ_CDS_mid",K$2)</f>
        <v>64.723100000000002</v>
      </c>
      <c r="L63">
        <f ca="1">_xll.ciqfunctions.udf.CIQ($B63,"IQ_CDS_mid",L$2)</f>
        <v>64.723100000000002</v>
      </c>
      <c r="M63">
        <f ca="1">_xll.ciqfunctions.udf.CIQ($B63,"IQ_CDS_mid",M$2)</f>
        <v>64.723100000000002</v>
      </c>
      <c r="N63">
        <f ca="1">_xll.ciqfunctions.udf.CIQ($B63,"IQ_CDS_mid",N$2)</f>
        <v>64.444800000000001</v>
      </c>
      <c r="O63">
        <f ca="1">_xll.ciqfunctions.udf.CIQ($B63,"IQ_CDS_mid",O$2)</f>
        <v>63.092799999999997</v>
      </c>
      <c r="P63">
        <f ca="1">_xll.ciqfunctions.udf.CIQ($B63,"IQ_CDS_mid",P$2)</f>
        <v>62.152999999999999</v>
      </c>
      <c r="Q63">
        <f ca="1">_xll.ciqfunctions.udf.CIQ($B63,"IQ_CDS_mid",Q$2)</f>
        <v>62.031799999999997</v>
      </c>
      <c r="R63">
        <f ca="1">_xll.ciqfunctions.udf.CIQ($B63,"IQ_CDS_mid",R$2)</f>
        <v>61.542900000000003</v>
      </c>
      <c r="S63">
        <f ca="1">_xll.ciqfunctions.udf.CIQ($B63,"IQ_CDS_mid",S$2)</f>
        <v>68.438800000000001</v>
      </c>
      <c r="T63">
        <f ca="1">C63-H63</f>
        <v>5.0193000000000012</v>
      </c>
      <c r="U63">
        <f ca="1">C63-M63</f>
        <v>8.6025999999999954</v>
      </c>
      <c r="V63">
        <f ca="1">C63-Q63</f>
        <v>11.293900000000001</v>
      </c>
      <c r="W63">
        <f ca="1">C63-R63</f>
        <v>11.782799999999995</v>
      </c>
      <c r="X63">
        <f t="shared" ca="1" si="13"/>
        <v>4.8868999999999971</v>
      </c>
    </row>
    <row r="64" spans="1:24" ht="15.5">
      <c r="A64" s="27" t="s">
        <v>25</v>
      </c>
      <c r="B64" s="25" t="s">
        <v>129</v>
      </c>
      <c r="C64">
        <f ca="1">_xll.ciqfunctions.udf.CIQ($B64,"IQ_CDS_mid",C$2)</f>
        <v>49.660699999999999</v>
      </c>
      <c r="D64">
        <f ca="1">_xll.ciqfunctions.udf.CIQ($B64,"IQ_CDS_mid",D$2)</f>
        <v>49.660699999999999</v>
      </c>
      <c r="E64">
        <f ca="1">_xll.ciqfunctions.udf.CIQ($B64,"IQ_CDS_mid",E$2)</f>
        <v>49.660699999999999</v>
      </c>
      <c r="F64">
        <f ca="1">_xll.ciqfunctions.udf.CIQ($B64,"IQ_CDS_mid",F$2)</f>
        <v>49.660699999999999</v>
      </c>
      <c r="G64">
        <f ca="1">_xll.ciqfunctions.udf.CIQ($B64,"IQ_CDS_mid",G$2)</f>
        <v>48.6813</v>
      </c>
      <c r="H64">
        <f ca="1">_xll.ciqfunctions.udf.CIQ($B64,"IQ_CDS_mid",H$2)</f>
        <v>46.420699999999997</v>
      </c>
      <c r="I64">
        <f ca="1">_xll.ciqfunctions.udf.CIQ($B64,"IQ_CDS_mid",I$2)</f>
        <v>45.795699999999997</v>
      </c>
      <c r="J64">
        <f ca="1">_xll.ciqfunctions.udf.CIQ($B64,"IQ_CDS_mid",J$2)</f>
        <v>45.269199999999998</v>
      </c>
      <c r="K64">
        <f ca="1">_xll.ciqfunctions.udf.CIQ($B64,"IQ_CDS_mid",K$2)</f>
        <v>43.492699999999999</v>
      </c>
      <c r="L64">
        <f ca="1">_xll.ciqfunctions.udf.CIQ($B64,"IQ_CDS_mid",L$2)</f>
        <v>43.492699999999999</v>
      </c>
      <c r="M64">
        <f ca="1">_xll.ciqfunctions.udf.CIQ($B64,"IQ_CDS_mid",M$2)</f>
        <v>43.492699999999999</v>
      </c>
      <c r="N64">
        <f ca="1">_xll.ciqfunctions.udf.CIQ($B64,"IQ_CDS_mid",N$2)</f>
        <v>43.101599999999998</v>
      </c>
      <c r="O64">
        <f ca="1">_xll.ciqfunctions.udf.CIQ($B64,"IQ_CDS_mid",O$2)</f>
        <v>42.226799999999997</v>
      </c>
      <c r="P64">
        <f ca="1">_xll.ciqfunctions.udf.CIQ($B64,"IQ_CDS_mid",P$2)</f>
        <v>41.111600000000003</v>
      </c>
      <c r="Q64">
        <f ca="1">_xll.ciqfunctions.udf.CIQ($B64,"IQ_CDS_mid",Q$2)</f>
        <v>41.207999999999998</v>
      </c>
      <c r="R64">
        <f ca="1">_xll.ciqfunctions.udf.CIQ($B64,"IQ_CDS_mid",R$2)</f>
        <v>38.1</v>
      </c>
      <c r="S64">
        <f ca="1">_xll.ciqfunctions.udf.CIQ($B64,"IQ_CDS_mid",S$2)</f>
        <v>48.024000000000001</v>
      </c>
      <c r="T64">
        <f ca="1">C64-H64</f>
        <v>3.240000000000002</v>
      </c>
      <c r="U64">
        <f ca="1">C64-M64</f>
        <v>6.1679999999999993</v>
      </c>
      <c r="V64">
        <f ca="1">C64-Q64</f>
        <v>8.4527000000000001</v>
      </c>
      <c r="W64">
        <f ca="1">C64-R64</f>
        <v>11.560699999999997</v>
      </c>
      <c r="X64">
        <f t="shared" ca="1" si="13"/>
        <v>1.6366999999999976</v>
      </c>
    </row>
    <row r="65" spans="1:24" ht="15.5">
      <c r="A65" s="27" t="s">
        <v>26</v>
      </c>
      <c r="B65" s="25" t="s">
        <v>128</v>
      </c>
      <c r="C65">
        <f ca="1">_xll.ciqfunctions.udf.CIQ($B65,"IQ_CDS_mid",C$2)</f>
        <v>68.110100000000003</v>
      </c>
      <c r="D65">
        <f ca="1">_xll.ciqfunctions.udf.CIQ($B65,"IQ_CDS_mid",D$2)</f>
        <v>68.110100000000003</v>
      </c>
      <c r="E65">
        <f ca="1">_xll.ciqfunctions.udf.CIQ($B65,"IQ_CDS_mid",E$2)</f>
        <v>68.110100000000003</v>
      </c>
      <c r="F65">
        <f ca="1">_xll.ciqfunctions.udf.CIQ($B65,"IQ_CDS_mid",F$2)</f>
        <v>68.110100000000003</v>
      </c>
      <c r="G65">
        <f ca="1">_xll.ciqfunctions.udf.CIQ($B65,"IQ_CDS_mid",G$2)</f>
        <v>67.746300000000005</v>
      </c>
      <c r="H65">
        <f ca="1">_xll.ciqfunctions.udf.CIQ($B65,"IQ_CDS_mid",H$2)</f>
        <v>65.467799999999997</v>
      </c>
      <c r="I65">
        <f ca="1">_xll.ciqfunctions.udf.CIQ($B65,"IQ_CDS_mid",I$2)</f>
        <v>64.661500000000004</v>
      </c>
      <c r="J65">
        <f ca="1">_xll.ciqfunctions.udf.CIQ($B65,"IQ_CDS_mid",J$2)</f>
        <v>63.919699999999999</v>
      </c>
      <c r="K65">
        <f ca="1">_xll.ciqfunctions.udf.CIQ($B65,"IQ_CDS_mid",K$2)</f>
        <v>62.084499999999998</v>
      </c>
      <c r="L65">
        <f ca="1">_xll.ciqfunctions.udf.CIQ($B65,"IQ_CDS_mid",L$2)</f>
        <v>62.084499999999998</v>
      </c>
      <c r="M65">
        <f ca="1">_xll.ciqfunctions.udf.CIQ($B65,"IQ_CDS_mid",M$2)</f>
        <v>62.084499999999998</v>
      </c>
      <c r="N65">
        <f ca="1">_xll.ciqfunctions.udf.CIQ($B65,"IQ_CDS_mid",N$2)</f>
        <v>61.077199999999998</v>
      </c>
      <c r="O65">
        <f ca="1">_xll.ciqfunctions.udf.CIQ($B65,"IQ_CDS_mid",O$2)</f>
        <v>59.698500000000003</v>
      </c>
      <c r="P65">
        <f ca="1">_xll.ciqfunctions.udf.CIQ($B65,"IQ_CDS_mid",P$2)</f>
        <v>58.682200000000002</v>
      </c>
      <c r="Q65">
        <f ca="1">_xll.ciqfunctions.udf.CIQ($B65,"IQ_CDS_mid",Q$2)</f>
        <v>59.422499999999999</v>
      </c>
      <c r="R65">
        <f ca="1">_xll.ciqfunctions.udf.CIQ($B65,"IQ_CDS_mid",R$2)</f>
        <v>55.271599999999999</v>
      </c>
      <c r="S65">
        <f ca="1">_xll.ciqfunctions.udf.CIQ($B65,"IQ_CDS_mid",S$2)</f>
        <v>58.9482</v>
      </c>
      <c r="T65">
        <f ca="1">C65-H65</f>
        <v>2.6423000000000059</v>
      </c>
      <c r="U65">
        <f ca="1">C65-M65</f>
        <v>6.0256000000000043</v>
      </c>
      <c r="V65">
        <f ca="1">C65-Q65</f>
        <v>8.6876000000000033</v>
      </c>
      <c r="W65">
        <f ca="1">C65-R65</f>
        <v>12.838500000000003</v>
      </c>
      <c r="X65">
        <f t="shared" ca="1" si="13"/>
        <v>9.1619000000000028</v>
      </c>
    </row>
    <row r="66" spans="1:24" ht="15.5">
      <c r="A66" s="27" t="s">
        <v>127</v>
      </c>
      <c r="B66" s="25" t="s">
        <v>126</v>
      </c>
      <c r="C66">
        <f ca="1">_xll.ciqfunctions.udf.CIQ($B66,"IQ_CDS_mid",C$2)</f>
        <v>54.000700000000002</v>
      </c>
      <c r="D66">
        <f ca="1">_xll.ciqfunctions.udf.CIQ($B66,"IQ_CDS_mid",D$2)</f>
        <v>54.000700000000002</v>
      </c>
      <c r="E66">
        <f ca="1">_xll.ciqfunctions.udf.CIQ($B66,"IQ_CDS_mid",E$2)</f>
        <v>54.000700000000002</v>
      </c>
      <c r="F66">
        <f ca="1">_xll.ciqfunctions.udf.CIQ($B66,"IQ_CDS_mid",F$2)</f>
        <v>54.000700000000002</v>
      </c>
      <c r="G66">
        <f ca="1">_xll.ciqfunctions.udf.CIQ($B66,"IQ_CDS_mid",G$2)</f>
        <v>53.248199999999997</v>
      </c>
      <c r="H66">
        <f ca="1">_xll.ciqfunctions.udf.CIQ($B66,"IQ_CDS_mid",H$2)</f>
        <v>50.311599999999999</v>
      </c>
      <c r="I66">
        <f ca="1">_xll.ciqfunctions.udf.CIQ($B66,"IQ_CDS_mid",I$2)</f>
        <v>49.483199999999997</v>
      </c>
      <c r="J66">
        <f ca="1">_xll.ciqfunctions.udf.CIQ($B66,"IQ_CDS_mid",J$2)</f>
        <v>48.729300000000002</v>
      </c>
      <c r="K66">
        <f ca="1">_xll.ciqfunctions.udf.CIQ($B66,"IQ_CDS_mid",K$2)</f>
        <v>47.033499999999997</v>
      </c>
      <c r="L66">
        <f ca="1">_xll.ciqfunctions.udf.CIQ($B66,"IQ_CDS_mid",L$2)</f>
        <v>47.033499999999997</v>
      </c>
      <c r="M66">
        <f ca="1">_xll.ciqfunctions.udf.CIQ($B66,"IQ_CDS_mid",M$2)</f>
        <v>47.033499999999997</v>
      </c>
      <c r="N66">
        <f ca="1">_xll.ciqfunctions.udf.CIQ($B66,"IQ_CDS_mid",N$2)</f>
        <v>46.5702</v>
      </c>
      <c r="O66">
        <f ca="1">_xll.ciqfunctions.udf.CIQ($B66,"IQ_CDS_mid",O$2)</f>
        <v>45.657800000000002</v>
      </c>
      <c r="P66">
        <f ca="1">_xll.ciqfunctions.udf.CIQ($B66,"IQ_CDS_mid",P$2)</f>
        <v>44.657899999999998</v>
      </c>
      <c r="Q66">
        <f ca="1">_xll.ciqfunctions.udf.CIQ($B66,"IQ_CDS_mid",Q$2)</f>
        <v>44.354799999999997</v>
      </c>
      <c r="R66">
        <f ca="1">_xll.ciqfunctions.udf.CIQ($B66,"IQ_CDS_mid",R$2)</f>
        <v>42.9146</v>
      </c>
      <c r="S66">
        <f ca="1">_xll.ciqfunctions.udf.CIQ($B66,"IQ_CDS_mid",S$2)</f>
        <v>53.197899999999997</v>
      </c>
      <c r="T66">
        <f ca="1">C66-H66</f>
        <v>3.6891000000000034</v>
      </c>
      <c r="U66">
        <f ca="1">C66-M66</f>
        <v>6.9672000000000054</v>
      </c>
      <c r="V66">
        <f ca="1">C66-Q66</f>
        <v>9.6459000000000046</v>
      </c>
      <c r="W66">
        <f ca="1">C66-R66</f>
        <v>11.086100000000002</v>
      </c>
      <c r="X66">
        <f t="shared" ca="1" si="13"/>
        <v>0.80280000000000484</v>
      </c>
    </row>
    <row r="67" spans="1:24" ht="15.5">
      <c r="A67" s="28" t="s">
        <v>28</v>
      </c>
      <c r="X67">
        <f t="shared" si="13"/>
        <v>0</v>
      </c>
    </row>
    <row r="68" spans="1:24" ht="15.5">
      <c r="A68" s="27" t="s">
        <v>125</v>
      </c>
      <c r="B68" s="25" t="s">
        <v>124</v>
      </c>
      <c r="C68">
        <f ca="1">_xll.ciqfunctions.udf.CIQ($B68,"IQ_CDS_mid",C$2)</f>
        <v>56.89</v>
      </c>
      <c r="D68">
        <f ca="1">_xll.ciqfunctions.udf.CIQ($B68,"IQ_CDS_mid",D$2)</f>
        <v>56.89</v>
      </c>
      <c r="E68">
        <f ca="1">_xll.ciqfunctions.udf.CIQ($B68,"IQ_CDS_mid",E$2)</f>
        <v>56.89</v>
      </c>
      <c r="F68">
        <f ca="1">_xll.ciqfunctions.udf.CIQ($B68,"IQ_CDS_mid",F$2)</f>
        <v>56.89</v>
      </c>
      <c r="G68">
        <f ca="1">_xll.ciqfunctions.udf.CIQ($B68,"IQ_CDS_mid",G$2)</f>
        <v>56.518300000000004</v>
      </c>
      <c r="H68">
        <f ca="1">_xll.ciqfunctions.udf.CIQ($B68,"IQ_CDS_mid",H$2)</f>
        <v>54.765300000000003</v>
      </c>
      <c r="I68">
        <f ca="1">_xll.ciqfunctions.udf.CIQ($B68,"IQ_CDS_mid",I$2)</f>
        <v>53.830300000000001</v>
      </c>
      <c r="J68">
        <f ca="1">_xll.ciqfunctions.udf.CIQ($B68,"IQ_CDS_mid",J$2)</f>
        <v>53.166400000000003</v>
      </c>
      <c r="K68">
        <f ca="1">_xll.ciqfunctions.udf.CIQ($B68,"IQ_CDS_mid",K$2)</f>
        <v>51.744799999999998</v>
      </c>
      <c r="L68">
        <f ca="1">_xll.ciqfunctions.udf.CIQ($B68,"IQ_CDS_mid",L$2)</f>
        <v>51.744799999999998</v>
      </c>
      <c r="M68">
        <f ca="1">_xll.ciqfunctions.udf.CIQ($B68,"IQ_CDS_mid",M$2)</f>
        <v>51.744799999999998</v>
      </c>
      <c r="N68">
        <f ca="1">_xll.ciqfunctions.udf.CIQ($B68,"IQ_CDS_mid",N$2)</f>
        <v>51.422199999999997</v>
      </c>
      <c r="O68">
        <f ca="1">_xll.ciqfunctions.udf.CIQ($B68,"IQ_CDS_mid",O$2)</f>
        <v>50.316299999999998</v>
      </c>
      <c r="P68">
        <f ca="1">_xll.ciqfunctions.udf.CIQ($B68,"IQ_CDS_mid",P$2)</f>
        <v>50.125</v>
      </c>
      <c r="Q68">
        <f ca="1">_xll.ciqfunctions.udf.CIQ($B68,"IQ_CDS_mid",Q$2)</f>
        <v>49.804400000000001</v>
      </c>
      <c r="R68">
        <f ca="1">_xll.ciqfunctions.udf.CIQ($B68,"IQ_CDS_mid",R$2)</f>
        <v>47.772500000000001</v>
      </c>
      <c r="S68">
        <f ca="1">_xll.ciqfunctions.udf.CIQ($B68,"IQ_CDS_mid",S$2)</f>
        <v>55.5</v>
      </c>
      <c r="T68">
        <f ca="1">C68-H68</f>
        <v>2.1246999999999971</v>
      </c>
      <c r="U68">
        <f ca="1">C68-M68</f>
        <v>5.1452000000000027</v>
      </c>
      <c r="V68">
        <f ca="1">C68-Q68</f>
        <v>7.0855999999999995</v>
      </c>
      <c r="W68">
        <f ca="1">C68-R68</f>
        <v>9.1174999999999997</v>
      </c>
      <c r="X68">
        <f t="shared" ca="1" si="13"/>
        <v>1.3900000000000006</v>
      </c>
    </row>
    <row r="69" spans="1:24" ht="15.5">
      <c r="A69" s="29" t="s">
        <v>30</v>
      </c>
      <c r="B69" s="25" t="s">
        <v>123</v>
      </c>
      <c r="C69">
        <f ca="1">_xll.ciqfunctions.udf.CIQ($B69,"IQ_CDS_mid",C$2)</f>
        <v>43.887300000000003</v>
      </c>
      <c r="D69">
        <f ca="1">_xll.ciqfunctions.udf.CIQ($B69,"IQ_CDS_mid",D$2)</f>
        <v>43.887300000000003</v>
      </c>
      <c r="E69">
        <f ca="1">_xll.ciqfunctions.udf.CIQ($B69,"IQ_CDS_mid",E$2)</f>
        <v>43.887300000000003</v>
      </c>
      <c r="F69">
        <f ca="1">_xll.ciqfunctions.udf.CIQ($B69,"IQ_CDS_mid",F$2)</f>
        <v>43.887300000000003</v>
      </c>
      <c r="G69">
        <f ca="1">_xll.ciqfunctions.udf.CIQ($B69,"IQ_CDS_mid",G$2)</f>
        <v>43.590200000000003</v>
      </c>
      <c r="H69">
        <f ca="1">_xll.ciqfunctions.udf.CIQ($B69,"IQ_CDS_mid",H$2)</f>
        <v>41.477600000000002</v>
      </c>
      <c r="I69">
        <f ca="1">_xll.ciqfunctions.udf.CIQ($B69,"IQ_CDS_mid",I$2)</f>
        <v>40.688499999999998</v>
      </c>
      <c r="J69">
        <f ca="1">_xll.ciqfunctions.udf.CIQ($B69,"IQ_CDS_mid",J$2)</f>
        <v>40.250900000000001</v>
      </c>
      <c r="K69">
        <f ca="1">_xll.ciqfunctions.udf.CIQ($B69,"IQ_CDS_mid",K$2)</f>
        <v>38.870699999999999</v>
      </c>
      <c r="L69">
        <f ca="1">_xll.ciqfunctions.udf.CIQ($B69,"IQ_CDS_mid",L$2)</f>
        <v>38.870699999999999</v>
      </c>
      <c r="M69">
        <f ca="1">_xll.ciqfunctions.udf.CIQ($B69,"IQ_CDS_mid",M$2)</f>
        <v>38.870699999999999</v>
      </c>
      <c r="N69">
        <f ca="1">_xll.ciqfunctions.udf.CIQ($B69,"IQ_CDS_mid",N$2)</f>
        <v>38.964300000000001</v>
      </c>
      <c r="O69">
        <f ca="1">_xll.ciqfunctions.udf.CIQ($B69,"IQ_CDS_mid",O$2)</f>
        <v>37.86</v>
      </c>
      <c r="P69">
        <f ca="1">_xll.ciqfunctions.udf.CIQ($B69,"IQ_CDS_mid",P$2)</f>
        <v>37.25</v>
      </c>
      <c r="Q69">
        <f ca="1">_xll.ciqfunctions.udf.CIQ($B69,"IQ_CDS_mid",Q$2)</f>
        <v>37.355400000000003</v>
      </c>
      <c r="R69">
        <f ca="1">_xll.ciqfunctions.udf.CIQ($B69,"IQ_CDS_mid",R$2)</f>
        <v>37.25</v>
      </c>
      <c r="S69">
        <f ca="1">_xll.ciqfunctions.udf.CIQ($B69,"IQ_CDS_mid",S$2)</f>
        <v>42.571399999999997</v>
      </c>
      <c r="T69">
        <f ca="1">C69-H69</f>
        <v>2.4097000000000008</v>
      </c>
      <c r="U69">
        <f ca="1">C69-M69</f>
        <v>5.0166000000000039</v>
      </c>
      <c r="V69">
        <f ca="1">C69-Q69</f>
        <v>6.5319000000000003</v>
      </c>
      <c r="W69">
        <f ca="1">C69-R69</f>
        <v>6.6373000000000033</v>
      </c>
      <c r="X69">
        <f t="shared" ca="1" si="13"/>
        <v>1.3159000000000063</v>
      </c>
    </row>
    <row r="70" spans="1:24" ht="15.5">
      <c r="A70" s="28" t="s">
        <v>31</v>
      </c>
      <c r="B70" s="25"/>
      <c r="X70">
        <f t="shared" si="13"/>
        <v>0</v>
      </c>
    </row>
    <row r="71" spans="1:24" ht="15.5">
      <c r="A71" s="29" t="s">
        <v>32</v>
      </c>
      <c r="B71" s="25" t="s">
        <v>122</v>
      </c>
      <c r="C71">
        <f ca="1">_xll.ciqfunctions.udf.CIQ($B71,"IQ_CDS_mid",C$2)</f>
        <v>30.3842</v>
      </c>
      <c r="D71">
        <f ca="1">_xll.ciqfunctions.udf.CIQ($B71,"IQ_CDS_mid",D$2)</f>
        <v>30.3842</v>
      </c>
      <c r="E71">
        <f ca="1">_xll.ciqfunctions.udf.CIQ($B71,"IQ_CDS_mid",E$2)</f>
        <v>30.3842</v>
      </c>
      <c r="F71">
        <f ca="1">_xll.ciqfunctions.udf.CIQ($B71,"IQ_CDS_mid",F$2)</f>
        <v>30.3842</v>
      </c>
      <c r="G71">
        <f ca="1">_xll.ciqfunctions.udf.CIQ($B71,"IQ_CDS_mid",G$2)</f>
        <v>29.7818</v>
      </c>
      <c r="H71">
        <f ca="1">_xll.ciqfunctions.udf.CIQ($B71,"IQ_CDS_mid",H$2)</f>
        <v>28.125</v>
      </c>
      <c r="I71">
        <f ca="1">_xll.ciqfunctions.udf.CIQ($B71,"IQ_CDS_mid",I$2)</f>
        <v>28.258299999999998</v>
      </c>
      <c r="J71">
        <f ca="1">_xll.ciqfunctions.udf.CIQ($B71,"IQ_CDS_mid",J$2)</f>
        <v>28.166699999999999</v>
      </c>
      <c r="K71">
        <f ca="1">_xll.ciqfunctions.udf.CIQ($B71,"IQ_CDS_mid",K$2)</f>
        <v>27.5</v>
      </c>
      <c r="L71">
        <f ca="1">_xll.ciqfunctions.udf.CIQ($B71,"IQ_CDS_mid",L$2)</f>
        <v>27.5</v>
      </c>
      <c r="M71">
        <f ca="1">_xll.ciqfunctions.udf.CIQ($B71,"IQ_CDS_mid",M$2)</f>
        <v>27.5</v>
      </c>
      <c r="N71">
        <f ca="1">_xll.ciqfunctions.udf.CIQ($B71,"IQ_CDS_mid",N$2)</f>
        <v>27.669599999999999</v>
      </c>
      <c r="O71">
        <f ca="1">_xll.ciqfunctions.udf.CIQ($B71,"IQ_CDS_mid",O$2)</f>
        <v>27.045000000000002</v>
      </c>
      <c r="P71">
        <f ca="1">_xll.ciqfunctions.udf.CIQ($B71,"IQ_CDS_mid",P$2)</f>
        <v>27.0061</v>
      </c>
      <c r="Q71">
        <f ca="1">_xll.ciqfunctions.udf.CIQ($B71,"IQ_CDS_mid",Q$2)</f>
        <v>26.858799999999999</v>
      </c>
      <c r="R71">
        <f ca="1">_xll.ciqfunctions.udf.CIQ($B71,"IQ_CDS_mid",R$2)</f>
        <v>24.875</v>
      </c>
      <c r="S71">
        <f ca="1">_xll.ciqfunctions.udf.CIQ($B71,"IQ_CDS_mid",S$2)</f>
        <v>34.491500000000002</v>
      </c>
      <c r="T71">
        <f ca="1">C71-H71</f>
        <v>2.2591999999999999</v>
      </c>
      <c r="U71">
        <f ca="1">C71-M71</f>
        <v>2.8841999999999999</v>
      </c>
      <c r="V71">
        <f ca="1">C71-Q71</f>
        <v>3.5254000000000012</v>
      </c>
      <c r="W71">
        <f ca="1">C71-R71</f>
        <v>5.5091999999999999</v>
      </c>
      <c r="X71">
        <f t="shared" ca="1" si="13"/>
        <v>-4.1073000000000022</v>
      </c>
    </row>
    <row r="72" spans="1:24" ht="15.5">
      <c r="A72" s="28" t="s">
        <v>33</v>
      </c>
      <c r="X72">
        <f t="shared" si="13"/>
        <v>0</v>
      </c>
    </row>
    <row r="73" spans="1:24" ht="15.5">
      <c r="A73" s="27" t="s">
        <v>35</v>
      </c>
      <c r="B73" s="25" t="s">
        <v>121</v>
      </c>
      <c r="C73">
        <f ca="1">_xll.ciqfunctions.udf.CIQ($B73,"IQ_CDS_mid",C$2)</f>
        <v>43.013500000000001</v>
      </c>
      <c r="D73">
        <f ca="1">_xll.ciqfunctions.udf.CIQ($B73,"IQ_CDS_mid",D$2)</f>
        <v>43.013500000000001</v>
      </c>
      <c r="E73">
        <f ca="1">_xll.ciqfunctions.udf.CIQ($B73,"IQ_CDS_mid",E$2)</f>
        <v>43.013500000000001</v>
      </c>
      <c r="F73">
        <f ca="1">_xll.ciqfunctions.udf.CIQ($B73,"IQ_CDS_mid",F$2)</f>
        <v>43.013500000000001</v>
      </c>
      <c r="G73">
        <f ca="1">_xll.ciqfunctions.udf.CIQ($B73,"IQ_CDS_mid",G$2)</f>
        <v>43.088299999999997</v>
      </c>
      <c r="H73">
        <f ca="1">_xll.ciqfunctions.udf.CIQ($B73,"IQ_CDS_mid",H$2)</f>
        <v>43.187100000000001</v>
      </c>
      <c r="I73">
        <f ca="1">_xll.ciqfunctions.udf.CIQ($B73,"IQ_CDS_mid",I$2)</f>
        <v>43.343699999999998</v>
      </c>
      <c r="J73">
        <f ca="1">_xll.ciqfunctions.udf.CIQ($B73,"IQ_CDS_mid",J$2)</f>
        <v>43.299100000000003</v>
      </c>
      <c r="K73">
        <f ca="1">_xll.ciqfunctions.udf.CIQ($B73,"IQ_CDS_mid",K$2)</f>
        <v>43.270699999999998</v>
      </c>
      <c r="L73">
        <f ca="1">_xll.ciqfunctions.udf.CIQ($B73,"IQ_CDS_mid",L$2)</f>
        <v>43.270699999999998</v>
      </c>
      <c r="M73">
        <f ca="1">_xll.ciqfunctions.udf.CIQ($B73,"IQ_CDS_mid",M$2)</f>
        <v>43.270699999999998</v>
      </c>
      <c r="N73">
        <f ca="1">_xll.ciqfunctions.udf.CIQ($B73,"IQ_CDS_mid",N$2)</f>
        <v>42.851599999999998</v>
      </c>
      <c r="O73">
        <f ca="1">_xll.ciqfunctions.udf.CIQ($B73,"IQ_CDS_mid",O$2)</f>
        <v>42.167099999999998</v>
      </c>
      <c r="P73">
        <f ca="1">_xll.ciqfunctions.udf.CIQ($B73,"IQ_CDS_mid",P$2)</f>
        <v>41.811599999999999</v>
      </c>
      <c r="Q73">
        <f ca="1">_xll.ciqfunctions.udf.CIQ($B73,"IQ_CDS_mid",Q$2)</f>
        <v>40.663499999999999</v>
      </c>
      <c r="R73">
        <f ca="1">_xll.ciqfunctions.udf.CIQ($B73,"IQ_CDS_mid",R$2)</f>
        <v>39.436100000000003</v>
      </c>
      <c r="S73">
        <f ca="1">_xll.ciqfunctions.udf.CIQ($B73,"IQ_CDS_mid",S$2)</f>
        <v>33.958100000000002</v>
      </c>
      <c r="T73">
        <f ca="1">C73-H73</f>
        <v>-0.17360000000000042</v>
      </c>
      <c r="U73">
        <f ca="1">C73-M73</f>
        <v>-0.25719999999999743</v>
      </c>
      <c r="V73">
        <f ca="1">C73-Q73</f>
        <v>2.3500000000000014</v>
      </c>
      <c r="W73">
        <f ca="1">C73-R73</f>
        <v>3.5773999999999972</v>
      </c>
      <c r="X73">
        <f t="shared" ca="1" si="13"/>
        <v>9.0553999999999988</v>
      </c>
    </row>
    <row r="74" spans="1:24" ht="15.5">
      <c r="A74" s="27" t="s">
        <v>36</v>
      </c>
      <c r="B74" s="25" t="s">
        <v>120</v>
      </c>
      <c r="C74">
        <f ca="1">_xll.ciqfunctions.udf.CIQ($B74,"IQ_CDS_mid",C$2)</f>
        <v>45.280500000000004</v>
      </c>
      <c r="D74">
        <f ca="1">_xll.ciqfunctions.udf.CIQ($B74,"IQ_CDS_mid",D$2)</f>
        <v>45.280500000000004</v>
      </c>
      <c r="E74">
        <f ca="1">_xll.ciqfunctions.udf.CIQ($B74,"IQ_CDS_mid",E$2)</f>
        <v>45.280500000000004</v>
      </c>
      <c r="F74">
        <f ca="1">_xll.ciqfunctions.udf.CIQ($B74,"IQ_CDS_mid",F$2)</f>
        <v>45.280500000000004</v>
      </c>
      <c r="G74">
        <f ca="1">_xll.ciqfunctions.udf.CIQ($B74,"IQ_CDS_mid",G$2)</f>
        <v>44</v>
      </c>
      <c r="H74">
        <f ca="1">_xll.ciqfunctions.udf.CIQ($B74,"IQ_CDS_mid",H$2)</f>
        <v>43.7547</v>
      </c>
      <c r="I74">
        <f ca="1">_xll.ciqfunctions.udf.CIQ($B74,"IQ_CDS_mid",I$2)</f>
        <v>44.125799999999998</v>
      </c>
      <c r="J74">
        <f ca="1">_xll.ciqfunctions.udf.CIQ($B74,"IQ_CDS_mid",J$2)</f>
        <v>43.4054</v>
      </c>
      <c r="K74">
        <f ca="1">_xll.ciqfunctions.udf.CIQ($B74,"IQ_CDS_mid",K$2)</f>
        <v>42.751800000000003</v>
      </c>
      <c r="L74">
        <f ca="1">_xll.ciqfunctions.udf.CIQ($B74,"IQ_CDS_mid",L$2)</f>
        <v>42.751800000000003</v>
      </c>
      <c r="M74">
        <f ca="1">_xll.ciqfunctions.udf.CIQ($B74,"IQ_CDS_mid",M$2)</f>
        <v>42.751800000000003</v>
      </c>
      <c r="N74">
        <f ca="1">_xll.ciqfunctions.udf.CIQ($B74,"IQ_CDS_mid",N$2)</f>
        <v>42.264499999999998</v>
      </c>
      <c r="O74">
        <f ca="1">_xll.ciqfunctions.udf.CIQ($B74,"IQ_CDS_mid",O$2)</f>
        <v>41.006399999999999</v>
      </c>
      <c r="P74">
        <f ca="1">_xll.ciqfunctions.udf.CIQ($B74,"IQ_CDS_mid",P$2)</f>
        <v>40.7776</v>
      </c>
      <c r="Q74">
        <f ca="1">_xll.ciqfunctions.udf.CIQ($B74,"IQ_CDS_mid",Q$2)</f>
        <v>40.960500000000003</v>
      </c>
      <c r="R74">
        <f ca="1">_xll.ciqfunctions.udf.CIQ($B74,"IQ_CDS_mid",R$2)</f>
        <v>41.051200000000001</v>
      </c>
      <c r="S74">
        <f ca="1">_xll.ciqfunctions.udf.CIQ($B74,"IQ_CDS_mid",S$2)</f>
        <v>28.957100000000001</v>
      </c>
      <c r="T74">
        <f ca="1">C74-H74</f>
        <v>1.5258000000000038</v>
      </c>
      <c r="U74">
        <f ca="1">C74-M74</f>
        <v>2.5287000000000006</v>
      </c>
      <c r="V74">
        <f ca="1">C74-Q74</f>
        <v>4.32</v>
      </c>
      <c r="W74">
        <f ca="1">C74-R74</f>
        <v>4.2293000000000021</v>
      </c>
      <c r="X74">
        <f t="shared" ca="1" si="13"/>
        <v>16.323400000000003</v>
      </c>
    </row>
    <row r="75" spans="1:24" ht="15.5">
      <c r="A75" s="27" t="s">
        <v>37</v>
      </c>
      <c r="B75" s="25" t="s">
        <v>119</v>
      </c>
      <c r="C75">
        <f ca="1">_xll.ciqfunctions.udf.CIQ($B75,"IQ_CDS_mid",C$2)</f>
        <v>56.4983</v>
      </c>
      <c r="D75">
        <f ca="1">_xll.ciqfunctions.udf.CIQ($B75,"IQ_CDS_mid",D$2)</f>
        <v>56.4983</v>
      </c>
      <c r="E75">
        <f ca="1">_xll.ciqfunctions.udf.CIQ($B75,"IQ_CDS_mid",E$2)</f>
        <v>56.4983</v>
      </c>
      <c r="F75">
        <f ca="1">_xll.ciqfunctions.udf.CIQ($B75,"IQ_CDS_mid",F$2)</f>
        <v>56.4983</v>
      </c>
      <c r="G75">
        <f ca="1">_xll.ciqfunctions.udf.CIQ($B75,"IQ_CDS_mid",G$2)</f>
        <v>56.182899999999997</v>
      </c>
      <c r="H75">
        <f ca="1">_xll.ciqfunctions.udf.CIQ($B75,"IQ_CDS_mid",H$2)</f>
        <v>56.139600000000002</v>
      </c>
      <c r="I75">
        <f ca="1">_xll.ciqfunctions.udf.CIQ($B75,"IQ_CDS_mid",I$2)</f>
        <v>56.594200000000001</v>
      </c>
      <c r="J75">
        <f ca="1">_xll.ciqfunctions.udf.CIQ($B75,"IQ_CDS_mid",J$2)</f>
        <v>55.445900000000002</v>
      </c>
      <c r="K75">
        <f ca="1">_xll.ciqfunctions.udf.CIQ($B75,"IQ_CDS_mid",K$2)</f>
        <v>54.939900000000002</v>
      </c>
      <c r="L75">
        <f ca="1">_xll.ciqfunctions.udf.CIQ($B75,"IQ_CDS_mid",L$2)</f>
        <v>54.939900000000002</v>
      </c>
      <c r="M75">
        <f ca="1">_xll.ciqfunctions.udf.CIQ($B75,"IQ_CDS_mid",M$2)</f>
        <v>54.939900000000002</v>
      </c>
      <c r="N75">
        <f ca="1">_xll.ciqfunctions.udf.CIQ($B75,"IQ_CDS_mid",N$2)</f>
        <v>54.557099999999998</v>
      </c>
      <c r="O75">
        <f ca="1">_xll.ciqfunctions.udf.CIQ($B75,"IQ_CDS_mid",O$2)</f>
        <v>52.4544</v>
      </c>
      <c r="P75">
        <f ca="1">_xll.ciqfunctions.udf.CIQ($B75,"IQ_CDS_mid",P$2)</f>
        <v>52.509099999999997</v>
      </c>
      <c r="Q75">
        <f ca="1">_xll.ciqfunctions.udf.CIQ($B75,"IQ_CDS_mid",Q$2)</f>
        <v>52.514200000000002</v>
      </c>
      <c r="R75">
        <f ca="1">_xll.ciqfunctions.udf.CIQ($B75,"IQ_CDS_mid",R$2)</f>
        <v>43.236899999999999</v>
      </c>
      <c r="S75">
        <f ca="1">_xll.ciqfunctions.udf.CIQ($B75,"IQ_CDS_mid",S$2)</f>
        <v>55.059399999999997</v>
      </c>
      <c r="T75">
        <f ca="1">C75-H75</f>
        <v>0.35869999999999891</v>
      </c>
      <c r="U75">
        <f ca="1">C75-M75</f>
        <v>1.5583999999999989</v>
      </c>
      <c r="V75">
        <f ca="1">C75-Q75</f>
        <v>3.984099999999998</v>
      </c>
      <c r="W75">
        <f ca="1">C75-R75</f>
        <v>13.261400000000002</v>
      </c>
      <c r="X75">
        <f t="shared" ca="1" si="13"/>
        <v>1.4389000000000038</v>
      </c>
    </row>
    <row r="76" spans="1:24" ht="15.5">
      <c r="A76" s="29" t="s">
        <v>38</v>
      </c>
      <c r="B76" s="25" t="s">
        <v>118</v>
      </c>
      <c r="C76">
        <f ca="1">_xll.ciqfunctions.udf.CIQ($B76,"IQ_CDS_mid",C$2)</f>
        <v>70.204599999999999</v>
      </c>
      <c r="D76">
        <f ca="1">_xll.ciqfunctions.udf.CIQ($B76,"IQ_CDS_mid",D$2)</f>
        <v>70.204599999999999</v>
      </c>
      <c r="E76">
        <f ca="1">_xll.ciqfunctions.udf.CIQ($B76,"IQ_CDS_mid",E$2)</f>
        <v>70.204599999999999</v>
      </c>
      <c r="F76">
        <f ca="1">_xll.ciqfunctions.udf.CIQ($B76,"IQ_CDS_mid",F$2)</f>
        <v>70.204599999999999</v>
      </c>
      <c r="G76">
        <f ca="1">_xll.ciqfunctions.udf.CIQ($B76,"IQ_CDS_mid",G$2)</f>
        <v>69.983099999999993</v>
      </c>
      <c r="H76">
        <f ca="1">_xll.ciqfunctions.udf.CIQ($B76,"IQ_CDS_mid",H$2)</f>
        <v>69.819400000000002</v>
      </c>
      <c r="I76">
        <f ca="1">_xll.ciqfunctions.udf.CIQ($B76,"IQ_CDS_mid",I$2)</f>
        <v>69.361500000000007</v>
      </c>
      <c r="J76">
        <f ca="1">_xll.ciqfunctions.udf.CIQ($B76,"IQ_CDS_mid",J$2)</f>
        <v>68.223699999999994</v>
      </c>
      <c r="K76">
        <f ca="1">_xll.ciqfunctions.udf.CIQ($B76,"IQ_CDS_mid",K$2)</f>
        <v>66.973799999999997</v>
      </c>
      <c r="L76">
        <f ca="1">_xll.ciqfunctions.udf.CIQ($B76,"IQ_CDS_mid",L$2)</f>
        <v>66.973799999999997</v>
      </c>
      <c r="M76">
        <f ca="1">_xll.ciqfunctions.udf.CIQ($B76,"IQ_CDS_mid",M$2)</f>
        <v>66.973799999999997</v>
      </c>
      <c r="N76">
        <f ca="1">_xll.ciqfunctions.udf.CIQ($B76,"IQ_CDS_mid",N$2)</f>
        <v>64.758099999999999</v>
      </c>
      <c r="O76">
        <f ca="1">_xll.ciqfunctions.udf.CIQ($B76,"IQ_CDS_mid",O$2)</f>
        <v>58.749299999999998</v>
      </c>
      <c r="P76">
        <f ca="1">_xll.ciqfunctions.udf.CIQ($B76,"IQ_CDS_mid",P$2)</f>
        <v>59.066800000000001</v>
      </c>
      <c r="Q76">
        <f ca="1">_xll.ciqfunctions.udf.CIQ($B76,"IQ_CDS_mid",Q$2)</f>
        <v>59.551299999999998</v>
      </c>
      <c r="R76">
        <f ca="1">_xll.ciqfunctions.udf.CIQ($B76,"IQ_CDS_mid",R$2)</f>
        <v>64.834699999999998</v>
      </c>
      <c r="S76">
        <f ca="1">_xll.ciqfunctions.udf.CIQ($B76,"IQ_CDS_mid",S$2)</f>
        <v>70.1023</v>
      </c>
      <c r="T76">
        <f ca="1">C76-H76</f>
        <v>0.38519999999999754</v>
      </c>
      <c r="U76">
        <f ca="1">C76-M76</f>
        <v>3.2308000000000021</v>
      </c>
      <c r="V76">
        <f ca="1">C76-Q76</f>
        <v>10.653300000000002</v>
      </c>
      <c r="W76">
        <f ca="1">C76-R76</f>
        <v>5.3699000000000012</v>
      </c>
      <c r="X76">
        <f t="shared" ca="1" si="13"/>
        <v>0.10229999999999961</v>
      </c>
    </row>
    <row r="77" spans="1:24" ht="15.5">
      <c r="A77" s="29" t="s">
        <v>39</v>
      </c>
      <c r="B77" s="25" t="s">
        <v>117</v>
      </c>
      <c r="C77">
        <f ca="1">_xll.ciqfunctions.udf.CIQ($B77,"IQ_CDS_mid",C$2)</f>
        <v>74.756299999999996</v>
      </c>
      <c r="D77">
        <f ca="1">_xll.ciqfunctions.udf.CIQ($B77,"IQ_CDS_mid",D$2)</f>
        <v>74.756299999999996</v>
      </c>
      <c r="E77">
        <f ca="1">_xll.ciqfunctions.udf.CIQ($B77,"IQ_CDS_mid",E$2)</f>
        <v>74.756299999999996</v>
      </c>
      <c r="F77">
        <f ca="1">_xll.ciqfunctions.udf.CIQ($B77,"IQ_CDS_mid",F$2)</f>
        <v>74.756299999999996</v>
      </c>
      <c r="G77">
        <f ca="1">_xll.ciqfunctions.udf.CIQ($B77,"IQ_CDS_mid",G$2)</f>
        <v>74.755399999999995</v>
      </c>
      <c r="H77">
        <f ca="1">_xll.ciqfunctions.udf.CIQ($B77,"IQ_CDS_mid",H$2)</f>
        <v>74.749499999999998</v>
      </c>
      <c r="I77">
        <f ca="1">_xll.ciqfunctions.udf.CIQ($B77,"IQ_CDS_mid",I$2)</f>
        <v>74.757099999999994</v>
      </c>
      <c r="J77">
        <f ca="1">_xll.ciqfunctions.udf.CIQ($B77,"IQ_CDS_mid",J$2)</f>
        <v>73.5839</v>
      </c>
      <c r="K77">
        <f ca="1">_xll.ciqfunctions.udf.CIQ($B77,"IQ_CDS_mid",K$2)</f>
        <v>73.612300000000005</v>
      </c>
      <c r="L77">
        <f ca="1">_xll.ciqfunctions.udf.CIQ($B77,"IQ_CDS_mid",L$2)</f>
        <v>73.612300000000005</v>
      </c>
      <c r="M77">
        <f ca="1">_xll.ciqfunctions.udf.CIQ($B77,"IQ_CDS_mid",M$2)</f>
        <v>73.612300000000005</v>
      </c>
      <c r="N77">
        <f ca="1">_xll.ciqfunctions.udf.CIQ($B77,"IQ_CDS_mid",N$2)</f>
        <v>73.594700000000003</v>
      </c>
      <c r="O77">
        <f ca="1">_xll.ciqfunctions.udf.CIQ($B77,"IQ_CDS_mid",O$2)</f>
        <v>72.499399999999994</v>
      </c>
      <c r="P77">
        <f ca="1">_xll.ciqfunctions.udf.CIQ($B77,"IQ_CDS_mid",P$2)</f>
        <v>72.512799999999999</v>
      </c>
      <c r="Q77">
        <f ca="1">_xll.ciqfunctions.udf.CIQ($B77,"IQ_CDS_mid",Q$2)</f>
        <v>72.706900000000005</v>
      </c>
      <c r="R77">
        <f ca="1">_xll.ciqfunctions.udf.CIQ($B77,"IQ_CDS_mid",R$2)</f>
        <v>75.878200000000007</v>
      </c>
      <c r="S77">
        <f ca="1">_xll.ciqfunctions.udf.CIQ($B77,"IQ_CDS_mid",S$2)</f>
        <v>75.816299999999998</v>
      </c>
      <c r="T77">
        <f ca="1">C77-H77</f>
        <v>6.7999999999983629E-3</v>
      </c>
      <c r="U77">
        <f ca="1">C77-M77</f>
        <v>1.1439999999999912</v>
      </c>
      <c r="V77">
        <f ca="1">C77-Q77</f>
        <v>2.0493999999999915</v>
      </c>
      <c r="W77">
        <f ca="1">C77-R77</f>
        <v>-1.1219000000000108</v>
      </c>
      <c r="X77">
        <f t="shared" ca="1" si="13"/>
        <v>-1.0600000000000023</v>
      </c>
    </row>
    <row r="78" spans="1:24" ht="15.5">
      <c r="A78" s="28" t="s">
        <v>40</v>
      </c>
      <c r="X78">
        <f t="shared" si="13"/>
        <v>0</v>
      </c>
    </row>
    <row r="79" spans="1:24" ht="15.5">
      <c r="A79" s="27" t="s">
        <v>42</v>
      </c>
      <c r="B79" s="25" t="s">
        <v>116</v>
      </c>
      <c r="C79">
        <f ca="1">_xll.ciqfunctions.udf.CIQ($B79,"IQ_CDS_mid",C$2)</f>
        <v>64.386700000000005</v>
      </c>
      <c r="D79">
        <f ca="1">_xll.ciqfunctions.udf.CIQ($B79,"IQ_CDS_mid",D$2)</f>
        <v>64.386700000000005</v>
      </c>
      <c r="E79">
        <f ca="1">_xll.ciqfunctions.udf.CIQ($B79,"IQ_CDS_mid",E$2)</f>
        <v>64.386700000000005</v>
      </c>
      <c r="F79">
        <f ca="1">_xll.ciqfunctions.udf.CIQ($B79,"IQ_CDS_mid",F$2)</f>
        <v>64.386700000000005</v>
      </c>
      <c r="G79">
        <f ca="1">_xll.ciqfunctions.udf.CIQ($B79,"IQ_CDS_mid",G$2)</f>
        <v>64.739999999999995</v>
      </c>
      <c r="H79">
        <f ca="1">_xll.ciqfunctions.udf.CIQ($B79,"IQ_CDS_mid",H$2)</f>
        <v>64.332300000000004</v>
      </c>
      <c r="I79">
        <f ca="1">_xll.ciqfunctions.udf.CIQ($B79,"IQ_CDS_mid",I$2)</f>
        <v>64.649699999999996</v>
      </c>
      <c r="J79">
        <f ca="1">_xll.ciqfunctions.udf.CIQ($B79,"IQ_CDS_mid",J$2)</f>
        <v>64.661299999999997</v>
      </c>
      <c r="K79">
        <f ca="1">_xll.ciqfunctions.udf.CIQ($B79,"IQ_CDS_mid",K$2)</f>
        <v>63.302799999999998</v>
      </c>
      <c r="L79">
        <f ca="1">_xll.ciqfunctions.udf.CIQ($B79,"IQ_CDS_mid",L$2)</f>
        <v>63.302799999999998</v>
      </c>
      <c r="M79">
        <f ca="1">_xll.ciqfunctions.udf.CIQ($B79,"IQ_CDS_mid",M$2)</f>
        <v>63.302799999999998</v>
      </c>
      <c r="N79">
        <f ca="1">_xll.ciqfunctions.udf.CIQ($B79,"IQ_CDS_mid",N$2)</f>
        <v>63.302799999999998</v>
      </c>
      <c r="O79">
        <f ca="1">_xll.ciqfunctions.udf.CIQ($B79,"IQ_CDS_mid",O$2)</f>
        <v>62.9694</v>
      </c>
      <c r="P79">
        <f ca="1">_xll.ciqfunctions.udf.CIQ($B79,"IQ_CDS_mid",P$2)</f>
        <v>63.636099999999999</v>
      </c>
      <c r="Q79">
        <f ca="1">_xll.ciqfunctions.udf.CIQ($B79,"IQ_CDS_mid",Q$2)</f>
        <v>63.636099999999999</v>
      </c>
      <c r="R79">
        <f ca="1">_xll.ciqfunctions.udf.CIQ($B79,"IQ_CDS_mid",R$2)</f>
        <v>61.333300000000001</v>
      </c>
      <c r="S79">
        <f ca="1">_xll.ciqfunctions.udf.CIQ($B79,"IQ_CDS_mid",S$2)</f>
        <v>43.716900000000003</v>
      </c>
      <c r="T79">
        <f t="shared" ref="T79:T84" ca="1" si="18">C79-H79</f>
        <v>5.4400000000001114E-2</v>
      </c>
      <c r="U79">
        <f t="shared" ref="U79:U84" ca="1" si="19">C79-M79</f>
        <v>1.083900000000007</v>
      </c>
      <c r="V79">
        <f t="shared" ref="V79:V84" ca="1" si="20">C79-Q79</f>
        <v>0.75060000000000571</v>
      </c>
      <c r="W79">
        <f t="shared" ref="W79:W84" ca="1" si="21">C79-R79</f>
        <v>3.0534000000000034</v>
      </c>
      <c r="X79">
        <f t="shared" ca="1" si="13"/>
        <v>20.669800000000002</v>
      </c>
    </row>
    <row r="80" spans="1:24" ht="15.5">
      <c r="A80" s="27" t="s">
        <v>43</v>
      </c>
      <c r="B80" s="25" t="s">
        <v>115</v>
      </c>
      <c r="C80">
        <f ca="1">_xll.ciqfunctions.udf.CIQ($B80,"IQ_CDS_mid",C$2)</f>
        <v>53.895699999999998</v>
      </c>
      <c r="D80">
        <f ca="1">_xll.ciqfunctions.udf.CIQ($B80,"IQ_CDS_mid",D$2)</f>
        <v>53.895699999999998</v>
      </c>
      <c r="E80">
        <f ca="1">_xll.ciqfunctions.udf.CIQ($B80,"IQ_CDS_mid",E$2)</f>
        <v>53.895699999999998</v>
      </c>
      <c r="F80">
        <f ca="1">_xll.ciqfunctions.udf.CIQ($B80,"IQ_CDS_mid",F$2)</f>
        <v>53.895699999999998</v>
      </c>
      <c r="G80">
        <f ca="1">_xll.ciqfunctions.udf.CIQ($B80,"IQ_CDS_mid",G$2)</f>
        <v>55.843200000000003</v>
      </c>
      <c r="H80">
        <f ca="1">_xll.ciqfunctions.udf.CIQ($B80,"IQ_CDS_mid",H$2)</f>
        <v>55.871699999999997</v>
      </c>
      <c r="I80">
        <f ca="1">_xll.ciqfunctions.udf.CIQ($B80,"IQ_CDS_mid",I$2)</f>
        <v>55.543199999999999</v>
      </c>
      <c r="J80">
        <f ca="1">_xll.ciqfunctions.udf.CIQ($B80,"IQ_CDS_mid",J$2)</f>
        <v>55.555900000000001</v>
      </c>
      <c r="K80">
        <f ca="1">_xll.ciqfunctions.udf.CIQ($B80,"IQ_CDS_mid",K$2)</f>
        <v>54.160299999999999</v>
      </c>
      <c r="L80">
        <f ca="1">_xll.ciqfunctions.udf.CIQ($B80,"IQ_CDS_mid",L$2)</f>
        <v>54.160299999999999</v>
      </c>
      <c r="M80">
        <f ca="1">_xll.ciqfunctions.udf.CIQ($B80,"IQ_CDS_mid",M$2)</f>
        <v>54.160299999999999</v>
      </c>
      <c r="N80">
        <f ca="1">_xll.ciqfunctions.udf.CIQ($B80,"IQ_CDS_mid",N$2)</f>
        <v>55.8812</v>
      </c>
      <c r="O80">
        <f ca="1">_xll.ciqfunctions.udf.CIQ($B80,"IQ_CDS_mid",O$2)</f>
        <v>55.883099999999999</v>
      </c>
      <c r="P80">
        <f ca="1">_xll.ciqfunctions.udf.CIQ($B80,"IQ_CDS_mid",P$2)</f>
        <v>56.216900000000003</v>
      </c>
      <c r="Q80">
        <f ca="1">_xll.ciqfunctions.udf.CIQ($B80,"IQ_CDS_mid",Q$2)</f>
        <v>56.5505</v>
      </c>
      <c r="R80">
        <f ca="1">_xll.ciqfunctions.udf.CIQ($B80,"IQ_CDS_mid",R$2)</f>
        <v>56</v>
      </c>
      <c r="S80">
        <f ca="1">_xll.ciqfunctions.udf.CIQ($B80,"IQ_CDS_mid",S$2)</f>
        <v>48.063600000000001</v>
      </c>
      <c r="T80">
        <f t="shared" ca="1" si="18"/>
        <v>-1.9759999999999991</v>
      </c>
      <c r="U80">
        <f t="shared" ca="1" si="19"/>
        <v>-0.2646000000000015</v>
      </c>
      <c r="V80">
        <f t="shared" ca="1" si="20"/>
        <v>-2.6548000000000016</v>
      </c>
      <c r="W80">
        <f t="shared" ca="1" si="21"/>
        <v>-2.1043000000000021</v>
      </c>
      <c r="X80">
        <f t="shared" ca="1" si="13"/>
        <v>5.832099999999997</v>
      </c>
    </row>
    <row r="81" spans="1:24" ht="15.5">
      <c r="A81" s="27" t="s">
        <v>44</v>
      </c>
      <c r="B81" t="s">
        <v>114</v>
      </c>
      <c r="C81">
        <f ca="1">_xll.ciqfunctions.udf.CIQ($B81,"IQ_CDS_mid",C$2)</f>
        <v>63.878999999999998</v>
      </c>
      <c r="D81">
        <f ca="1">_xll.ciqfunctions.udf.CIQ($B81,"IQ_CDS_mid",D$2)</f>
        <v>63.878999999999998</v>
      </c>
      <c r="E81">
        <f ca="1">_xll.ciqfunctions.udf.CIQ($B81,"IQ_CDS_mid",E$2)</f>
        <v>63.878999999999998</v>
      </c>
      <c r="F81">
        <f ca="1">_xll.ciqfunctions.udf.CIQ($B81,"IQ_CDS_mid",F$2)</f>
        <v>63.878999999999998</v>
      </c>
      <c r="G81">
        <f ca="1">_xll.ciqfunctions.udf.CIQ($B81,"IQ_CDS_mid",G$2)</f>
        <v>63.756900000000002</v>
      </c>
      <c r="H81">
        <f ca="1">_xll.ciqfunctions.udf.CIQ($B81,"IQ_CDS_mid",H$2)</f>
        <v>63.6295</v>
      </c>
      <c r="I81">
        <f ca="1">_xll.ciqfunctions.udf.CIQ($B81,"IQ_CDS_mid",I$2)</f>
        <v>63.877299999999998</v>
      </c>
      <c r="J81">
        <f ca="1">_xll.ciqfunctions.udf.CIQ($B81,"IQ_CDS_mid",J$2)</f>
        <v>64.509500000000003</v>
      </c>
      <c r="K81">
        <f ca="1">_xll.ciqfunctions.udf.CIQ($B81,"IQ_CDS_mid",K$2)</f>
        <v>63.831699999999998</v>
      </c>
      <c r="L81">
        <f ca="1">_xll.ciqfunctions.udf.CIQ($B81,"IQ_CDS_mid",L$2)</f>
        <v>63.831699999999998</v>
      </c>
      <c r="M81">
        <f ca="1">_xll.ciqfunctions.udf.CIQ($B81,"IQ_CDS_mid",M$2)</f>
        <v>63.831699999999998</v>
      </c>
      <c r="N81">
        <f ca="1">_xll.ciqfunctions.udf.CIQ($B81,"IQ_CDS_mid",N$2)</f>
        <v>63.256900000000002</v>
      </c>
      <c r="O81">
        <f ca="1">_xll.ciqfunctions.udf.CIQ($B81,"IQ_CDS_mid",O$2)</f>
        <v>63.125</v>
      </c>
      <c r="P81">
        <f ca="1">_xll.ciqfunctions.udf.CIQ($B81,"IQ_CDS_mid",P$2)</f>
        <v>63.125</v>
      </c>
      <c r="Q81">
        <f ca="1">_xll.ciqfunctions.udf.CIQ($B81,"IQ_CDS_mid",Q$2)</f>
        <v>62.749400000000001</v>
      </c>
      <c r="R81">
        <f ca="1">_xll.ciqfunctions.udf.CIQ($B81,"IQ_CDS_mid",R$2)</f>
        <v>61.173400000000001</v>
      </c>
      <c r="S81">
        <f ca="1">_xll.ciqfunctions.udf.CIQ($B81,"IQ_CDS_mid",S$2)</f>
        <v>44.9482</v>
      </c>
      <c r="T81">
        <f t="shared" ca="1" si="18"/>
        <v>0.24949999999999761</v>
      </c>
      <c r="U81">
        <f t="shared" ca="1" si="19"/>
        <v>4.7299999999999898E-2</v>
      </c>
      <c r="V81">
        <f t="shared" ca="1" si="20"/>
        <v>1.1295999999999964</v>
      </c>
      <c r="W81">
        <f t="shared" ca="1" si="21"/>
        <v>2.7055999999999969</v>
      </c>
      <c r="X81">
        <f t="shared" ca="1" si="13"/>
        <v>18.930799999999998</v>
      </c>
    </row>
    <row r="82" spans="1:24" ht="15.5">
      <c r="A82" s="27" t="s">
        <v>45</v>
      </c>
      <c r="B82" s="25" t="s">
        <v>113</v>
      </c>
      <c r="C82">
        <f ca="1">_xll.ciqfunctions.udf.CIQ($B82,"IQ_CDS_mid",C$2)</f>
        <v>60.5</v>
      </c>
      <c r="D82">
        <f ca="1">_xll.ciqfunctions.udf.CIQ($B82,"IQ_CDS_mid",D$2)</f>
        <v>60.5</v>
      </c>
      <c r="E82">
        <f ca="1">_xll.ciqfunctions.udf.CIQ($B82,"IQ_CDS_mid",E$2)</f>
        <v>60.5</v>
      </c>
      <c r="F82">
        <f ca="1">_xll.ciqfunctions.udf.CIQ($B82,"IQ_CDS_mid",F$2)</f>
        <v>60.5</v>
      </c>
      <c r="G82">
        <f ca="1">_xll.ciqfunctions.udf.CIQ($B82,"IQ_CDS_mid",G$2)</f>
        <v>60.5</v>
      </c>
      <c r="H82">
        <f ca="1">_xll.ciqfunctions.udf.CIQ($B82,"IQ_CDS_mid",H$2)</f>
        <v>60.5</v>
      </c>
      <c r="I82">
        <f ca="1">_xll.ciqfunctions.udf.CIQ($B82,"IQ_CDS_mid",I$2)</f>
        <v>60.5</v>
      </c>
      <c r="J82">
        <f ca="1">_xll.ciqfunctions.udf.CIQ($B82,"IQ_CDS_mid",J$2)</f>
        <v>60.5</v>
      </c>
      <c r="K82">
        <f ca="1">_xll.ciqfunctions.udf.CIQ($B82,"IQ_CDS_mid",K$2)</f>
        <v>60.620399999999997</v>
      </c>
      <c r="L82">
        <f ca="1">_xll.ciqfunctions.udf.CIQ($B82,"IQ_CDS_mid",L$2)</f>
        <v>60.620399999999997</v>
      </c>
      <c r="M82">
        <f ca="1">_xll.ciqfunctions.udf.CIQ($B82,"IQ_CDS_mid",M$2)</f>
        <v>60.620399999999997</v>
      </c>
      <c r="N82">
        <f ca="1">_xll.ciqfunctions.udf.CIQ($B82,"IQ_CDS_mid",N$2)</f>
        <v>60.632899999999999</v>
      </c>
      <c r="O82">
        <f ca="1">_xll.ciqfunctions.udf.CIQ($B82,"IQ_CDS_mid",O$2)</f>
        <v>60.660299999999999</v>
      </c>
      <c r="P82">
        <f ca="1">_xll.ciqfunctions.udf.CIQ($B82,"IQ_CDS_mid",P$2)</f>
        <v>60.666699999999999</v>
      </c>
      <c r="Q82">
        <f ca="1">_xll.ciqfunctions.udf.CIQ($B82,"IQ_CDS_mid",Q$2)</f>
        <v>60.008200000000002</v>
      </c>
      <c r="R82">
        <f ca="1">_xll.ciqfunctions.udf.CIQ($B82,"IQ_CDS_mid",R$2)</f>
        <v>56</v>
      </c>
      <c r="S82">
        <f ca="1">_xll.ciqfunctions.udf.CIQ($B82,"IQ_CDS_mid",S$2)</f>
        <v>41.721800000000002</v>
      </c>
      <c r="T82">
        <f t="shared" ca="1" si="18"/>
        <v>0</v>
      </c>
      <c r="U82">
        <f t="shared" ca="1" si="19"/>
        <v>-0.12039999999999651</v>
      </c>
      <c r="V82">
        <f t="shared" ca="1" si="20"/>
        <v>0.49179999999999779</v>
      </c>
      <c r="W82">
        <f t="shared" ca="1" si="21"/>
        <v>4.5</v>
      </c>
      <c r="X82">
        <f t="shared" ca="1" si="13"/>
        <v>18.778199999999998</v>
      </c>
    </row>
    <row r="83" spans="1:24" ht="15.5">
      <c r="A83" s="27" t="s">
        <v>46</v>
      </c>
      <c r="B83" s="25" t="s">
        <v>112</v>
      </c>
      <c r="C83">
        <f ca="1">_xll.ciqfunctions.udf.CIQ($B83,"IQ_CDS_mid",C$2)</f>
        <v>61.484200000000001</v>
      </c>
      <c r="D83">
        <f ca="1">_xll.ciqfunctions.udf.CIQ($B83,"IQ_CDS_mid",D$2)</f>
        <v>61.484200000000001</v>
      </c>
      <c r="E83">
        <f ca="1">_xll.ciqfunctions.udf.CIQ($B83,"IQ_CDS_mid",E$2)</f>
        <v>61.484200000000001</v>
      </c>
      <c r="F83">
        <f ca="1">_xll.ciqfunctions.udf.CIQ($B83,"IQ_CDS_mid",F$2)</f>
        <v>61.484200000000001</v>
      </c>
      <c r="G83">
        <f ca="1">_xll.ciqfunctions.udf.CIQ($B83,"IQ_CDS_mid",G$2)</f>
        <v>60.696100000000001</v>
      </c>
      <c r="H83">
        <f ca="1">_xll.ciqfunctions.udf.CIQ($B83,"IQ_CDS_mid",H$2)</f>
        <v>62.709699999999998</v>
      </c>
      <c r="I83">
        <f ca="1">_xll.ciqfunctions.udf.CIQ($B83,"IQ_CDS_mid",I$2)</f>
        <v>62.736499999999999</v>
      </c>
      <c r="J83">
        <f ca="1">_xll.ciqfunctions.udf.CIQ($B83,"IQ_CDS_mid",J$2)</f>
        <v>62.788699999999999</v>
      </c>
      <c r="K83">
        <f ca="1">_xll.ciqfunctions.udf.CIQ($B83,"IQ_CDS_mid",K$2)</f>
        <v>62.883600000000001</v>
      </c>
      <c r="L83">
        <f ca="1">_xll.ciqfunctions.udf.CIQ($B83,"IQ_CDS_mid",L$2)</f>
        <v>62.883600000000001</v>
      </c>
      <c r="M83">
        <f ca="1">_xll.ciqfunctions.udf.CIQ($B83,"IQ_CDS_mid",M$2)</f>
        <v>62.883600000000001</v>
      </c>
      <c r="N83">
        <f ca="1">_xll.ciqfunctions.udf.CIQ($B83,"IQ_CDS_mid",N$2)</f>
        <v>63.017099999999999</v>
      </c>
      <c r="O83">
        <f ca="1">_xll.ciqfunctions.udf.CIQ($B83,"IQ_CDS_mid",O$2)</f>
        <v>63.234699999999997</v>
      </c>
      <c r="P83">
        <f ca="1">_xll.ciqfunctions.udf.CIQ($B83,"IQ_CDS_mid",P$2)</f>
        <v>63.211599999999997</v>
      </c>
      <c r="Q83">
        <f ca="1">_xll.ciqfunctions.udf.CIQ($B83,"IQ_CDS_mid",Q$2)</f>
        <v>63.546999999999997</v>
      </c>
      <c r="R83">
        <f ca="1">_xll.ciqfunctions.udf.CIQ($B83,"IQ_CDS_mid",R$2)</f>
        <v>59.635399999999997</v>
      </c>
      <c r="S83">
        <f ca="1">_xll.ciqfunctions.udf.CIQ($B83,"IQ_CDS_mid",S$2)</f>
        <v>53.584200000000003</v>
      </c>
      <c r="T83">
        <f t="shared" ca="1" si="18"/>
        <v>-1.2254999999999967</v>
      </c>
      <c r="U83">
        <f t="shared" ca="1" si="19"/>
        <v>-1.3994</v>
      </c>
      <c r="V83">
        <f t="shared" ca="1" si="20"/>
        <v>-2.0627999999999957</v>
      </c>
      <c r="W83">
        <f t="shared" ca="1" si="21"/>
        <v>1.8488000000000042</v>
      </c>
      <c r="X83">
        <f t="shared" ca="1" si="13"/>
        <v>7.8999999999999986</v>
      </c>
    </row>
    <row r="84" spans="1:24" ht="15.5">
      <c r="A84" s="27" t="s">
        <v>47</v>
      </c>
      <c r="B84" t="s">
        <v>111</v>
      </c>
      <c r="C84">
        <f ca="1">_xll.ciqfunctions.udf.CIQ($B84,"IQ_CDS_mid",C$2)</f>
        <v>54.808500000000002</v>
      </c>
      <c r="D84">
        <f ca="1">_xll.ciqfunctions.udf.CIQ($B84,"IQ_CDS_mid",D$2)</f>
        <v>54.808500000000002</v>
      </c>
      <c r="E84">
        <f ca="1">_xll.ciqfunctions.udf.CIQ($B84,"IQ_CDS_mid",E$2)</f>
        <v>54.808500000000002</v>
      </c>
      <c r="F84">
        <f ca="1">_xll.ciqfunctions.udf.CIQ($B84,"IQ_CDS_mid",F$2)</f>
        <v>54.808500000000002</v>
      </c>
      <c r="G84">
        <f ca="1">_xll.ciqfunctions.udf.CIQ($B84,"IQ_CDS_mid",G$2)</f>
        <v>55.798400000000001</v>
      </c>
      <c r="H84">
        <f ca="1">_xll.ciqfunctions.udf.CIQ($B84,"IQ_CDS_mid",H$2)</f>
        <v>55.922699999999999</v>
      </c>
      <c r="I84">
        <f ca="1">_xll.ciqfunctions.udf.CIQ($B84,"IQ_CDS_mid",I$2)</f>
        <v>55.928400000000003</v>
      </c>
      <c r="J84">
        <f ca="1">_xll.ciqfunctions.udf.CIQ($B84,"IQ_CDS_mid",J$2)</f>
        <v>56.370100000000001</v>
      </c>
      <c r="K84">
        <f ca="1">_xll.ciqfunctions.udf.CIQ($B84,"IQ_CDS_mid",K$2)</f>
        <v>54.837800000000001</v>
      </c>
      <c r="L84">
        <f ca="1">_xll.ciqfunctions.udf.CIQ($B84,"IQ_CDS_mid",L$2)</f>
        <v>54.837800000000001</v>
      </c>
      <c r="M84">
        <f ca="1">_xll.ciqfunctions.udf.CIQ($B84,"IQ_CDS_mid",M$2)</f>
        <v>54.837800000000001</v>
      </c>
      <c r="N84">
        <f ca="1">_xll.ciqfunctions.udf.CIQ($B84,"IQ_CDS_mid",N$2)</f>
        <v>55.873600000000003</v>
      </c>
      <c r="O84">
        <f ca="1">_xll.ciqfunctions.udf.CIQ($B84,"IQ_CDS_mid",O$2)</f>
        <v>55.8645</v>
      </c>
      <c r="P84">
        <f ca="1">_xll.ciqfunctions.udf.CIQ($B84,"IQ_CDS_mid",P$2)</f>
        <v>56.865400000000001</v>
      </c>
      <c r="Q84">
        <f ca="1">_xll.ciqfunctions.udf.CIQ($B84,"IQ_CDS_mid",Q$2)</f>
        <v>57.473500000000001</v>
      </c>
      <c r="R84">
        <f ca="1">_xll.ciqfunctions.udf.CIQ($B84,"IQ_CDS_mid",R$2)</f>
        <v>60.017400000000002</v>
      </c>
      <c r="S84">
        <f ca="1">_xll.ciqfunctions.udf.CIQ($B84,"IQ_CDS_mid",S$2)</f>
        <v>50.306899999999999</v>
      </c>
      <c r="T84">
        <f t="shared" ca="1" si="18"/>
        <v>-1.1141999999999967</v>
      </c>
      <c r="U84">
        <f t="shared" ca="1" si="19"/>
        <v>-2.9299999999999216E-2</v>
      </c>
      <c r="V84">
        <f t="shared" ca="1" si="20"/>
        <v>-2.6649999999999991</v>
      </c>
      <c r="W84">
        <f t="shared" ca="1" si="21"/>
        <v>-5.2088999999999999</v>
      </c>
      <c r="X84">
        <f t="shared" ca="1" si="13"/>
        <v>4.5016000000000034</v>
      </c>
    </row>
    <row r="85" spans="1:24" ht="15.5">
      <c r="A85" s="26" t="s">
        <v>48</v>
      </c>
      <c r="B85" s="25"/>
    </row>
  </sheetData>
  <conditionalFormatting sqref="O3:S6 C3:N15 O8:S15 C16:S16 O17:S20 C17:N44 O22:S29 O31:S42 O44:S44 C45:C52 D48:S52 C53:S84">
    <cfRule type="cellIs" dxfId="1" priority="2" operator="greaterThan">
      <formula>150</formula>
    </cfRule>
    <cfRule type="cellIs" priority="3" operator="greaterThan">
      <formula>150</formula>
    </cfRule>
  </conditionalFormatting>
  <conditionalFormatting sqref="T3:U84">
    <cfRule type="cellIs" dxfId="0" priority="1" operator="greaterThan">
      <formula>10</formula>
    </cfRule>
  </conditionalFormatting>
  <pageMargins left="0.7" right="0.7" top="0.75" bottom="0.75" header="0.3" footer="0.3"/>
  <headerFooter>
    <oddHeader>&amp;R&amp;"Aptos"&amp;10&amp;K000000 Category/Catégorie: Non-Sensitive/Non-Délicat&amp;1#_x000D_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Report</vt:lpstr>
      <vt:lpstr>Risk Score Model</vt:lpstr>
      <vt:lpstr>CDS from CapitalIQ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 Evangelista</dc:creator>
  <cp:lastModifiedBy>Josh Evangelista</cp:lastModifiedBy>
  <dcterms:created xsi:type="dcterms:W3CDTF">2026-06-08T17:51:02Z</dcterms:created>
  <dcterms:modified xsi:type="dcterms:W3CDTF">2026-10-05T14:45:33Z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bacc78-dcc9-4733-835b-33704aeb5fb9_Enabled">
    <vt:lpwstr>true</vt:lpwstr>
  </property>
  <property fmtid="{D5CDD505-2E9C-101B-9397-08002B2CF9AE}" pid="3" name="MSIP_Label_aebacc78-dcc9-4733-835b-33704aeb5fb9_SetDate">
    <vt:lpwstr>2026-07-20T17:11:27Z</vt:lpwstr>
  </property>
  <property fmtid="{D5CDD505-2E9C-101B-9397-08002B2CF9AE}" pid="4" name="MSIP_Label_aebacc78-dcc9-4733-835b-33704aeb5fb9_Method">
    <vt:lpwstr>Privileged</vt:lpwstr>
  </property>
  <property fmtid="{D5CDD505-2E9C-101B-9397-08002B2CF9AE}" pid="5" name="MSIP_Label_aebacc78-dcc9-4733-835b-33704aeb5fb9_Name">
    <vt:lpwstr>Non-Sensitive - Non-Délicat</vt:lpwstr>
  </property>
  <property fmtid="{D5CDD505-2E9C-101B-9397-08002B2CF9AE}" pid="6" name="MSIP_Label_aebacc78-dcc9-4733-835b-33704aeb5fb9_SiteId">
    <vt:lpwstr>164f988b-a2f4-4584-aeaa-21bd4a0234bc</vt:lpwstr>
  </property>
  <property fmtid="{D5CDD505-2E9C-101B-9397-08002B2CF9AE}" pid="7" name="MSIP_Label_aebacc78-dcc9-4733-835b-33704aeb5fb9_ActionId">
    <vt:lpwstr>01940038-6609-4fb7-8904-5c361468ad28</vt:lpwstr>
  </property>
  <property fmtid="{D5CDD505-2E9C-101B-9397-08002B2CF9AE}" pid="8" name="MSIP_Label_aebacc78-dcc9-4733-835b-33704aeb5fb9_ContentBits">
    <vt:lpwstr>1</vt:lpwstr>
  </property>
  <property fmtid="{D5CDD505-2E9C-101B-9397-08002B2CF9AE}" pid="9" name="MSIP_Label_aebacc78-dcc9-4733-835b-33704aeb5fb9_Tag">
    <vt:lpwstr>10, 0, 1, 1</vt:lpwstr>
  </property>
</Properties>
</file>