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kofcanada-my.sharepoint.com/personal/evjo_bank-banque-canada_ca/Documents/Desktop/"/>
    </mc:Choice>
  </mc:AlternateContent>
  <xr:revisionPtr revIDLastSave="10454" documentId="8_{CDDB89CF-5CE4-4A65-99F7-7EF0C0A12C4C}" xr6:coauthVersionLast="47" xr6:coauthVersionMax="47" xr10:uidLastSave="{45B4EE73-BC75-4F55-8A02-BA25BFAFF09B}"/>
  <bookViews>
    <workbookView minimized="1" xWindow="4800" yWindow="2300" windowWidth="14400" windowHeight="8980" firstSheet="1" activeTab="1" xr2:uid="{A93B9CC2-92A3-4946-B0CF-93E1751ADFB7}"/>
  </bookViews>
  <sheets>
    <sheet name="_CIQHiddenCacheSheet" sheetId="530" state="veryHidden" r:id="rId1"/>
    <sheet name="Report" sheetId="1" r:id="rId2"/>
    <sheet name="Risk Score Model" sheetId="466" r:id="rId3"/>
    <sheet name="CDS from CapitalIQ" sheetId="3" r:id="rId4"/>
  </sheets>
  <externalReferences>
    <externalReference r:id="rId5"/>
  </externalReferences>
  <definedNames>
    <definedName name="bank_bloom">'[1]Bloomberg Codes'!$N$2:$U$23</definedName>
    <definedName name="CIQWBGuid" hidden="1">"99e4110a-dc57-404c-85ed-370d4fedd86c"</definedName>
    <definedName name="CIQWBInfo" hidden="1">"{ ""CIQVersion"":""9.51.3510.3078"" }"</definedName>
    <definedName name="date_cds">OFFSET(#REF!,0,0,1,COUNTA(#REF!))</definedName>
    <definedName name="date_fx">OFFSET(#REF!,0,0,1,COUNTA(#REF!))</definedName>
    <definedName name="date_lookup">'[1]Sovereign Indicators'!$C$1</definedName>
    <definedName name="date_stock">OFFSET(#REF!,0,0,1,COUNTA(#REF!))</definedName>
    <definedName name="graph_cds_change">OFFSET(#REF!,0,0,1,COUNTA(#REF!))</definedName>
    <definedName name="graph_cds_level">OFFSET(#REF!,0,0,1,COUNTA(#REF!))</definedName>
    <definedName name="graph_fx_change">OFFSET(#REF!,0,0,1,COUNTA(#REF!))</definedName>
    <definedName name="graph_stock_change">OFFSET(#REF!,0,0,1,COUNTA(#REF!))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"06/17/2026 20:53:41"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sov_bloom">'[1]Bloomberg Codes'!$A$3:$J$43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X7" i="3"/>
  <c r="X21" i="3"/>
  <c r="X30" i="3"/>
  <c r="X43" i="3"/>
  <c r="X45" i="3"/>
  <c r="X46" i="3"/>
  <c r="X47" i="3"/>
  <c r="X55" i="3"/>
  <c r="X59" i="3"/>
  <c r="X62" i="3"/>
  <c r="X67" i="3"/>
  <c r="X70" i="3"/>
  <c r="X72" i="3"/>
  <c r="X78" i="3"/>
  <c r="C3" i="3"/>
  <c r="C4" i="3"/>
  <c r="C5" i="3"/>
  <c r="C6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2" i="3"/>
  <c r="C23" i="3"/>
  <c r="C24" i="3"/>
  <c r="C25" i="3"/>
  <c r="C26" i="3"/>
  <c r="C27" i="3"/>
  <c r="C28" i="3"/>
  <c r="C29" i="3"/>
  <c r="C31" i="3"/>
  <c r="C32" i="3"/>
  <c r="C33" i="3"/>
  <c r="C34" i="3"/>
  <c r="C35" i="3"/>
  <c r="C36" i="3"/>
  <c r="C37" i="3"/>
  <c r="C38" i="3"/>
  <c r="C39" i="3"/>
  <c r="C40" i="3"/>
  <c r="C42" i="3"/>
  <c r="C44" i="3"/>
  <c r="C48" i="3"/>
  <c r="C49" i="3"/>
  <c r="C50" i="3"/>
  <c r="C51" i="3"/>
  <c r="C52" i="3"/>
  <c r="C53" i="3"/>
  <c r="C54" i="3"/>
  <c r="C56" i="3"/>
  <c r="C57" i="3"/>
  <c r="C58" i="3"/>
  <c r="C60" i="3"/>
  <c r="C61" i="3"/>
  <c r="C63" i="3"/>
  <c r="C64" i="3"/>
  <c r="C65" i="3"/>
  <c r="C66" i="3"/>
  <c r="C68" i="3"/>
  <c r="C69" i="3"/>
  <c r="C71" i="3"/>
  <c r="C73" i="3"/>
  <c r="C74" i="3"/>
  <c r="C75" i="3"/>
  <c r="C76" i="3"/>
  <c r="C77" i="3"/>
  <c r="C79" i="3"/>
  <c r="C80" i="3"/>
  <c r="C81" i="3"/>
  <c r="C82" i="3"/>
  <c r="C83" i="3"/>
  <c r="C84" i="3"/>
  <c r="E3" i="3"/>
  <c r="E4" i="3"/>
  <c r="E5" i="3"/>
  <c r="E6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2" i="3"/>
  <c r="E23" i="3"/>
  <c r="E24" i="3"/>
  <c r="E25" i="3"/>
  <c r="E26" i="3"/>
  <c r="E27" i="3"/>
  <c r="E28" i="3"/>
  <c r="E29" i="3"/>
  <c r="E31" i="3"/>
  <c r="E32" i="3"/>
  <c r="E33" i="3"/>
  <c r="E34" i="3"/>
  <c r="E35" i="3"/>
  <c r="E36" i="3"/>
  <c r="E37" i="3"/>
  <c r="E38" i="3"/>
  <c r="E39" i="3"/>
  <c r="E40" i="3"/>
  <c r="E42" i="3"/>
  <c r="E44" i="3"/>
  <c r="E48" i="3"/>
  <c r="E49" i="3"/>
  <c r="E50" i="3"/>
  <c r="E51" i="3"/>
  <c r="E52" i="3"/>
  <c r="E53" i="3"/>
  <c r="E54" i="3"/>
  <c r="E56" i="3"/>
  <c r="E57" i="3"/>
  <c r="E58" i="3"/>
  <c r="E60" i="3"/>
  <c r="E61" i="3"/>
  <c r="E63" i="3"/>
  <c r="E64" i="3"/>
  <c r="E65" i="3"/>
  <c r="E66" i="3"/>
  <c r="E68" i="3"/>
  <c r="E69" i="3"/>
  <c r="E71" i="3"/>
  <c r="E73" i="3"/>
  <c r="E74" i="3"/>
  <c r="E75" i="3"/>
  <c r="E76" i="3"/>
  <c r="E77" i="3"/>
  <c r="E79" i="3"/>
  <c r="E80" i="3"/>
  <c r="E81" i="3"/>
  <c r="E82" i="3"/>
  <c r="E83" i="3"/>
  <c r="E84" i="3"/>
  <c r="F3" i="3"/>
  <c r="F4" i="3"/>
  <c r="F5" i="3"/>
  <c r="F6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2" i="3"/>
  <c r="F23" i="3"/>
  <c r="F24" i="3"/>
  <c r="F25" i="3"/>
  <c r="F26" i="3"/>
  <c r="F27" i="3"/>
  <c r="F28" i="3"/>
  <c r="F29" i="3"/>
  <c r="F31" i="3"/>
  <c r="F32" i="3"/>
  <c r="F33" i="3"/>
  <c r="F34" i="3"/>
  <c r="F35" i="3"/>
  <c r="F36" i="3"/>
  <c r="F37" i="3"/>
  <c r="F38" i="3"/>
  <c r="F39" i="3"/>
  <c r="F40" i="3"/>
  <c r="F42" i="3"/>
  <c r="F44" i="3"/>
  <c r="F48" i="3"/>
  <c r="F49" i="3"/>
  <c r="F50" i="3"/>
  <c r="F51" i="3"/>
  <c r="F52" i="3"/>
  <c r="F53" i="3"/>
  <c r="F54" i="3"/>
  <c r="F56" i="3"/>
  <c r="F57" i="3"/>
  <c r="F58" i="3"/>
  <c r="F60" i="3"/>
  <c r="F61" i="3"/>
  <c r="F63" i="3"/>
  <c r="F64" i="3"/>
  <c r="F65" i="3"/>
  <c r="F66" i="3"/>
  <c r="F68" i="3"/>
  <c r="F69" i="3"/>
  <c r="F71" i="3"/>
  <c r="F73" i="3"/>
  <c r="F74" i="3"/>
  <c r="F75" i="3"/>
  <c r="F76" i="3"/>
  <c r="F77" i="3"/>
  <c r="F79" i="3"/>
  <c r="F80" i="3"/>
  <c r="F81" i="3"/>
  <c r="F82" i="3"/>
  <c r="F83" i="3"/>
  <c r="F84" i="3"/>
  <c r="O3" i="3"/>
  <c r="O4" i="3"/>
  <c r="O5" i="3"/>
  <c r="O6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2" i="3"/>
  <c r="O23" i="3"/>
  <c r="O24" i="3"/>
  <c r="O25" i="3"/>
  <c r="O26" i="3"/>
  <c r="O27" i="3"/>
  <c r="O28" i="3"/>
  <c r="O29" i="3"/>
  <c r="O31" i="3"/>
  <c r="O32" i="3"/>
  <c r="O33" i="3"/>
  <c r="O34" i="3"/>
  <c r="O35" i="3"/>
  <c r="O36" i="3"/>
  <c r="O37" i="3"/>
  <c r="O38" i="3"/>
  <c r="O39" i="3"/>
  <c r="O40" i="3"/>
  <c r="O42" i="3"/>
  <c r="O44" i="3"/>
  <c r="O48" i="3"/>
  <c r="O49" i="3"/>
  <c r="O50" i="3"/>
  <c r="O51" i="3"/>
  <c r="O52" i="3"/>
  <c r="O53" i="3"/>
  <c r="O54" i="3"/>
  <c r="O56" i="3"/>
  <c r="O57" i="3"/>
  <c r="O58" i="3"/>
  <c r="O60" i="3"/>
  <c r="O61" i="3"/>
  <c r="O63" i="3"/>
  <c r="O64" i="3"/>
  <c r="O65" i="3"/>
  <c r="O66" i="3"/>
  <c r="O68" i="3"/>
  <c r="O69" i="3"/>
  <c r="O71" i="3"/>
  <c r="O73" i="3"/>
  <c r="O74" i="3"/>
  <c r="O75" i="3"/>
  <c r="O76" i="3"/>
  <c r="O77" i="3"/>
  <c r="O79" i="3"/>
  <c r="O80" i="3"/>
  <c r="O81" i="3"/>
  <c r="O82" i="3"/>
  <c r="O83" i="3"/>
  <c r="O84" i="3"/>
  <c r="Q3" i="3"/>
  <c r="Q4" i="3"/>
  <c r="Q5" i="3"/>
  <c r="Q6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2" i="3"/>
  <c r="Q23" i="3"/>
  <c r="Q24" i="3"/>
  <c r="Q25" i="3"/>
  <c r="Q26" i="3"/>
  <c r="Q27" i="3"/>
  <c r="Q28" i="3"/>
  <c r="Q29" i="3"/>
  <c r="Q31" i="3"/>
  <c r="Q32" i="3"/>
  <c r="Q33" i="3"/>
  <c r="Q34" i="3"/>
  <c r="Q35" i="3"/>
  <c r="Q36" i="3"/>
  <c r="Q37" i="3"/>
  <c r="Q38" i="3"/>
  <c r="Q39" i="3"/>
  <c r="Q40" i="3"/>
  <c r="Q42" i="3"/>
  <c r="Q44" i="3"/>
  <c r="Q48" i="3"/>
  <c r="Q49" i="3"/>
  <c r="Q50" i="3"/>
  <c r="Q51" i="3"/>
  <c r="Q52" i="3"/>
  <c r="Q53" i="3"/>
  <c r="Q54" i="3"/>
  <c r="Q56" i="3"/>
  <c r="Q57" i="3"/>
  <c r="Q58" i="3"/>
  <c r="Q60" i="3"/>
  <c r="Q61" i="3"/>
  <c r="Q63" i="3"/>
  <c r="Q64" i="3"/>
  <c r="Q65" i="3"/>
  <c r="Q66" i="3"/>
  <c r="Q68" i="3"/>
  <c r="Q69" i="3"/>
  <c r="Q71" i="3"/>
  <c r="Q73" i="3"/>
  <c r="Q74" i="3"/>
  <c r="Q75" i="3"/>
  <c r="Q76" i="3"/>
  <c r="Q77" i="3"/>
  <c r="Q79" i="3"/>
  <c r="Q80" i="3"/>
  <c r="Q81" i="3"/>
  <c r="Q82" i="3"/>
  <c r="Q83" i="3"/>
  <c r="Q84" i="3"/>
  <c r="G3" i="3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2" i="3"/>
  <c r="G23" i="3"/>
  <c r="G24" i="3"/>
  <c r="G25" i="3"/>
  <c r="G26" i="3"/>
  <c r="G27" i="3"/>
  <c r="G28" i="3"/>
  <c r="G29" i="3"/>
  <c r="G31" i="3"/>
  <c r="G32" i="3"/>
  <c r="G33" i="3"/>
  <c r="G34" i="3"/>
  <c r="G35" i="3"/>
  <c r="G36" i="3"/>
  <c r="G37" i="3"/>
  <c r="G38" i="3"/>
  <c r="G39" i="3"/>
  <c r="G40" i="3"/>
  <c r="G42" i="3"/>
  <c r="G44" i="3"/>
  <c r="G48" i="3"/>
  <c r="G49" i="3"/>
  <c r="G50" i="3"/>
  <c r="G51" i="3"/>
  <c r="G52" i="3"/>
  <c r="G53" i="3"/>
  <c r="G54" i="3"/>
  <c r="G56" i="3"/>
  <c r="G57" i="3"/>
  <c r="G58" i="3"/>
  <c r="G60" i="3"/>
  <c r="G61" i="3"/>
  <c r="G63" i="3"/>
  <c r="G64" i="3"/>
  <c r="G65" i="3"/>
  <c r="G66" i="3"/>
  <c r="G68" i="3"/>
  <c r="G69" i="3"/>
  <c r="G71" i="3"/>
  <c r="G73" i="3"/>
  <c r="G74" i="3"/>
  <c r="G75" i="3"/>
  <c r="G76" i="3"/>
  <c r="G77" i="3"/>
  <c r="G79" i="3"/>
  <c r="G80" i="3"/>
  <c r="G81" i="3"/>
  <c r="G82" i="3"/>
  <c r="G83" i="3"/>
  <c r="G84" i="3"/>
  <c r="H3" i="3"/>
  <c r="H4" i="3"/>
  <c r="H5" i="3"/>
  <c r="H6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2" i="3"/>
  <c r="H23" i="3"/>
  <c r="H24" i="3"/>
  <c r="H25" i="3"/>
  <c r="H26" i="3"/>
  <c r="H27" i="3"/>
  <c r="H28" i="3"/>
  <c r="H29" i="3"/>
  <c r="H31" i="3"/>
  <c r="H32" i="3"/>
  <c r="H33" i="3"/>
  <c r="H34" i="3"/>
  <c r="H35" i="3"/>
  <c r="H36" i="3"/>
  <c r="H37" i="3"/>
  <c r="H38" i="3"/>
  <c r="H39" i="3"/>
  <c r="H40" i="3"/>
  <c r="H42" i="3"/>
  <c r="H44" i="3"/>
  <c r="H48" i="3"/>
  <c r="H49" i="3"/>
  <c r="H50" i="3"/>
  <c r="H51" i="3"/>
  <c r="H52" i="3"/>
  <c r="H53" i="3"/>
  <c r="H54" i="3"/>
  <c r="H56" i="3"/>
  <c r="H57" i="3"/>
  <c r="H58" i="3"/>
  <c r="H60" i="3"/>
  <c r="H61" i="3"/>
  <c r="H63" i="3"/>
  <c r="H64" i="3"/>
  <c r="H65" i="3"/>
  <c r="H66" i="3"/>
  <c r="H68" i="3"/>
  <c r="H69" i="3"/>
  <c r="H71" i="3"/>
  <c r="H73" i="3"/>
  <c r="H74" i="3"/>
  <c r="H75" i="3"/>
  <c r="H76" i="3"/>
  <c r="H77" i="3"/>
  <c r="H79" i="3"/>
  <c r="H80" i="3"/>
  <c r="H81" i="3"/>
  <c r="H82" i="3"/>
  <c r="H83" i="3"/>
  <c r="H84" i="3"/>
  <c r="P3" i="3"/>
  <c r="P4" i="3"/>
  <c r="P5" i="3"/>
  <c r="P6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2" i="3"/>
  <c r="P23" i="3"/>
  <c r="P24" i="3"/>
  <c r="P25" i="3"/>
  <c r="P26" i="3"/>
  <c r="P27" i="3"/>
  <c r="P28" i="3"/>
  <c r="P29" i="3"/>
  <c r="P31" i="3"/>
  <c r="P32" i="3"/>
  <c r="P33" i="3"/>
  <c r="P34" i="3"/>
  <c r="P35" i="3"/>
  <c r="P36" i="3"/>
  <c r="P37" i="3"/>
  <c r="P38" i="3"/>
  <c r="P39" i="3"/>
  <c r="P40" i="3"/>
  <c r="P42" i="3"/>
  <c r="P44" i="3"/>
  <c r="P48" i="3"/>
  <c r="P49" i="3"/>
  <c r="P50" i="3"/>
  <c r="P51" i="3"/>
  <c r="P52" i="3"/>
  <c r="P53" i="3"/>
  <c r="P54" i="3"/>
  <c r="P56" i="3"/>
  <c r="P57" i="3"/>
  <c r="P58" i="3"/>
  <c r="P60" i="3"/>
  <c r="P61" i="3"/>
  <c r="P63" i="3"/>
  <c r="P64" i="3"/>
  <c r="P65" i="3"/>
  <c r="P66" i="3"/>
  <c r="P68" i="3"/>
  <c r="P69" i="3"/>
  <c r="P71" i="3"/>
  <c r="P73" i="3"/>
  <c r="P74" i="3"/>
  <c r="P75" i="3"/>
  <c r="P76" i="3"/>
  <c r="P77" i="3"/>
  <c r="P79" i="3"/>
  <c r="P80" i="3"/>
  <c r="P81" i="3"/>
  <c r="P82" i="3"/>
  <c r="P83" i="3"/>
  <c r="P84" i="3"/>
  <c r="I3" i="3"/>
  <c r="I4" i="3"/>
  <c r="I5" i="3"/>
  <c r="I6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2" i="3"/>
  <c r="I23" i="3"/>
  <c r="I24" i="3"/>
  <c r="I25" i="3"/>
  <c r="I26" i="3"/>
  <c r="I27" i="3"/>
  <c r="I28" i="3"/>
  <c r="I29" i="3"/>
  <c r="I31" i="3"/>
  <c r="I32" i="3"/>
  <c r="I33" i="3"/>
  <c r="I34" i="3"/>
  <c r="I35" i="3"/>
  <c r="I36" i="3"/>
  <c r="I37" i="3"/>
  <c r="I38" i="3"/>
  <c r="I39" i="3"/>
  <c r="I40" i="3"/>
  <c r="I42" i="3"/>
  <c r="I44" i="3"/>
  <c r="I48" i="3"/>
  <c r="I49" i="3"/>
  <c r="I50" i="3"/>
  <c r="I51" i="3"/>
  <c r="I52" i="3"/>
  <c r="I53" i="3"/>
  <c r="I54" i="3"/>
  <c r="I56" i="3"/>
  <c r="I57" i="3"/>
  <c r="I58" i="3"/>
  <c r="I60" i="3"/>
  <c r="I61" i="3"/>
  <c r="I63" i="3"/>
  <c r="I64" i="3"/>
  <c r="I65" i="3"/>
  <c r="I66" i="3"/>
  <c r="I68" i="3"/>
  <c r="I69" i="3"/>
  <c r="I71" i="3"/>
  <c r="I73" i="3"/>
  <c r="I74" i="3"/>
  <c r="I75" i="3"/>
  <c r="I76" i="3"/>
  <c r="I77" i="3"/>
  <c r="I79" i="3"/>
  <c r="I80" i="3"/>
  <c r="I81" i="3"/>
  <c r="I82" i="3"/>
  <c r="I83" i="3"/>
  <c r="I84" i="3"/>
  <c r="J3" i="3"/>
  <c r="J4" i="3"/>
  <c r="J5" i="3"/>
  <c r="J6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2" i="3"/>
  <c r="J23" i="3"/>
  <c r="J24" i="3"/>
  <c r="J25" i="3"/>
  <c r="J26" i="3"/>
  <c r="J27" i="3"/>
  <c r="J28" i="3"/>
  <c r="J29" i="3"/>
  <c r="J31" i="3"/>
  <c r="J32" i="3"/>
  <c r="J33" i="3"/>
  <c r="J34" i="3"/>
  <c r="J35" i="3"/>
  <c r="J36" i="3"/>
  <c r="J37" i="3"/>
  <c r="J38" i="3"/>
  <c r="J39" i="3"/>
  <c r="J40" i="3"/>
  <c r="J42" i="3"/>
  <c r="J44" i="3"/>
  <c r="J48" i="3"/>
  <c r="J49" i="3"/>
  <c r="J50" i="3"/>
  <c r="J51" i="3"/>
  <c r="J52" i="3"/>
  <c r="J53" i="3"/>
  <c r="J54" i="3"/>
  <c r="J56" i="3"/>
  <c r="J57" i="3"/>
  <c r="J58" i="3"/>
  <c r="J60" i="3"/>
  <c r="J61" i="3"/>
  <c r="J63" i="3"/>
  <c r="J64" i="3"/>
  <c r="J65" i="3"/>
  <c r="J66" i="3"/>
  <c r="J68" i="3"/>
  <c r="J69" i="3"/>
  <c r="J71" i="3"/>
  <c r="J73" i="3"/>
  <c r="J74" i="3"/>
  <c r="J75" i="3"/>
  <c r="J76" i="3"/>
  <c r="J77" i="3"/>
  <c r="J79" i="3"/>
  <c r="J80" i="3"/>
  <c r="J81" i="3"/>
  <c r="J82" i="3"/>
  <c r="J83" i="3"/>
  <c r="J84" i="3"/>
  <c r="L3" i="3"/>
  <c r="L4" i="3"/>
  <c r="L5" i="3"/>
  <c r="L6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2" i="3"/>
  <c r="L23" i="3"/>
  <c r="L24" i="3"/>
  <c r="L25" i="3"/>
  <c r="L26" i="3"/>
  <c r="L27" i="3"/>
  <c r="L28" i="3"/>
  <c r="L29" i="3"/>
  <c r="L31" i="3"/>
  <c r="L32" i="3"/>
  <c r="L33" i="3"/>
  <c r="L34" i="3"/>
  <c r="L35" i="3"/>
  <c r="L36" i="3"/>
  <c r="L37" i="3"/>
  <c r="L38" i="3"/>
  <c r="L39" i="3"/>
  <c r="L40" i="3"/>
  <c r="L42" i="3"/>
  <c r="L44" i="3"/>
  <c r="L48" i="3"/>
  <c r="L49" i="3"/>
  <c r="L50" i="3"/>
  <c r="L51" i="3"/>
  <c r="L52" i="3"/>
  <c r="L53" i="3"/>
  <c r="L54" i="3"/>
  <c r="L56" i="3"/>
  <c r="L57" i="3"/>
  <c r="L58" i="3"/>
  <c r="L60" i="3"/>
  <c r="L61" i="3"/>
  <c r="L63" i="3"/>
  <c r="L64" i="3"/>
  <c r="L65" i="3"/>
  <c r="L66" i="3"/>
  <c r="L68" i="3"/>
  <c r="L69" i="3"/>
  <c r="L71" i="3"/>
  <c r="L73" i="3"/>
  <c r="L74" i="3"/>
  <c r="L75" i="3"/>
  <c r="L76" i="3"/>
  <c r="L77" i="3"/>
  <c r="L79" i="3"/>
  <c r="L80" i="3"/>
  <c r="L81" i="3"/>
  <c r="L82" i="3"/>
  <c r="L83" i="3"/>
  <c r="L84" i="3"/>
  <c r="N3" i="3"/>
  <c r="N4" i="3"/>
  <c r="N5" i="3"/>
  <c r="N6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2" i="3"/>
  <c r="N23" i="3"/>
  <c r="N24" i="3"/>
  <c r="N25" i="3"/>
  <c r="N26" i="3"/>
  <c r="N27" i="3"/>
  <c r="N28" i="3"/>
  <c r="N29" i="3"/>
  <c r="N31" i="3"/>
  <c r="N32" i="3"/>
  <c r="N33" i="3"/>
  <c r="N34" i="3"/>
  <c r="N35" i="3"/>
  <c r="N36" i="3"/>
  <c r="N37" i="3"/>
  <c r="N38" i="3"/>
  <c r="N39" i="3"/>
  <c r="N40" i="3"/>
  <c r="N42" i="3"/>
  <c r="N44" i="3"/>
  <c r="N48" i="3"/>
  <c r="N49" i="3"/>
  <c r="N50" i="3"/>
  <c r="N51" i="3"/>
  <c r="N52" i="3"/>
  <c r="N53" i="3"/>
  <c r="N54" i="3"/>
  <c r="N56" i="3"/>
  <c r="N57" i="3"/>
  <c r="N58" i="3"/>
  <c r="N60" i="3"/>
  <c r="N61" i="3"/>
  <c r="N63" i="3"/>
  <c r="N64" i="3"/>
  <c r="N65" i="3"/>
  <c r="N66" i="3"/>
  <c r="N68" i="3"/>
  <c r="N69" i="3"/>
  <c r="N71" i="3"/>
  <c r="N73" i="3"/>
  <c r="N74" i="3"/>
  <c r="N75" i="3"/>
  <c r="N76" i="3"/>
  <c r="N77" i="3"/>
  <c r="N79" i="3"/>
  <c r="N80" i="3"/>
  <c r="N81" i="3"/>
  <c r="N82" i="3"/>
  <c r="N83" i="3"/>
  <c r="N84" i="3"/>
  <c r="K3" i="3"/>
  <c r="K4" i="3"/>
  <c r="K5" i="3"/>
  <c r="K6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2" i="3"/>
  <c r="K23" i="3"/>
  <c r="K24" i="3"/>
  <c r="K25" i="3"/>
  <c r="K26" i="3"/>
  <c r="K27" i="3"/>
  <c r="K28" i="3"/>
  <c r="K29" i="3"/>
  <c r="K31" i="3"/>
  <c r="K32" i="3"/>
  <c r="K33" i="3"/>
  <c r="K34" i="3"/>
  <c r="K35" i="3"/>
  <c r="K36" i="3"/>
  <c r="K37" i="3"/>
  <c r="K38" i="3"/>
  <c r="K39" i="3"/>
  <c r="K40" i="3"/>
  <c r="K42" i="3"/>
  <c r="K44" i="3"/>
  <c r="K48" i="3"/>
  <c r="K49" i="3"/>
  <c r="K50" i="3"/>
  <c r="K51" i="3"/>
  <c r="K52" i="3"/>
  <c r="K53" i="3"/>
  <c r="K54" i="3"/>
  <c r="K56" i="3"/>
  <c r="K57" i="3"/>
  <c r="K58" i="3"/>
  <c r="K60" i="3"/>
  <c r="K61" i="3"/>
  <c r="K63" i="3"/>
  <c r="K64" i="3"/>
  <c r="K65" i="3"/>
  <c r="K66" i="3"/>
  <c r="K68" i="3"/>
  <c r="K69" i="3"/>
  <c r="K71" i="3"/>
  <c r="K73" i="3"/>
  <c r="K74" i="3"/>
  <c r="K75" i="3"/>
  <c r="K76" i="3"/>
  <c r="K77" i="3"/>
  <c r="K79" i="3"/>
  <c r="K80" i="3"/>
  <c r="K81" i="3"/>
  <c r="K82" i="3"/>
  <c r="K83" i="3"/>
  <c r="K84" i="3"/>
  <c r="M3" i="3"/>
  <c r="M4" i="3"/>
  <c r="M5" i="3"/>
  <c r="M6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0" i="3"/>
  <c r="M42" i="3"/>
  <c r="M44" i="3"/>
  <c r="M48" i="3"/>
  <c r="M49" i="3"/>
  <c r="M50" i="3"/>
  <c r="M51" i="3"/>
  <c r="M52" i="3"/>
  <c r="M53" i="3"/>
  <c r="M54" i="3"/>
  <c r="M56" i="3"/>
  <c r="M57" i="3"/>
  <c r="M58" i="3"/>
  <c r="M60" i="3"/>
  <c r="M61" i="3"/>
  <c r="M63" i="3"/>
  <c r="M64" i="3"/>
  <c r="M65" i="3"/>
  <c r="M66" i="3"/>
  <c r="M68" i="3"/>
  <c r="M69" i="3"/>
  <c r="M71" i="3"/>
  <c r="M73" i="3"/>
  <c r="M74" i="3"/>
  <c r="M75" i="3"/>
  <c r="M76" i="3"/>
  <c r="M77" i="3"/>
  <c r="M79" i="3"/>
  <c r="M80" i="3"/>
  <c r="M81" i="3"/>
  <c r="M82" i="3"/>
  <c r="M83" i="3"/>
  <c r="M84" i="3"/>
  <c r="R3" i="3"/>
  <c r="R4" i="3"/>
  <c r="R5" i="3"/>
  <c r="R6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2" i="3"/>
  <c r="R23" i="3"/>
  <c r="R24" i="3"/>
  <c r="R25" i="3"/>
  <c r="R26" i="3"/>
  <c r="R27" i="3"/>
  <c r="R28" i="3"/>
  <c r="R29" i="3"/>
  <c r="R31" i="3"/>
  <c r="R32" i="3"/>
  <c r="R33" i="3"/>
  <c r="R34" i="3"/>
  <c r="R35" i="3"/>
  <c r="R36" i="3"/>
  <c r="R37" i="3"/>
  <c r="R38" i="3"/>
  <c r="R39" i="3"/>
  <c r="R40" i="3"/>
  <c r="R42" i="3"/>
  <c r="R44" i="3"/>
  <c r="R48" i="3"/>
  <c r="R49" i="3"/>
  <c r="R50" i="3"/>
  <c r="R51" i="3"/>
  <c r="R52" i="3"/>
  <c r="R53" i="3"/>
  <c r="R54" i="3"/>
  <c r="R56" i="3"/>
  <c r="R57" i="3"/>
  <c r="R58" i="3"/>
  <c r="R60" i="3"/>
  <c r="R61" i="3"/>
  <c r="R63" i="3"/>
  <c r="R64" i="3"/>
  <c r="R65" i="3"/>
  <c r="R66" i="3"/>
  <c r="R68" i="3"/>
  <c r="R69" i="3"/>
  <c r="R71" i="3"/>
  <c r="R73" i="3"/>
  <c r="R74" i="3"/>
  <c r="R75" i="3"/>
  <c r="R76" i="3"/>
  <c r="R77" i="3"/>
  <c r="R79" i="3"/>
  <c r="R80" i="3"/>
  <c r="R81" i="3"/>
  <c r="R82" i="3"/>
  <c r="R83" i="3"/>
  <c r="R84" i="3"/>
  <c r="S3" i="3"/>
  <c r="S4" i="3"/>
  <c r="S5" i="3"/>
  <c r="S6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2" i="3"/>
  <c r="S23" i="3"/>
  <c r="S24" i="3"/>
  <c r="S25" i="3"/>
  <c r="S26" i="3"/>
  <c r="S27" i="3"/>
  <c r="S28" i="3"/>
  <c r="S29" i="3"/>
  <c r="S31" i="3"/>
  <c r="S32" i="3"/>
  <c r="S33" i="3"/>
  <c r="S34" i="3"/>
  <c r="S35" i="3"/>
  <c r="S36" i="3"/>
  <c r="S37" i="3"/>
  <c r="S38" i="3"/>
  <c r="S39" i="3"/>
  <c r="S40" i="3"/>
  <c r="S42" i="3"/>
  <c r="S44" i="3"/>
  <c r="S48" i="3"/>
  <c r="S49" i="3"/>
  <c r="S50" i="3"/>
  <c r="S51" i="3"/>
  <c r="S52" i="3"/>
  <c r="S53" i="3"/>
  <c r="S54" i="3"/>
  <c r="S56" i="3"/>
  <c r="S57" i="3"/>
  <c r="S58" i="3"/>
  <c r="S60" i="3"/>
  <c r="S61" i="3"/>
  <c r="S63" i="3"/>
  <c r="S64" i="3"/>
  <c r="S65" i="3"/>
  <c r="S66" i="3"/>
  <c r="S68" i="3"/>
  <c r="S69" i="3"/>
  <c r="S71" i="3"/>
  <c r="S73" i="3"/>
  <c r="S74" i="3"/>
  <c r="S75" i="3"/>
  <c r="S76" i="3"/>
  <c r="S77" i="3"/>
  <c r="S79" i="3"/>
  <c r="S80" i="3"/>
  <c r="S81" i="3"/>
  <c r="S82" i="3"/>
  <c r="S83" i="3"/>
  <c r="S84" i="3"/>
  <c r="D3" i="3"/>
  <c r="D4" i="3"/>
  <c r="D5" i="3"/>
  <c r="D6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3" i="3"/>
  <c r="D24" i="3"/>
  <c r="D25" i="3"/>
  <c r="D26" i="3"/>
  <c r="D27" i="3"/>
  <c r="D28" i="3"/>
  <c r="D29" i="3"/>
  <c r="D31" i="3"/>
  <c r="D32" i="3"/>
  <c r="D33" i="3"/>
  <c r="D34" i="3"/>
  <c r="D35" i="3"/>
  <c r="D36" i="3"/>
  <c r="D37" i="3"/>
  <c r="D38" i="3"/>
  <c r="D39" i="3"/>
  <c r="D40" i="3"/>
  <c r="D42" i="3"/>
  <c r="D44" i="3"/>
  <c r="D48" i="3"/>
  <c r="D49" i="3"/>
  <c r="D50" i="3"/>
  <c r="D51" i="3"/>
  <c r="D52" i="3"/>
  <c r="D53" i="3"/>
  <c r="D54" i="3"/>
  <c r="D56" i="3"/>
  <c r="D57" i="3"/>
  <c r="D58" i="3"/>
  <c r="D60" i="3"/>
  <c r="D61" i="3"/>
  <c r="D63" i="3"/>
  <c r="D64" i="3"/>
  <c r="D65" i="3"/>
  <c r="D66" i="3"/>
  <c r="D68" i="3"/>
  <c r="D69" i="3"/>
  <c r="D71" i="3"/>
  <c r="D73" i="3"/>
  <c r="D74" i="3"/>
  <c r="D75" i="3"/>
  <c r="D76" i="3"/>
  <c r="D77" i="3"/>
  <c r="D79" i="3"/>
  <c r="D80" i="3"/>
  <c r="D81" i="3"/>
  <c r="D82" i="3"/>
  <c r="D83" i="3"/>
  <c r="D84" i="3"/>
  <c r="M2" i="1" a="1"/>
  <c r="U84" i="3" l="1"/>
  <c r="V84" i="3"/>
  <c r="W84" i="3"/>
  <c r="X84" i="3"/>
  <c r="T84" i="3"/>
  <c r="T83" i="3"/>
  <c r="V83" i="3"/>
  <c r="W83" i="3"/>
  <c r="U83" i="3"/>
  <c r="X83" i="3"/>
  <c r="U82" i="3"/>
  <c r="V82" i="3"/>
  <c r="T82" i="3"/>
  <c r="W82" i="3"/>
  <c r="X82" i="3"/>
  <c r="T81" i="3"/>
  <c r="W81" i="3"/>
  <c r="X81" i="3"/>
  <c r="U81" i="3"/>
  <c r="V81" i="3"/>
  <c r="U80" i="3"/>
  <c r="V80" i="3"/>
  <c r="W80" i="3"/>
  <c r="X80" i="3"/>
  <c r="T80" i="3"/>
  <c r="T79" i="3"/>
  <c r="V79" i="3"/>
  <c r="U79" i="3"/>
  <c r="W79" i="3"/>
  <c r="X79" i="3"/>
  <c r="V77" i="3"/>
  <c r="U77" i="3"/>
  <c r="W77" i="3"/>
  <c r="X77" i="3"/>
  <c r="T77" i="3"/>
  <c r="T76" i="3"/>
  <c r="U76" i="3"/>
  <c r="V76" i="3"/>
  <c r="W76" i="3"/>
  <c r="X76" i="3"/>
  <c r="V75" i="3"/>
  <c r="W75" i="3"/>
  <c r="X75" i="3"/>
  <c r="T75" i="3"/>
  <c r="U75" i="3"/>
  <c r="T74" i="3"/>
  <c r="U74" i="3"/>
  <c r="V74" i="3"/>
  <c r="W74" i="3"/>
  <c r="X74" i="3"/>
  <c r="X73" i="3"/>
  <c r="V73" i="3"/>
  <c r="W73" i="3"/>
  <c r="T73" i="3"/>
  <c r="U73" i="3"/>
  <c r="T71" i="3"/>
  <c r="U71" i="3"/>
  <c r="V71" i="3"/>
  <c r="W71" i="3"/>
  <c r="X71" i="3"/>
  <c r="X69" i="3"/>
  <c r="U69" i="3"/>
  <c r="V69" i="3"/>
  <c r="W69" i="3"/>
  <c r="T69" i="3"/>
  <c r="T68" i="3"/>
  <c r="V68" i="3"/>
  <c r="U68" i="3"/>
  <c r="W68" i="3"/>
  <c r="X68" i="3"/>
  <c r="V66" i="3"/>
  <c r="W66" i="3"/>
  <c r="X66" i="3"/>
  <c r="T66" i="3"/>
  <c r="U66" i="3"/>
  <c r="T65" i="3"/>
  <c r="U65" i="3"/>
  <c r="V65" i="3"/>
  <c r="W65" i="3"/>
  <c r="X65" i="3"/>
  <c r="V64" i="3"/>
  <c r="X64" i="3"/>
  <c r="T64" i="3"/>
  <c r="U64" i="3"/>
  <c r="W64" i="3"/>
  <c r="U63" i="3"/>
  <c r="T63" i="3"/>
  <c r="V63" i="3"/>
  <c r="W63" i="3"/>
  <c r="X63" i="3"/>
  <c r="T61" i="3"/>
  <c r="U61" i="3"/>
  <c r="V61" i="3"/>
  <c r="W61" i="3"/>
  <c r="X61" i="3"/>
  <c r="U60" i="3"/>
  <c r="V60" i="3"/>
  <c r="W60" i="3"/>
  <c r="X60" i="3"/>
  <c r="T60" i="3"/>
  <c r="T58" i="3"/>
  <c r="U58" i="3"/>
  <c r="V58" i="3"/>
  <c r="W58" i="3"/>
  <c r="X58" i="3"/>
  <c r="V57" i="3"/>
  <c r="W57" i="3"/>
  <c r="T57" i="3"/>
  <c r="U57" i="3"/>
  <c r="X57" i="3"/>
  <c r="T56" i="3"/>
  <c r="U56" i="3"/>
  <c r="X56" i="3"/>
  <c r="V56" i="3"/>
  <c r="W56" i="3"/>
  <c r="W54" i="3"/>
  <c r="X54" i="3"/>
  <c r="T54" i="3"/>
  <c r="U54" i="3"/>
  <c r="V54" i="3"/>
  <c r="T53" i="3"/>
  <c r="U53" i="3"/>
  <c r="W53" i="3"/>
  <c r="X53" i="3"/>
  <c r="V53" i="3"/>
  <c r="X52" i="3"/>
  <c r="U52" i="3"/>
  <c r="V52" i="3"/>
  <c r="T52" i="3"/>
  <c r="W52" i="3"/>
  <c r="T51" i="3"/>
  <c r="U51" i="3"/>
  <c r="V51" i="3"/>
  <c r="W51" i="3"/>
  <c r="X51" i="3"/>
  <c r="W50" i="3"/>
  <c r="X50" i="3"/>
  <c r="U50" i="3"/>
  <c r="V50" i="3"/>
  <c r="T50" i="3"/>
  <c r="U49" i="3"/>
  <c r="T49" i="3"/>
  <c r="W49" i="3"/>
  <c r="X49" i="3"/>
  <c r="V49" i="3"/>
  <c r="X48" i="3"/>
  <c r="W48" i="3"/>
  <c r="T48" i="3"/>
  <c r="U48" i="3"/>
  <c r="V48" i="3"/>
  <c r="U44" i="3"/>
  <c r="V44" i="3"/>
  <c r="W44" i="3"/>
  <c r="X44" i="3"/>
  <c r="T44" i="3"/>
  <c r="T42" i="3"/>
  <c r="U42" i="3"/>
  <c r="V42" i="3"/>
  <c r="W42" i="3"/>
  <c r="X42" i="3"/>
  <c r="W40" i="3"/>
  <c r="X40" i="3"/>
  <c r="V40" i="3"/>
  <c r="T40" i="3"/>
  <c r="U40" i="3"/>
  <c r="T39" i="3"/>
  <c r="U39" i="3"/>
  <c r="V39" i="3"/>
  <c r="X39" i="3"/>
  <c r="W39" i="3"/>
  <c r="V38" i="3"/>
  <c r="W38" i="3"/>
  <c r="X38" i="3"/>
  <c r="U38" i="3"/>
  <c r="T38" i="3"/>
  <c r="T37" i="3"/>
  <c r="U37" i="3"/>
  <c r="X37" i="3"/>
  <c r="W37" i="3"/>
  <c r="V37" i="3"/>
  <c r="V36" i="3"/>
  <c r="W36" i="3"/>
  <c r="T36" i="3"/>
  <c r="U36" i="3"/>
  <c r="X36" i="3"/>
  <c r="T35" i="3"/>
  <c r="U35" i="3"/>
  <c r="V35" i="3"/>
  <c r="W35" i="3"/>
  <c r="X35" i="3"/>
  <c r="V34" i="3"/>
  <c r="W34" i="3"/>
  <c r="X34" i="3"/>
  <c r="U34" i="3"/>
  <c r="T34" i="3"/>
  <c r="T33" i="3"/>
  <c r="U33" i="3"/>
  <c r="V33" i="3"/>
  <c r="W33" i="3"/>
  <c r="X33" i="3"/>
  <c r="W32" i="3"/>
  <c r="V32" i="3"/>
  <c r="U32" i="3"/>
  <c r="T32" i="3"/>
  <c r="X32" i="3"/>
  <c r="T31" i="3"/>
  <c r="U31" i="3"/>
  <c r="X31" i="3"/>
  <c r="V31" i="3"/>
  <c r="W31" i="3"/>
  <c r="W29" i="3"/>
  <c r="X29" i="3"/>
  <c r="V29" i="3"/>
  <c r="T29" i="3"/>
  <c r="U29" i="3"/>
  <c r="T28" i="3"/>
  <c r="U28" i="3"/>
  <c r="V28" i="3"/>
  <c r="W28" i="3"/>
  <c r="X28" i="3"/>
  <c r="X27" i="3"/>
  <c r="W27" i="3"/>
  <c r="U27" i="3"/>
  <c r="T27" i="3"/>
  <c r="V27" i="3"/>
  <c r="T26" i="3"/>
  <c r="U26" i="3"/>
  <c r="V26" i="3"/>
  <c r="W26" i="3"/>
  <c r="X26" i="3"/>
  <c r="W25" i="3"/>
  <c r="X25" i="3"/>
  <c r="U25" i="3"/>
  <c r="V25" i="3"/>
  <c r="T25" i="3"/>
  <c r="T24" i="3"/>
  <c r="U24" i="3"/>
  <c r="X24" i="3"/>
  <c r="W24" i="3"/>
  <c r="V24" i="3"/>
  <c r="X23" i="3"/>
  <c r="W23" i="3"/>
  <c r="U23" i="3"/>
  <c r="T23" i="3"/>
  <c r="V23" i="3"/>
  <c r="T22" i="3"/>
  <c r="U22" i="3"/>
  <c r="V22" i="3"/>
  <c r="W22" i="3"/>
  <c r="X22" i="3"/>
  <c r="X20" i="3"/>
  <c r="T20" i="3"/>
  <c r="V20" i="3"/>
  <c r="U20" i="3"/>
  <c r="W20" i="3"/>
  <c r="T19" i="3"/>
  <c r="U19" i="3"/>
  <c r="V19" i="3"/>
  <c r="W19" i="3"/>
  <c r="X19" i="3"/>
  <c r="V18" i="3"/>
  <c r="X18" i="3"/>
  <c r="T18" i="3"/>
  <c r="U18" i="3"/>
  <c r="W18" i="3"/>
  <c r="T17" i="3"/>
  <c r="U17" i="3"/>
  <c r="V17" i="3"/>
  <c r="W17" i="3"/>
  <c r="X17" i="3"/>
  <c r="X16" i="3"/>
  <c r="T16" i="3"/>
  <c r="V16" i="3"/>
  <c r="U16" i="3"/>
  <c r="W16" i="3"/>
  <c r="U15" i="3"/>
  <c r="T15" i="3"/>
  <c r="V15" i="3"/>
  <c r="W15" i="3"/>
  <c r="X15" i="3"/>
  <c r="V14" i="3"/>
  <c r="T14" i="3"/>
  <c r="U14" i="3"/>
  <c r="W14" i="3"/>
  <c r="X14" i="3"/>
  <c r="T13" i="3"/>
  <c r="U13" i="3"/>
  <c r="V13" i="3"/>
  <c r="W13" i="3"/>
  <c r="X13" i="3"/>
  <c r="X12" i="3"/>
  <c r="T12" i="3"/>
  <c r="V12" i="3"/>
  <c r="W12" i="3"/>
  <c r="U12" i="3"/>
  <c r="T11" i="3"/>
  <c r="U11" i="3"/>
  <c r="V11" i="3"/>
  <c r="W11" i="3"/>
  <c r="X11" i="3"/>
  <c r="U10" i="3"/>
  <c r="X10" i="3"/>
  <c r="V10" i="3"/>
  <c r="T10" i="3"/>
  <c r="W10" i="3"/>
  <c r="T9" i="3"/>
  <c r="U9" i="3"/>
  <c r="V9" i="3"/>
  <c r="W9" i="3"/>
  <c r="X9" i="3"/>
  <c r="X8" i="3"/>
  <c r="U8" i="3"/>
  <c r="T8" i="3"/>
  <c r="V8" i="3"/>
  <c r="W8" i="3"/>
  <c r="U6" i="3"/>
  <c r="T6" i="3"/>
  <c r="V6" i="3"/>
  <c r="W6" i="3"/>
  <c r="X6" i="3"/>
  <c r="W5" i="3"/>
  <c r="X5" i="3"/>
  <c r="T5" i="3"/>
  <c r="U5" i="3"/>
  <c r="V5" i="3"/>
  <c r="T4" i="3"/>
  <c r="U4" i="3"/>
  <c r="V4" i="3"/>
  <c r="W4" i="3"/>
  <c r="X4" i="3"/>
  <c r="W3" i="3"/>
  <c r="U3" i="3"/>
  <c r="X3" i="3"/>
  <c r="V3" i="3"/>
  <c r="T3" i="3"/>
  <c r="M2" i="1"/>
  <c r="M5" i="1" a="1"/>
  <c r="M5" i="1"/>
  <c r="C8" i="1"/>
  <c r="C8" i="466" s="1"/>
  <c r="D8" i="1"/>
  <c r="E8" i="1"/>
  <c r="F8" i="1"/>
  <c r="G8" i="1"/>
  <c r="H8" i="1" a="1"/>
  <c r="H8" i="1" l="1"/>
  <c r="I8" i="1" a="1"/>
  <c r="I8" i="1"/>
  <c r="D8" i="466" s="1"/>
  <c r="J8" i="1" a="1"/>
  <c r="J8" i="1" l="1"/>
  <c r="K8" i="1" a="1"/>
  <c r="K8" i="1"/>
  <c r="C9" i="1"/>
  <c r="C9" i="466" s="1"/>
  <c r="D9" i="1"/>
  <c r="E9" i="1"/>
  <c r="F9" i="1"/>
  <c r="G9" i="1"/>
  <c r="H9" i="1" a="1"/>
  <c r="H9" i="1" l="1"/>
  <c r="I9" i="1" a="1"/>
  <c r="I9" i="1"/>
  <c r="D9" i="466" s="1"/>
  <c r="J9" i="1" a="1"/>
  <c r="J9" i="1" l="1"/>
  <c r="K9" i="1" a="1"/>
  <c r="K9" i="1"/>
  <c r="C10" i="1"/>
  <c r="C10" i="466" s="1"/>
  <c r="D10" i="1"/>
  <c r="E10" i="1"/>
  <c r="F10" i="1"/>
  <c r="G10" i="1"/>
  <c r="H10" i="1" a="1"/>
  <c r="H10" i="1" l="1"/>
  <c r="I10" i="1" a="1"/>
  <c r="I10" i="1"/>
  <c r="D10" i="466" s="1"/>
  <c r="J10" i="1" a="1"/>
  <c r="J10" i="1" l="1"/>
  <c r="K10" i="1" a="1"/>
  <c r="K10" i="1"/>
  <c r="C11" i="1"/>
  <c r="C11" i="466" s="1"/>
  <c r="D11" i="1"/>
  <c r="E11" i="1"/>
  <c r="F11" i="1"/>
  <c r="G11" i="1"/>
  <c r="H11" i="1" a="1"/>
  <c r="H11" i="1" l="1"/>
  <c r="I11" i="1" a="1"/>
  <c r="I11" i="1"/>
  <c r="D11" i="466" s="1"/>
  <c r="J11" i="1" a="1"/>
  <c r="J11" i="1" l="1"/>
  <c r="K11" i="1" a="1"/>
  <c r="K11" i="1"/>
  <c r="C12" i="1"/>
  <c r="C12" i="466" s="1"/>
  <c r="D12" i="1"/>
  <c r="E12" i="1"/>
  <c r="F12" i="1"/>
  <c r="G12" i="1"/>
  <c r="H12" i="1" a="1"/>
  <c r="H12" i="1" l="1"/>
  <c r="I12" i="1" a="1"/>
  <c r="I12" i="1"/>
  <c r="D12" i="466" s="1"/>
  <c r="J12" i="1" a="1"/>
  <c r="J12" i="1" l="1"/>
  <c r="K12" i="1" a="1"/>
  <c r="K12" i="1"/>
  <c r="C13" i="1"/>
  <c r="C13" i="466" s="1"/>
  <c r="D13" i="1"/>
  <c r="E13" i="1"/>
  <c r="F13" i="1"/>
  <c r="G13" i="1"/>
  <c r="H13" i="1" a="1"/>
  <c r="H13" i="1" l="1"/>
  <c r="I13" i="1" a="1"/>
  <c r="I13" i="1"/>
  <c r="D13" i="466" s="1"/>
  <c r="J13" i="1" a="1"/>
  <c r="J13" i="1" l="1"/>
  <c r="K13" i="1" a="1"/>
  <c r="K13" i="1"/>
  <c r="C14" i="1"/>
  <c r="C14" i="466" s="1"/>
  <c r="D14" i="1"/>
  <c r="E14" i="1"/>
  <c r="F14" i="1"/>
  <c r="G14" i="1"/>
  <c r="H14" i="1" a="1"/>
  <c r="E14" i="466" l="1"/>
  <c r="E8" i="466"/>
  <c r="E13" i="466"/>
  <c r="E10" i="466"/>
  <c r="E11" i="466"/>
  <c r="E12" i="466"/>
  <c r="E9" i="466"/>
  <c r="H14" i="1"/>
  <c r="I14" i="1" a="1"/>
  <c r="I14" i="1" l="1"/>
  <c r="D14" i="466" s="1"/>
  <c r="J14" i="1" a="1"/>
  <c r="F14" i="466" l="1"/>
  <c r="G14" i="466" s="1"/>
  <c r="H14" i="466" s="1"/>
  <c r="F8" i="466"/>
  <c r="G8" i="466" s="1"/>
  <c r="H8" i="466" s="1"/>
  <c r="F13" i="466"/>
  <c r="G13" i="466" s="1"/>
  <c r="H13" i="466" s="1"/>
  <c r="F11" i="466"/>
  <c r="G11" i="466" s="1"/>
  <c r="H11" i="466" s="1"/>
  <c r="F10" i="466"/>
  <c r="G10" i="466" s="1"/>
  <c r="H10" i="466" s="1"/>
  <c r="F9" i="466"/>
  <c r="G9" i="466" s="1"/>
  <c r="H9" i="466" s="1"/>
  <c r="F12" i="466"/>
  <c r="G12" i="466" s="1"/>
  <c r="H12" i="466" s="1"/>
  <c r="J14" i="1"/>
  <c r="K14" i="1" a="1"/>
  <c r="K14" i="1"/>
  <c r="C16" i="1"/>
  <c r="C16" i="466" s="1"/>
  <c r="D16" i="1"/>
  <c r="E16" i="1"/>
  <c r="F16" i="1"/>
  <c r="G16" i="1"/>
  <c r="H16" i="1" a="1"/>
  <c r="H16" i="1" l="1"/>
  <c r="I16" i="1" a="1"/>
  <c r="I16" i="1"/>
  <c r="D16" i="466" s="1"/>
  <c r="J16" i="1" a="1"/>
  <c r="J16" i="1" l="1"/>
  <c r="K16" i="1" a="1"/>
  <c r="K16" i="1"/>
  <c r="C17" i="1"/>
  <c r="C17" i="466" s="1"/>
  <c r="D17" i="1"/>
  <c r="E17" i="1"/>
  <c r="F17" i="1"/>
  <c r="G17" i="1"/>
  <c r="H17" i="1" a="1"/>
  <c r="H17" i="1" l="1"/>
  <c r="I17" i="1" a="1"/>
  <c r="I17" i="1"/>
  <c r="D17" i="466" s="1"/>
  <c r="J17" i="1" a="1"/>
  <c r="J17" i="1" l="1"/>
  <c r="K17" i="1" a="1"/>
  <c r="K17" i="1"/>
  <c r="C18" i="1"/>
  <c r="C18" i="466" s="1"/>
  <c r="D18" i="1"/>
  <c r="E18" i="1"/>
  <c r="F18" i="1"/>
  <c r="G18" i="1"/>
  <c r="H18" i="1" a="1"/>
  <c r="E18" i="466" l="1"/>
  <c r="E17" i="466"/>
  <c r="E16" i="466"/>
  <c r="H18" i="1"/>
  <c r="I18" i="1" a="1"/>
  <c r="I18" i="1" l="1"/>
  <c r="D18" i="466" s="1"/>
  <c r="J18" i="1" a="1"/>
  <c r="F18" i="466" l="1"/>
  <c r="G18" i="466" s="1"/>
  <c r="H18" i="466" s="1"/>
  <c r="F17" i="466"/>
  <c r="G17" i="466" s="1"/>
  <c r="H17" i="466" s="1"/>
  <c r="F16" i="466"/>
  <c r="G16" i="466" s="1"/>
  <c r="H16" i="466" s="1"/>
  <c r="J18" i="1"/>
  <c r="K18" i="1" a="1"/>
  <c r="K18" i="1"/>
  <c r="C20" i="1"/>
  <c r="C20" i="466" s="1"/>
  <c r="E20" i="466" s="1"/>
  <c r="D20" i="1"/>
  <c r="E20" i="1"/>
  <c r="F20" i="1"/>
  <c r="G20" i="1"/>
  <c r="H20" i="1" a="1"/>
  <c r="H20" i="1" l="1"/>
  <c r="I20" i="1" a="1"/>
  <c r="I20" i="1"/>
  <c r="D20" i="466" s="1"/>
  <c r="F20" i="466" s="1"/>
  <c r="G20" i="466" s="1"/>
  <c r="H20" i="466" s="1"/>
  <c r="J20" i="1" a="1"/>
  <c r="J20" i="1"/>
  <c r="K20" i="1" a="1"/>
  <c r="K20" i="1"/>
  <c r="C22" i="1"/>
  <c r="C22" i="466" s="1"/>
  <c r="D22" i="1"/>
  <c r="E22" i="1"/>
  <c r="F22" i="1"/>
  <c r="G22" i="1"/>
  <c r="H22" i="1" a="1"/>
  <c r="H22" i="1" l="1"/>
  <c r="I22" i="1" a="1"/>
  <c r="I22" i="1"/>
  <c r="D22" i="466" s="1"/>
  <c r="J22" i="1" a="1"/>
  <c r="J22" i="1" l="1"/>
  <c r="K22" i="1" a="1"/>
  <c r="K22" i="1"/>
  <c r="C23" i="1"/>
  <c r="C23" i="466" s="1"/>
  <c r="D23" i="1"/>
  <c r="E23" i="1"/>
  <c r="F23" i="1"/>
  <c r="G23" i="1"/>
  <c r="H23" i="1" a="1"/>
  <c r="H23" i="1" l="1"/>
  <c r="I23" i="1" a="1"/>
  <c r="I23" i="1"/>
  <c r="D23" i="466" s="1"/>
  <c r="J23" i="1" a="1"/>
  <c r="J23" i="1" l="1"/>
  <c r="K23" i="1" a="1"/>
  <c r="K23" i="1"/>
  <c r="C24" i="1"/>
  <c r="C24" i="466" s="1"/>
  <c r="D24" i="1"/>
  <c r="E24" i="1"/>
  <c r="F24" i="1"/>
  <c r="G24" i="1"/>
  <c r="H24" i="1" a="1"/>
  <c r="H24" i="1" l="1"/>
  <c r="I24" i="1" a="1"/>
  <c r="I24" i="1"/>
  <c r="D24" i="466" s="1"/>
  <c r="J24" i="1" a="1"/>
  <c r="J24" i="1" l="1"/>
  <c r="K24" i="1" a="1"/>
  <c r="K24" i="1"/>
  <c r="C25" i="1"/>
  <c r="C25" i="466" s="1"/>
  <c r="D25" i="1"/>
  <c r="E25" i="1"/>
  <c r="F25" i="1"/>
  <c r="G25" i="1"/>
  <c r="H25" i="1" a="1"/>
  <c r="E25" i="466" l="1"/>
  <c r="E24" i="466"/>
  <c r="E23" i="466"/>
  <c r="E22" i="466"/>
  <c r="H25" i="1"/>
  <c r="I25" i="1" a="1"/>
  <c r="I25" i="1" l="1"/>
  <c r="D25" i="466" s="1"/>
  <c r="J25" i="1" a="1"/>
  <c r="F25" i="466" l="1"/>
  <c r="G25" i="466" s="1"/>
  <c r="H25" i="466" s="1"/>
  <c r="F24" i="466"/>
  <c r="G24" i="466" s="1"/>
  <c r="H24" i="466" s="1"/>
  <c r="F23" i="466"/>
  <c r="G23" i="466" s="1"/>
  <c r="H23" i="466" s="1"/>
  <c r="F22" i="466"/>
  <c r="G22" i="466" s="1"/>
  <c r="H22" i="466" s="1"/>
  <c r="J25" i="1"/>
  <c r="K25" i="1" a="1"/>
  <c r="K25" i="1"/>
  <c r="C27" i="1"/>
  <c r="C27" i="466" s="1"/>
  <c r="D27" i="1"/>
  <c r="E27" i="1"/>
  <c r="F27" i="1"/>
  <c r="G27" i="1"/>
  <c r="H27" i="1" a="1"/>
  <c r="H27" i="1" l="1"/>
  <c r="I27" i="1" a="1"/>
  <c r="I27" i="1"/>
  <c r="D27" i="466" s="1"/>
  <c r="J27" i="1" a="1"/>
  <c r="J27" i="1" l="1"/>
  <c r="K27" i="1" a="1"/>
  <c r="K27" i="1"/>
  <c r="C28" i="1"/>
  <c r="C28" i="466" s="1"/>
  <c r="D28" i="1"/>
  <c r="E28" i="1"/>
  <c r="F28" i="1"/>
  <c r="G28" i="1"/>
  <c r="H28" i="1" a="1"/>
  <c r="E28" i="466" l="1"/>
  <c r="E27" i="466"/>
  <c r="H28" i="1"/>
  <c r="I28" i="1" a="1"/>
  <c r="I28" i="1" l="1"/>
  <c r="D28" i="466" s="1"/>
  <c r="J28" i="1" a="1"/>
  <c r="F28" i="466" l="1"/>
  <c r="G28" i="466" s="1"/>
  <c r="H28" i="466" s="1"/>
  <c r="F27" i="466"/>
  <c r="G27" i="466" s="1"/>
  <c r="H27" i="466" s="1"/>
  <c r="J28" i="1"/>
  <c r="K28" i="1" a="1"/>
  <c r="K28" i="1"/>
  <c r="C30" i="1"/>
  <c r="C30" i="466" s="1"/>
  <c r="E30" i="466" s="1"/>
  <c r="D30" i="1"/>
  <c r="E30" i="1"/>
  <c r="F30" i="1"/>
  <c r="G30" i="1"/>
  <c r="H30" i="1" a="1"/>
  <c r="H30" i="1" l="1"/>
  <c r="I30" i="1" a="1"/>
  <c r="I30" i="1"/>
  <c r="D30" i="466" s="1"/>
  <c r="F30" i="466" s="1"/>
  <c r="G30" i="466" s="1"/>
  <c r="H30" i="466" s="1"/>
  <c r="J30" i="1" a="1"/>
  <c r="J30" i="1"/>
  <c r="K30" i="1" a="1"/>
  <c r="K30" i="1"/>
  <c r="C32" i="1"/>
  <c r="C32" i="466" s="1"/>
  <c r="D32" i="1"/>
  <c r="E32" i="1"/>
  <c r="F32" i="1"/>
  <c r="G32" i="1"/>
  <c r="H32" i="1" a="1"/>
  <c r="H32" i="1" l="1"/>
  <c r="I32" i="1" a="1"/>
  <c r="I32" i="1"/>
  <c r="D32" i="466" s="1"/>
  <c r="J32" i="1" a="1"/>
  <c r="J32" i="1" l="1"/>
  <c r="K32" i="1" a="1"/>
  <c r="K32" i="1"/>
  <c r="C33" i="1"/>
  <c r="C33" i="466" s="1"/>
  <c r="D33" i="1"/>
  <c r="E33" i="1"/>
  <c r="F33" i="1"/>
  <c r="G33" i="1"/>
  <c r="H33" i="1" a="1"/>
  <c r="H33" i="1" l="1"/>
  <c r="I33" i="1" a="1"/>
  <c r="I33" i="1"/>
  <c r="D33" i="466" s="1"/>
  <c r="J33" i="1" a="1"/>
  <c r="J33" i="1" l="1"/>
  <c r="K33" i="1" a="1"/>
  <c r="K33" i="1"/>
  <c r="C34" i="1"/>
  <c r="C34" i="466" s="1"/>
  <c r="D34" i="1"/>
  <c r="E34" i="1"/>
  <c r="F34" i="1"/>
  <c r="G34" i="1"/>
  <c r="H34" i="1" a="1"/>
  <c r="H34" i="1" l="1"/>
  <c r="I34" i="1" a="1"/>
  <c r="I34" i="1"/>
  <c r="D34" i="466" s="1"/>
  <c r="J34" i="1" a="1"/>
  <c r="J34" i="1" l="1"/>
  <c r="K34" i="1" a="1"/>
  <c r="K34" i="1"/>
  <c r="C35" i="1"/>
  <c r="C35" i="466" s="1"/>
  <c r="D35" i="1"/>
  <c r="E35" i="1"/>
  <c r="F35" i="1"/>
  <c r="G35" i="1"/>
  <c r="H35" i="1" a="1"/>
  <c r="H35" i="1" l="1"/>
  <c r="I35" i="1" a="1"/>
  <c r="I35" i="1"/>
  <c r="D35" i="466" s="1"/>
  <c r="J35" i="1" a="1"/>
  <c r="J35" i="1" l="1"/>
  <c r="K35" i="1" a="1"/>
  <c r="K35" i="1"/>
  <c r="C36" i="1"/>
  <c r="C36" i="466" s="1"/>
  <c r="D36" i="1"/>
  <c r="E36" i="1"/>
  <c r="F36" i="1"/>
  <c r="G36" i="1"/>
  <c r="H36" i="1" a="1"/>
  <c r="E36" i="466" l="1"/>
  <c r="E35" i="466"/>
  <c r="E34" i="466"/>
  <c r="E32" i="466"/>
  <c r="E33" i="466"/>
  <c r="H36" i="1"/>
  <c r="I36" i="1" a="1"/>
  <c r="I36" i="1" l="1"/>
  <c r="D36" i="466" s="1"/>
  <c r="J36" i="1" a="1"/>
  <c r="F36" i="466" l="1"/>
  <c r="G36" i="466" s="1"/>
  <c r="H36" i="466" s="1"/>
  <c r="F35" i="466"/>
  <c r="G35" i="466" s="1"/>
  <c r="H35" i="466" s="1"/>
  <c r="F34" i="466"/>
  <c r="G34" i="466" s="1"/>
  <c r="H34" i="466" s="1"/>
  <c r="F33" i="466"/>
  <c r="G33" i="466" s="1"/>
  <c r="H33" i="466" s="1"/>
  <c r="F32" i="466"/>
  <c r="G32" i="466" s="1"/>
  <c r="H32" i="466" s="1"/>
  <c r="J36" i="1"/>
  <c r="K36" i="1" a="1"/>
  <c r="K36" i="1"/>
  <c r="C38" i="1"/>
  <c r="C38" i="466" s="1"/>
  <c r="D38" i="1"/>
  <c r="E38" i="1"/>
  <c r="F38" i="1"/>
  <c r="G38" i="1"/>
  <c r="H38" i="1" a="1"/>
  <c r="H38" i="1" l="1"/>
  <c r="I38" i="1" a="1"/>
  <c r="I38" i="1"/>
  <c r="D38" i="466" s="1"/>
  <c r="J38" i="1" a="1"/>
  <c r="J38" i="1" l="1"/>
  <c r="K38" i="1" a="1"/>
  <c r="K38" i="1"/>
  <c r="C39" i="1"/>
  <c r="C39" i="466" s="1"/>
  <c r="D39" i="1"/>
  <c r="E39" i="1"/>
  <c r="F39" i="1"/>
  <c r="G39" i="1"/>
  <c r="H39" i="1" a="1"/>
  <c r="H39" i="1" l="1"/>
  <c r="I39" i="1" a="1"/>
  <c r="I39" i="1"/>
  <c r="D39" i="466" s="1"/>
  <c r="J39" i="1" a="1"/>
  <c r="J39" i="1" l="1"/>
  <c r="K39" i="1" a="1"/>
  <c r="K39" i="1"/>
  <c r="C40" i="1"/>
  <c r="C40" i="466" s="1"/>
  <c r="D40" i="1"/>
  <c r="E40" i="1"/>
  <c r="F40" i="1"/>
  <c r="G40" i="1"/>
  <c r="H40" i="1" a="1"/>
  <c r="H40" i="1" l="1"/>
  <c r="I40" i="1" a="1"/>
  <c r="I40" i="1"/>
  <c r="D40" i="466" s="1"/>
  <c r="J40" i="1" a="1"/>
  <c r="J40" i="1" l="1"/>
  <c r="K40" i="1" a="1"/>
  <c r="K40" i="1"/>
  <c r="C41" i="1"/>
  <c r="C41" i="466" s="1"/>
  <c r="D41" i="1"/>
  <c r="E41" i="1"/>
  <c r="F41" i="1"/>
  <c r="G41" i="1"/>
  <c r="H41" i="1" a="1"/>
  <c r="H41" i="1" l="1"/>
  <c r="I41" i="1" a="1"/>
  <c r="I41" i="1"/>
  <c r="D41" i="466" s="1"/>
  <c r="J41" i="1" a="1"/>
  <c r="J41" i="1" l="1"/>
  <c r="K41" i="1" a="1"/>
  <c r="K41" i="1"/>
  <c r="C42" i="1"/>
  <c r="C42" i="466" s="1"/>
  <c r="D42" i="1" a="1"/>
  <c r="D42" i="1" l="1"/>
  <c r="E42" i="1"/>
  <c r="F42" i="1"/>
  <c r="G42" i="1"/>
  <c r="H42" i="1" a="1"/>
  <c r="H42" i="1"/>
  <c r="I42" i="1" a="1"/>
  <c r="I42" i="1"/>
  <c r="D42" i="466" s="1"/>
  <c r="J42" i="1" a="1"/>
  <c r="J42" i="1" l="1"/>
  <c r="K42" i="1" a="1"/>
  <c r="K42" i="1"/>
  <c r="C43" i="1"/>
  <c r="C43" i="466" s="1"/>
  <c r="D43" i="1"/>
  <c r="E43" i="1"/>
  <c r="F43" i="1"/>
  <c r="G43" i="1"/>
  <c r="H43" i="1" a="1"/>
  <c r="E43" i="466" l="1"/>
  <c r="E42" i="466"/>
  <c r="E39" i="466"/>
  <c r="E41" i="466"/>
  <c r="E38" i="466"/>
  <c r="E44" i="466"/>
  <c r="G44" i="466" s="1"/>
  <c r="H44" i="466" s="1"/>
  <c r="E40" i="466"/>
  <c r="H43" i="1"/>
  <c r="I43" i="1" a="1"/>
  <c r="I43" i="1" l="1"/>
  <c r="D43" i="466" s="1"/>
  <c r="J43" i="1" a="1"/>
  <c r="F43" i="466" l="1"/>
  <c r="G43" i="466" s="1"/>
  <c r="H43" i="466" s="1"/>
  <c r="F42" i="466"/>
  <c r="G42" i="466" s="1"/>
  <c r="H42" i="466" s="1"/>
  <c r="F40" i="466"/>
  <c r="G40" i="466" s="1"/>
  <c r="H40" i="466" s="1"/>
  <c r="F38" i="466"/>
  <c r="G38" i="466" s="1"/>
  <c r="H38" i="466" s="1"/>
  <c r="F41" i="466"/>
  <c r="G41" i="466" s="1"/>
  <c r="H41" i="466" s="1"/>
  <c r="F39" i="466"/>
  <c r="G39" i="466" s="1"/>
  <c r="H39" i="466" s="1"/>
  <c r="J43" i="1"/>
  <c r="K43" i="1" a="1"/>
  <c r="K43" i="1"/>
  <c r="C44" i="1" a="1"/>
  <c r="C44" i="1"/>
  <c r="D44" i="1" a="1"/>
  <c r="D44" i="1"/>
  <c r="E44" i="1"/>
  <c r="F44" i="1"/>
  <c r="G44" i="1"/>
  <c r="H44" i="1" a="1"/>
  <c r="H44" i="1"/>
  <c r="I44" i="1" a="1"/>
  <c r="I44" i="1"/>
  <c r="J44" i="1" a="1"/>
  <c r="J44" i="1"/>
  <c r="K44" i="1" a="1"/>
  <c r="K44" i="1"/>
  <c r="K47" i="1" s="1"/>
  <c r="H46" i="1"/>
  <c r="I46" i="1"/>
  <c r="J46" i="1"/>
  <c r="H47" i="1"/>
  <c r="I47" i="1"/>
  <c r="J47" i="1"/>
  <c r="K46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<sst xmlns="http://schemas.openxmlformats.org/spreadsheetml/2006/main" count="540" uniqueCount="372">
  <si>
    <t>CDS (bps)</t>
  </si>
  <si>
    <t>Equity Price (%)</t>
  </si>
  <si>
    <t>Bank</t>
  </si>
  <si>
    <t>Now</t>
  </si>
  <si>
    <t>5d Δ</t>
  </si>
  <si>
    <t>2wk Δ</t>
  </si>
  <si>
    <t>3m Δ</t>
  </si>
  <si>
    <t>1yr Δ</t>
  </si>
  <si>
    <t>America</t>
  </si>
  <si>
    <t>Dow Jones US Banks Index</t>
  </si>
  <si>
    <t>Citigroup</t>
  </si>
  <si>
    <t>Bank of America</t>
  </si>
  <si>
    <t>JPMorgan Chase</t>
  </si>
  <si>
    <t>Goldman Sachs</t>
  </si>
  <si>
    <t>Morgan Stanley</t>
  </si>
  <si>
    <t>Wells Fargo</t>
  </si>
  <si>
    <t>State Street Bank</t>
  </si>
  <si>
    <t>France</t>
  </si>
  <si>
    <t>BNP Paribas SA</t>
  </si>
  <si>
    <t>Credit Agricole SA</t>
  </si>
  <si>
    <t>Societe Generale</t>
  </si>
  <si>
    <t>Switzerland</t>
  </si>
  <si>
    <t>UBS Group AG</t>
  </si>
  <si>
    <t>U.K.</t>
  </si>
  <si>
    <t>Barclays Bank PLC</t>
  </si>
  <si>
    <t>HSBC Holdings PLC</t>
  </si>
  <si>
    <t>RBS Group PLC</t>
  </si>
  <si>
    <t>Standard Chartered</t>
  </si>
  <si>
    <t>Germany</t>
  </si>
  <si>
    <t>Deutsche Bank AG</t>
  </si>
  <si>
    <t>Commerzbank</t>
  </si>
  <si>
    <t>Denmark</t>
  </si>
  <si>
    <t>Danske</t>
  </si>
  <si>
    <t>Japan</t>
  </si>
  <si>
    <t>TOPIX Banks Index</t>
  </si>
  <si>
    <t>Mitsubishi</t>
  </si>
  <si>
    <t>Sumitomo</t>
  </si>
  <si>
    <t>Mizuho</t>
  </si>
  <si>
    <t>Daiwa</t>
  </si>
  <si>
    <t>Nomura</t>
  </si>
  <si>
    <t>Canada</t>
  </si>
  <si>
    <t>S&amp;P/TSX Composite Banks Index</t>
  </si>
  <si>
    <t>Bank of Nova Scotia</t>
  </si>
  <si>
    <t>BMO</t>
  </si>
  <si>
    <t>CIBC</t>
  </si>
  <si>
    <t>TD</t>
  </si>
  <si>
    <t>RBC</t>
  </si>
  <si>
    <t>Nationale</t>
  </si>
  <si>
    <t>Laurentian</t>
  </si>
  <si>
    <t>Equity RIC</t>
  </si>
  <si>
    <t>C.N</t>
  </si>
  <si>
    <t>BAC.N</t>
  </si>
  <si>
    <t>JPM.N</t>
  </si>
  <si>
    <t>GS.N</t>
  </si>
  <si>
    <t>MS.N</t>
  </si>
  <si>
    <t>WFC.N</t>
  </si>
  <si>
    <t>STT.N</t>
  </si>
  <si>
    <t>BNPP.PA</t>
  </si>
  <si>
    <t>CAGR.PA</t>
  </si>
  <si>
    <t>SOGN.PA</t>
  </si>
  <si>
    <t>UBSG.S</t>
  </si>
  <si>
    <t>BARC.L</t>
  </si>
  <si>
    <t>HSBA.L</t>
  </si>
  <si>
    <t>NWG.L</t>
  </si>
  <si>
    <t>STAN.L</t>
  </si>
  <si>
    <t>DBKGn.DE</t>
  </si>
  <si>
    <t>CBKG.DE</t>
  </si>
  <si>
    <t>DANSKE.CO</t>
  </si>
  <si>
    <t>Mitsubishi UFJ</t>
  </si>
  <si>
    <t>8306.T</t>
  </si>
  <si>
    <t>8316.T</t>
  </si>
  <si>
    <t>8411.T</t>
  </si>
  <si>
    <t>8601.T</t>
  </si>
  <si>
    <t>8604.T</t>
  </si>
  <si>
    <t>BNS.TO</t>
  </si>
  <si>
    <t>BMO.TO</t>
  </si>
  <si>
    <t>CM.TO</t>
  </si>
  <si>
    <t>TD.TO</t>
  </si>
  <si>
    <t>RY.TO</t>
  </si>
  <si>
    <t>NA.TO</t>
  </si>
  <si>
    <t>LB.TO</t>
  </si>
  <si>
    <t>C5YUSAX=R</t>
  </si>
  <si>
    <t>BAC5YUSAX=R</t>
  </si>
  <si>
    <t>JPM5YUSAX=R</t>
  </si>
  <si>
    <t>GS5YUSAX=R</t>
  </si>
  <si>
    <t>MS5YUSAX=R</t>
  </si>
  <si>
    <t>WFC5YUSAX=R</t>
  </si>
  <si>
    <t>STT5YUSAX=R</t>
  </si>
  <si>
    <t>FORB5YEUAM=R</t>
  </si>
  <si>
    <t>CAGR5YEUAM=R</t>
  </si>
  <si>
    <t>SG5YEUAM=R</t>
  </si>
  <si>
    <t>UBSJ5YEUAM=R</t>
  </si>
  <si>
    <t>BARC5YEUAM=R</t>
  </si>
  <si>
    <t>STAN5YEUAM=R</t>
  </si>
  <si>
    <t>HSBA5YEUAM=R</t>
  </si>
  <si>
    <t>RBS5YEUAM=R</t>
  </si>
  <si>
    <t>DB5YEUAM=R</t>
  </si>
  <si>
    <t>CBKG5YEUAM=R</t>
  </si>
  <si>
    <t>DDBA5YEUAM=R</t>
  </si>
  <si>
    <t>MTFB5YJPAC=R</t>
  </si>
  <si>
    <t>SANG5YJPAC=R</t>
  </si>
  <si>
    <t>MZFC5YUSAC=R</t>
  </si>
  <si>
    <t>DWAS5YJPAC=R</t>
  </si>
  <si>
    <t>NMH5YJPAC=R</t>
  </si>
  <si>
    <t>BNS5YUSAX=R</t>
  </si>
  <si>
    <t>CM5YUSAX=R</t>
  </si>
  <si>
    <t>RY5YUSAX=R</t>
  </si>
  <si>
    <t>NA5YUSAX=R</t>
  </si>
  <si>
    <t>BMO5YUSAX=FN</t>
  </si>
  <si>
    <t>TD5YUSAX=FN</t>
  </si>
  <si>
    <t>LB5YUSAX=FN</t>
  </si>
  <si>
    <t>IQT313313524</t>
  </si>
  <si>
    <t>IQT313317344</t>
  </si>
  <si>
    <t>IQT46220329</t>
  </si>
  <si>
    <t>IQT313315429</t>
  </si>
  <si>
    <t>IQT313314976</t>
  </si>
  <si>
    <t>IQT313310854</t>
  </si>
  <si>
    <t>IQT62270106</t>
  </si>
  <si>
    <t>IQT46200317</t>
  </si>
  <si>
    <t>IQT79634901</t>
  </si>
  <si>
    <t>IQT62270107</t>
  </si>
  <si>
    <t xml:space="preserve">IQT46225715 </t>
  </si>
  <si>
    <t>IQT46200364</t>
  </si>
  <si>
    <t>IQT46225083</t>
  </si>
  <si>
    <t>IQT46200412</t>
  </si>
  <si>
    <t>Deutche Bank AG</t>
  </si>
  <si>
    <t>IQT254955233</t>
  </si>
  <si>
    <t>Standard Chartered Bank</t>
  </si>
  <si>
    <t>IQT263213132</t>
  </si>
  <si>
    <t>IQT46225374</t>
  </si>
  <si>
    <t>IQT286096131</t>
  </si>
  <si>
    <t>IQT46199841</t>
  </si>
  <si>
    <t>Credit Suisse Group AG</t>
  </si>
  <si>
    <t>IQT528936812</t>
  </si>
  <si>
    <t>UBS Group AG**</t>
  </si>
  <si>
    <t>IQT46226132</t>
  </si>
  <si>
    <t>Societe Generale SA</t>
  </si>
  <si>
    <t>IQT46224740</t>
  </si>
  <si>
    <t>IQT46225006</t>
  </si>
  <si>
    <t>IQT323680130</t>
  </si>
  <si>
    <t>State Street Bank &amp; Trust</t>
  </si>
  <si>
    <t>IQT46223646</t>
  </si>
  <si>
    <t>IQT46470877</t>
  </si>
  <si>
    <t>IQT46204957</t>
  </si>
  <si>
    <t>Goldman Sachs Group</t>
  </si>
  <si>
    <t>IQT46207872</t>
  </si>
  <si>
    <t>JPMorgan Chase &amp; Co</t>
  </si>
  <si>
    <t>IQT46195491</t>
  </si>
  <si>
    <t>IQT46197694</t>
  </si>
  <si>
    <t>IQT46218674</t>
  </si>
  <si>
    <t>South Africa</t>
  </si>
  <si>
    <t>Africa</t>
  </si>
  <si>
    <t>IQT46220803</t>
  </si>
  <si>
    <t>Thailand</t>
  </si>
  <si>
    <t>Taiwan</t>
  </si>
  <si>
    <t>IQT46208634</t>
  </si>
  <si>
    <t>South Korea</t>
  </si>
  <si>
    <t>IQT313305879</t>
  </si>
  <si>
    <t>Singapore</t>
  </si>
  <si>
    <t>IQT46216986</t>
  </si>
  <si>
    <t>Russia</t>
  </si>
  <si>
    <t>IQT46213472</t>
  </si>
  <si>
    <t>New Zealand</t>
  </si>
  <si>
    <t>IQT46210032</t>
  </si>
  <si>
    <t>Malaysia</t>
  </si>
  <si>
    <t>IQT46207789</t>
  </si>
  <si>
    <t>IQT60388057</t>
  </si>
  <si>
    <t>India</t>
  </si>
  <si>
    <t>IQT79639953</t>
  </si>
  <si>
    <t>Hong Kong</t>
  </si>
  <si>
    <t>IQT46215111</t>
  </si>
  <si>
    <t>China</t>
  </si>
  <si>
    <t>IQT51023260</t>
  </si>
  <si>
    <t>Australia</t>
  </si>
  <si>
    <t>Asia/Pacific</t>
  </si>
  <si>
    <t>IQT46222292</t>
  </si>
  <si>
    <t>Ukraine</t>
  </si>
  <si>
    <t>IQT60389516</t>
  </si>
  <si>
    <t>IQT46219922</t>
  </si>
  <si>
    <t>Sweden</t>
  </si>
  <si>
    <t>IQT46214879</t>
  </si>
  <si>
    <t>Poland</t>
  </si>
  <si>
    <t>IQT51023480</t>
  </si>
  <si>
    <t>Norway</t>
  </si>
  <si>
    <t>IQT79639913</t>
  </si>
  <si>
    <t>IQT46200276</t>
  </si>
  <si>
    <t>Czech Republic</t>
  </si>
  <si>
    <t>IQT46262378</t>
  </si>
  <si>
    <t>United Kingdom</t>
  </si>
  <si>
    <t>Rest of Europe</t>
  </si>
  <si>
    <t>IQT46206779</t>
  </si>
  <si>
    <t>Spain</t>
  </si>
  <si>
    <t>IQT46218516</t>
  </si>
  <si>
    <t>Slovenia</t>
  </si>
  <si>
    <t>IQT46214954</t>
  </si>
  <si>
    <t>Portugal</t>
  </si>
  <si>
    <t>IQT79640024</t>
  </si>
  <si>
    <t>Netherlands</t>
  </si>
  <si>
    <t>IQT644701797</t>
  </si>
  <si>
    <t>Luxembourg</t>
  </si>
  <si>
    <t>IQT46207571</t>
  </si>
  <si>
    <t>Italy</t>
  </si>
  <si>
    <t>IQT46207308</t>
  </si>
  <si>
    <t>Ireland</t>
  </si>
  <si>
    <t>IQT46204884</t>
  </si>
  <si>
    <t>Greece</t>
  </si>
  <si>
    <t>IQT46204300</t>
  </si>
  <si>
    <t>IQT46203714</t>
  </si>
  <si>
    <t>IQT46203332</t>
  </si>
  <si>
    <t>Finland</t>
  </si>
  <si>
    <t>IQT46196225</t>
  </si>
  <si>
    <t>Belgium</t>
  </si>
  <si>
    <t>IQT46194995</t>
  </si>
  <si>
    <t>Austria</t>
  </si>
  <si>
    <t>Euro Area</t>
  </si>
  <si>
    <t>IQT49751196</t>
  </si>
  <si>
    <t>United States</t>
  </si>
  <si>
    <t>IQT46210560</t>
  </si>
  <si>
    <t>Mexico</t>
  </si>
  <si>
    <t>IQT313310184</t>
  </si>
  <si>
    <t>CDS Change</t>
  </si>
  <si>
    <t>CDS</t>
  </si>
  <si>
    <t>IQT46197138</t>
  </si>
  <si>
    <t>Brazil</t>
  </si>
  <si>
    <t>Thresholds</t>
  </si>
  <si>
    <t>1 year change</t>
  </si>
  <si>
    <t>3 month change</t>
  </si>
  <si>
    <t>14 day change</t>
  </si>
  <si>
    <t>10 day change</t>
  </si>
  <si>
    <t xml:space="preserve"> 5 Day Change</t>
  </si>
  <si>
    <t>Americas</t>
  </si>
  <si>
    <t>CIQ Code</t>
  </si>
  <si>
    <t>Country</t>
  </si>
  <si>
    <t>CDS RIC</t>
  </si>
  <si>
    <t>CDS Change (%)</t>
  </si>
  <si>
    <t>Threshold Green</t>
  </si>
  <si>
    <t>Threshold Red</t>
  </si>
  <si>
    <t>Distribution</t>
  </si>
  <si>
    <t>US</t>
  </si>
  <si>
    <t>High</t>
  </si>
  <si>
    <t>&gt;75–100</t>
  </si>
  <si>
    <t>Elevated</t>
  </si>
  <si>
    <t>&gt;50–75</t>
  </si>
  <si>
    <t>Moderate</t>
  </si>
  <si>
    <t>&gt;25–50</t>
  </si>
  <si>
    <t>Low</t>
  </si>
  <si>
    <t>0–25</t>
  </si>
  <si>
    <t>Risk Category</t>
  </si>
  <si>
    <t>Score</t>
  </si>
  <si>
    <t>Composite Risk Score</t>
  </si>
  <si>
    <t>Equity Risk Percentile</t>
  </si>
  <si>
    <t>CDS Risk Percentile</t>
  </si>
  <si>
    <t>2-Week Equity Return (%)</t>
  </si>
  <si>
    <t>5Y CDS (bps)</t>
  </si>
  <si>
    <t>Region</t>
  </si>
  <si>
    <t>Within-region percentile</t>
  </si>
  <si>
    <t>Scoring Basis</t>
  </si>
  <si>
    <t>2-week return</t>
  </si>
  <si>
    <t>Equity Horizon</t>
  </si>
  <si>
    <t>Equity Weight</t>
  </si>
  <si>
    <t>CDS Weight</t>
  </si>
  <si>
    <t>Model Assumptions</t>
  </si>
  <si>
    <t>Bank Market Risk Monitor — CDS &amp; Equity Composite Score</t>
  </si>
  <si>
    <t xml:space="preserve">America </t>
  </si>
  <si>
    <t>Europe Stoxx 600 Banks Index</t>
  </si>
  <si>
    <t>Asia</t>
  </si>
  <si>
    <t xml:space="preserve">Other Euro </t>
  </si>
  <si>
    <t>BAABTAVMT0NBTAFI/////wFQ2AMAACRDSVEuSVFUMjg2MDk2MTMxLklRX0NEU19NSUQuMjEvMDgvMjYBAAAAO/EEAAIAAAAHNTMuNzUwNgBQqUN84wHfCDZczgHwAd8II0NJUS5JUVQ0NjIxMDU2MC5JUV9DRFNfTUlELjIwLzA4LzI2AQAAAPYaNwACAAAABjgxLjE1MgCfukJ84wHfCEQh0AHwAd8II0NJUS5JUVQ0NjIxOTkyMi5JUV9DRFNfTUlELjIwLzA4LzI2AQAAANZHOQECAAAABjUuODI2OQCfukJ84wHfCJpx0QHwAd8II0NJUS5JUVQ0NjIyMzY0Ni5JUV9DRFNfTUlELjIwLzA4LzI2AQAAABt4BAACAAAABzQ3LjE5NjIAUKlDfOMB3wiacdEB8AHfCCRDSVEuSVFUMzEzMzE0OTc2LklRX0NEU19NSUQuMjAvMDgvMjYBAAAAbUoAAAIAAAAHNTcuNDg1OQAYteh74wHfCJpx0QHwAd8IJENJUS5JUVQzMTMzMTAxODQuSVFfQ0RTX01JRC4xNy8wOC8yNgEAAABgRD4AAgAAAAcxMC44ODQyAJ+6QnzjAd8IX4TUAfAB3wgjQ0lRLklRVDQ2NDcwODc3LklRX0NEU19NSUQuMTcvMDgvMjYBAAAAQjcHAAIAAAAHNTYuOTg3MgBQqUN84wHfCAz81QHwAd8IJENJUS5JUVQzMTMzMTA4NTQuSVFfQ0RTX01JRC4xNy8wOC8yNgEAAACvVA0AAgAAAAc2MC4xNjY3ABi16HvjAd8IDPzVAfAB3wgjQ0lRLklRVDQ2MjE0OTU0LklRX0NEU19NSUQuMTYvMDgvMjYBAAAAOj05AQIAAAAGMTQuMjI1AJ+6QnzjAd8IbEbYAfAB3wgj</t>
  </si>
  <si>
    <t>Q0lRLklRVDc5NjM5OTUzLklRX0NEU19NSUQuMTUvMDgvMjYBAAAANJtWAQIAAAAHMjQuOTcxNABQqUN84wHfCIDE1gHwAd8IJENJUS5JUVQ1Mjg5MzY4MTIuSVFfQ0RTX01JRC4xNS8wOC8yNgEAAABsWwYAAgAAAAc0NC4zNDYzAFCpQ3zjAd8IgMTWAfAB3wgjQ0lRLklRVDQ2MTk3MTM4LklRX0NEU19NSUQuMTQvMDgvMjYBAAAA7pQ4AQIAAAAIMTI1LjQxMzcAn7pCfOMB3wjLEtkB8AHfCCNDSVEuSVFUNTEwMjM0ODAuSVFfQ0RTX01JRC4xNC8wOC8yNgEAAADCRfEBAgAAAAY0LjYzNDQAn7pCfOMB3wha5dkB8AHfCCNDSVEuSVFUNjIyNzAxMDYuSVFfQ0RTX01JRC4xNC8wOC8yNgEAAACtd4MAAgAAAAc3NS41NTA1ABi16HvjAd8IWuXZAfAB3wgjQ0lRLklRVDc5NjQwMDI0LklRX0NEU19NSUQuMTMvMDgvMjYBAAAANY+bAQIAAAAGNy44MzMzAJ+6QnzjAd8Iu33XAfAB3wgjQ0lRLklRVDQ2MjAwNDEyLklRX0NEU19NSUQuMTMvMDgvMjYBAAAAY0MGAAIAAAAHNDQuMDQyNwBQqUN84wHfCGxG2AHwAd8II0NJUS5JUVQ3OTYzOTkxMy5JUV9DRFNfTUlELjExLzA4LzI2AQAAACBjHAICAAAABTguMTI1AJ+6QnzjAd8IDfDSAfAB3wgjQ0lRLklRVDQ2MjA3ODcyLklRX0NEU19NSUQuMTEvMDgvMjYBAAAAWA0KAAIAAAAHMzkuMjU3OQBQqUN84wHfCA3w0gHwAd8II0NJUS5JUVQ0NjIxNjk4Ni5JUV9DRFNfTUlE</t>
  </si>
  <si>
    <t>LjEwLzA4LzI2AQAAAM5EOAEDAAAAAABQqUN84wHfCEQh0AHwAd8II0NJUS5JUVQ0NjE5NjIyNS5JUV9DRFNfTUlELjI0LzA1LzI2AQAAAL5VowECAAAABzE4LjMzMzMAn7pCfOMB3wjxl9oB8AHfCCNDSVEuSVFUNTEwMjMyNjAuSVFfQ0RTX01JRC4yNC8wNS8yNgEAAACxEX8BAgAAAAcxNC4xMzUxAFCpQ3zjAd8I8ZfaAfAB3wgkQ0lRLklRVDMxMzMxNzM0NC5JUV9DRFNfTUlELjI0LzA1LzI2AQAAAPGsAQACAAAABzU4Ljg2ODcAGLXoe+MB3wiXYNsB8AHfCCNDSVEuSVFUNDYyMDAyNzYuSVFfQ0RTX01JRC4xMi8wOC8yNgEAAACWd3wBAgAAAAcyNy41Mjg2AJ+6QnzjAd8IfSDPAfAB3wgjQ0lRLklRVDQ2MTk1NDkxLklRX0NEU19NSUQuMTIvMDgvMjYBAAAAaUoAAAIAAAAHNTMuNTU2NABQqUN84wHfCH0gzwHwAd8II0NJUS5JUVQ0NjIwNzU3MS5JUV9DRFNfTUlELjI0LzA4LzI1AQAAAG3vNQACAAAABzM5LjQ1MjMAn7pCfOMB3wiXYNsB8AHfCCNDSVEuSVFUNDYyMTM0NzIuSVFfQ0RTX01JRC4yNC8wOC8yNQEAAAC5WjgAAgAAAAUxMy43NQBQqUN84wHfCJdg2wHwAd8IJENJUS5JUVQyNjMyMTMxMzIuSVFfQ0RTX01JRC4yNC8wOC8yNQEAAADhmggAAgAAAAc1Mi42MDgxAFCpQ3zjAd8I8FTcAfAB3wgjQ0lRLklRVDc5NjQwMDI0LklRX0NEU19NSUQuMTAvMDgvMjYBAAAANY+bAQIAAAAGNy44MzMzAJ+6</t>
  </si>
  <si>
    <t>QnzjAd8IRCHQAfAB3wgkQ0lRLklRVDMxMzMwNTg3OS5JUV9DRFNfTUlELjEwLzA4LzI2AQAAAITW3AECAAAABjIuMjkzOQBQqUN84wHfCEQh0AHwAd8IJENJUS5JUVQyODYwOTYxMzEuSVFfQ0RTX01JRC4xNS8wOC8yNgEAAAA78QQAAgAAAAc1My4wNzkxAFCpQ3zjAd8ItWXXAfAB3wgkQ0lRLklRVDMxMzMxNDk3Ni5JUV9DRFNfTUlELjE0LzA4LzI2AQAAAG1KAAACAAAABjU3LjQ4OQAYteh74wHfCPGX2gHwAd8II0NJUS5JUVQ0NjIxNDg3OS5JUV9DRFNfTUlELjExLzA4LzI2AQAAAPUaNwACAAAABzUwLjg4NDIAn7pCfOMB3wgN8NIB8AHfCCNDSVEuSVFUNDYyMTQ5NTQuSVFfQ0RTX01JRC4xMC8wOC8yNgEAAAA6PTkBAgAAAAUxNC4zMgCfukJ84wHfCEQh0AHwAd8IJENJUS5JUVQzMTMzMDU4NzkuSVFfQ0RTX01JRC4yNC8wOC8yNQEAAACE1twBAgAAAAYzLjI3MjYAUKlDfOMB3wjOFNwB8AHfCCRDSVEuSVFUMjU0OTU1MjMzLklRX0NEU19NSUQuMjEvMDgvMjYBAAAAOVYKAAIAAAAHMzguODY5OABQqUN84wHfCH0gzwHwAd8II0NJUS5JUVQ0NjIyNTAwNi5JUV9DRFNfTUlELjE3LzA4LzI2AQAAAPhVDQACAAAABjQwLjgxNwBQqUN84wHfCAz81QHwAd8II0NJUS5JUVQ0NjIyNTM3NC5JUV9DRFNfTUlELjIxLzA4LzI2AQAAALXWBQACAAAABzM2LjAzMjYAUKlDfOMB3wg2XM4B8AHfCCNDSVEuSVFUNDk3</t>
  </si>
  <si>
    <t>NTExOTYuSVFfQ0RTX01JRC4yMC8wOC8yNgEAAADNmb0AAgAAAAczNy40MzA4AJ+6QnzjAd8IRCHQAfAB3wgjQ0lRLklRVDYwMzg5NTE2LklRX0NEU19NSUQuMjAvMDgvMjYBAAAApfDDAQIAAAAGNy4xNjA5AJ+6QnzjAd8ImnHRAfAB3wgkQ0lRLklRVDMyMzY4MDEzMC5JUV9DRFNfTUlELjIwLzA4LzI2AQAAAHHhAgACAAAABzUwLjI3NTUAUKlDfOMB3wiacdEB8AHfCCRDSVEuSVFUMzEzMzE1NDI5LklRX0NEU19NSUQuMjAvMDgvMjYBAAAAOecFAAIAAAAFNjAuNzUAGLXoe+MB3wiacdEB8AHfCCRDSVEuSVFUMjg2MDk2MTMxLklRX0NEU19NSUQuMTgvMDgvMjYBAAAAO/EEAAIAAAAHNTQuMTQ1NABQqUN84wHfCF+E1AHwAd8II0NJUS5JUVQ0NjIxMDU2MC5JUV9DRFNfTUlELjE3LzA4LzI2AQAAAPYaNwACAAAABzgxLjU4NjQAn7pCfOMB3whfhNQB8AHfCCNDSVEuSVFUNDYyMTk5MjIuSVFfQ0RTX01JRC4xNy8wOC8yNgEAAADWRzkBAgAAAAY1LjgzMjIAn7pCfOMB3wjM/dQB8AHfCCNDSVEuSVFUNDYyMjM2NDYuSVFfQ0RTX01JRC4xNy8wOC8yNgEAAAAbeAQAAgAAAAc0Ni45Mzc0AFCpQ3zjAd8IDPzVAfAB3wgkQ0lRLklRVDMxMzMxNDk3Ni5JUV9DRFNfTUlELjE3LzA4LzI2AQAAAG1KAAACAAAABzU3LjY1MzkAGLXoe+MB3wgM/NUB8AHfCCNDSVEuSVFUNDYyMTg1MTYuSVFfQ0RTX01JRC4xNi8wOC8y</t>
  </si>
  <si>
    <t>NgEAAACmVaMBAgAAAAczNi43NDY1AJ+6QnzjAd8IbEbYAfAB3wgjQ0lRLklRVDQ2MjIwODAzLklRX0NEU19NSUQuMTYvMDgvMjYBAAAA1sk2AAIAAAAHNDAuNTk5OQBQqUN84wHfCMsS2QHwAd8II0NJUS5JUVQ0NjIwMDM2NC5JUV9DRFNfTUlELjE2LzA4LzI2AQAAAFeGCAACAAAABDIzLjUAUKlDfOMB3wjLEtkB8AHfCCNDSVEuSVFUNDYyMDQzMDAuSVFfQ0RTX01JRC4xNS8wOC8yNgEAAAD2JX0AAgAAAAY3LjAwOTkAn7pCfOMB3wiAxNYB8AHfCCNDSVEuSVFUNjAzODgwNTcuSVFfQ0RTX01JRC4xNS8wOC8yNgEAAADfyX0BAwAAAAAAUKlDfOMB3wiAxNYB8AHfCCNDSVEuSVFUNDYxOTk4NDEuSVFfQ0RTX01JRC4xNS8wOC8yNgEAAADrMAYAAwAAAAAAUKlDfOMB3wi1ZdcB8AHfCCRDSVEuSVFUMzEzMzEwMTg0LklRX0NEU19NSUQuMTQvMDgvMjYBAAAAYEQ+AAIAAAAHMTAuODcxOQCfukJ84wHfCMsS2QHwAd8II0NJUS5JUVQ0NjIxNDg3OS5JUV9DRFNfTUlELjE0LzA4LzI2AQAAAPUaNwACAAAABzQ5LjM0MzMAn7pCfOMB3wha5dkB8AHfCCNDSVEuSVFUNDY0NzA4NzcuSVFfQ0RTX01JRC4xNC8wOC8yNgEAAABCNwcAAgAAAAc1Ni43NTE4AFCpQ3zjAd8IWuXZAfAB3wgkQ0lRLklRVDMxMzMxMDg1NC5JUV9DRFNfTUlELjE0LzA4LzI2AQAAAK9UDQACAAAAAjYwABi16HvjAd8I8ZfaAfAB3wgjQ0lRLklR</t>
  </si>
  <si>
    <t>VDQ2MjE0OTU0LklRX0NEU19NSUQuMTMvMDgvMjYBAAAAOj05AQIAAAAGMTQuMTc1AJ+6QnzjAd8Iu33XAfAB3wgjQ0lRLklRVDQ2MjA4NjM0LklRX0NEU19NSUQuMTMvMDgvMjYBAAAAAx/CAAIAAAAFMjIuMjEAUKlDfOMB3wi7fdcB8AHfCCNDSVEuSVFUNDYyMjUwODMuSVFfQ0RTX01JRC4xMy8wOC8yNgEAAABWRAYAAgAAAAQzMy44AFCpQ3zjAd8IbEbYAfAB3wgjQ0lRLklRVDQ2MTk3MTM4LklRX0NEU19NSUQuMTEvMDgvMjYBAAAA7pQ4AQIAAAAIMTIzLjkyMTkAn7pCfOMB3wgN8NIB8AHfCCNDSVEuSVFUNDYyMDQ5NTcuSVFfQ0RTX01JRC4xMS8wOC8yNgEAAAAhFQYAAgAAAAc1NC4yODU3AFCpQ3zjAd8IDfDSAfAB3wgjQ0lRLklRVDYyMjcwMTA2LklRX0NEU19NSUQuMTEvMDgvMjYBAAAArXeDAAIAAAAHNzQuNzI2MwAYteh74wHfCEG40wHwAd8II0NJUS5JUVQ0NjIyNjEzMi5JUV9DRFNfTUlELjI0LzA1LzI2AQAAAN1ZAAACAAAABjQyLjc0NgBQqUN84wHfCPGX2gHwAd8IJENJUS5JUVQzMTMzMTM1MjQuSVFfQ0RTX01JRC4yNC8wNS8yNgEAAADvVQ0AAgAAAAc1NS4yNjA5ABi16HvjAd8Il2DbAfAB3wgjQ0lRLklRVDc5NjM5OTEzLklRX0NEU19NSUQuMTIvMDgvMjYBAAAAIGMcAgIAAAAFOC4xMjUAn7pCfOMB3wh9IM8B8AHfCCNDSVEuSVFUNDYyMDc4NzIuSVFfQ0RTX01JRC4xMi8wOC8yNgEA</t>
  </si>
  <si>
    <t>AABYDQoAAgAAAAczOC40ODgxAFCpQ3zjAd8IfSDPAfAB3wgkQ0lRLklRVDY0NDcwMTc5Ny5JUV9DRFNfTUlELjI0LzA4LzI1AQAAAFM/fQECAAAABzEyLjYxNzYAn7pCfOMB3wiXYNsB8AHfCCNDSVEuSVFUNDYyMTY5ODYuSVFfQ0RTX01JRC4yNC8wOC8yNQEAAADORDgBAwAAAAAAUKlDfOMB3wiXYNsB8AHfCCRDSVEuSVFUMjU0OTU1MjMzLklRX0NEU19NSUQuMjQvMDgvMjUBAAAAOVYKAAIAAAAHNTMuMDg3NABQqUN84wHfCPBU3AHwAd8II0NJUS5JUVQ0NjIyNTM3NC5JUV9DRFNfTUlELjE4LzA4LzI2AQAAALXWBQACAAAABzM2LjQ5NzUAUKlDfOMB3whfhNQB8AHfCCNDSVEuSVFUNjAzODk1MTYuSVFfQ0RTX01JRC4xNy8wOC8yNgEAAACl8MMBAgAAAAU3LjE2NACfukJ84wHfCMz91AHwAd8IJENJUS5JUVQzMjM2ODAxMzAuSVFfQ0RTX01JRC4xNy8wOC8yNgEAAABx4QIAAgAAAAc1MS40MTg3AFCpQ3zjAd8IDPzVAfAB3wgkQ0lRLklRVDI2MzIxMzEzMi5JUV9DRFNfTUlELjIxLzA4LzI2AQAAAOGaCAACAAAABzUxLjY1MDkAUKlDfOMB3wh9IM8B8AHfCCNDSVEuSVFUNDYxOTQ5OTUuSVFfQ0RTX01JRC4yMC8wOC8yNgEAAABuEDEAAgAAAAcxMS4wOTI4AJ+6QnzjAd8IRCHQAfAB3wgjQ0lRLklRVDQ2MjIyMjkyLklRX0NEU19NSUQuMjAvMDgvMjYBAAAA0ZGbAQIAAAAINzY1LjIxMTgAn7pCfOMB3wia</t>
  </si>
  <si>
    <t>cdEB8AHfCCNDSVEuSVFUNDYyMjUwMDYuSVFfQ0RTX01JRC4yMC8wOC8yNgEAAAD4VQ0AAgAAAAQ0MC44AFCpQ3zjAd8ImnHRAfAB3wgjQ0lRLklRVDQ2MjIwMzI5LklRX0NEU19NSUQuMjAvMDgvMjYBAAAA21sAAAIAAAAHNTUuOTg2OAAYteh74wHfCJpx0QHwAd8II0NJUS5JUVQ0OTc1MTE5Ni5JUV9DRFNfTUlELjE0LzA4LzI2AQAAAM2ZvQACAAAABzM2LjkxNjcAn7pCfOMB3wjLEtkB8AHfCCNDSVEuSVFUNDYyMjA4MDMuSVFfQ0RTX01JRC4xMC8wOC8yNgEAAADWyTYAAgAAAAc0MS4yNTAxAFCpQ3zjAd8IRCHQAfAB3wgkQ0lRLklRVDMxMzMxMDE4NC5JUV9DRFNfTUlELjEyLzA4LzI2AQAAAGBEPgACAAAABzEwLjg4MzQAn7pCfOMB3wh9IM8B8AHfCCRDSVEuSVFUMzEzMzEwODU0LklRX0NEU19NSUQuMTIvMDgvMjYBAAAAr1QNAAIAAAAHNjAuMzMzMwAYteh74wHfCHHmzwHwAd8II0NJUS5JUVQ0NjIwODYzNC5JUV9DRFNfTUlELjI0LzA4LzI1AQAAAAMfwgACAAAABDE5LjUAUKlDfOMB3wjOFNwB8AHfCCNDSVEuSVFUNjIyNzAxMDcuSVFfQ0RTX01JRC4yNC8wOC8yNQEAAAAVWQAAAgAAAAcyOC45ODc4AFCpQ3zjAd8I8FTcAfAB3wgjQ0lRLklRVDc5NjM5OTEzLklRX0NEU19NSUQuMjMvMDgvMjYBAAAAIGMcAgIAAAAGOC4wMzU3AJ+6QnzjAd8I8FTcAfAB3wgjQ0lRLklRVDQ2MjA3ODcyLklRX0NE</t>
  </si>
  <si>
    <t>U19NSUQuMjMvMDgvMjYBAAAAWA0KAAIAAAAHMzguMzI0MgBQqUN84wHfCPBU3AHwAd8II0NJUS5JUVQ0NjIwMDMxNy5JUV9DRFNfTUlELjIzLzA4LzI2AQAAAP5UDQACAAAABzYzLjQ2OTEAGLXoe+MB3wjwVNwB8AHfCCNDSVEuSVFUNTEwMjMyNjAuSVFfQ0RTX01JRC4yMC8wOC8yNgEAAACxEX8BAgAAAAcxNC42OTQ2AJ+6QnzjAd8ImnHRAfAB3wgjQ0lRLklRVDQ2MjI0NzQwLklRX0NEU19NSUQuMjAvMDgvMjYBAAAA03IIAAIAAAAFMzUuMzUAUKlDfOMB3wiacdEB8AHfCCRDSVEuSVFUMzEzMzE3MzQ0LklRX0NEU19NSUQuMjAvMDgvMjYBAAAA8awBAAIAAAAHNjAuMzQ4NAAYteh74wHfCJpx0QHwAd8II0NJUS5JUVQ0NjI2MjM3OC5JUV9DRFNfTUlELjE2LzA4LzI2AQAAAEDSiQECAAAAAjE4AJ+6QnzjAd8IbEbYAfAB3wgjQ0lRLklRVDQ2MjEwMDMyLklRX0NEU19NSUQuMTUvMDgvMjYBAAAAj1WjAQIAAAAHMzQuMTE2MwBQqUN84wHfCIDE1gHwAd8II0NJUS5JUVQ1MTAyMzQ4MC5JUV9DRFNfTUlELjIzLzA4LzI2AQAAAMJF8QECAAAABjQuNTU4NACfukJ84wHfCPBU3AHwAd8II0NJUS5JUVQ0NjIwNDk1Ny5JUV9DRFNfTUlELjIzLzA4LzI2AQAAACEVBgACAAAABzU0LjA5OTEAUKlDfOMB3wjwVNwB8AHfCCNDSVEuSVFUNjIyNzAxMDYuSVFfQ0RTX01JRC4yMy8wOC8yNgEAAACtd4MAAgAAAAc3NS41</t>
  </si>
  <si>
    <t>NDQxABi16HvjAd8I8FTcAfAB3wgjQ0lRLklRVDQ2MjAwNDEyLklRX0NEU19NSUQuMjEvMDgvMjYBAAAAY0MGAAIAAAAHNDQuMDg1NgBQqUN84wHfCH0gzwHwAd8II0NJUS5JUVQ0NjIwMzMzMi5JUV9DRFNfTUlELjIwLzA4LzI2AQAAAF8eNwACAAAABzEwLjY2NjcAn7pCfOMB3whEIdAB8AHfCCNDSVEuSVFUNDYyMTUxMTEuSVFfQ0RTX01JRC4yMC8wOC8yNgEAAACgS7IBAgAAAAczNS4zMTA3AFCpQ3zjAd8ImnHRAfAB3wgjQ0lRLklRVDQ2MjI2MTMyLklRX0NEU19NSUQuMjAvMDgvMjYBAAAA3VkAAAIAAAAHNDMuMjE3NwBQqUN84wHfCJpx0QHwAd8IJENJUS5JUVQzMTMzMTM1MjQuSVFfQ0RTX01JRC4yMC8wOC8yNgEAAADvVQ0AAgAAAAc1OS40NTQzABi16HvjAd8ImnHRAfAB3wgkQ0lRLklRVDY0NDcwMTc5Ny5JUV9DRFNfTUlELjE4LzA4LzI2AQAAAFM/fQECAAAABjkuOTQxMgCfukJ84wHfCEG40wHwAd8II0NJUS5JUVQ0NjIxNjk4Ni5JUV9DRFNfTUlELjE4LzA4LzI2AQAAAM5EOAEDAAAAAABQqUN84wHfCEG40wHwAd8IJENJUS5JUVQyNTQ5NTUyMzMuSVFfQ0RTX01JRC4xOC8wOC8yNgEAAAA5VgoAAgAAAAczOC44OTI5AFCpQ3zjAd8IX4TUAfAB3wgjQ0lRLklRVDQ2MTk2MjI1LklRX0NEU19NSUQuMTcvMDgvMjYBAAAAvlWjAQIAAAAHMTcuMjgxMwCfukJ84wHfCF+E1AHwAd8II0NJUS5JUVQ1</t>
  </si>
  <si>
    <t>MTAyMzI2MC5JUV9DRFNfTUlELjE3LzA4LzI2AQAAALERfwECAAAABzE1LjE4MDkAUKlDfOMB3wjM/dQB8AHfCCNDSVEuSVFUNDYyMjQ3NDAuSVFfQ0RTX01JRC4xNy8wOC8yNgEAAADTcggAAgAAAAQzNS41AFCpQ3zjAd8IDPzVAfAB3wgkQ0lRLklRVDMxMzMxNzM0NC5JUV9DRFNfTUlELjE3LzA4LzI2AQAAAPGsAQACAAAABzU4LjgwNjEAGLXoe+MB3wiAxNYB8AHfCCNDSVEuSVFUNDYyMDAyNzYuSVFfQ0RTX01JRC4xNi8wOC8yNgEAAACWd3wBAgAAAAcyNS40MDU3AJ+6QnzjAd8IbEbYAfAB3wgjQ0lRLklRVDQ2MTk1NDkxLklRX0NEU19NSUQuMTYvMDgvMjYBAAAAaUoAAAIAAAAGNTMuMTkxAFCpQ3zjAd8IyxLZAfAB3wgjQ0lRLklRVDc5NjM0OTAxLklRX0NEU19NSUQuMTYvMDgvMjYBAAAAnAYQAAIAAAAHNDAuNDk4NwBQqUN84wHfCMsS2QHwAd8II0NJUS5JUVQ0NjIwNzU3MS5JUV9DRFNfTUlELjE1LzA4LzI2AQAAAG3vNQACAAAABzI5LjEyODYAn7pCfOMB3wiAxNYB8AHfCCNDSVEuSVFUNDYyMTM0NzIuSVFfQ0RTX01JRC4xNS8wOC8yNgEAAAC5WjgAAgAAAAcxNS42NjY1AFCpQ3zjAd8IgMTWAfAB3wgkQ0lRLklRVDI2MzIxMzEzMi5JUV9DRFNfTUlELjE1LzA4LzI2AQAAAOGaCAACAAAABTUxLjE3AFCpQ3zjAd8Iu33XAfAB3wgjQ0lRLklRVDQ2MTk0OTk1LklRX0NEU19NSUQuMTQvMDgvMjYB</t>
  </si>
  <si>
    <t>AAAAbhAxAAIAAAAGMTAuOTc0AJ+6QnzjAd8IyxLZAfAB3wgjQ0lRLklRVDQ2MjIyMjkyLklRX0NEU19NSUQuMTQvMDgvMjYBAAAA0ZGbAQIAAAAINzY0LjMzMjYAn7pCfOMB3wha5dkB8AHfCCNDSVEuSVFUNDYyMjUwMDYuSVFfQ0RTX01JRC4xNC8wOC8yNgEAAAD4VQ0AAgAAAAc0MC42NjE2AFCpQ3zjAd8IWuXZAfAB3wgjQ0lRLklRVDQ2MjIwMzI5LklRX0NEU19NSUQuMTQvMDgvMjYBAAAA21sAAAIAAAACNTYAGLXoe+MB3wjxl9oB8AHfCCNDSVEuSVFUNDYyNjIzNzguSVFfQ0RTX01JRC4xMy8wOC8yNgEAAABA0okBAgAAAAYxNy44MjUAn7pCfOMB3wi7fdcB8AHfCCNDSVEuSVFUNDYxOTc2OTQuSVFfQ0RTX01JRC4xMy8wOC8yNgEAAAAH+gUAAgAAAAY1MS4zMTkAUKlDfOMB3wi7fdcB8AHfCCNDSVEuSVFUNjIyNzAxMDcuSVFfQ0RTX01JRC4xMy8wOC8yNgEAAAAVWQAAAgAAAAc0My4zNDQxAFCpQ3zjAd8IbEbYAfAB3wgjQ0lRLklRVDQ5NzUxMTk2LklRX0NEU19NSUQuMTEvMDgvMjYBAAAAzZm9AAIAAAAHMzYuOTQyNwCfukJ84wHfCA3w0gHwAd8II0NJUS5JUVQ2MDM4OTUxNi5JUV9DRFNfTUlELjExLzA4LzI2AQAAAKXwwwECAAAABjcuMTY3NwCfukJ84wHfCA3w0gHwAd8IJENJUS5JUVQzMjM2ODAxMzAuSVFfQ0RTX01JRC4xMS8wOC8yNgEAAABx4QIAAgAAAAc1MS41NTA0AFCpQ3zjAd8IQbjT</t>
  </si>
  <si>
    <t>AfAB3wgkQ0lRLklRVDMxMzMxNTQyOS5JUV9DRFNfTUlELjExLzA4LzI2AQAAADnnBQACAAAABzYwLjgzMzYAGLXoe+MB3whBuNMB8AHfCCNDSVEuSVFUNDYyMDY3NzkuSVFfQ0RTX01JRC4xMC8wOC8yNgEAAAD87zYAAgAAAAcxNS44MzMzAJ+6QnzjAd8IRCHQAfAB3wgjQ0lRLklRVDQ2MjE4Njc0LklRX0NEU19NSUQuMTAvMDgvMjYBAAAAV8o2AAIAAAAIMTIxLjI4MTMAUKlDfOMB3whEIdAB8AHfCCNDSVEuSVFUNDYyMjU3MTUuSVFfQ0RTX01JRC4xMC8wOC8yNgEAAAC35QQAAgAAAAc0My42MTEyAFCpQ3zjAd8IRCHQAfAB3wgjQ0lRLklRVDQ2MjA0ODg0LklRX0NEU19NSUQuMjQvMDUvMjYBAAAAgVHAAQIAAAAHMjkuMTY2NwCfukJ84wHfCPGX2gHwAd8II0NJUS5JUVQ0NjIwNzc4OS5JUV9DRFNfTUlELjI0LzA1LzI2AQAAACpYowECAAAABjI3LjE4NgBQqUN84wHfCPGX2gHwAd8IJENJUS5JUVQyODYwOTYxMzEuSVFfQ0RTX01JRC4yNC8wNS8yNgEAAAA78QQAAgAAAAc2Ni4zNjc3AFCpQ3zjAd8Il2DbAfAB3wgjQ0lRLklRVDQ2MjEwNTYwLklRX0NEU19NSUQuMTIvMDgvMjYBAAAA9ho3AAIAAAAEODEuNQCfukJ84wHfCH0gzwHwAd8II0NJUS5JUVQ0NjIxOTkyMi5JUV9DRFNfTUlELjEyLzA4LzI2AQAAANZHOQECAAAABjUuODQwNgCfukJ84wHfCH0gzwHwAd8II0NJUS5JUVQ0NjIyMzY0Ni5JUV9D</t>
  </si>
  <si>
    <t>RFNfTUlELjEyLzA4LzI2AQAAABt4BAACAAAABjQ3LjE1OABQqUN84wHfCH0gzwHwAd8IJENJUS5JUVQzMTMzMTQ5NzYuSVFfQ0RTX01JRC4xMi8wOC8yNgEAAABtSgAAAgAAAAc1Ny44MjI4ABi16HvjAd8IcebPAfAB3wgjQ0lRLklRVDQ2MjE4NTE2LklRX0NEU19NSUQuMjQvMDgvMjUBAAAAplWjAQIAAAAHMzIuOTc0OQCfukJ84wHfCJdg2wHwAd8II0NJUS5JUVQ0NjIyMDgwMy5JUV9DRFNfTUlELjI0LzA4LzI1AQAAANbJNgACAAAABzM4LjM1NDIAUKlDfOMB3wjOFNwB8AHfCCNDSVEuSVFUNDYyMDAzNjQuSVFfQ0RTX01JRC4yNC8wOC8yNQEAAABXhggAAgAAAAczMy45MTMyAFCpQ3zjAd8I8FTcAfAB3wgjQ0lRLklRVDQ2MTk0OTk1LklRX0NEU19NSUQuMTIvMDgvMjYBAAAAbhAxAAIAAAAHMTAuOTY4OACfukJ84wHfCH0gzwHwAd8II0NJUS5JUVQ0NjIxNDg3OS5JUV9DRFNfTUlELjIzLzA4LzI2AQAAAPUaNwACAAAAAjUwAJ+6QnzjAd8I8FTcAfAB3wgjQ0lRLklRVDQ2NDcwODc3LklRX0NEU19NSUQuMjMvMDgvMjYBAAAAQjcHAAIAAAAHNTYuMzIxOQBQqUN84wHfCPBU3AHwAd8IJENJUS5JUVQzMTMzMTA4NTQuSVFfQ0RTX01JRC4yMy8wOC8yNgEAAACvVA0AAgAAAAI2MAAYteh74wHfCPBU3AHwAd8II0NJUS5JUVQ0NjIyNTA4My5JUV9DRFNfTUlELjIxLzA4LzI2AQAAAFZEBgACAAAABTMzLjI1</t>
  </si>
  <si>
    <t>AFCpQ3zjAd8IfSDPAfAB3wgjQ0lRLklRVDQ2MjAzNzE0LklRX0NEU19NSUQuMjAvMDgvMjYBAAAAXwU1AAIAAAAHMzIuNjI1NgCfukJ84wHfCEQh0AHwAd8II0NJUS5JUVQ3OTYzOTk1My5JUV9DRFNfTUlELjIwLzA4LzI2AQAAADSbVgECAAAABzI0Ljk2NjMAUKlDfOMB3wiacdEB8AHfCCRDSVEuSVFUNTI4OTM2ODEyLklRX0NEU19NSUQuMjAvMDgvMjYBAAAAbFsGAAIAAAAHNDQuOTUwMgBQqUN84wHfCJpx0QHwAd8II0NJUS5JUVQ3OTY0MDAyNC5JUV9DRFNfTUlELjE4LzA4LzI2AQAAADWPmwECAAAABjcuODMzMwCfukJ84wHfCEG40wHwAd8IJENJUS5JUVQzMTMzMDU4NzkuSVFfQ0RTX01JRC4xOC8wOC8yNgEAAACE1twBAgAAAAYyLjI5MzkAUKlDfOMB3whBuNMB8AHfCCNDSVEuSVFUNDYyMDA0MTIuSVFfQ0RTX01JRC4xOC8wOC8yNgEAAABjQwYAAgAAAAQ0NC4zAFCpQ3zjAd8IX4TUAfAB3wgjQ0lRLklRVDQ2MjAzMzMyLklRX0NEU19NSUQuMTcvMDgvMjYBAAAAXx43AAIAAAAHMTAuNjY2NwCfukJ84wHfCF+E1AHwAd8II0NJUS5JUVQ0NjIxNTExMS5JUV9DRFNfTUlELjE3LzA4LzI2AQAAAKBLsgECAAAABzM2LjM0NjkAUKlDfOMB3wjM/dQB8AHfCCNDSVEuSVFUNDYyMjYxMzIuSVFfQ0RTX01JRC4xNy8wOC8yNgEAAADdWQAAAgAAAAc0Mi45MDA3AFCpQ3zjAd8IDPzVAfAB3wgkQ0lRLklRVDMx</t>
  </si>
  <si>
    <t>MzMxMzUyNC5JUV9DRFNfTUlELjE3LzA4LzI2AQAAAO9VDQACAAAABzU5LjYxNDcAGLXoe+MB3wiAxNYB8AHfCCNDSVEuSVFUNzk2Mzk5MTMuSVFfQ0RTX01JRC4xNi8wOC8yNgEAAAAgYxwCAgAAAAY3LjY2NjcAn7pCfOMB3whsRtgB8AHfCCNDSVEuSVFUNDYyMDc4NzIuSVFfQ0RTX01JRC4xNi8wOC8yNgEAAABYDQoAAgAAAAczOC4xMzczAFCpQ3zjAd8IyxLZAfAB3wgjQ0lRLklRVDQ2MjAwMzE3LklRX0NEU19NSUQuMTYvMDgvMjYBAAAA/lQNAAIAAAAGNjMuNDE2ABi16HvjAd8IyxLZAfAB3wgkQ0lRLklRVDY0NDcwMTc5Ny5JUV9DRFNfTUlELjE1LzA4LzI2AQAAAFM/fQECAAAABjkuODAwMgCfukJ84wHfCIDE1gHwAd8II0NJUS5JUVQ0NjIxNjk4Ni5JUV9DRFNfTUlELjE1LzA4LzI2AQAAAM5EOAEDAAAAAABQqUN84wHfCIDE1gHwAd8IJENJUS5JUVQyNTQ5NTUyMzMuSVFfQ0RTX01JRC4xNS8wOC8yNgEAAAA5VgoAAgAAAAczOC40OTc1AFCpQ3zjAd8Iu33XAfAB3wgjQ0lRLklRVDQ2MTk2MjI1LklRX0NEU19NSUQuMTQvMDgvMjYBAAAAvlWjAQIAAAAGMTcuMzc1AJ+6QnzjAd8IyxLZAfAB3wgjQ0lRLklRVDUxMDIzMjYwLklRX0NEU19NSUQuMTQvMDgvMjYBAAAAsRF/AQIAAAAHMTQuOTY4MwBQqUN84wHfCFrl2QHwAd8II0NJUS5JUVQ0NjIyNDc0MC5JUV9DRFNfTUlELjE0LzA4LzI2AQAAANNy</t>
  </si>
  <si>
    <t>CAACAAAABzM1LjMyNzcAUKlDfOMB3wha5dkB8AHfCCRDSVEuSVFUMzEzMzE3MzQ0LklRX0NEU19NSUQuMTQvMDgvMjYBAAAA8awBAAIAAAAGNjAuNzk3ABi16HvjAd8I8ZfaAfAB3wgjQ0lRLklRVDQ2MjAwMjc2LklRX0NEU19NSUQuMTMvMDgvMjYBAAAAlnd8AQIAAAAHMjcuMzE5NQCfukJ84wHfCLt91wHwAd8II0NJUS5JUVQ0NjE5NTQ5MS5JUV9DRFNfTUlELjEzLzA4LzI2AQAAAGlKAAACAAAABzUzLjM0OTcAUKlDfOMB3whsRtgB8AHfCCNDSVEuSVFUNzk2MzQ5MDEuSVFfQ0RTX01JRC4xMy8wOC8yNgEAAACcBhAAAgAAAAY0MC41MDMAUKlDfOMB3whsRtgB8AHfCCNDSVEuSVFUNDYxOTQ5OTUuSVFfQ0RTX01JRC4xMS8wOC8yNgEAAABuEDEAAgAAAAIxMQCfukJ84wHfCA3w0gHwAd8II0NJUS5JUVQ0NjIyMjI5Mi5JUV9DRFNfTUlELjExLzA4LzI2AQAAANGRmwECAAAACDc2NS4wMDY2AJ+6QnzjAd8IDfDSAfAB3wgjQ0lRLklRVDQ2MjI1MDA2LklRX0NEU19NSUQuMTEvMDgvMjYBAAAA+FUNAAIAAAAGNDEuMTg0AFCpQ3zjAd8IQbjTAfAB3wgjQ0lRLklRVDQ2MjIwMzI5LklRX0NEU19NSUQuMTEvMDgvMjYBAAAA21sAAAIAAAAHNTYuMzM5NQAYteh74wHfCEG40wHwAd8II0NJUS5JUVQ0NjI2MjM3OC5JUV9DRFNfTUlELjEwLzA4LzI2AQAAAEDSiQECAAAABTE3Ljk1AJ+6QnzjAd8IRCHQAfAB3wgj</t>
  </si>
  <si>
    <t>Q0lRLklRVDQ2MTk3Njk0LklRX0NEU19NSUQuMTAvMDgvMjYBAAAAB/oFAAIAAAAHNTIuNTIwMQBQqUN84wHfCEQh0AHwAd8II0NJUS5JUVQ2MjI3MDEwNy5JUV9DRFNfTUlELjEwLzA4LzI2AQAAABVZAAACAAAABzQzLjEzOTUAUKlDfOMB3whEIdAB8AHfCCNDSVEuSVFUNDYyMDczMDguSVFfQ0RTX01JRC4yNC8wNS8yNgEAAAA5iXoBAgAAAAcxNC4zMzMzAJ+6QnzjAd8I8ZfaAfAB3wgjQ0lRLklRVDQ2MjEwMDMyLklRX0NEU19NSUQuMjQvMDUvMjYBAAAAj1WjAQIAAAAHMzQuMDcyOQBQqUN84wHfCPGX2gHwAd8II0NJUS5JUVQ0NjIyNTM3NC5JUV9DRFNfTUlELjI0LzA1LzI2AQAAALXWBQACAAAABzQyLjc5OTcAUKlDfOMB3wiXYNsB8AHfCCNDSVEuSVFUNDk3NTExOTYuSVFfQ0RTX01JRC4xMi8wOC8yNgEAAADNmb0AAgAAAAczNy4wMDUxAJ+6QnzjAd8IfSDPAfAB3wgjQ0lRLklRVDYwMzg5NTE2LklRX0NEU19NSUQuMTIvMDgvMjYBAAAApfDDAQIAAAAGNy4xNjU5AJ+6QnzjAd8IfSDPAfAB3wgkQ0lRLklRVDMyMzY4MDEzMC5JUV9DRFNfTUlELjEyLzA4LzI2AQAAAHHhAgACAAAABzUwLjY3NzYAUKlDfOMB3wh9IM8B8AHfCCRDSVEuSVFUMzEzMzE1NDI5LklRX0NEU19NSUQuMTIvMDgvMjYBAAAAOecFAAIAAAAHNjAuODM1MwAYteh74wHfCHHmzwHwAd8II0NJUS5JUVQ0NjIwNjc3OS5JUV9DRFNf</t>
  </si>
  <si>
    <t>TUlELjI0LzA4LzI1AQAAAPzvNgACAAAABzI2LjA5NzkAn7pCfOMB3wiXYNsB8AHfCCNDSVEuSVFUNDYyMTg2NzQuSVFfQ0RTX01JRC4yNC8wOC8yNQEAAABXyjYAAgAAAAgxNzMuNjY2NwBQqUN84wHfCM4U3AHwAd8II0NJUS5JUVQ0NjIyNTcxNS5JUV9DRFNfTUlELjI0LzA4LzI1AQAAALflBAACAAAABzM0LjQzNzUAUKlDfOMB3wjwVNwB8AHfCCNDSVEuSVFUNjAzODgwNTcuSVFfQ0RTX01JRC4yMC8wOC8yNgEAAADfyX0BAwAAAAAAUKlDfOMB3wiacdEB8AHfCCNDSVEuSVFUNDYyMTQ5NTQuSVFfQ0RTX01JRC4xOC8wOC8yNgEAAAA6PTkBAgAAAAcxNC4zMzMzAJ+6QnzjAd8IQbjTAfAB3wgjQ0lRLklRVDQ2MjA4NjM0LklRX0NEU19NSUQuMTgvMDgvMjYBAAAAAx/CAAIAAAAHMjIuMjgxMwBQqUN84wHfCEG40wHwAd8II0NJUS5JUVQ0NjIyNTA4My5JUV9DRFNfTUlELjE4LzA4LzI2AQAAAFZEBgACAAAABzMzLjYyNjMAUKlDfOMB3whfhNQB8AHfCCNDSVEuSVFUNDYyMDM3MTQuSVFfQ0RTX01JRC4xNy8wOC8yNgEAAABfBTUAAgAAAAUzMS43NQCfukJ84wHfCF+E1AHwAd8II0NJUS5JUVQ0NjIxOTkyMi5JUV9DRFNfTUlELjIzLzA4LzI2AQAAANZHOQECAAAABjUuNjE1OQCfukJ84wHfCPBU3AHwAd8II0NJUS5JUVQ0NjIyMzY0Ni5JUV9DRFNfTUlELjIzLzA4LzI2AQAAABt4BAACAAAABzQ3LjE1ODMA</t>
  </si>
  <si>
    <t>UKlDfOMB3wjwVNwB8AHfCCRDSVEuSVFUMzEzMzE0OTc2LklRX0NEU19NSUQuMjMvMDgvMjYBAAAAbUoAAAIAAAAHNTYuODE4NQAYteh74wHfCPBU3AHwAd8II0NJUS5JUVQ0NjIwMDM2NC5JUV9DRFNfTUlELjIxLzA4LzI2AQAAAFeGCAACAAAABzIzLjYwMTEAUKlDfOMB3wh9IM8B8AHfCCNDSVEuSVFUNDYyMDQzMDAuSVFfQ0RTX01JRC4yMC8wOC8yNgEAAAD2JX0AAgAAAAE3AJ+6QnzjAd8IRCHQAfAB3wgjQ0lRLklRVDQ2MTk5ODQxLklRX0NEU19NSUQuMjAvMDgvMjYBAAAA6zAGAAMAAAAAAFCpQ3zjAd8ImnHRAfAB3wgjQ0lRLklRVDQ2MTk3MTM4LklRX0NEU19NSUQuMTYvMDgvMjYBAAAA7pQ4AQIAAAAIMTI1LjQxMzcAn7pCfOMB3whsRtgB8AHfCCNDSVEuSVFUNDYyMDMzMzIuSVFfQ0RTX01JRC4xNC8wOC8yNgEAAABfHjcAAgAAAAcxMC42NjY3AJ+6QnzjAd8IyxLZAfAB3wgjQ0lRLklRVDQ2MjI2MTMyLklRX0NEU19NSUQuMTQvMDgvMjYBAAAA3VkAAAIAAAAFNDIuNzEAUKlDfOMB3wha5dkB8AHfCCRDSVEuSVFUMzEzMzEzNTI0LklRX0NEU19NSUQuMTQvMDgvMjYBAAAA71UNAAIAAAAHNTkuNTIyMwAYteh74wHfCPGX2gHwAd8II0NJUS5JUVQ3OTYzOTkxMy5JUV9DRFNfTUlELjEzLzA4LzI2AQAAACBjHAICAAAABTguMTI1AJ+6QnzjAd8Iu33XAfAB3wgjQ0lRLklRVDQ2MjA3ODcyLklRX0NE</t>
  </si>
  <si>
    <t>U19NSUQuMTMvMDgvMjYBAAAAWA0KAAIAAAAHMzguMDg1OQBQqUN84wHfCGxG2AHwAd8II0NJUS5JUVQ0NjIwMDMxNy5JUV9DRFNfTUlELjEzLzA4LzI2AQAAAP5UDQACAAAABzYzLjM5NjMAGLXoe+MB3whsRtgB8AHfCCNDSVEuSVFUNDYxOTYyMjUuSVFfQ0RTX01JRC4xMS8wOC8yNgEAAAC+VaMBAgAAAAYxNy4zNzUAn7pCfOMB3wgN8NIB8AHfCCNDSVEuSVFUNTEwMjMyNjAuSVFfQ0RTX01JRC4xMS8wOC8yNgEAAACxEX8BAgAAAAcxNS4yNDk3AFCpQ3zjAd8IDfDSAfAB3wgjQ0lRLklRVDQ2MTk1NDkxLklRX0NEU19NSUQuMTAvMDgvMjYBAAAAaUoAAAIAAAAHNTQuMDE2OABQqUN84wHfCEQh0AHwAd8IJENJUS5JUVQyNjMyMTMxMzIuSVFfQ0RTX01JRC4yNC8wNS8yNgEAAADhmggAAgAAAAY1OS45NzQAUKlDfOMB3wiXYNsB8AHfCCNDSVEuSVFUNDYyMjIyOTIuSVFfQ0RTX01JRC4xMi8wOC8yNgEAAADRkZsBAgAAAAc3NjQuOTExAJ+6QnzjAd8IfSDPAfAB3wgjQ0lRLklRVDQ2MjIwMzI5LklRX0NEU19NSUQuMTIvMDgvMjYBAAAA21sAAAIAAAAHNTYuMzM2OQAYteh74wHfCEQh0AHwAd8II0NJUS5JUVQ0NjE5NzY5NC5JUV9DRFNfTUlELjI0LzA4LzI1AQAAAAf6BQACAAAABzUxLjE2MTgAUKlDfOMB3wjOFNwB8AHfCCNDSVEuSVFUNjAzODk1MTYuSVFfQ0RTX01JRC4yMy8wOC8yNgEAAACl8MMBAgAA</t>
  </si>
  <si>
    <t>AAY3LjE1OTMAn7pCfOMB3wjwVNwB8AHfCCRDSVEuSVFUMzIzNjgwMTMwLklRX0NEU19NSUQuMjMvMDgvMjYBAAAAceECAAIAAAAGNTAuMDgyAFCpQ3zjAd8I8FTcAfAB3wgkQ0lRLklRVDMxMzMxNTQyOS5JUV9DRFNfTUlELjIzLzA4LzI2AQAAADnnBQACAAAABzYwLjYzMDIAGLXoe+MB3wjwVNwB8AHfCCNDSVEuSVFUNDYyMjU3MTUuSVFfQ0RTX01JRC4yMS8wOC8yNgEAAAC35QQAAgAAAAU0My4wNQBQqUN84wHfCH0gzwHwAd8II0NJUS5JUVQ0NjIwNDg4NC5JUV9DRFNfTUlELjIwLzA4LzI2AQAAAIFRwAECAAAABzI5LjI5MTcAn7pCfOMB3whEIdAB8AHfCCNDSVEuSVFUNDYyMDc3ODkuSVFfQ0RTX01JRC4yMC8wOC8yNgEAAAAqWKMBAgAAAAcyNi4yNjc5AFCpQ3zjAd8ImnHRAfAB3wgkQ0lRLklRVDI4NjA5NjEzMS5JUV9DRFNfTUlELjIwLzA4LzI2AQAAADvxBAACAAAABzU0LjA5MjkAUKlDfOMB3wiacdEB8AHfCCNDSVEuSVFUNDYyMTg1MTYuSVFfQ0RTX01JRC4xOC8wOC8yNgEAAACmVaMBAgAAAAczNS45OTI2AJ+6QnzjAd8IQbjTAfAB3wgjQ0lRLklRVDQ2MjIwODAzLklRX0NEU19NSUQuMTgvMDgvMjYBAAAA1sk2AAIAAAAHNDAuOTU3OABQqUN84wHfCEG40wHwAd8II0NJUS5JUVQ0NjIwMDM2NC5JUV9DRFNfTUlELjE4LzA4LzI2AQAAAFeGCAACAAAABDIzLjcAUKlDfOMB3whfhNQB8AHfCCND</t>
  </si>
  <si>
    <t>SVEuSVFUNDYyMDQzMDAuSVFfQ0RTX01JRC4xNy8wOC8yNgEAAAD2JX0AAgAAAAY2Ljk5ODcAn7pCfOMB3wjM/dQB8AHfCCNDSVEuSVFUNjAzODgwNTcuSVFfQ0RTX01JRC4xNy8wOC8yNgEAAADfyX0BAwAAAAAAUKlDfOMB3wjM/dQB8AHfCCNDSVEuSVFUNDYxOTk4NDEuSVFfQ0RTX01JRC4xNy8wOC8yNgEAAADrMAYAAwAAAAAAUKlDfOMB3wgM/NUB8AHfCCRDSVEuSVFUMzEzMzEwMTg0LklRX0NEU19NSUQuMTYvMDgvMjYBAAAAYEQ+AAIAAAAHMTAuODcxOQCfukJ84wHfCGxG2AHwAd8II0NJUS5JUVQ0NjIxNDg3OS5JUV9DRFNfTUlELjE2LzA4LzI2AQAAAPUaNwACAAAABzQ5LjM0MzMAn7pCfOMB3whsRtgB8AHfCCNDSVEuSVFUNDY0NzA4NzcuSVFfQ0RTX01JRC4xNi8wOC8yNgEAAABCNwcAAgAAAAc1Ni43NTE4AFCpQ3zjAd8IyxLZAfAB3wgkQ0lRLklRVDMxMzMxMDg1NC5JUV9DRFNfTUlELjE2LzA4LzI2AQAAAK9UDQACAAAAAjYwABi16HvjAd8IyxLZAfAB3wgjQ0lRLklRVDQ2MjE0OTU0LklRX0NEU19NSUQuMTUvMDgvMjYBAAAAOj05AQIAAAAGMTQuMjI1AJ+6QnzjAd8IgMTWAfAB3wgjQ0lRLklRVDQ2MjA4NjM0LklRX0NEU19NSUQuMTUvMDgvMjYBAAAAAx/CAAIAAAAHMjIuMDQyMgBQqUN84wHfCIDE1gHwAd8II0NJUS5JUVQ0NjIyNTA4My5JUV9DRFNfTUlELjE1LzA4LzI2AQAAAFZEBgAC</t>
  </si>
  <si>
    <t>AAAABDMzLjYAUKlDfOMB3wi7fdcB8AHfCCNDSVEuSVFUNDYyMDM3MTQuSVFfQ0RTX01JRC4xNC8wOC8yNgEAAABfBTUAAgAAAAczMS4yNjc1AJ+6QnzjAd8IyxLZAfAB3wgjQ0lRLklRVDc5NjM5OTUzLklRX0NEU19NSUQuMTQvMDgvMjYBAAAANJtWAQIAAAAHMjQuOTcxNABQqUN84wHfCFrl2QHwAd8IJENJUS5JUVQ1Mjg5MzY4MTIuSVFfQ0RTX01JRC4xNC8wOC8yNgEAAABsWwYAAgAAAAc0NC4zNDYzAFCpQ3zjAd8IWuXZAfAB3wgjQ0lRLklRVDQ2MTk3MTM4LklRX0NEU19NSUQuMTMvMDgvMjYBAAAA7pQ4AQIAAAAIMTI0LjE5MzEAn7pCfOMB3wi7fdcB8AHfCCNDSVEuSVFUNTEwMjM0ODAuSVFfQ0RTX01JRC4xMy8wOC8yNgEAAADCRfEBAgAAAAY0LjczMDMAn7pCfOMB3wi7fdcB8AHfCCNDSVEuSVFUNDYyMDQ5NTcuSVFfQ0RTX01JRC4xMy8wOC8yNgEAAAAhFQYAAgAAAAc1My4zNDI3AFCpQ3zjAd8IbEbYAfAB3wgjQ0lRLklRVDYyMjcwMTA2LklRX0NEU19NSUQuMTMvMDgvMjYBAAAArXeDAAIAAAAHNzUuNTQ4NgAYteh74wHfCGxG2AHwAd8II0NJUS5JUVQ0NjIwMzMzMi5JUV9DRFNfTUlELjExLzA4LzI2AQAAAF8eNwACAAAABjExLjA5NQCfukJ84wHfCA3w0gHwAd8II0NJUS5JUVQ0NjIxNTExMS5JUV9DRFNfTUlELjExLzA4LzI2AQAAAKBLsgECAAAABzM3LjIxNjkAUKlDfOMB3wgN8NIB8AHf</t>
  </si>
  <si>
    <t>CCNDSVEuSVFUNDYyMjYxMzIuSVFfQ0RTX01JRC4xMS8wOC8yNgEAAADdWQAAAgAAAAc0Mi44MzMzAFCpQ3zjAd8IQbjTAfAB3wgkQ0lRLklRVDMxMzMxMzUyNC5JUV9DRFNfTUlELjExLzA4LzI2AQAAAO9VDQACAAAABjU5Ljk4MwAYteh74wHfCEG40wHwAd8II0NJUS5JUVQ3OTYzOTkxMy5JUV9DRFNfTUlELjEwLzA4LzI2AQAAACBjHAICAAAABjcuNjY2NwCfukJ84wHfCEQh0AHwAd8II0NJUS5JUVQ0NjIwNzg3Mi5JUV9DRFNfTUlELjEwLzA4LzI2AQAAAFgNCgACAAAABzM5LjEzMDIAUKlDfOMB3whEIdAB8AHfCCNDSVEuSVFUNDYyMDAzMTcuSVFfQ0RTX01JRC4xMC8wOC8yNgEAAAD+VA0AAgAAAAY2Mi44MzMAGLXoe+MB3whEIdAB8AHfCCRDSVEuSVFUNjQ0NzAxNzk3LklRX0NEU19NSUQuMjQvMDUvMjYBAAAAUz99AQIAAAAGOS42MTEzAJ+6QnzjAd8I8ZfaAfAB3wgjQ0lRLklRVDQ2MjE2OTg2LklRX0NEU19NSUQuMjQvMDUvMjYBAAAAzkQ4AQMAAAAAAFCpQ3zjAd8I8ZfaAfAB3wgkQ0lRLklRVDI1NDk1NTIzMy5JUV9DRFNfTUlELjI0LzA1LzI2AQAAADlWCgACAAAABzQ4Ljk3NTkAUKlDfOMB3wiXYNsB8AHfCCNDSVEuSVFUNDYxOTYyMjUuSVFfQ0RTX01JRC4xMi8wOC8yNgEAAAC+VaMBAgAAAAUxNy4yNQCfukJ84wHfCH0gzwHwAd8II0NJUS5JUVQ1MTAyMzI2MC5JUV9DRFNfTUlELjEyLzA4</t>
  </si>
  <si>
    <t>LzI2AQAAALERfwECAAAABzE0Ljk1MDMAUKlDfOMB3wh9IM8B8AHfCCNDSVEuSVFUNDYyMjQ3NDAuSVFfQ0RTX01JRC4xMi8wOC8yNgEAAADTcggAAgAAAAczNS40NTgzAFCpQ3zjAd8IfSDPAfAB3wgkQ0lRLklRVDMxMzMxNzM0NC5JUV9DRFNfTUlELjEyLzA4LzI2AQAAAPGsAQACAAAABzYxLjAzNDEAGLXoe+MB3whEIdAB8AHfCCNDSVEuSVFUNDYyMDAyNzYuSVFfQ0RTX01JRC4yNC8wOC8yNQEAAACWd3wBAgAAAAcyNC4yMzYyAJ+6QnzjAd8Il2DbAfAB3wgjQ0lRLklRVDQ2MTk1NDkxLklRX0NEU19NSUQuMjQvMDgvMjUBAAAAaUoAAAIAAAAHNTEuMjk4OQBQqUN84wHfCM4U3AHwAd8II0NJUS5JUVQ3OTYzNDkwMS5JUV9DRFNfTUlELjI0LzA4LzI1AQAAAJwGEAACAAAABjU4LjUzNgAYteh74wHfCPBU3AHwAd8II0NJUS5JUVQ0NjIyNTM3NC5JUV9DRFNfTUlELjIwLzA4LzI2AQAAALXWBQACAAAABTM2LjU1AFCpQ3zjAd8ImnHRAfAB3wgjQ0lRLklRVDQ2MjA2Nzc5LklRX0NEU19NSUQuMTgvMDgvMjYBAAAA/O82AAIAAAAHMTUuNDM3NQCfukJ84wHfCEG40wHwAd8II0NJUS5JUVQ0NjIxODY3NC5JUV9DRFNfTUlELjE4LzA4LzI2AQAAAFfKNgACAAAACDEyMS4yMjQ0AFCpQ3zjAd8IQbjTAfAB3wgjQ0lRLklRVDQ2MjI1NzE1LklRX0NEU19NSUQuMTgvMDgvMjYBAAAAt+UEAAIAAAAHNDQuMzk2NQBQ</t>
  </si>
  <si>
    <t>qUN84wHfCF+E1AHwAd8II0NJUS5JUVQ0NjIwNDg4NC5JUV9DRFNfTUlELjE3LzA4LzI2AQAAAIFRwAECAAAABTI5LjE1AJ+6QnzjAd8IzP3UAfAB3wgjQ0lRLklRVDQ2MjA3Nzg5LklRX0NEU19NSUQuMTcvMDgvMjYBAAAAKlijAQIAAAAHMjYuMjMwNQBQqUN84wHfCMz91AHwAd8IJENJUS5JUVQyODYwOTYxMzEuSVFfQ0RTX01JRC4xNy8wOC8yNgEAAAA78QQAAgAAAAc1My42MDQ1AFCpQ3zjAd8IDPzVAfAB3wgjQ0lRLklRVDQ2MjEwNTYwLklRX0NEU19NSUQuMTYvMDgvMjYBAAAA9ho3AAIAAAAHNzkuNjE5NwCfukJ84wHfCGxG2AHwAd8II0NJUS5JUVQ0NjIxOTkyMi5JUV9DRFNfTUlELjE2LzA4LzI2AQAAANZHOQECAAAABjUuODMyOQCfukJ84wHfCHIO2QHwAd8II0NJUS5JUVQ0NjIyMzY0Ni5JUV9DRFNfTUlELjE2LzA4LzI2AQAAABt4BAACAAAABzQ2LjM0MDQAUKlDfOMB3wjLEtkB8AHfCCRDSVEuSVFUMzEzMzE0OTc2LklRX0NEU19NSUQuMTYvMDgvMjYBAAAAbUoAAAIAAAAGNTcuNDg5ABi16HvjAd8IyxLZAfAB3wgjQ0lRLklRVDQ2MjE4NTE2LklRX0NEU19NSUQuMTUvMDgvMjYBAAAAplWjAQIAAAAHMzYuNzQ2NQCfukJ84wHfCIDE1gHwAd8II0NJUS5JUVQ0NjIyMDgwMy5JUV9DRFNfTUlELjE1LzA4LzI2AQAAANbJNgACAAAABzQwLjU5OTkAUKlDfOMB3wiAxNYB8AHfCCNDSVEuSVFUNDYy</t>
  </si>
  <si>
    <t>MDAzNjQuSVFfQ0RTX01JRC4xNS8wOC8yNgEAAABXhggAAgAAAAQyMy41AFCpQ3zjAd8Iu33XAfAB3wgjQ0lRLklRVDQ2MjA0MzAwLklRX0NEU19NSUQuMTQvMDgvMjYBAAAA9iV9AAIAAAAGNy4wMDk5AJ+6QnzjAd8IyxLZAfAB3wgjQ0lRLklRVDYwMzg4MDU3LklRX0NEU19NSUQuMTQvMDgvMjYBAAAA38l9AQMAAAAAAFCpQ3zjAd8IWuXZAfAB3wgjQ0lRLklRVDQ2MTk5ODQxLklRX0NEU19NSUQuMTQvMDgvMjYBAAAA6zAGAAMAAAAAAFCpQ3zjAd8IWuXZAfAB3wgkQ0lRLklRVDMxMzMxMDE4NC5JUV9DRFNfTUlELjEzLzA4LzI2AQAAAGBEPgACAAAABzEwLjkzODEAn7pCfOMB3wi7fdcB8AHfCCNDSVEuSVFUNDYyMTQ4NzkuSVFfQ0RTX01JRC4xMy8wOC8yNgEAAAD1GjcAAgAAAAY0OS44MzcAn7pCfOMB3wi7fdcB8AHfCCNDSVEuSVFUNDY0NzA4NzcuSVFfQ0RTX01JRC4xMy8wOC8yNgEAAABCNwcAAgAAAAc1Ni41ODk1AFCpQ3zjAd8IbEbYAfAB3wgkQ0lRLklRVDMxMzMxMDg1NC5JUV9DRFNfTUlELjEzLzA4LzI2AQAAAK9UDQACAAAABzYwLjMzMzMAGLXoe+MB3whsRtgB8AHfCCNDSVEuSVFUNDYyMDM3MTQuSVFfQ0RTX01JRC4xMS8wOC8yNgEAAABfBTUAAgAAAAczMS4yNDUxAJ+6QnzjAd8IDfDSAfAB3wgjQ0lRLklRVDc5NjM5OTUzLklRX0NEU19NSUQuMTEvMDgvMjYBAAAANJtWAQIAAAAFMjQu</t>
  </si>
  <si>
    <t>ODYAUKlDfOMB3wgN8NIB8AHfCCRDSVEuSVFUNTI4OTM2ODEyLklRX0NEU19NSUQuMTEvMDgvMjYBAAAAbFsGAAIAAAAHNDQuOTQ5MgBQqUN84wHfCEG40wHwAd8II0NJUS5JUVQ0NjE5NzEzOC5JUV9DRFNfTUlELjEwLzA4LzI2AQAAAO6UOAECAAAACDEyMi42OTg4AJ+6QnzjAd8IRCHQAfAB3wgjQ0lRLklRVDUxMDIzNDgwLklRX0NEU19NSUQuMTAvMDgvMjYBAAAAwkXxAQIAAAAGNC42MTUzAJ+6QnzjAd8IRCHQAfAB3wgjQ0lRLklRVDQ2MjA0OTU3LklRX0NEU19NSUQuMTAvMDgvMjYBAAAAIRUGAAIAAAAHNTMuODk4NQBQqUN84wHfCEQh0AHwAd8II0NJUS5JUVQ2MjI3MDEwNi5JUV9DRFNfTUlELjEwLzA4LzI2AQAAAK13gwACAAAABzc1LjU0ODMAGLXoe+MB3whEIdAB8AHfCCNDSVEuSVFUNzk2NDAwMjQuSVFfQ0RTX01JRC4yNC8wNS8yNgEAAAA1j5sBAgAAAAY4LjMzMzMAn7pCfOMB3wjxl9oB8AHfCCRDSVEuSVFUMzEzMzA1ODc5LklRX0NEU19NSUQuMjQvMDUvMjYBAAAAhNbcAQIAAAAGMi4zMzM0AFCpQ3zjAd8I8ZfaAfAB3wgjQ0lRLklRVDQ2MjAwNDEyLklRX0NEU19NSUQuMjQvMDUvMjYBAAAAY0MGAAIAAAAHNTQuNzY3MwBQqUN84wHfCJdg2wHwAd8II0NJUS5JUVQ0NjIwMzMzMi5JUV9DRFNfTUlELjEyLzA4LzI2AQAAAF8eNwACAAAABzExLjEwNTMAn7pCfOMB3wh9IM8B8AHfCCNDSVEu</t>
  </si>
  <si>
    <t>SVFUNDYyMTUxMTEuSVFfQ0RTX01JRC4xMi8wOC8yNgEAAACgS7IBAgAAAAczNy4wMzIxAFCpQ3zjAd8IfSDPAfAB3wgjQ0lRLklRVDQ2MjI2MTMyLklRX0NEU19NSUQuMTIvMDgvMjYBAAAA3VkAAAIAAAAHNDIuOTI4NgBQqUN84wHfCHHmzwHwAd8IJENJUS5JUVQzMTMzMTM1MjQuSVFfQ0RTX01JRC4xMi8wOC8yNgEAAADvVQ0AAgAAAAc1OS45OTM2ABi16HvjAd8IRCHQAfAB3wgjQ0lRLklRVDc5NjM5OTEzLklRX0NEU19NSUQuMjQvMDgvMjUBAAAAIGMcAgIAAAAGOS40MzE1AJ+6QnzjAd8Il2DbAfAB3wgjQ0lRLklRVDQ2MjA3ODcyLklRX0NEU19NSUQuMjQvMDgvMjUBAAAAWA0KAAIAAAAHMzcuMzAyNwBQqUN84wHfCM4U3AHwAd8II0NJUS5JUVQ0NjIwMDMxNy5JUV9DRFNfTUlELjI0LzA4LzI1AQAAAP5UDQACAAAABzY4Ljk3NDcAGLXoe+MB3wjwVNwB8AHfCCNDSVEuSVFUNDYyMDAzNjQuSVFfQ0RTX01JRC4xMC8wOC8yNgEAAABXhggAAgAAAAcyMy45MzY3AFCpQ3zjAd8IRCHQAfAB3wgjQ0lRLklRVDQ2NDcwODc3LklRX0NEU19NSUQuMTIvMDgvMjYBAAAAQjcHAAIAAAAHNTcuNzM4NABQqUN84wHfCH0gzwHwAd8II0NJUS5JUVQ0NjIxNDk1NC5JUV9DRFNfTUlELjI0LzA4LzI1AQAAADo9OQECAAAABzIyLjY2NjcAn7pCfOMB3wiXYNsB8AHfCCNDSVEuSVFUNDYyNjIzNzguSVFfQ0RTX01JRC4y</t>
  </si>
  <si>
    <t>NC8wOC8yNQEAAABA0okBAgAAAAYxNi44NzUAn7pCfOMB3wiXYNsB8AHfCCNDSVEuSVFUNDYyMjIyOTIuSVFfQ0RTX01JRC4yMy8wOC8yNgEAAADRkZsBAgAAAAg3NjUuNTgwMgCfukJ84wHfCPBU3AHwAd8II0NJUS5JUVQ0NjIyNTAwNi5JUV9DRFNfTUlELjIzLzA4LzI2AQAAAPhVDQACAAAABzQwLjYwMTEAUKlDfOMB3wjwVNwB8AHfCCNDSVEuSVFUNDYyMjAzMjkuSVFfQ0RTX01JRC4yMy8wOC8yNgEAAADbWwAAAgAAAAc1NS45ODUyABi16HvjAd8I8FTcAfAB3wgjQ0lRLklRVDYyMjcwMTA3LklRX0NEU19NSUQuMjEvMDgvMjYBAAAAFVkAAAIAAAAHNDEuMDQxNwBQqUN84wHfCH0gzwHwAd8II0NJUS5JUVQ0NjIwNzMwOC5JUV9DRFNfTUlELjIwLzA4LzI2AQAAADmJegECAAAABzE0LjIwODMAn7pCfOMB3whEIdAB8AHfCCNDSVEuSVFUNDYyMTAwMzIuSVFfQ0RTX01JRC4yMC8wOC8yNgEAAACPVaMBAgAAAAczMy42MzQ3AFCpQ3zjAd8ImnHRAfAB3wgjQ0lRLklRVDQ2MjAwMzY0LklRX0NEU19NSUQuMTQvMDgvMjYBAAAAV4YIAAIAAAAEMjMuNQBQqUN84wHfCFrl2QHwAd8II0NJUS5JUVQ0NjIwODYzNC5JUV9DRFNfTUlELjExLzA4LzI2AQAAAAMfwgACAAAABzIyLjU0MTcAUKlDfOMB3wgN8NIB8AHfCCNDSVEuSVFUNzk2Mzk5NTMuSVFfQ0RTX01JRC4xMC8wOC8yNgEAAAA0m1YBAgAAAAcyNC45MDAy</t>
  </si>
  <si>
    <t>AFCpQ3zjAd8IRCHQAfAB3wgjQ0lRLklRVDc5NjQwMDI0LklRX0NEU19NSUQuMTIvMDgvMjYBAAAANY+bAQIAAAAGNy44Njg1AJ+6QnzjAd8IfSDPAfAB3wgjQ0lRLklRVDQ2MjAwNDEyLklRX0NEU19NSUQuMTIvMDgvMjYBAAAAY0MGAAIAAAAENDQuMgBQqUN84wHfCHHmzwHwAd8II0NJUS5JUVQ0NjIxNTExMS5JUV9DRFNfTUlELjI0LzA4LzI1AQAAAKBLsgECAAAABzQxLjgzMzMAUKlDfOMB3wiXYNsB8AHfCCRDSVEuSVFUMzEzMzEwODU0LklRX0NEU19NSUQuMjQvMDUvMjYBAAAAr1QNAAIAAAAFNjQuMjUAGLXoe+MB3wiXYNsB8AHfCCNDSVEuSVFUNDYyMTk5MjIuSVFfQ0RTX01JRC4xNC8wOC8yNgEAAADWRzkBAgAAAAY1LjgzMjkAn7pCfOMB3wha5dkB8AHfCCRDSVEuSVFUMzEzMzEwMTg0LklRX0NEU19NSUQuMTEvMDgvMjYBAAAAYEQ+AAIAAAAHMTAuOTIxNACfukJ84wHfCA3w0gHwAd8IJENJUS5JUVQzMTMzMTA4NTQuSVFfQ0RTX01JRC4xMS8wOC8yNgEAAACvVA0AAgAAAAQ2MC41ABi16HvjAd8IQbjTAfAB3wgjQ0lRLklRVDQ2MjI1MDgzLklRX0NEU19NSUQuMTAvMDgvMjYBAAAAVkQGAAIAAAAHMzQuNDM2NwBQqUN84wHfCEQh0AHwAd8II0NJUS5JUVQ3OTYzOTk1My5JUV9DRFNfTUlELjI0LzA1LzI2AQAAADSbVgECAAAABzI1LjAwNjYAUKlDfOMB3wjxl9oB8AHfCCNDSVEuSVFUNDYxOTcx</t>
  </si>
  <si>
    <t>MzguSVFfQ0RTX01JRC4xMi8wOC8yNgEAAADulDgBAgAAAAgxMjQuOTIwOACfukJ84wHfCH0gzwHwAd8II0NJUS5JUVQ0NjIwNDk1Ny5JUV9DRFNfTUlELjEyLzA4LzI2AQAAACEVBgACAAAABzUzLjcxMzgAUKlDfOMB3wh9IM8B8AHfCCNDSVEuSVFUNzk2NDAwMjQuSVFfQ0RTX01JRC4yNC8wOC8yNQEAAAA1j5sBAgAAAAcxMC40NzI3AJ+6QnzjAd8Il2DbAfAB3wgjQ0lRLklRVDQ2MjAwNDEyLklRX0NEU19NSUQuMjQvMDgvMjUBAAAAY0MGAAIAAAAHNTEuOTAyMgBQqUN84wHfCPBU3AHwAd8II0NJUS5JUVQ0NjIxMzQ3Mi5JUV9DRFNfTUlELjE4LzA4LzI2AQAAALlaOAACAAAABzE1LjU5MDUAUKlDfOMB3whBuNMB8AHfCCNDSVEuSVFUNDYyMjIyOTIuSVFfQ0RTX01JRC4xNy8wOC8yNgEAAADRkZsBAgAAAAg3NjUuMTE5NQCfukJ84wHfCMz91AHwAd8II0NJUS5JUVQ0NjIxODY3NC5JUV9DRFNfTUlELjEzLzA4LzI2AQAAAFfKNgACAAAACDExOS42MjM0AFCpQ3zjAd8Iu33XAfAB3wgjQ0lRLklRVDQ2MjE4NTE2LklRX0NEU19NSUQuMTAvMDgvMjYBAAAAplWjAQIAAAAHMzYuODQ5NgCfukJ84wHfCEQh0AHwAd8II0NJUS5JUVQ0NjIyNTAwNi5JUV9DRFNfTUlELjEyLzA4LzI2AQAAAPhVDQACAAAABzQxLjI5MTcAUKlDfOMB3wh9IM8B8AHfCCNDSVEuSVFUNTEwMjMyNjAuSVFfQ0RTX01JRC4yMy8wOC8y</t>
  </si>
  <si>
    <t>NgEAAACxEX8BAgAAAAcxNC44MjIyAJ+6QnzjAd8I8FTcAfAB3wgjQ0lRLklRVDQ2MjI0NzQwLklRX0NEU19NSUQuMjMvMDgvMjYBAAAA03IIAAIAAAAHMzUuMjkyNQBQqUN84wHfCPBU3AHwAd8IJENJUS5JUVQzMTMzMTczNDQuSVFfQ0RTX01JRC4yMy8wOC8yNgEAAADxrAEAAgAAAAc2MC40MjQ2ABi16HvjAd8I8FTcAfAB3wgjQ0lRLklRVDc5NjM0OTAxLklRX0NEU19NSUQuMjEvMDgvMjYBAAAAnAYQAAIAAAAHNDAuNDkyOQBQqUN84wHfCH0gzwHwAd8II0NJUS5JUVQ0NjIwNzU3MS5JUV9DRFNfTUlELjIwLzA4LzI2AQAAAG3vNQACAAAABzMwLjUwODUAn7pCfOMB3whEIdAB8AHfCCNDSVEuSVFUNDYyMTM0NzIuSVFfQ0RTX01JRC4yMC8wOC8yNgEAAAC5WjgAAgAAAAYxNS42MTkAUKlDfOMB3wiacdEB8AHfCCRDSVEuSVFUMjYzMjEzMTMyLklRX0NEU19NSUQuMjAvMDgvMjYBAAAA4ZoIAAIAAAAFNTEuNzUAUKlDfOMB3wiacdEB8AHfCCNDSVEuSVFUNDYyNjIzNzguSVFfQ0RTX01JRC4xOC8wOC8yNgEAAABA0okBAgAAAAYxNy45MjUAn7pCfOMB3whBuNMB8AHfCCNDSVEuSVFUNDYxOTc2OTQuSVFfQ0RTX01JRC4xOC8wOC8yNgEAAAAH+gUAAgAAAAc1Mi41ODQ5AFCpQ3zjAd8IJ4DUAfAB3wgjQ0lRLklRVDYyMjcwMTA3LklRX0NEU19NSUQuMTgvMDgvMjYBAAAAFVkAAAIAAAAHNDEuNzQ4NABQqUN8</t>
  </si>
  <si>
    <t>4wHfCF+E1AHwAd8II0NJUS5JUVQ0NjIwNzMwOC5JUV9DRFNfTUlELjE3LzA4LzI2AQAAADmJegECAAAABzE0LjIwODMAn7pCfOMB3wjM/dQB8AHfCCNDSVEuSVFUNDYyMTAwMzIuSVFfQ0RTX01JRC4xNy8wOC8yNgEAAACPVaMBAgAAAAUzNC4wNwBQqUN84wHfCMz91AHwAd8II0NJUS5JUVQ0NjIyNTM3NC5JUV9DRFNfTUlELjE3LzA4LzI2AQAAALXWBQACAAAABzM2LjE3ODgAUKlDfOMB3wgM/NUB8AHfCCNDSVEuSVFUNDk3NTExOTYuSVFfQ0RTX01JRC4xNi8wOC8yNgEAAADNmb0AAgAAAAczNi45MTY3AJ+6QnzjAd8IbEbYAfAB3wgjQ0lRLklRVDYwMzg5NTE2LklRX0NEU19NSUQuMTYvMDgvMjYBAAAApfDDAQIAAAAGNy4xNjM2AJ+6QnzjAd8IyxLZAfAB3wgkQ0lRLklRVDMyMzY4MDEzMC5JUV9DRFNfTUlELjE2LzA4LzI2AQAAAHHhAgACAAAABzUwLjgwNjMAUKlDfOMB3wjLEtkB8AHfCCRDSVEuSVFUMzEzMzE1NDI5LklRX0NEU19NSUQuMTYvMDgvMjYBAAAAOecFAAIAAAAHNjAuNTAzMgAYteh74wHfCMsS2QHwAd8II0NJUS5JUVQ0NjIwNjc3OS5JUV9DRFNfTUlELjE1LzA4LzI2AQAAAPzvNgACAAAABzE1LjY2NjcAn7pCfOMB3wiAxNYB8AHfCCNDSVEuSVFUNDYyMTg2NzQuSVFfQ0RTX01JRC4xNS8wOC8yNgEAAABXyjYAAgAAAAgxMTguNTQwOABQqUN84wHfCIDE1gHwAd8II0NJUS5JUVQ3OTYz</t>
  </si>
  <si>
    <t>OTk1My5JUV9DRFNfTUlELjE3LzA4LzI2AQAAADSbVgECAAAABzI0Ljk2NjcAUKlDfOMB3wjM/dQB8AHfCCNDSVEuSVFUNDYyMjU3MTUuSVFfQ0RTX01JRC4xNS8wOC8yNgEAAAC35QQAAgAAAAc0My40OTY0AFCpQ3zjAd8Iu33XAfAB3wgkQ0lRLklRVDUyODkzNjgxMi5JUV9DRFNfTUlELjE3LzA4LzI2AQAAAGxbBgACAAAABDQ0LjUAUKlDfOMB3wgM/NUB8AHfCCNDSVEuSVFUNDYyMDQ4ODQuSVFfQ0RTX01JRC4xNC8wOC8yNgEAAACBUcABAgAAAAUyOS4xNQCfukJ84wHfCMsS2QHwAd8II0NJUS5JUVQ0NjIwNzc4OS5JUV9DRFNfTUlELjE0LzA4LzI2AQAAACpYowECAAAABzI2LjM1MjQAUKlDfOMB3wha5dkB8AHfCCRDSVEuSVFUMjg2MDk2MTMxLklRX0NEU19NSUQuMTQvMDgvMjYBAAAAO/EEAAIAAAAHNTMuMDc5MQBQqUN84wHfCFrl2QHwAd8II0NJUS5JUVQ0NjIxMDU2MC5JUV9DRFNfTUlELjEzLzA4LzI2AQAAAPYaNwACAAAABzgwLjE3MjkAn7pCfOMB3wi7fdcB8AHfCCNDSVEuSVFUNDYyMTk5MjIuSVFfQ0RTX01JRC4xMy8wOC8yNgEAAADWRzkBAgAAAAY1Ljg0MDUAn7pCfOMB3wi7fdcB8AHfCCNDSVEuSVFUNDYyMjM2NDYuSVFfQ0RTX01JRC4xMy8wOC8yNgEAAAAbeAQAAgAAAAc0Ni41MjMzAFCpQ3zjAd8IbEbYAfAB3wgkQ0lRLklRVDMxMzMxNDk3Ni5JUV9DRFNfTUlELjEzLzA4LzI2AQAA</t>
  </si>
  <si>
    <t>AG1KAAACAAAABzU3LjgyMjQAGLXoe+MB3whsRtgB8AHfCCNDSVEuSVFUNTEwMjM0ODAuSVFfQ0RTX01JRC4xNi8wOC8yNgEAAADCRfEBAgAAAAY0LjYzNDQAn7pCfOMB3whsRtgB8AHfCCNDSVEuSVFUNDYyMDQ5NTcuSVFfQ0RTX01JRC4xNi8wOC8yNgEAAAAhFQYAAgAAAAc1My43NjMzAFCpQ3zjAd8IyxLZAfAB3wgjQ0lRLklRVDQ2MjA0MzAwLklRX0NEU19NSUQuMTEvMDgvMjYBAAAA9iV9AAIAAAAGNy4xMzAyAJ+6QnzjAd8IDfDSAfAB3wgjQ0lRLklRVDYwMzg4MDU3LklRX0NEU19NSUQuMTEvMDgvMjYBAAAA38l9AQMAAAAAAFCpQ3zjAd8IDfDSAfAB3wgjQ0lRLklRVDQ2MTk5ODQxLklRX0NEU19NSUQuMTEvMDgvMjYBAAAA6zAGAAMAAAAAAFCpQ3zjAd8IQbjTAfAB3wgkQ0lRLklRVDMxMzMxMDE4NC5JUV9DRFNfTUlELjEwLzA4LzI2AQAAAGBEPgACAAAABzEwLjg1OTkAn7pCfOMB3whEIdAB8AHfCCNDSVEuSVFUNDYyMTQ4NzkuSVFfQ0RTX01JRC4xMC8wOC8yNgEAAAD1GjcAAgAAAAc1MC42NjY3AJ+6QnzjAd8IRCHQAfAB3wgjQ0lRLklRVDQ2NDcwODc3LklRX0NEU19NSUQuMTAvMDgvMjYBAAAAQjcHAAIAAAAHNTguMjU5NwBQqUN84wHfCEQh0AHwAd8IJENJUS5JUVQzMTMzMTA4NTQuSVFfQ0RTX01JRC4xMC8wOC8yNgEAAACvVA0AAgAAAAc2MC42NjY3ABi16HvjAd8IRCHQAfAB3wgjQ0lR</t>
  </si>
  <si>
    <t>LklRVDQ2MjE0OTU0LklRX0NEU19NSUQuMjQvMDUvMjYBAAAAOj05AQIAAAACMTUAn7pCfOMB3wjxl9oB8AHfCCNDSVEuSVFUNDYyMDg2MzQuSVFfQ0RTX01JRC4yNC8wNS8yNgEAAAADH8IAAgAAAAcyMi40MTY3AFCpQ3zjAd8I8ZfaAfAB3wgjQ0lRLklRVDYyMjcwMTA2LklRX0NEU19NSUQuMTYvMDgvMjYBAAAArXeDAAIAAAAHNzUuNTUwNQAYteh74wHfCMsS2QHwAd8II0NJUS5JUVQ0NjIyNTA4My5JUV9DRFNfTUlELjI0LzA1LzI2AQAAAFZEBgACAAAABzQzLjYyMDMAUKlDfOMB3wiXYNsB8AHfCCNDSVEuSVFUNzk2NDAwMjQuSVFfQ0RTX01JRC4xNS8wOC8yNgEAAAA1j5sBAgAAAAY3LjgzMzMAn7pCfOMB3wiAxNYB8AHfCCNDSVEuSVFUNDYyMDM3MTQuSVFfQ0RTX01JRC4xMi8wOC8yNgEAAABfBTUAAgAAAAczMS4wOTg4AJ+6QnzjAd8IfSDPAfAB3wgjQ0lRLklRVDc5NjM5OTUzLklRX0NEU19NSUQuMTIvMDgvMjYBAAAANJtWAQIAAAAHMjQuOTEyNQBQqUN84wHfCH0gzwHwAd8IJENJUS5JUVQ1Mjg5MzY4MTIuSVFfQ0RTX01JRC4xMi8wOC8yNgEAAABsWwYAAgAAAAY0NC44OTIAUKlDfOMB3whx5s8B8AHfCCRDSVEuSVFUMzEzMzA1ODc5LklRX0NEU19NSUQuMTUvMDgvMjYBAAAAhNbcAQIAAAAGMi4yOTM5AFCpQ3zjAd8IgMTWAfAB3wgjQ0lRLklRVDQ2MTk3MTM4LklRX0NEU19NSUQuMjQvMDgv</t>
  </si>
  <si>
    <t>MjUBAAAA7pQ4AQIAAAAHMTM5LjUyOQCfukJ84wHfCJdg2wHwAd8II0NJUS5JUVQ0NjIwMDQxMi5JUV9DRFNfTUlELjE1LzA4LzI2AQAAAGNDBgACAAAABzQ0LjAwMzIAUKlDfOMB3wi7fdcB8AHfCCNDSVEuSVFUNDYyMTUxMTEuSVFfQ0RTX01JRC4xNC8wOC8yNgEAAACgS7IBAgAAAAczNi4zMDMyAFCpQ3zjAd8IWuXZAfAB3wgjQ0lRLklRVDUxMDIzNDgwLklRX0NEU19NSUQuMjQvMDgvMjUBAAAAwkXxAQIAAAAGNy44NTYyAJ+6QnzjAd8Il2DbAfAB3wgjQ0lRLklRVDQ2MjI0NzQwLklRX0NEU19NSUQuMTEvMDgvMjYBAAAA03IIAAIAAAAHMzUuNDY2NwBQqUN84wHfCEG40wHwAd8II0NJUS5JUVQ0NjIwNDk1Ny5JUV9DRFNfTUlELjI0LzA4LzI1AQAAACEVBgACAAAABzU0LjExMTEAUKlDfOMB3wjOFNwB8AHfCCNDSVEuSVFUNjIyNzAxMDYuSVFfQ0RTX01JRC4yNC8wOC8yNQEAAACtd4MAAgAAAAY3NS42MDYAGLXoe+MB3wjwVNwB8AHfCCNDSVEuSVFUNDYyNjIzNzguSVFfQ0RTX01JRC4xNS8wOC8yNgEAAABA0okBAgAAAAIxOACfukJ84wHfCIDE1gHwAd8II0NJUS5JUVQ0NjE5NzY5NC5JUV9DRFNfTUlELjE1LzA4LzI2AQAAAAf6BQACAAAABzUxLjIzMTgAUKlDfOMB3wiAxNYB8AHfCCNDSVEuSVFUNjIyNzAxMDcuSVFfQ0RTX01JRC4xNS8wOC8yNgEAAAAVWQAAAgAAAAc0Mi40MjcyAFCpQ3zjAd8I</t>
  </si>
  <si>
    <t>u33XAfAB3wgjQ0lRLklRVDQ2MjA3MzA4LklRX0NEU19NSUQuMTQvMDgvMjYBAAAAOYl6AQIAAAAHMTQuMjA4MwCfukJ84wHfCMsS2QHwAd8II0NJUS5JUVQ0NjIxMDAzMi5JUV9DRFNfTUlELjE0LzA4LzI2AQAAAI9VowECAAAABzM0LjExNjMAUKlDfOMB3wha5dkB8AHfCCNDSVEuSVFUNDYyMjUzNzQuSVFfQ0RTX01JRC4xNC8wOC8yNgEAAAC11gUAAgAAAAUzNi4xNQBQqUN84wHfCFrl2QHwAd8II0NJUS5JUVQ0OTc1MTE5Ni5JUV9DRFNfTUlELjEzLzA4LzI2AQAAAM2ZvQACAAAABzM2LjgzMzMAn7pCfOMB3wi7fdcB8AHfCCNDSVEuSVFUNjAzODk1MTYuSVFfQ0RTX01JRC4xMy8wOC8yNgEAAACl8MMBAgAAAAY3LjE2OTYAn7pCfOMB3wi7fdcB8AHfCCRDSVEuSVFUMzIzNjgwMTMwLklRX0NEU19NSUQuMTMvMDgvMjYBAAAAceECAAIAAAAHNTAuMTk3NgBQqUN84wHfCGxG2AHwAd8IJENJUS5JUVQzMTMzMTU0MjkuSVFfQ0RTX01JRC4xMy8wOC8yNgEAAAA55wUAAgAAAAc2MC44MzY5ABi16HvjAd8IbEbYAfAB3wgjQ0lRLklRVDQ2MjA3Nzg5LklRX0NEU19NSUQuMTEvMDgvMjYBAAAAKlijAQIAAAAHMjYuMzAyNwBQqUN84wHfCA3w0gHwAd8II0NJUS5JUVQ0NjIxMDU2MC5JUV9DRFNfTUlELjEwLzA4LzI2AQAAAPYaNwACAAAABzgyLjM0MDMAn7pCfOMB3whEIdAB8AHfCCNDSVEuSVFUNDYyMjM2NDYu</t>
  </si>
  <si>
    <t>SVFfQ0RTX01JRC4xMC8wOC8yNgEAAAAbeAQAAgAAAAc0OC4xNDUyAFCpQ3zjAd8IRCHQAfAB3wgjQ0lRLklRVDQ2MjE4NTE2LklRX0NEU19NSUQuMjQvMDUvMjYBAAAAplWjAQIAAAAHMzkuNzg3NwCfukJ84wHfCPGX2gHwAd8II0NJUS5JUVQ0NjIwMDM2NC5JUV9DRFNfTUlELjI0LzA1LzI2AQAAAFeGCAACAAAABjI3LjA3NQBQqUN84wHfCJdg2wHwAd8II0NJUS5JUVQ2MDM4ODA1Ny5JUV9DRFNfTUlELjEyLzA4LzI2AQAAAN/JfQEDAAAAAABQqUN84wHfCH0gzwHwAd8IJENJUS5JUVQzMTMzMTAxODQuSVFfQ0RTX01JRC4yNC8wOC8yNQEAAABgRD4AAgAAAAcxNi4xNDA4AJ+6QnzjAd8Il2DbAfAB3wgjQ0lRLklRVDQ2MjE0ODc5LklRX0NEU19NSUQuMjQvMDgvMjUBAAAA9Ro3AAIAAAAFNjAuNDkAn7pCfOMB3wiXYNsB8AHfCCNDSVEuSVFUNDY0NzA4NzcuSVFfQ0RTX01JRC4yNC8wOC8yNQEAAABCNwcAAgAAAAc1MC4wMTY1AFCpQ3zjAd8IzhTcAfAB3wgkQ0lRLklRVDMxMzMxMDg1NC5JUV9DRFNfTUlELjI0LzA4LzI1AQAAAK9UDQACAAAABzQyLjExNDMAGLXoe+MB3wjwVNwB8AHfCCNDSVEuSVFUNTEwMjMyNjAuSVFfQ0RTX01JRC4xNi8wOC8yNgEAAACxEX8BAgAAAAcxNC45NjgzAFCpQ3zjAd8IyxLZAfAB3wgjQ0lRLklRVDQ2MjAwMjc2LklRX0NEU19NSUQuMTUvMDgvMjYBAAAAlnd8AQIAAAAH</t>
  </si>
  <si>
    <t>MjUuNDA1NwCfukJ84wHfCIDE1gHwAd8II0NJUS5JUVQ0NjIwNzU3MS5JUV9DRFNfTUlELjE0LzA4LzI2AQAAAG3vNQACAAAABzI5LjEyODYAn7pCfOMB3wjLEtkB8AHfCCNDSVEuSVFUNDYyMTM0NzIuSVFfQ0RTX01JRC4xNC8wOC8yNgEAAAC5WjgAAgAAAAcxNS42NjY1AFCpQ3zjAd8IWuXZAfAB3wgkQ0lRLklRVDMxMzMxNzM0NC5JUV9DRFNfTUlELjExLzA4LzI2AQAAAPGsAQACAAAABzYxLjAzMTIAGLXoe+MB3whBuNMB8AHfCCNDSVEuSVFUNDYxOTQ5OTUuSVFfQ0RTX01JRC4xMy8wOC8yNgEAAABuEDEAAgAAAAcxMC45Njg4AJ+6QnzjAd8Iu33XAfAB3wgjQ0lRLklRVDQ2MjAwMjc2LklRX0NEU19NSUQuMTAvMDgvMjYBAAAAlnd8AQIAAAAHMjcuOTgyNgCfukJ84wHfCEQh0AHwAd8II0NJUS5JUVQ0NjIyMjI5Mi5JUV9DRFNfTUlELjEzLzA4LzI2AQAAANGRmwECAAAACDc2NS4wNTk1AJ+6QnzjAd8Iu33XAfAB3wgjQ0lRLklRVDQ2MjI1MDA2LklRX0NEU19NSUQuMTMvMDgvMjYBAAAA+FUNAAIAAAAHNDAuODcxOQBQqUN84wHfCGxG2AHwAd8II0NJUS5JUVQ0NjIxMDAzMi5JUV9DRFNfTUlELjExLzA4LzI2AQAAAI9VowECAAAABjM0Ljk3NQBQqUN84wHfCA3w0gHwAd8II0NJUS5JUVQ0OTc1MTE5Ni5JUV9DRFNfTUlELjEwLzA4LzI2AQAAAM2ZvQACAAAABzM3LjIwNDgAn7pCfOMB3whEIdAB8AHf</t>
  </si>
  <si>
    <t>CCNDSVEuSVFUNjAzODk1MTYuSVFfQ0RTX01JRC4xMC8wOC8yNgEAAACl8MMBAgAAAAY3LjE2NjIAn7pCfOMB3whEIdAB8AHfCCRDSVEuSVFUMzIzNjgwMTMwLklRX0NEU19NSUQuMTAvMDgvMjYBAAAAceECAAIAAAAHNTEuNDUyOQBQqUN84wHfCEQh0AHwAd8IJENJUS5JUVQzMTMzMTU0MjkuSVFfQ0RTX01JRC4xMC8wOC8yNgEAAAA55wUAAgAAAAY2MC44MzgAGLXoe+MB3whEIdAB8AHfCCNDSVEuSVFUNDYyMDY3NzkuSVFfQ0RTX01JRC4yNC8wNS8yNgEAAAD87zYAAgAAAAcxNi4zMzMzAJ+6QnzjAd8I8ZfaAfAB3wgjQ0lRLklRVDQ2MjE4Njc0LklRX0NEU19NSUQuMjQvMDUvMjYBAAAAV8o2AAIAAAAIMTQyLjM4MzgAUKlDfOMB3wjxl9oB8AHfCCNDSVEuSVFUNDYyMjU3MTUuSVFfQ0RTX01JRC4yNC8wNS8yNgEAAAC35QQAAgAAAAc0MS4yNTUyAFCpQ3zjAd8Il2DbAfAB3wgjQ0lRLklRVDQ2MjA0ODg0LklRX0NEU19NSUQuMTIvMDgvMjYBAAAAgVHAAQIAAAAHMjguOTUxNgCfukJ84wHfCH0gzwHwAd8II0NJUS5JUVQ0NjIwNzc4OS5JUV9DRFNfTUlELjEyLzA4LzI2AQAAACpYowECAAAABzI2LjM1MjUAUKlDfOMB3wh9IM8B8AHfCCRDSVEuSVFUMjg2MDk2MTMxLklRX0NEU19NSUQuMTIvMDgvMjYBAAAAO/EEAAIAAAAHNTMuOTI5MwBQqUN84wHfCHHmzwHwAd8II0NJUS5JUVQ0NjIyMzY0Ni5JUV9D</t>
  </si>
  <si>
    <t>RFNfTUlELjI0LzA4LzI1AQAAABt4BAACAAAABzQ0LjgzNjIAUKlDfOMB3wjOFNwB8AHfCCRDSVEuSVFUMzEzMzE0OTc2LklRX0NEU19NSUQuMjQvMDgvMjUBAAAAbUoAAAIAAAAHNDUuMTA2NAAYteh74wHfCPBU3AHwAd8IJENJUS5JUVQyNjMyMTMxMzIuSVFfQ0RTX01JRC4xMS8wOC8yNgEAAADhmggAAgAAAAc1MS41MDU1AFCpQ3zjAd8IQbjTAfAB3wgjQ0lRLklRVDQ2MjIyMjkyLklRX0NEU19NSUQuMTAvMDgvMjYBAAAA0ZGbAQIAAAAINzY0LjEwMTYAn7pCfOMB3whEIdAB8AHfCCNDSVEuSVFUNDYyNjIzNzguSVFfQ0RTX01JRC4yNC8wNS8yNgEAAABA0okBAgAAAAQxOS41AJ+6QnzjAd8I8ZfaAfAB3wgjQ0lRLklRVDYyMjcwMTA3LklRX0NEU19NSUQuMjQvMDUvMjYBAAAAFVkAAAIAAAAHNDEuMjU1MgBQqUN84wHfCJdg2wHwAd8II0NJUS5JUVQ0OTc1MTE5Ni5JUV9DRFNfTUlELjI0LzA4LzI1AQAAAM2ZvQACAAAABzQwLjAyNTcAn7pCfOMB3wiXYNsB8AHfCCRDSVEuSVFUMzIzNjgwMTMwLklRX0NEU19NSUQuMjQvMDgvMjUBAAAAceECAAIAAAAHNDguOTA0NwBQqUN84wHfCM4U3AHwAd8II0NJUS5JUVQ3OTYzOTkxMy5JUV9DRFNfTUlELjI0LzA1LzI2AQAAACBjHAICAAAABjguNDU0OACfukJ84wHfCPGX2gHwAd8II0NJUS5JUVQ0NjIwNzg3Mi5JUV9DRFNfTUlELjI0LzA1LzI2AQAAAFgNCgAC</t>
  </si>
  <si>
    <t>AAAABzQyLjQ2NTgAUKlDfOMB3wjxl9oB8AHfCCNDSVEuSVFUNDYyMDAzMTcuSVFfQ0RTX01JRC4yNC8wNS8yNgEAAAD+VA0AAgAAAAc3MC42MDg1ABi16HvjAd8Il2DbAfAB3wgjQ0lRLklRVDQ2MTk2MjI1LklRX0NEU19NSUQuMjQvMDgvMjUBAAAAvlWjAQIAAAAFMjIuNzUAn7pCfOMB3wiXYNsB8AHfCCRDSVEuSVFUMzEzMzE3MzQ0LklRX0NEU19NSUQuMjQvMDgvMjUBAAAA8awBAAIAAAAHNTEuODEyOQAYteh74wHfCPBU3AHwAd8IJENJUS5JUVQ1Mjg5MzY4MTIuSVFfQ0RTX01JRC4yNC8wNS8yNgEAAABsWwYAAgAAAAc1Mi4yMjI5AFCpQ3zjAd8I8ZfaAfAB3wgjQ0lRLklRVDYyMjcwMTA2LklRX0NEU19NSUQuMTIvMDgvMjYBAAAArXeDAAIAAAAGNzUuNTM4ABi16HvjAd8IcebPAfAB3wgjQ0lRLklRVDQ2MjE1MTExLklRX0NEU19NSUQuMjMvMDgvMjYBAAAAoEuyAQIAAAAGMzUuMzQ2AFCpQ3zjAd8I8FTcAfAB3wgjQ0lRLklRVDQ2MjI2MTMyLklRX0NEU19NSUQuMjMvMDgvMjYBAAAA3VkAAAIAAAAHNDIuOTEwOQBQqUN84wHfCPBU3AHwAd8IJENJUS5JUVQzMTMzMTM1MjQuSVFfQ0RTX01JRC4yMy8wOC8yNgEAAADvVQ0AAgAAAAY1OS40MzEAGLXoe+MB3wjwVNwB8AHfCCNDSVEuSVFUNDYyMDc4NzIuSVFfQ0RTX01JRC4yMS8wOC8yNgEAAABYDQoAAgAAAAczOC4zMjQyAFCpQ3zjAd8INlzOAfAB</t>
  </si>
  <si>
    <t>3wgjQ0lRLklRVDQ2MjAwMzE3LklRX0NEU19NSUQuMjEvMDgvMjYBAAAA/lQNAAIAAAAHNjMuNDY5MQAYteh74wHfCH0gzwHwAd8IJENJUS5JUVQ2NDQ3MDE3OTcuSVFfQ0RTX01JRC4yMC8wOC8yNgEAAABTP30BAgAAAAY5Ljg1MjUAn7pCfOMB3whEIdAB8AHfCCNDSVEuSVFUNDYyMTY5ODYuSVFfQ0RTX01JRC4yMC8wOC8yNgEAAADORDgBAwAAAAAAUKlDfOMB3wiacdEB8AHfCCRDSVEuSVFUMjU0OTU1MjMzLklRX0NEU19NSUQuMjAvMDgvMjYBAAAAOVYKAAIAAAAHMzkuMTk4NwBQqUN84wHfCJpx0QHwAd8II0NJUS5JUVQ0NjIwMDI3Ni5JUV9DRFNfTUlELjE4LzA4LzI2AQAAAJZ3fAECAAAABzIyLjYwMzgAn7pCfOMB3whBuNMB8AHfCCNDSVEuSVFUNDYxOTU0OTEuSVFfQ0RTX01JRC4xOC8wOC8yNgEAAABpSgAAAgAAAAc1NC45NTI4AFCpQ3zjAd8IX4TUAfAB3wgjQ0lRLklRVDc5NjM0OTAxLklRX0NEU19NSUQuMTgvMDgvMjYBAAAAnAYQAAIAAAAHNDAuNTAwNwBQqUN84wHfCF+E1AHwAd8II0NJUS5JUVQ0NjIwNzU3MS5JUV9DRFNfTUlELjE3LzA4LzI2AQAAAG3vNQACAAAABzI5LjA4MzMAn7pCfOMB3wjM/dQB8AHfCCNDSVEuSVFUNDYyMTM0NzIuSVFfQ0RTX01JRC4xNy8wOC8yNgEAAAC5WjgAAgAAAAYxNS40ODQAUKlDfOMB3wjM/dQB8AHfCCRDSVEuSVFUMjYzMjEzMTMyLklRX0NEU19NSUQu</t>
  </si>
  <si>
    <t>MTcvMDgvMjYBAAAA4ZoIAAIAAAAHNTAuOTMyMQBQqUN84wHfCAz81QHwAd8II0NJUS5JUVQ0NjE5NDk5NS5JUV9DRFNfTUlELjE2LzA4LzI2AQAAAG4QMQACAAAABjEwLjk3NACfukJ84wHfCGxG2AHwAd8II0NJUS5JUVQ0NjIyMjI5Mi5JUV9DRFNfTUlELjE2LzA4LzI2AQAAANGRmwECAAAACDc2NC4zMzI2AJ+6QnzjAd8IyxLZAfAB3wgjQ0lRLklRVDQ2MjI1MDA2LklRX0NEU19NSUQuMTYvMDgvMjYBAAAA+FUNAAIAAAAHNDAuNjYxNgBQqUN84wHfCMsS2QHwAd8II0NJUS5JUVQ0NjIyMDMyOS5JUV9DRFNfTUlELjE2LzA4LzI2AQAAANtbAAACAAAAAjU2ABi16HvjAd8IyxLZAfAB3wgjQ0lRLklRVDQ2MjA0ODg0LklRX0NEU19NSUQuMTEvMDgvMjYBAAAAgVHAAQIAAAAHMjkuMTY2NwCfukJ84wHfCA3w0gHwAd8IJENJUS5JUVQyODYwOTYxMzEuSVFfQ0RTX01JRC4xMS8wOC8yNgEAAAA78QQAAgAAAAc1NC4wMTA2AFCpQ3zjAd8IQbjTAfAB3wgjQ0lRLklRVDQ2MjE5OTIyLklRX0NEU19NSUQuMTAvMDgvMjYBAAAA1kc5AQIAAAAGNS44NTU2AJ+6QnzjAd8IRCHQAfAB3wgkQ0lRLklRVDMxMzMxNDk3Ni5JUV9DRFNfTUlELjEwLzA4LzI2AQAAAG1KAAACAAAABzU3LjgyNDEAGLXoe+MB3whEIdAB8AHfCCNDSVEuSVFUNDYyMjA4MDMuSVFfQ0RTX01JRC4yNC8wNS8yNgEAAADWyTYAAgAAAAc1MC40OTU5</t>
  </si>
  <si>
    <t>AFCpQ3zjAd8I8ZfaAfAB3wgjQ0lRLklRVDQ2MjA0MzAwLklRX0NEU19NSUQuMTIvMDgvMjYBAAAA9iV9AAIAAAAGNy4xNTc2AJ+6QnzjAd8IfSDPAfAB3wgjQ0lRLklRVDQ2MTk5ODQxLklRX0NEU19NSUQuMTIvMDgvMjYBAAAA6zAGAAMAAAAAAFCpQ3zjAd8IcebPAfAB3wgjQ0lRLklRVDQ2MTk2MjI1LklRX0NEU19NSUQuMTYvMDgvMjYBAAAAvlWjAQIAAAAGMTcuMzc1AJ+6QnzjAd8IbEbYAfAB3wgjQ0lRLklRVDQ2MjI0NzQwLklRX0NEU19NSUQuMTYvMDgvMjYBAAAA03IIAAIAAAAHMzUuMzI3NwBQqUN84wHfCMsS2QHwAd8IJENJUS5JUVQzMTMzMTczNDQuSVFfQ0RTX01JRC4xNi8wOC8yNgEAAADxrAEAAgAAAAY2MC43OTcAGLXoe+MB3wjLEtkB8AHfCCNDSVEuSVFUNDYxOTU0OTEuSVFfQ0RTX01JRC4xNS8wOC8yNgEAAABpSgAAAgAAAAY1My4xOTEAUKlDfOMB3wiAxNYB8AHfCCNDSVEuSVFUNzk2MzQ5MDEuSVFfQ0RTX01JRC4xNS8wOC8yNgEAAACcBhAAAgAAAAc0MC40OTg3AFCpQ3zjAd8Iu33XAfAB3wgjQ0lRLklRVDQ2MjEwNTYwLklRX0NEU19NSUQuMjQvMDgvMjUBAAAA9ho3AAIAAAAHOTUuMjY2OACfukJ84wHfCJdg2wHwAd8II0NJUS5JUVQ0NjIxOTkyMi5JUV9DRFNfTUlELjI0LzA4LzI1AQAAANZHOQECAAAABjkuMjQ1NQCfukJ84wHfCJdg2wHwAd8II0NJUS5JUVQ0NjIxMzQ3Mi5J</t>
  </si>
  <si>
    <t>UV9DRFNfTUlELjExLzA4LzI2AQAAALlaOAACAAAABjE1LjQwNQBQqUN84wHfCA3w0gHwAd8II0NJUS5JUVQ0NjIyNTAwNi5JUV9DRFNfTUlELjEwLzA4LzI2AQAAAPhVDQACAAAABzQxLjI5OTQAUKlDfOMB3whEIdAB8AHfCCNDSVEuSVFUNDYyMTAwMzIuSVFfQ0RTX01JRC4xMi8wOC8yNgEAAACPVaMBAgAAAAczNS4wODc1AFCpQ3zjAd8IfSDPAfAB3wgjQ0lRLklRVDQ2MjI2MTMyLklRX0NEU19NSUQuMTAvMDgvMjYBAAAA3VkAAAIAAAAHNDIuODMzMwBQqUN84wHfCEQh0AHwAd8II0NJUS5JUVQ0NjIwNjc3OS5JUV9DRFNfTUlELjE3LzA4LzI2AQAAAPzvNgACAAAABzE1LjQzNzUAn7pCfOMB3wjM/dQB8AHfCCNDSVEuSVFUNDYyMTg2NzQuSVFfQ0RTX01JRC4xNy8wOC8yNgEAAABXyjYAAgAAAAgxMTguMjkwOABQqUN84wHfCAz81QHwAd8II0NJUS5JUVQ0NjIwNzc4OS5JUV9DRFNfTUlELjE2LzA4LzI2AQAAACpYowECAAAABzI2LjM1MjQAUKlDfOMB3wjLEtkB8AHfCCRDSVEuSVFUMjg2MDk2MTMxLklRX0NEU19NSUQuMTYvMDgvMjYBAAAAO/EEAAIAAAAHNTMuMDc5MQBQqUN84wHfCMsS2QHwAd8II0NJUS5JUVQ0NjIxOTkyMi5JUV9DRFNfTUlELjE1LzA4LzI2AQAAANZHOQECAAAABjUuODMyOQCfukJ84wHfCIDE1gHwAd8IJENJUS5JUVQzMTMzMTQ5NzYuSVFfQ0RTX01JRC4xNS8wOC8yNgEAAABt</t>
  </si>
  <si>
    <t>SgAAAgAAAAY1Ny40ODkAGLXoe+MB3wi7fdcB8AHfCCNDSVEuSVFUNDYyMTg1MTYuSVFfQ0RTX01JRC4xNC8wOC8yNgEAAACmVaMBAgAAAAczNi43NDY1AJ+6QnzjAd8IyxLZAfAB3wgjQ0lRLklRVDQ2MjIwODAzLklRX0NEU19NSUQuMTQvMDgvMjYBAAAA1sk2AAIAAAAHNDAuNTk5OQBQqUN84wHfCFrl2QHwAd8II0NJUS5JUVQ2MDM4ODA1Ny5JUV9DRFNfTUlELjEzLzA4LzI2AQAAAN/JfQEDAAAAAABQqUN84wHfCLt91wHwAd8II0NJUS5JUVQ0NjE5NzEzOC5JUV9DRFNfTUlELjI0LzA1LzI2AQAAAO6UOAECAAAABzEyMC4zNjQAn7pCfOMB3wjxl9oB8AHfCCNDSVEuSVFUNDYyMDMzMzIuSVFfQ0RTX01JRC4yNC8wOC8yNQEAAABfHjcAAgAAAAcxNC4wODMzAJ+6QnzjAd8Il2DbAfAB3wgkQ0lRLklRVDMxMzMxMzUyNC5JUV9DRFNfTUlELjI0LzA4LzI1AQAAAO9VDQACAAAABzUwLjI0MTkAGLXoe+MB3wjwVNwB8AHfCCNDSVEuSVFUNDY0NzA4NzcuSVFfQ0RTX01JRC4yNC8wNS8yNgEAAABCNwcAAgAAAAc1OC4xOTEzAFCpQ3zjAd8I8ZfaAfAB3wgjQ0lRLklRVDQ2MjE0OTU0LklRX0NEU19NSUQuMTIvMDgvMjYBAAAAOj05AQIAAAAHMTQuMDkzOACfukJ84wHfCH0gzwHwAd8II0NJUS5JUVQ0NjIwODYzNC5JUV9DRFNfTUlELjEyLzA4LzI2AQAAAAMfwgACAAAABjIyLjM3NQBQqUN84wHfCH0gzwHwAd8I</t>
  </si>
  <si>
    <t>I0NJUS5JUVQ0NjIyNTA4My5JUV9DRFNfTUlELjEyLzA4LzI2AQAAAFZEBgACAAAABzMzLjk1ODMAUKlDfOMB3whx5s8B8AHfCCNDSVEuSVFUNDYyMjM2NDYuSVFfQ0RTX01JRC4yNC8wNS8yNgEAAAAbeAQAAgAAAAc1Mi4xMTAxAFCpQ3zjAd8I8ZfaAfAB3wgkQ0lRLklRVDMxMzMxNDk3Ni5JUV9DRFNfTUlELjI0LzA1LzI2AQAAAG1KAAACAAAABDU1LjUAGLXoe+MB3wiXYNsB8AHfCCNDSVEuSVFUNDYyMTg1MTYuSVFfQ0RTX01JRC4xMi8wOC8yNgEAAACmVaMBAgAAAAczNy43ODE3AJ+6QnzjAd8IfSDPAfAB3wgjQ0lRLklRVDQ2MjAwMzY0LklRX0NEU19NSUQuMTIvMDgvMjYBAAAAV4YIAAIAAAAEMjMuOABQqUN84wHfCHHmzwHwAd8II0NJUS5JUVQ2MDM4ODA1Ny5JUV9DRFNfTUlELjI0LzA4LzI1AQAAAN/JfQECAAAABzQ2LjQ4NjUAUKlDfOMB3wiXYNsB8AHfCCNDSVEuSVFUNDYyMDc3ODkuSVFfQ0RTX01JRC4yNC8wOC8yNQEAAAAqWKMBAgAAAAcyMC4xMjI3AFCpQ3zjAd8Il2DbAfAB3wgjQ0lRLklRVDUxMDIzNDgwLklRX0NEU19NSUQuMTIvMDgvMjYBAAAAwkXxAQIAAAAGNC44MzU0AJ+6QnzjAd8IfSDPAfAB3wgjQ0lRLklRVDQ2MjIwMzI5LklRX0NEU19NSUQuMTcvMDgvMjYBAAAA21sAAAIAAAAHNTYuMTY2NwAYteh74wHfCAz81QHwAd8II0NJUS5JUVQ0NjE5OTg0MS5JUV9DRFNfTUlELjI0</t>
  </si>
  <si>
    <t>LzA1LzI2AQAAAOswBgADAAAAAABQqUN84wHfCJdg2wHwAd8II0NJUS5JUVQ3OTYzNDkwMS5JUV9DRFNfTUlELjEwLzA4LzI2AQAAAJwGEAACAAAABzQwLjU1NjcAn7pCfOMB3whEIdAB8AHfCCNDSVEuSVFUNDYyMDM3MTQuSVFfQ0RTX01JRC4yMy8wOC8yNgEAAABfBTUAAgAAAAczMi45MDk4AJ+6QnzjAd8I8FTcAfAB3wgjQ0lRLklRVDc5NjM5OTUzLklRX0NEU19NSUQuMjMvMDgvMjYBAAAANJtWAQIAAAAHMjQuOTMwOQBQqUN84wHfCPBU3AHwAd8IJENJUS5JUVQ1Mjg5MzY4MTIuSVFfQ0RTX01JRC4yMy8wOC8yNgEAAABsWwYAAgAAAAc0NC45NzAxAFCpQ3zjAd8I8FTcAfAB3wgjQ0lRLklRVDQ2MjA0OTU3LklRX0NEU19NSUQuMjEvMDgvMjYBAAAAIRUGAAIAAAAHNTQuMDk5MQBQqUN84wHfCDZczgHwAd8II0NJUS5JUVQ2MjI3MDEwNi5JUV9DRFNfTUlELjIxLzA4LzI2AQAAAK13gwACAAAABzc1LjU0NDEAGLXoe+MB3wh9IM8B8AHfCCNDSVEuSVFUNzk2NDAwMjQuSVFfQ0RTX01JRC4yMC8wOC8yNgEAAAA1j5sBAgAAAAY3LjgzMzMAn7pCfOMB3whEIdAB8AHfCCRDSVEuSVFUMzEzMzA1ODc5LklRX0NEU19NSUQuMjAvMDgvMjYBAAAAhNbcAQIAAAAGMi4yOTM5AFCpQ3zjAd8ImnHRAfAB3wgjQ0lRLklRVDQ2MjAwNDEyLklRX0NEU19NSUQuMjAvMDgvMjYBAAAAY0MGAAIAAAAHNDQuNDYwNwBQqUN8</t>
  </si>
  <si>
    <t>4wHfCJpx0QHwAd8II0NJUS5JUVQ3OTYzOTkxMy5JUV9DRFNfTUlELjE4LzA4LzI2AQAAACBjHAICAAAABTguMTI1AJ+6QnzjAd8IQbjTAfAB3wgjQ0lRLklRVDQ2MjA3ODcyLklRX0NEU19NSUQuMTgvMDgvMjYBAAAAWA0KAAIAAAAHMzkuMzM0NQBQqUN84wHfCF+E1AHwAd8II0NJUS5JUVQ0NjIwMDMxNy5JUV9DRFNfTUlELjE4LzA4LzI2AQAAAP5UDQACAAAABjYyLjM3OQAYteh74wHfCF+E1AHwAd8IJENJUS5JUVQ2NDQ3MDE3OTcuSVFfQ0RTX01JRC4xNy8wOC8yNgEAAABTP30BAgAAAAcxMC4zMDM2AJ+6QnzjAd8IzP3UAfAB3wgjQ0lRLklRVDQ2MjE2OTg2LklRX0NEU19NSUQuMTcvMDgvMjYBAAAAzkQ4AQMAAAAAAFCpQ3zjAd8IzP3UAfAB3wgkQ0lRLklRVDI1NDk1NTIzMy5JUV9DRFNfTUlELjE3LzA4LzI2AQAAADlWCgACAAAABzM4LjQ2NTcAUKlDfOMB3wgM/NUB8AHfCCRDSVEuSVFUMjYzMjEzMTMyLklRX0NEU19NSUQuMTQvMDgvMjYBAAAA4ZoIAAIAAAAFNTEuMTcAUKlDfOMB3wha5dkB8AHfCCNDSVEuSVFUNDYyMjAzMjkuSVFfQ0RTX01JRC4xMy8wOC8yNgEAAADbWwAAAgAAAAc1Ni4zMzMzABi16HvjAd8IbEbYAfAB3wgjQ0lRLklRVDQ2MjA3MzA4LklRX0NEU19NSUQuMTEvMDgvMjYBAAAAOYl6AQIAAAAHMTQuNDM2NgCfukJ84wHfCA3w0gHwAd8II0NJUS5JUVQ0NjIyNTM3NC5JUV9D</t>
  </si>
  <si>
    <t>RFNfTUlELjExLzA4LzI2AQAAALXWBQACAAAABDM2LjkAUKlDfOMB3whBuNMB8AHfCCNDSVEuSVFUNDYyMDA0MTIuSVFfQ0RTX01JRC4xMS8wOC8yNgEAAABjQwYAAgAAAAc0NC41NDk3AFCpQ3zjAd8IQbjTAfAB3wgjQ0lRLklRVDQ2MjE2OTg2LklRX0NEU19NSUQuMTIvMDgvMjYBAAAAzkQ4AQMAAAAAAFCpQ3zjAd8IfSDPAfAB3wgjQ0lRLklRVDUxMDIzMjYwLklRX0NEU19NSUQuMjQvMDgvMjUBAAAAsRF/AQIAAAAHMTAuODE0OQBQqUN84wHfCJdg2wHwAd8II0NJUS5JUVQ0NjIwNzU3MS5JUV9DRFNfTUlELjIzLzA4LzI2AQAAAG3vNQACAAAABzMwLjY1MDIAn7pCfOMB3wjwVNwB8AHfCCNDSVEuSVFUNDYyMTM0NzIuSVFfQ0RTX01JRC4yMy8wOC8yNgEAAAC5WjgAAgAAAAcxNS4zNDc1AFCpQ3zjAd8I8FTcAfAB3wgkQ0lRLklRVDI2MzIxMzEzMi5JUV9DRFNfTUlELjIzLzA4LzI2AQAAAOGaCAACAAAABzUxLjY1MDkAUKlDfOMB3wjwVNwB8AHfCCNDSVEuSVFUNDYyMjUwMDYuSVFfQ0RTX01JRC4yMS8wOC8yNgEAAAD4VQ0AAgAAAAc0MC42MDExAFCpQ3zjAd8INlzOAfAB3wgjQ0lRLklRVDQ2MjYyMzc4LklRX0NEU19NSUQuMjAvMDgvMjYBAAAAQNKJAQIAAAAGMTcuODI1AJ+6QnzjAd8IRCHQAfAB3wgjQ0lRLklRVDQ2MTk3Njk0LklRX0NEU19NSUQuMjAvMDgvMjYBAAAAB/oFAAIAAAAHNTIuNDc1</t>
  </si>
  <si>
    <t>NABQqUN84wHfCJpx0QHwAd8II0NJUS5JUVQ2MjI3MDEwNy5JUV9DRFNfTUlELjIwLzA4LzI2AQAAABVZAAACAAAABzQxLjI0NDIAUKlDfOMB3wiacdEB8AHfCCNDSVEuSVFUNDk3NTExOTYuSVFfQ0RTX01JRC4xOC8wOC8yNgEAAADNmb0AAgAAAAczNy4zNzc5AJ+6QnzjAd8IQbjTAfAB3wgjQ0lRLklRVDYwMzg5NTE2LklRX0NEU19NSUQuMTgvMDgvMjYBAAAApfDDAQIAAAAGNy4xNjQ1AJ+6QnzjAd8IQbjTAfAB3wgkQ0lRLklRVDMxMzMxNTQyOS5JUV9DRFNfTUlELjE4LzA4LzI2AQAAADnnBQACAAAABjYxLjEyNQAYteh74wHfCF+E1AHwAd8II0NJUS5JUVQ0NjIwNDg4NC5JUV9DRFNfTUlELjE2LzA4LzI2AQAAAIFRwAECAAAABTI5LjE1AJ+6QnzjAd8IbEbYAfAB3wgjQ0lRLklRVDQ2MjEwNTYwLklRX0NEU19NSUQuMTUvMDgvMjYBAAAA9ho3AAIAAAAHNzkuNjE5NwCfukJ84wHfCIDE1gHwAd8II0NJUS5JUVQ0NjIxNDk1NC5JUV9DRFNfTUlELjExLzA4LzI2AQAAADo9OQECAAAABzE0LjE2NjcAn7pCfOMB3wgN8NIB8AHfCCNDSVEuSVFUNTEwMjM0ODAuSVFfQ0RTX01JRC4yNC8wNS8yNgEAAADCRfEBAgAAAAY0Ljg3ODIAn7pCfOMB3wjxl9oB8AHfCCNDSVEuSVFUNDYyMjYxMzIuSVFfQ0RTX01JRC4yNC8wOC8yNQEAAADdWQAAAgAAAAc0Ni41NDgzAFCpQ3zjAd8I8FTcAfAB3wgjQ0lRLklRVDQ2</t>
  </si>
  <si>
    <t>MjIwODAzLklRX0NEU19NSUQuMTMvMDgvMjYBAAAA1sk2AAIAAAAHNDAuODMzMwBQqUN84wHfCLt91wHwAd8II0NJUS5JUVQ0NjIxMDU2MC5JUV9DRFNfTUlELjExLzA4LzI2AQAAAPYaNwACAAAABzgyLjE2NjcAn7pCfOMB3wgN8NIB8AHfCCRDSVEuSVFUMzEzMzE0OTc2LklRX0NEU19NSUQuMTEvMDgvMjYBAAAAbUoAAAIAAAAHNTcuODIzMgAYteh74wHfCEG40wHwAd8II0NJUS5JUVQ0NjIwNzU3MS5JUV9DRFNfTUlELjI0LzA1LzI2AQAAAG3vNQACAAAABjI4Ljg2MgCfukJ84wHfCPGX2gHwAd8II0NJUS5JUVQ0NjIwNDMwMC5JUV9DRFNfTUlELjIzLzA4LzI2AQAAAPYlfQACAAAABjYuOTk2OACfukJ84wHfCPBU3AHwAd8II0NJUS5JUVQ2MDM4ODA1Ny5JUV9DRFNfTUlELjIzLzA4LzI2AQAAAN/JfQEDAAAAAABQqUN84wHfCPBU3AHwAd8II0NJUS5JUVQ0NjE5OTg0MS5JUV9DRFNfTUlELjIzLzA4LzI2AQAAAOswBgADAAAAAABQqUN84wHfCPBU3AHwAd8II0NJUS5JUVQ0NjQ3MDg3Ny5JUV9DRFNfTUlELjIxLzA4LzI2AQAAAEI3BwACAAAABzU2LjMyMTkAUKlDfOMB3wg2XM4B8AHfCCRDSVEuSVFUMzEzMzEwODU0LklRX0NEU19NSUQuMjEvMDgvMjYBAAAAr1QNAAIAAAACNjAAGLXoe+MB3wh9IM8B8AHfCCNDSVEuSVFUNDYyMTQ5NTQuSVFfQ0RTX01JRC4yMC8wOC8yNgEAAAA6PTkBAgAAAAcxNC4z</t>
  </si>
  <si>
    <t>MzMzAJ+6QnzjAd8IRCHQAfAB3wgjQ0lRLklRVDQ2MjA4NjM0LklRX0NEU19NSUQuMjAvMDgvMjYBAAAAAx/CAAIAAAAHMjEuOTY4OABQqUN84wHfCJpx0QHwAd8II0NJUS5JUVQ0NjIyNTA4My5JUV9DRFNfTUlELjIwLzA4LzI2AQAAAFZEBgACAAAABDMzLjUAUKlDfOMB3wiacdEB8AHfCCNDSVEuSVFUNDYxOTcxMzguSVFfQ0RTX01JRC4xOC8wOC8yNgEAAADulDgBAgAAAAcxMjcuMDM1AJ+6QnzjAd8IQbjTAfAB3wgjQ0lRLklRVDUxMDIzNDgwLklRX0NEU19NSUQuMTgvMDgvMjYBAAAAwkXxAQIAAAAGNC42MjQxAJ+6QnzjAd8IQbjTAfAB3wgjQ0lRLklRVDQ2MjA0OTU3LklRX0NEU19NSUQuMTgvMDgvMjYBAAAAIRUGAAIAAAAHNTUuNDE3NABQqUN84wHfCF+E1AHwAd8II0NJUS5JUVQ2MjI3MDEwNi5JUV9DRFNfTUlELjE4LzA4LzI2AQAAAK13gwACAAAABzc1LjU1NDkAGLXoe+MB3whfhNQB8AHfCCNDSVEuSVFUNzk2NDAwMjQuSVFfQ0RTX01JRC4xNy8wOC8yNgEAAAA1j5sBAgAAAAY3LjgzMzMAn7pCfOMB3wjM/dQB8AHfCCRDSVEuSVFUMzEzMzA1ODc5LklRX0NEU19NSUQuMTcvMDgvMjYBAAAAhNbcAQIAAAAGMi4yOTM5AFCpQ3zjAd8IzP3UAfAB3wgjQ0lRLklRVDQ2MjAwNDEyLklRX0NEU19NSUQuMTcvMDgvMjYBAAAAY0MGAAIAAAAHNDMuOTM3NQBQqUN84wHfCAz81QHwAd8II0NJUS5JUVQ0</t>
  </si>
  <si>
    <t>NjIwMzMzMi5JUV9DRFNfTUlELjE2LzA4LzI2AQAAAF8eNwACAAAABzEwLjY2NjcAn7pCfOMB3whsRtgB8AHfCCNDSVEuSVFUNDYyMTUxMTEuSVFfQ0RTX01JRC4xNi8wOC8yNgEAAACgS7IBAgAAAAczNi4zMDMyAFCpQ3zjAd8IyxLZAfAB3wgjQ0lRLklRVDQ2MjI2MTMyLklRX0NEU19NSUQuMTYvMDgvMjYBAAAA3VkAAAIAAAAFNDIuNzEAUKlDfOMB3wjLEtkB8AHfCCRDSVEuSVFUMzEzMzEzNTI0LklRX0NEU19NSUQuMTYvMDgvMjYBAAAA71UNAAIAAAAHNTkuNTIyMwAYteh74wHfCMsS2QHwAd8II0NJUS5JUVQ3OTYzOTkxMy5JUV9DRFNfTUlELjE1LzA4LzI2AQAAACBjHAICAAAABjcuNjY2NwCfukJ84wHfCIDE1gHwAd8II0NJUS5JUVQ0NjIwNzg3Mi5JUV9DRFNfTUlELjE1LzA4LzI2AQAAAFgNCgACAAAABzM4LjEzNzMAUKlDfOMB3wiAxNYB8AHfCCNDSVEuSVFUNDYyMDAzMTcuSVFfQ0RTX01JRC4xNS8wOC8yNgEAAAD+VA0AAgAAAAY2My40MTYAGLXoe+MB3wi7fdcB8AHfCCRDSVEuSVFUNjQ0NzAxNzk3LklRX0NEU19NSUQuMTQvMDgvMjYBAAAAUz99AQIAAAAGOS44MDAyAJ+6QnzjAd8IyxLZAfAB3wgjQ0lRLklRVDQ2MjE2OTg2LklRX0NEU19NSUQuMTQvMDgvMjYBAAAAzkQ4AQMAAAAAAFCpQ3zjAd8IWuXZAfAB3wgkQ0lRLklRVDI1NDk1NTIzMy5JUV9DRFNfTUlELjE0LzA4LzI2AQAAADlW</t>
  </si>
  <si>
    <t>CgACAAAABzM4LjQ5NzUAUKlDfOMB3wha5dkB8AHfCCNDSVEuSVFUNDYxOTYyMjUuSVFfQ0RTX01JRC4xMy8wOC8yNgEAAAC+VaMBAgAAAAcxNy4yODEzAJ+6QnzjAd8Iu33XAfAB3wgjQ0lRLklRVDUxMDIzMjYwLklRX0NEU19NSUQuMTMvMDgvMjYBAAAAsRF/AQIAAAAHMTUuMzMzNABQqUN84wHfCLt91wHwAd8II0NJUS5JUVQ0NjIyNDc0MC5JUV9DRFNfTUlELjEzLzA4LzI2AQAAANNyCAACAAAABDM1LjUAUKlDfOMB3whsRtgB8AHfCCRDSVEuSVFUMzEzMzE3MzQ0LklRX0NEU19NSUQuMTMvMDgvMjYBAAAA8awBAAIAAAAHNjEuMDM2NwAYteh74wHfCGxG2AHwAd8II0NJUS5JUVQ0NjIwNzU3MS5JUV9DRFNfTUlELjExLzA4LzI2AQAAAG3vNQACAAAABDI5LjYAn7pCfOMB3wgN8NIB8AHfCCNDSVEuSVFUNDYxOTQ5OTUuSVFfQ0RTX01JRC4xMC8wOC8yNgEAAABuEDEAAgAAAAIxMQCfukJ84wHfCEQh0AHwAd8II0NJUS5JUVQ0NjIyMDMyOS5JUV9DRFNfTUlELjEwLzA4LzI2AQAAANtbAAACAAAABzU2LjMxNDkAGLXoe+MB3whEIdAB8AHfCCNDSVEuSVFUNDYxOTc2OTQuSVFfQ0RTX01JRC4yNC8wNS8yNgEAAAAH+gUAAgAAAAc1NS4wMTU0AFCpQ3zjAd8I8ZfaAfAB3wgjQ0lRLklRVDQ2MjA3MzA4LklRX0NEU19NSUQuMTIvMDgvMjYBAAAAOYl6AQIAAAAHMTQuNDQwMwCfukJ84wHfCH0gzwHwAd8II0NJ</t>
  </si>
  <si>
    <t>US5JUVQ0NjIyNTM3NC5JUV9DRFNfTUlELjEyLzA4LzI2AQAAALXWBQACAAAABzM2LjkxNjcAUKlDfOMB3whx5s8B8AHfCCNDSVEuSVFUNjAzODk1MTYuSVFfQ0RTX01JRC4yNC8wOC8yNQEAAACl8MMBAgAAAAY3Ljk5NzQAn7pCfOMB3wiXYNsB8AHfCCRDSVEuSVFUMzEzMzE1NDI5LklRX0NEU19NSUQuMjQvMDgvMjUBAAAAOecFAAIAAAAHNDUuMjE1NQAYteh74wHfCPBU3AHwAd8II0NJUS5JUVQ3OTY0MDAyNC5JUV9DRFNfTUlELjExLzA4LzI2AQAAADWPmwECAAAABjcuODM5NwCfukJ84wHfCA3w0gHwAd8IJENJUS5JUVQyNTQ5NTUyMzMuSVFfQ0RTX01JRC4xMi8wOC8yNgEAAAA5VgoAAgAAAAczOC45MTY3AFCpQ3zjAd8IcebPAfAB3wgjQ0lRLklRVDQ2MjI0NzQwLklRX0NEU19NSUQuMjQvMDgvMjUBAAAA03IIAAIAAAAHMzguMTM4MwBQqUN84wHfCPBU3AHwAd8II0NJUS5JUVQ0NjIyMDMyOS5JUV9DRFNfTUlELjIxLzA4LzI2AQAAANtbAAACAAAABzU1Ljk4NTIAGLXoe+MB3wh9IM8B8AHfCCNDSVEuSVFUNDYyMjU3MTUuSVFfQ0RTX01JRC4xNy8wOC8yNgEAAAC35QQAAgAAAAc0NC41Mzc3AFCpQ3zjAd8IDPzVAfAB3wgjQ0lRLklRVDQ2MjIzNjQ2LklRX0NEU19NSUQuMTUvMDgvMjYBAAAAG3gEAAIAAAAHNDYuMzQwNABQqUN84wHfCIDE1gHwAd8II0NJUS5JUVQ0NjE5OTg0MS5JUV9DRFNfTUlE</t>
  </si>
  <si>
    <t>LjEzLzA4LzI2AQAAAOswBgADAAAAAABQqUN84wHfCGxG2AHwAd8IJENJUS5JUVQzMTMzMTA4NTQuSVFfQ0RTX01JRC4yMi8wOC8yNgEAAACvVA0AAgAAAAI2MAAYteh74wHfCCm+zQHwAd8II0NJUS5JUVQ0NjIyNTA4My5JUV9DRFNfTUlELjExLzA4LzI2AQAAAFZEBgACAAAABTM0LjI1AFCpQ3zjAd8IQbjTAfAB3wgkQ0lRLklRVDUyODkzNjgxMi5JUV9DRFNfTUlELjEwLzA4LzI2AQAAAGxbBgACAAAABjQ1LjExOABQqUN84wHfCEQh0AHwAd8II0NJUS5JUVQ2MjI3MDEwNi5JUV9DRFNfTUlELjI0LzA1LzI2AQAAAK13gwACAAAABzc0Ljc3NzkAGLXoe+MB3wiXYNsB8AHfCCRDSVEuSVFUMzEzMzA1ODc5LklRX0NEU19NSUQuMTIvMDgvMjYBAAAAhNbcAQIAAAAGMi4yOTM5AFCpQ3zjAd8IfSDPAfAB3wgjQ0lRLklRVDQ2MjAzNzE0LklRX0NEU19NSUQuMjQvMDgvMjUBAAAAXwU1AAIAAAAHMzMuMDMzMgCfukJ84wHfCJdg2wHwAd8IJENJUS5JUVQ1Mjg5MzY4MTIuSVFfQ0RTX01JRC4yNC8wOC8yNQEAAABsWwYAAgAAAAc0Ni43Njk4AFCpQ3zjAd8I8FTcAfAB3wgjQ0lRLklRVDQ2MjA0MzAwLklRX0NEU19NSUQuMjQvMDgvMjUBAAAA9iV9AAIAAAABOACfukJ84wHfCJdg2wHwAd8II0NJUS5JUVQ0NjE5OTg0MS5JUV9DRFNfTUlELjI0LzA4LzI1AQAAAOswBgADAAAAAABQqUN84wHfCPBU3AHwAd8II0NJ</t>
  </si>
  <si>
    <t>US5JUVQ0NjIwNDg4NC5JUV9DRFNfTUlELjI0LzA4LzI1AQAAAIFRwAECAAAABzQxLjc4OTQAn7pCfOMB3wiXYNsB8AHfCCRDSVEuSVFUMjg2MDk2MTMxLklRX0NEU19NSUQuMjQvMDgvMjUBAAAAO/EEAAIAAAAHNTkuNDY0MwBQqUN84wHfCPBU3AHwAd8II0NJUS5JUVQ0NjIyMzY0Ni5JUV9DRFNfTUlELjE0LzA4LzI2AQAAABt4BAACAAAABzQ2LjM0MDQAUKlDfOMB3wha5dkB8AHfCCNDSVEuSVFUNDYyMDAzNjQuSVFfQ0RTX01JRC4xMy8wOC8yNgEAAABXhggAAgAAAAUyMy41NgBQqUN84wHfCGxG2AHwAd8II0NJUS5JUVQ0NjE5NjIyNS5JUV9DRFNfTUlELjIwLzA4LzI2AQAAAL5VowECAAAABjE3LjQyNQCfukJ84wHfCEQh0AHwAd8II0NJUS5JUVQ0NjIwNzU3MS5JUV9DRFNfTUlELjE4LzA4LzI2AQAAAG3vNQACAAAABTMwLjA1AJ+6QnzjAd8IQbjTAfAB3wgkQ0lRLklRVDI2MzIxMzEzMi5JUV9DRFNfTUlELjE4LzA4LzI2AQAAAOGaCAACAAAABjUxLjYyNABQqUN84wHfCF+E1AHwAd8II0NJUS5JUVQ0NjE5NzY5NC5JUV9DRFNfTUlELjE2LzA4LzI2AQAAAAf6BQACAAAABzUxLjIzMTgAUKlDfOMB3wjLEtkB8AHfCCNDSVEuSVFUNDYyMjUzNzQuSVFfQ0RTX01JRC4xNS8wOC8yNgEAAAC11gUAAgAAAAUzNi4xNQBQqUN84wHfCLt91wHwAd8IJENJUS5JUVQzMTMzMTU0MjkuSVFfQ0RTX01JRC4xNC8w</t>
  </si>
  <si>
    <t>OC8yNgEAAAA55wUAAgAAAAc2MC41MDMyABi16HvjAd8I8ZfaAfAB3wgjQ0lRLklRVDYwMzg4MDU3LklRX0NEU19NSUQuMjQvMDUvMjYBAAAA38l9AQMAAAAAAFCpQ3zjAd8I8ZfaAfAB3wgjQ0lRLklRVDQ2MjEzNDcyLklRX0NEU19NSUQuMjQvMDUvMjYBAAAAuVo4AAIAAAAHMTUuNTc5NQBQqUN84wHfCPGX2gHwAd8II0NJUS5JUVQ0NjIwNDg4NC5JUV9DRFNfTUlELjIzLzA4LzI2AQAAAIFRwAECAAAABzI5LjE4NzUAn7pCfOMB3wjwVNwB8AHfCCNDSVEuSVFUNDYyMDc3ODkuSVFfQ0RTX01JRC4yMy8wOC8yNgEAAAAqWKMBAgAAAAcyNS44NzU5AFCpQ3zjAd8I8FTcAfAB3wgkQ0lRLklRVDI4NjA5NjEzMS5JUV9DRFNfTUlELjIzLzA4LzI2AQAAADvxBAACAAAABzUzLjc1MDYAUKlDfOMB3wjwVNwB8AHfCCNDSVEuSVFUNDYyMTA1NjAuSVFfQ0RTX01JRC4yMS8wOC8yNgEAAAD2GjcAAgAAAAc4MC4xMjQzAJ+6QnzjAd8INlzOAfAB3wgjQ0lRLklRVDQ2MjE5OTIyLklRX0NEU19NSUQuMjEvMDgvMjYBAAAA1kc5AQIAAAAGNS42MTU5AJ+6QnzjAd8INlzOAfAB3wgjQ0lRLklRVDQ2MjIzNjQ2LklRX0NEU19NSUQuMjEvMDgvMjYBAAAAG3gEAAIAAAAHNDcuMTU4MwBQqUN84wHfCDZczgHwAd8IJENJUS5JUVQzMTMzMTQ5NzYuSVFfQ0RTX01JRC4yMS8wOC8yNgEAAABtSgAAAgAAAAc1Ni44MTg1ABi16Hvj</t>
  </si>
  <si>
    <t>Ad8IfSDPAfAB3wgjQ0lRLklRVDQ2MjE4NTE2LklRX0NEU19NSUQuMjAvMDgvMjYBAAAAplWjAQIAAAAHMzYuNDg1NwCfukJ84wHfCEQh0AHwAd8II0NJUS5JUVQ0NjIyMDgwMy5JUV9DRFNfTUlELjIwLzA4LzI2AQAAANbJNgACAAAABzQwLjQxNzYAUKlDfOMB3wiacdEB8AHfCCNDSVEuSVFUNDYyMDAzNjQuSVFfQ0RTX01JRC4yMC8wOC8yNgEAAABXhggAAgAAAAcyMy42NjY3AFCpQ3zjAd8ImnHRAfAB3wgkQ0lRLklRVDMxMzMxMDE4NC5JUV9DRFNfTUlELjE4LzA4LzI2AQAAAGBEPgACAAAABzEwLjg2MzUAn7pCfOMB3whBuNMB8AHfCCNDSVEuSVFUNDYyMTQ4NzkuSVFfQ0RTX01JRC4xOC8wOC8yNgEAAAD1GjcAAgAAAAI1MACfukJ84wHfCEG40wHwAd8II0NJUS5JUVQ0NjQ3MDg3Ny5JUV9DRFNfTUlELjE4LzA4LzI2AQAAAEI3BwACAAAABzU4LjI3NzEAUKlDfOMB3whfhNQB8AHfCCRDSVEuSVFUMzEzMzEwODU0LklRX0NEU19NSUQuMTgvMDgvMjYBAAAAr1QNAAIAAAAHNjAuMzMzMwAYteh74wHfCF+E1AHwAd8II0NJUS5JUVQ0NjIxNDk1NC5JUV9DRFNfTUlELjE3LzA4LzI2AQAAADo9OQECAAAABzE0LjMxMjUAn7pCfOMB3wjM/dQB8AHfCCNDSVEuSVFUNDYyMDg2MzQuSVFfQ0RTX01JRC4xNy8wOC8yNgEAAAADH8IAAgAAAAcyMi4wNzQ0AFCpQ3zjAd8IDPzVAfAB3wgjQ0lRLklRVDQ2MjI1MDgz</t>
  </si>
  <si>
    <t>LklRX0NEU19NSUQuMTcvMDgvMjYBAAAAVkQGAAIAAAAHMzMuNDMzOABQqUN84wHfCAz81QHwAd8II0NJUS5JUVQ0NjIwMzcxNC5JUV9DRFNfTUlELjE2LzA4LzI2AQAAAF8FNQACAAAABzMxLjI2NzUAn7pCfOMB3whsRtgB8AHfCCNDSVEuSVFUNzk2Mzk5NTMuSVFfQ0RTX01JRC4xNi8wOC8yNgEAAAA0m1YBAgAAAAcyNC45NzE0AFCpQ3zjAd8IyxLZAfAB3wgkQ0lRLklRVDUyODkzNjgxMi5JUV9DRFNfTUlELjE2LzA4LzI2AQAAAGxbBgACAAAABzQ0LjM0NjMAUKlDfOMB3wjLEtkB8AHfCCNDSVEuSVFUNDYxOTcxMzguSVFfQ0RTX01JRC4xNS8wOC8yNgEAAADulDgBAgAAAAgxMjUuNDEzNwCfukJ84wHfCIDE1gHwAd8II0NJUS5JUVQ1MTAyMzQ4MC5JUV9DRFNfTUlELjE1LzA4LzI2AQAAAMJF8QECAAAABjQuNjM0NACfukJ84wHfCIDE1gHwAd8II0NJUS5JUVQ0NjIwNDk1Ny5JUV9DRFNfTUlELjE1LzA4LzI2AQAAACEVBgACAAAABzUzLjc2MzMAUKlDfOMB3wiAxNYB8AHfCCNDSVEuSVFUNjIyNzAxMDYuSVFfQ0RTX01JRC4xNS8wOC8yNgEAAACtd4MAAgAAAAc3NS41NTA1ABi16HvjAd8Iu33XAfAB3wgjQ0lRLklRVDc5NjQwMDI0LklRX0NEU19NSUQuMTQvMDgvMjYBAAAANY+bAQIAAAAGNy44MzMzAJ+6QnzjAd8IyxLZAfAB3wgkQ0lRLklRVDMxMzMwNTg3OS5JUV9DRFNfTUlELjE0LzA4LzI2AQAA</t>
  </si>
  <si>
    <t>AITW3AECAAAABjIuMjkzOQBQqUN84wHfCFrl2QHwAd8II0NJUS5JUVQ0NjIwMDQxMi5JUV9DRFNfTUlELjE0LzA4LzI2AQAAAGNDBgACAAAABzQ0LjAwMzIAUKlDfOMB3wha5dkB8AHfCCNDSVEuSVFUNDYyMDMzMzIuSVFfQ0RTX01JRC4xMy8wOC8yNgEAAABfHjcAAgAAAAcxMC42NjY3AJ+6QnzjAd8Iu33XAfAB3wgjQ0lRLklRVDQ2MjE1MTExLklRX0NEU19NSUQuMTMvMDgvMjYBAAAAoEuyAQIAAAAHMzYuNTM1MwBQqUN84wHfCLt91wHwAd8II0NJUS5JUVQ0NjIyNjEzMi5JUV9DRFNfTUlELjEzLzA4LzI2AQAAAN1ZAAACAAAABzQyLjY3ODYAUKlDfOMB3whsRtgB8AHfCCRDSVEuSVFUMzEzMzEzNTI0LklRX0NEU19NSUQuMTMvMDgvMjYBAAAA71UNAAIAAAAHNjAuMDA5NwAYteh74wHfCGxG2AHwAd8IJENJUS5JUVQ2NDQ3MDE3OTcuSVFfQ0RTX01JRC4xMS8wOC8yNgEAAABTP30BAgAAAAU5Ljc4MgCfukJ84wHfCA3w0gHwAd8II0NJUS5JUVQ0NjIxNjk4Ni5JUV9DRFNfTUlELjExLzA4LzI2AQAAAM5EOAEDAAAAAABQqUN84wHfCA3w0gHwAd8IJENJUS5JUVQyNTQ5NTUyMzMuSVFfQ0RTX01JRC4xMS8wOC8yNgEAAAA5VgoAAgAAAAYzOS4xMjUAUKlDfOMB3whBuNMB8AHfCCNDSVEuSVFUNDYxOTYyMjUuSVFfQ0RTX01JRC4xMC8wOC8yNgEAAAC+VaMBAgAAAAUxNy4yNQCfukJ84wHfCEQh0AHwAd8I</t>
  </si>
  <si>
    <t>I0NJUS5JUVQ1MTAyMzI2MC5JUV9DRFNfTUlELjEwLzA4LzI2AQAAALERfwECAAAABTE0LjgxAFCpQ3zjAd8IRCHQAfAB3wgjQ0lRLklRVDQ2MjI0NzQwLklRX0NEU19NSUQuMTAvMDgvMjYBAAAA03IIAAIAAAAEMzUuMwBQqUN84wHfCEQh0AHwAd8IJENJUS5JUVQzMTMzMTczNDQuSVFfQ0RTX01JRC4xMC8wOC8yNgEAAADxrAEAAgAAAAc2MS4wMjU5ABi16HvjAd8IRCHQAfAB3wgjQ0lRLklRVDQ2MjAwMjc2LklRX0NEU19NSUQuMjQvMDUvMjYBAAAAlnd8AQIAAAAHMjkuNDUyOQCfukJ84wHfCPGX2gHwAd8II0NJUS5JUVQ0NjE5NTQ5MS5JUV9DRFNfTUlELjI0LzA1LzI2AQAAAGlKAAACAAAABzU2LjYyNzYAUKlDfOMB3wjxl9oB8AHfCCNDSVEuSVFUNzk2MzQ5MDEuSVFfQ0RTX01JRC4yNC8wNS8yNgEAAACcBhAAAgAAAAc0NC44MDUzABi16HvjAd8Il2DbAfAB3wgjQ0lRLklRVDQ2MjA3NTcxLklRX0NEU19NSUQuMTIvMDgvMjYBAAAAbe81AAIAAAAHMjkuMzQzOACfukJ84wHfCH0gzwHwAd8II0NJUS5JUVQ0NjIxMzQ3Mi5JUV9DRFNfTUlELjEyLzA4LzI2AQAAALlaOAACAAAABjE1LjYyNQBQqUN84wHfCH0gzwHwAd8IJENJUS5JUVQyNjMyMTMxMzIuSVFfQ0RTX01JRC4xMi8wOC8yNgEAAADhmggAAgAAAAc1MS4zMzMzAFCpQ3zjAd8IcebPAfAB3wgjQ0lRLklRVDQ2MTk0OTk1LklRX0NEU19NSUQu</t>
  </si>
  <si>
    <t>MjQvMDgvMjUBAAAAbhAxAAIAAAAHMTQuOTk5NwCfukJ84wHfCJdg2wHwAd8II0NJUS5JUVQ0NjIyMjI5Mi5JUV9DRFNfTUlELjI0LzA4LzI1AQAAANGRmwECAAAACjE0Nzg3LjMyOTMAn7pCfOMB3wiXYNsB8AHfCCNDSVEuSVFUNDYyMjUwMDYuSVFfQ0RTX01JRC4yNC8wOC8yNQEAAAD4VQ0AAgAAAAc0MS40MjgzAFCpQ3zjAd8IzhTcAfAB3wgjQ0lRLklRVDQ2MjIwMzI5LklRX0NEU19NSUQuMjQvMDgvMjUBAAAA21sAAAIAAAAHNDUuOTY4NgAYteh74wHfCPBU3AHwAd8IJENJUS5JUVQzMjM2ODAxMzAuSVFfQ0RTX01JRC4yMS8wOC8yNgEAAABx4QIAAgAAAAY1MC4wODIAUKlDfOMB3wg2XM4B8AHfCCRDSVEuSVFUMzEzMzE1NDI5LklRX0NEU19NSUQuMjEvMDgvMjYBAAAAOecFAAIAAAAHNjAuNjMwMgAYteh74wHfCH0gzwHwAd8II0NJUS5JUVQ0NjIwNjc3OS5JUV9DRFNfTUlELjIwLzA4LzI2AQAAAPzvNgACAAAABzE1LjQzNzUAn7pCfOMB3whEIdAB8AHfCCNDSVEuSVFUNDYyMTg2NzQuSVFfQ0RTX01JRC4yMC8wOC8yNgEAAABXyjYAAgAAAAcxMjAuNDAxAFCpQ3zjAd8ImnHRAfAB3wgjQ0lRLklRVDQ2MjI1NzE1LklRX0NEU19NSUQuMjAvMDgvMjYBAAAAt+UEAAIAAAAHNDQuMTI2MwBQqUN84wHfCJpx0QHwAd8II0NJUS5JUVQ0NjIxOTkyMi5JUV9DRFNfTUlELjE4LzA4LzI2AQAAANZHOQECAAAA</t>
  </si>
  <si>
    <t>BjUuODMyNACfukJ84wHfCEG40wHwAd8II0NJUS5JUVQ0NjIyMzY0Ni5JUV9DRFNfTUlELjE4LzA4LzI2AQAAABt4BAACAAAABzQ3Ljg0NjcAUKlDfOMB3whfhNQB8AHfCCNDSVEuSVFUNDYyMDczMDguSVFfQ0RTX01JRC4yMy8wOC8yNgEAAAA5iXoBAgAAAAcxNC4yMDgzAJ+6QnzjAd8I8FTcAfAB3wgjQ0lRLklRVDQ2MjEwMDMyLklRX0NEU19NSUQuMjMvMDgvMjYBAAAAj1WjAQIAAAAHMzMuNTMxNgBQqUN84wHfCPBU3AHwAd8II0NJUS5JUVQ0NjIyNTM3NC5JUV9DRFNfTUlELjIzLzA4LzI2AQAAALXWBQACAAAABzM2LjAzMjYAUKlDfOMB3wjwVNwB8AHfCCNDSVEuSVFUNDk3NTExOTYuSVFfQ0RTX01JRC4yMS8wOC8yNgEAAADNmb0AAgAAAAQzNy41AJ+6QnzjAd8INlzOAfAB3wgjQ0lRLklRVDYwMzg5NTE2LklRX0NEU19NSUQuMjEvMDgvMjYBAAAApfDDAQIAAAAGNy4xNTkzAJ+6QnzjAd8INlzOAfAB3wgjQ0lRLklRVDQ2MjEwNTYwLklRX0NEU19NSUQuMTgvMDgvMjYBAAAA9ho3AAIAAAAHODIuMDYyNgCfukJ84wHfCEG40wHwAd8IJENJUS5JUVQzMTMzMTQ5NzYuSVFfQ0RTX01JRC4xOC8wOC8yNgEAAABtSgAAAgAAAAc1Ny42NTM0ABi16HvjAd8IX4TUAfAB3wgjQ0lRLklRVDQ2MjE4NTE2LklRX0NEU19NSUQuMTcvMDgvMjYBAAAAplWjAQIAAAAHMzYuMzc1NwCfukJ84wHfCMz91AHwAd8II0NJ</t>
  </si>
  <si>
    <t>US5JUVQ0NjIyMDgwMy5JUV9DRFNfTUlELjE3LzA4LzI2AQAAANbJNgACAAAABzQwLjMxMjUAUKlDfOMB3wgM/NUB8AHfCCNDSVEuSVFUNDYyMDAzNjQuSVFfQ0RTX01JRC4xNy8wOC8yNgEAAABXhggAAgAAAAQyMy41AFCpQ3zjAd8IDPzVAfAB3wgjQ0lRLklRVDQ2MjA0MzAwLklRX0NEU19NSUQuMTYvMDgvMjYBAAAA9iV9AAIAAAAGNy4wMDk5AJ+6QnzjAd8IbEbYAfAB3wgjQ0lRLklRVDYwMzg4MDU3LklRX0NEU19NSUQuMTYvMDgvMjYBAAAA38l9AQMAAAAAAFCpQ3zjAd8IyxLZAfAB3wgjQ0lRLklRVDQ2MTk5ODQxLklRX0NEU19NSUQuMTYvMDgvMjYBAAAA6zAGAAMAAAAAAFCpQ3zjAd8IyxLZAfAB3wgkQ0lRLklRVDMxMzMxMDE4NC5JUV9DRFNfTUlELjE1LzA4LzI2AQAAAGBEPgACAAAABzEwLjg3MTkAn7pCfOMB3wiAxNYB8AHfCCNDSVEuSVFUNDYyMTQ4NzkuSVFfQ0RTX01JRC4xNS8wOC8yNgEAAAD1GjcAAgAAAAc0OS4zNDMzAJ+6QnzjAd8IgMTWAfAB3wgjQ0lRLklRVDQ2NDcwODc3LklRX0NEU19NSUQuMTUvMDgvMjYBAAAAQjcHAAIAAAAHNTYuNzUxOABQqUN84wHfCIDE1gHwAd8IJENJUS5JUVQzMTMzMTA4NTQuSVFfQ0RTX01JRC4xNS8wOC8yNgEAAACvVA0AAgAAAAI2MAAYteh74wHfCLt91wHwAd8II0NJUS5JUVQ0NjIxNDk1NC5JUV9DRFNfTUlELjE0LzA4LzI2AQAAADo9OQECAAAA</t>
  </si>
  <si>
    <t>BjE0LjIyNQCfukJ84wHfCMsS2QHwAd8II0NJUS5JUVQ0NjIwODYzNC5JUV9DRFNfTUlELjE0LzA4LzI2AQAAAAMfwgACAAAABzIyLjA0MjIAUKlDfOMB3wha5dkB8AHfCCNDSVEuSVFUNDYyMjUwODMuSVFfQ0RTX01JRC4xNC8wOC8yNgEAAABWRAYAAgAAAAQzMy42AFCpQ3zjAd8IWuXZAfAB3wgjQ0lRLklRVDQ2MjAzNzE0LklRX0NEU19NSUQuMTMvMDgvMjYBAAAAXwU1AAIAAAAHMzEuMTY2NwCfukJ84wHfCLt91wHwAd8II0NJUS5JUVQ3OTYzOTk1My5JUV9DRFNfTUlELjEzLzA4LzI2AQAAADSbVgECAAAABzI0LjkxNDYAUKlDfOMB3wi7fdcB8AHfCCRDSVEuSVFUNTI4OTM2ODEyLklRX0NEU19NSUQuMTMvMDgvMjYBAAAAbFsGAAIAAAAFNDQuMzYAUKlDfOMB3whsRtgB8AHfCCRDSVEuSVFUMzEzMzA1ODc5LklRX0NEU19NSUQuMTEvMDgvMjYBAAAAhNbcAQIAAAAGMi4yOTM5AFCpQ3zjAd8IDfDSAfAB3wgjQ0lRLklRVDQ2MjAzMzMyLklRX0NEU19NSUQuMTAvMDgvMjYBAAAAXx43AAIAAAAHMTAuNjY2NwCfukJ84wHfCEQh0AHwAd8II0NJUS5JUVQ0NjIxNTExMS5JUV9DRFNfTUlELjEwLzA4LzI2AQAAAKBLsgECAAAABzM3LjI0NjgAUKlDfOMB3whEIdAB8AHfCCRDSVEuSVFUMzEzMzEzNTI0LklRX0NEU19NSUQuMTAvMDgvMjYBAAAA71UNAAIAAAAHNTkuOTYxNAAYteh74wHfCEQh0AHwAd8IJENJ</t>
  </si>
  <si>
    <t>US5JUVQ2NDQ3MDE3OTcuSVFfQ0RTX01JRC4xMi8wOC8yNgEAAABTP30BAgAAAAY5LjczMTQAn7pCfOMB3wh9IM8B8AHfCCRDSVEuSVFUMzIzNjgwMTMwLklRX0NEU19NSUQuMTgvMDgvMjYBAAAAceECAAIAAAAGNTEuNTE4AFCpQ3zjAd8IX4TUAfAB3wgjQ0lRLklRVDQ2MjA0MzAwLklRX0NEU19NSUQuMTMvMDgvMjYBAAAA9iV9AAIAAAAGNy4wMzk0AJ+6QnzjAd8Iu33XAfAB3wgjQ0lRLklRVDQ2MjAzNzE0LklRX0NEU19NSUQuMTAvMDgvMjYBAAAAXwU1AAIAAAAHMzAuOTMxOQCfukJ84wHfCEQh0AHwAd8II0NJUS5JUVQ0NjIwNDk1Ny5JUV9DRFNfTUlELjI0LzA1LzI2AQAAACEVBgACAAAABDU2LjUAUKlDfOMB3wjxl9oB8AHfCCNDSVEuSVFUNzk2Mzk5NTMuSVFfQ0RTX01JRC4yNC8wOC8yNQEAAAA0m1YBAgAAAAczMi45ODk2AFCpQ3zjAd8Il2DbAfAB3wgjQ0lRLklRVDQ2MjIwODAzLklRX0NEU19NSUQuMTIvMDgvMjYBAAAA1sk2AAIAAAAHNDEuNDQ3OABQqUN84wHfCH0gzwHwAd8IJENJUS5JUVQ2NDQ3MDE3OTcuSVFfQ0RTX01JRC4yMy8wOC8yNgEAAABTP30BAgAAAAY5LjgzNDQAn7pCfOMB3wjwVNwB8AHfCCNDSVEuSVFUNDYyMTY5ODYuSVFfQ0RTX01JRC4yMy8wOC8yNgEAAADORDgBAwAAAAAAUKlDfOMB3wjwVNwB8AHfCCRDSVEuSVFUMjU0OTU1MjMzLklRX0NEU19NSUQuMjMvMDgvMjYB</t>
  </si>
  <si>
    <t>AAAAOVYKAAIAAAAHMzguODY5OABQqUN84wHfCPBU3AHwAd8II0NJUS5JUVQ0NjE5NjIyNS5JUV9DRFNfTUlELjIxLzA4LzI2AQAAAL5VowECAAAABzE3LjI4MTMAn7pCfOMB3wg2XM4B8AHfCCNDSVEuSVFUNTEwMjMyNjAuSVFfQ0RTX01JRC4yMS8wOC8yNgEAAACxEX8BAgAAAAcxNC44MjIyAJ+6QnzjAd8INlzOAfAB3wgjQ0lRLklRVDQ2MjI0NzQwLklRX0NEU19NSUQuMjEvMDgvMjYBAAAA03IIAAIAAAAHMzUuMjkyNQBQqUN84wHfCDZczgHwAd8IJENJUS5JUVQzMTMzMTczNDQuSVFfQ0RTX01JRC4yMS8wOC8yNgEAAADxrAEAAgAAAAc2MC40MjQ2ABi16HvjAd8IfSDPAfAB3wgjQ0lRLklRVDQ2MjAwMjc2LklRX0NEU19NSUQuMjAvMDgvMjYBAAAAlnd8AQIAAAAHMjEuMjU4NQCfukJ84wHfCJpx0QHwAd8II0NJUS5JUVQ0NjE5NTQ5MS5JUV9DRFNfTUlELjIwLzA4LzI2AQAAAGlKAAACAAAABzU0LjIxOTYAUKlDfOMB3wiacdEB8AHfCCNDSVEuSVFUNzk2MzQ5MDEuSVFfQ0RTX01JRC4yMC8wOC8yNgEAAACcBhAAAgAAAAc0MC41MTIxAFCpQ3zjAd8ImnHRAfAB3wgjQ0lRLklRVDQ2MTk0OTk1LklRX0NEU19NSUQuMTgvMDgvMjYBAAAAbhAxAAIAAAAGMTEuMDY5AJ+6QnzjAd8IQbjTAfAB3wgjQ0lRLklRVDQ2MjIyMjkyLklRX0NEU19NSUQuMTgvMDgvMjYBAAAA0ZGbAQIAAAAINzY1LjQ0NzIAn7pC</t>
  </si>
  <si>
    <t>fOMB3whBuNMB8AHfCCNDSVEuSVFUNDYyMjUwMDYuSVFfQ0RTX01JRC4xOC8wOC8yNgEAAAD4VQ0AAgAAAAc0MS4xMDcxAFCpQ3zjAd8IX4TUAfAB3wgjQ0lRLklRVDQ2MjIwMzI5LklRX0NEU19NSUQuMTgvMDgvMjYBAAAA21sAAAIAAAAHNTYuMTY2NwAYteh74wHfCF+E1AHwAd8II0NJUS5JUVQ0NjI2MjM3OC5JUV9DRFNfTUlELjE3LzA4LzI2AQAAAEDSiQECAAAABjE3Ljg3NQCfukJ84wHfCMz91AHwAd8II0NJUS5JUVQ0NjE5NzY5NC5JUV9DRFNfTUlELjE3LzA4LzI2AQAAAAf6BQACAAAABzUxLjc4MTQAUKlDfOMB3wgM/NUB8AHfCCNDSVEuSVFUNjIyNzAxMDcuSVFfQ0RTX01JRC4xNy8wOC8yNgEAAAAVWQAAAgAAAAc0Mi41MjUzAFCpQ3zjAd8IDPzVAfAB3wgjQ0lRLklRVDQ2MjA3MzA4LklRX0NEU19NSUQuMTYvMDgvMjYBAAAAOYl6AQIAAAAHMTQuMjA4MwCfukJ84wHfCGxG2AHwAd8II0NJUS5JUVQ0NjIxMDAzMi5JUV9DRFNfTUlELjE2LzA4LzI2AQAAAI9VowECAAAABzM0LjExNjMAUKlDfOMB3wjLEtkB8AHfCCNDSVEuSVFUNDYyMjUzNzQuSVFfQ0RTX01JRC4xNi8wOC8yNgEAAAC11gUAAgAAAAUzNi4xNQBQqUN84wHfCMsS2QHwAd8II0NJUS5JUVQ0OTc1MTE5Ni5JUV9DRFNfTUlELjE1LzA4LzI2AQAAAM2ZvQACAAAABzM2LjkxNjcAn7pCfOMB3wiAxNYB8AHfCCNDSVEuSVFUNjAzODk1</t>
  </si>
  <si>
    <t>MTYuSVFfQ0RTX01JRC4xNS8wOC8yNgEAAACl8MMBAgAAAAY3LjE2MzYAn7pCfOMB3wiAxNYB8AHfCCRDSVEuSVFUMzIzNjgwMTMwLklRX0NEU19NSUQuMTUvMDgvMjYBAAAAceECAAIAAAAHNTAuODA2MwBQqUN84wHfCIDE1gHwAd8IJENJUS5JUVQzMTMzMTU0MjkuSVFfQ0RTX01JRC4xNS8wOC8yNgEAAAA55wUAAgAAAAc2MC41MDMyABi16HvjAd8Iu33XAfAB3wgjQ0lRLklRVDQ2MjA2Nzc5LklRX0NEU19NSUQuMTQvMDgvMjYBAAAA/O82AAIAAAAHMTUuNjY2NwCfukJ84wHfCMsS2QHwAd8II0NJUS5JUVQ0NjIxODY3NC5JUV9DRFNfTUlELjE0LzA4LzI2AQAAAFfKNgACAAAACDExOC41NDA4AFCpQ3zjAd8IWuXZAfAB3wgjQ0lRLklRVDQ2MjI1NzE1LklRX0NEU19NSUQuMTQvMDgvMjYBAAAAt+UEAAIAAAAHNDMuNDk2NABQqUN84wHfCFrl2QHwAd8II0NJUS5JUVQ0NjIwNDg4NC5JUV9DRFNfTUlELjEzLzA4LzI2AQAAAIFRwAECAAAABTI5LjA1AJ+6QnzjAd8Iu33XAfAB3wgjQ0lRLklRVDQ2MjA3Nzg5LklRX0NEU19NSUQuMTMvMDgvMjYBAAAAKlijAQIAAAAHMjYuMzc5OABQqUN84wHfCLt91wHwAd8IJENJUS5JUVQyODYwOTYxMzEuSVFfQ0RTX01JRC4xMy8wOC8yNgEAAAA78QQAAgAAAAc1My41NjA0AFCpQ3zjAd8IbEbYAfAB3wgkQ0lRLklRVDMxMzMxNDk3Ni5JUV9DRFNfTUlELjIyLzA4LzI2</t>
  </si>
  <si>
    <t>AQAAAG1KAAACAAAABzU2LjgxODUAGLXoe+MB3wgpvs0B8AHfCCNDSVEuSVFUNDYyMTg1MTYuSVFfQ0RTX01JRC4xMS8wOC8yNgEAAACmVaMBAgAAAAczNy4zNDk4AJ+6QnzjAd8IDfDSAfAB3wgjQ0lRLklRVDQ2MjIwODAzLklRX0NEU19NSUQuMTEvMDgvMjYBAAAA1sk2AAIAAAAGNDEuNzY3AFCpQ3zjAd8IDfDSAfAB3wgjQ0lRLklRVDQ2MjAwMzY0LklRX0NEU19NSUQuMTEvMDgvMjYBAAAAV4YIAAIAAAAFMjQuMDYAUKlDfOMB3whBuNMB8AHfCCNDSVEuSVFUNDYyMDQzMDAuSVFfQ0RTX01JRC4xMC8wOC8yNgEAAAD2JX0AAgAAAAY3LjAyMDkAn7pCfOMB3whEIdAB8AHfCCNDSVEuSVFUNjAzODgwNTcuSVFfQ0RTX01JRC4xMC8wOC8yNgEAAADfyX0BAwAAAAAAUKlDfOMB3whEIdAB8AHfCCNDSVEuSVFUNDYxOTk4NDEuSVFfQ0RTX01JRC4xMC8wOC8yNgEAAADrMAYAAwAAAAAAUKlDfOMB3whEIdAB8AHfCCRDSVEuSVFUMzEzMzEwMTg0LklRX0NEU19NSUQuMjQvMDUvMjYBAAAAYEQ+AAIAAAAHMTIuMDA2NgCfukJ84wHfCPGX2gHwAd8II0NJUS5JUVQ0NjIxNDg3OS5JUV9DRFNfTUlELjI0LzA1LzI2AQAAAPUaNwACAAAABzUxLjY3MDgAn7pCfOMB3wjxl9oB8AHfCCNDSVEuSVFUNDYyMTA1NjAuSVFfQ0RTX01JRC4xNC8wOC8yNgEAAAD2GjcAAgAAAAc3OS42MTk3AJ+6QnzjAd8IyxLZAfAB3wgjQ0lR</t>
  </si>
  <si>
    <t>LklRVDQ2MjE4NTE2LklRX0NEU19NSUQuMTMvMDgvMjYBAAAAplWjAQIAAAAHMzcuNTMwOACfukJ84wHfCLt91wHwAd8II0NJUS5JUVQ0NjQ3MDg3Ny5JUV9DRFNfTUlELjExLzA4LzI2AQAAAEI3BwACAAAABzU4LjcxNTYAUKlDfOMB3wgN8NIB8AHfCCNDSVEuSVFUNDYyMDg2MzQuSVFfQ0RTX01JRC4xMC8wOC8yNgEAAAADH8IAAgAAAAYyMi42MjUAUKlDfOMB3whEIdAB8AHfCCNDSVEuSVFUNDYyMDM3MTQuSVFfQ0RTX01JRC4yNC8wNS8yNgEAAABfBTUAAgAAAAcyOC4xMjY4AJ+6QnzjAd8I8ZfaAfAB3wgjQ0lRLklRVDc5NjQwMDI0LklRX0NEU19NSUQuMjMvMDgvMjYBAAAANY+bAQIAAAAGNy42NzE5AJ+6QnzjAd8I8FTcAfAB3wgkQ0lRLklRVDMxMzMwNTg3OS5JUV9DRFNfTUlELjIzLzA4LzI2AQAAAITW3AECAAAABjIuMjkzOQBQqUN84wHfCPBU3AHwAd8II0NJUS5JUVQ0NjIwMDQxMi5JUV9DRFNfTUlELjIzLzA4LzI2AQAAAGNDBgACAAAABzQ0LjA4NTYAUKlDfOMB3wjwVNwB8AHfCCNDSVEuSVFUNDYyMDMzMzIuSVFfQ0RTX01JRC4yMS8wOC8yNgEAAABfHjcAAgAAAAcxMC42NjY3AJ+6QnzjAd8INlzOAfAB3wgjQ0lRLklRVDQ2MjE1MTExLklRX0NEU19NSUQuMjEvMDgvMjYBAAAAoEuyAQIAAAAGMzUuMzQ2AFCpQ3zjAd8INlzOAfAB3wgjQ0lRLklRVDQ2MjI2MTMyLklRX0NEU19NSUQuMjEv</t>
  </si>
  <si>
    <t>MDgvMjYBAAAA3VkAAAIAAAAHNDIuOTEwOQBQqUN84wHfCDZczgHwAd8IJENJUS5JUVQzMTMzMTM1MjQuSVFfQ0RTX01JRC4yMS8wOC8yNgEAAADvVQ0AAgAAAAY1OS40MzEAGLXoe+MB3wh9IM8B8AHfCCNDSVEuSVFUNzk2Mzk5MTMuSVFfQ0RTX01JRC4yMC8wOC8yNgEAAAAgYxwCAgAAAAU4LjEyNQCfukJ84wHfCJpx0QHwAd8II0NJUS5JUVQ0NjIwNzg3Mi5JUV9DRFNfTUlELjIwLzA4LzI2AQAAAFgNCgACAAAABzM4Ljk4NTcAUKlDfOMB3wiacdEB8AHfCCNDSVEuSVFUNDYyMDAzMTcuSVFfQ0RTX01JRC4yMC8wOC8yNgEAAAD+VA0AAgAAAAc2My4zMTYzABi16HvjAd8ImnHRAfAB3wgjQ0lRLklRVDQ2MTk2MjI1LklRX0NEU19NSUQuMTgvMDgvMjYBAAAAvlWjAQIAAAAGMTcuMjI1AJ+6QnzjAd8IQbjTAfAB3wgjQ0lRLklRVDUxMDIzMjYwLklRX0NEU19NSUQuMTgvMDgvMjYBAAAAsRF/AQIAAAAHMTQuODUzNgBQqUN84wHfCEG40wHwAd8II0NJUS5JUVQ0NjIyNDc0MC5JUV9DRFNfTUlELjE4LzA4LzI2AQAAANNyCAACAAAABjM1LjM3NQBQqUN84wHfCF+E1AHwAd8IJENJUS5JUVQzMTMzMTczNDQuSVFfQ0RTX01JRC4xOC8wOC8yNgEAAADxrAEAAgAAAAc1OS45MTA5ABi16HvjAd8IX4TUAfAB3wgjQ0lRLklRVDQ2MjAwMjc2LklRX0NEU19NSUQuMTcvMDgvMjYBAAAAlnd8AQIAAAAHMjMuNzM2NQCf</t>
  </si>
  <si>
    <t>ukJ84wHfCMz91AHwAd8II0NJUS5JUVQ0NjE5NTQ5MS5JUV9DRFNfTUlELjE3LzA4LzI2AQAAAGlKAAACAAAABzUzLjc0MTYAUKlDfOMB3wgM/NUB8AHfCCNDSVEuSVFUNzk2MzQ5MDEuSVFfQ0RTX01JRC4xNy8wOC8yNgEAAACcBhAAAgAAAAc0MC40NzYyAFCpQ3zjAd8IDPzVAfAB3wgjQ0lRLklRVDQ2MjA3NTcxLklRX0NEU19NSUQuMTYvMDgvMjYBAAAAbe81AAIAAAAHMjkuMTI4NgCfukJ84wHfCGxG2AHwAd8II0NJUS5JUVQ0NjIxMzQ3Mi5JUV9DRFNfTUlELjE2LzA4LzI2AQAAALlaOAACAAAABzE1LjY2NjUAUKlDfOMB3wjLEtkB8AHfCCRDSVEuSVFUMjYzMjEzMTMyLklRX0NEU19NSUQuMTYvMDgvMjYBAAAA4ZoIAAIAAAAFNTEuMTcAUKlDfOMB3wjLEtkB8AHfCCNDSVEuSVFUNDYxOTQ5OTUuSVFfQ0RTX01JRC4xNS8wOC8yNgEAAABuEDEAAgAAAAYxMC45NzQAn7pCfOMB3wiAxNYB8AHfCCNDSVEuSVFUNDYyMjIyOTIuSVFfQ0RTX01JRC4xNS8wOC8yNgEAAADRkZsBAgAAAAg3NjQuMzMyNgCfukJ84wHfCIDE1gHwAd8II0NJUS5JUVQ0NjIyNTAwNi5JUV9DRFNfTUlELjE1LzA4LzI2AQAAAPhVDQACAAAABzQwLjY2MTYAUKlDfOMB3wiAxNYB8AHfCCNDSVEuSVFUNDYyMjAzMjkuSVFfQ0RTX01JRC4xNS8wOC8yNgEAAADbWwAAAgAAAAI1NgAYteh74wHfCLt91wHwAd8II0NJUS5JUVQ0NjI2MjM3</t>
  </si>
  <si>
    <t>OC5JUV9DRFNfTUlELjE0LzA4LzI2AQAAAEDSiQECAAAAAjE4AJ+6QnzjAd8IyxLZAfAB3wgjQ0lRLklRVDQ2MTk3Njk0LklRX0NEU19NSUQuMTQvMDgvMjYBAAAAB/oFAAIAAAAHNTEuMjMxOABQqUN84wHfCFrl2QHwAd8II0NJUS5JUVQ2MjI3MDEwNy5JUV9DRFNfTUlELjE0LzA4LzI2AQAAABVZAAACAAAABzQyLjQyNzIAUKlDfOMB3wha5dkB8AHfCCNDSVEuSVFUNDYyMDczMDguSVFfQ0RTX01JRC4xMy8wOC8yNgEAAAA5iXoBAgAAAAcxNC4yMDgzAJ+6QnzjAd8Iu33XAfAB3wgjQ0lRLklRVDQ2MjEwMDMyLklRX0NEU19NSUQuMTMvMDgvMjYBAAAAj1WjAQIAAAAHMzQuNDE0NwBQqUN84wHfCLt91wHwAd8II0NJUS5JUVQ0NjIyNTM3NC5JUV9DRFNfTUlELjEzLzA4LzI2AQAAALXWBQACAAAABjM2LjM3NQBQqUN84wHfCGxG2AHwAd8IJENJUS5JUVQzMTMzMTU0MjkuSVFfQ0RTX01JRC4yMi8wOC8yNgEAAAA55wUAAgAAAAc2MC42MzAyABi16HvjAd8IKb7NAfAB3wgjQ0lRLklRVDQ2MjA2Nzc5LklRX0NEU19NSUQuMTEvMDgvMjYBAAAA/O82AAIAAAAHMTUuODMzMwCfukJ84wHfCA3w0gHwAd8II0NJUS5JUVQ0NjIxODY3NC5JUV9DRFNfTUlELjExLzA4LzI2AQAAAFfKNgACAAAACDEyMi4zNzU1AFCpQ3zjAd8IDfDSAfAB3wgjQ0lRLklRVDQ2MjI1NzE1LklRX0NEU19NSUQuMTEvMDgvMjYBAAAAt+UE</t>
  </si>
  <si>
    <t>AAIAAAAHNDMuNDQwOQBQqUN84wHfCEG40wHwAd8II0NJUS5JUVQ0NjIwNDg4NC5JUV9DRFNfTUlELjEwLzA4LzI2AQAAAIFRwAECAAAABTI5LjI1AJ+6QnzjAd8IRCHQAfAB3wgjQ0lRLklRVDQ2MjA3Nzg5LklRX0NEU19NSUQuMTAvMDgvMjYBAAAAKlijAQIAAAAHMjYuNjQwNABQqUN84wHfCEQh0AHwAd8IJENJUS5JUVQyODYwOTYxMzEuSVFfQ0RTX01JRC4xMC8wOC8yNgEAAAA78QQAAgAAAAc1My43NTkxAFCpQ3zjAd8IRCHQAfAB3wgjQ0lRLklRVDQ2MjEwNTYwLklRX0NEU19NSUQuMjQvMDUvMjYBAAAA9ho3AAIAAAAGODcuMzg2AJ+6QnzjAd8I8ZfaAfAB3wgjQ0lRLklRVDQ2MjE5OTIyLklRX0NEU19NSUQuMjQvMDUvMjYBAAAA1kc5AQIAAAAFNy44NzUAn7pCfOMB3wjxl9oB8AHfCCNDSVEuSVFUNDYyMDY3NzkuSVFfQ0RTX01JRC4xMy8wOC8yNgEAAAD87zYAAgAAAAcxNS42NjY3AJ+6QnzjAd8Iu33XAfAB3wgjQ0lRLklRVDQ2MjE0OTU0LklRX0NEU19NSUQuMjMvMDgvMjYBAAAAOj05AQIAAAAGMTQuMjc1AJ+6QnzjAd8I8FTcAfAB3wgjQ0lRLklRVDQ2MjA4NjM0LklRX0NEU19NSUQuMjMvMDgvMjYBAAAAAx/CAAIAAAAEMjIuMQBQqUN84wHfCPBU3AHwAd8II0NJUS5JUVQ0NjIyNTA4My5JUV9DRFNfTUlELjIzLzA4LzI2AQAAAFZEBgACAAAABTMzLjI1AFCpQ3zjAd8I8FTcAfAB3wgjQ0lR</t>
  </si>
  <si>
    <t>LklRVDQ2MjAzNzE0LklRX0NEU19NSUQuMjEvMDgvMjYBAAAAXwU1AAIAAAAHMzIuOTA5OACfukJ84wHfCDZczgHwAd8II0NJUS5JUVQ3OTYzOTk1My5JUV9DRFNfTUlELjIxLzA4LzI2AQAAADSbVgECAAAABzI0LjkzMDkAUKlDfOMB3wg2XM4B8AHfCCRDSVEuSVFUNTI4OTM2ODEyLklRX0NEU19NSUQuMjEvMDgvMjYBAAAAbFsGAAIAAAAHNDQuOTcwMQBQqUN84wHfCDZczgHwAd8II0NJUS5JUVQ0NjE5NzEzOC5JUV9DRFNfTUlELjIwLzA4LzI2AQAAAO6UOAECAAAABzEyNS4zOTMAn7pCfOMB3whEIdAB8AHfCCNDSVEuSVFUNTEwMjM0ODAuSVFfQ0RTX01JRC4yMC8wOC8yNgEAAADCRfEBAgAAAAY0LjYxMzYAn7pCfOMB3wiacdEB8AHfCCNDSVEuSVFUNDYyMDQ5NTcuSVFfQ0RTX01JRC4yMC8wOC8yNgEAAAAhFQYAAgAAAAc1NC4yMjY0AFCpQ3zjAd8ImnHRAfAB3wgjQ0lRLklRVDYyMjcwMTA2LklRX0NEU19NSUQuMjAvMDgvMjYBAAAArXeDAAIAAAAHNzUuNTM4OQAYteh74wHfCJpx0QHwAd8II0NJUS5JUVQ0NjIwMzMzMi5JUV9DRFNfTUlELjE4LzA4LzI2AQAAAF8eNwACAAAABzEwLjY2NjcAn7pCfOMB3whBuNMB8AHfCCNDSVEuSVFUNDYyMTUxMTEuSVFfQ0RTX01JRC4xOC8wOC8yNgEAAACgS7IBAgAAAAczNi4zODkxAFCpQ3zjAd8IQbjTAfAB3wgjQ0lRLklRVDQ2MjI2MTMyLklRX0NEU19NSUQu</t>
  </si>
  <si>
    <t>MTgvMDgvMjYBAAAA3VkAAAIAAAAHNDMuMTA3MQBQqUN84wHfCF+E1AHwAd8IJENJUS5JUVQzMTMzMTM1MjQuSVFfQ0RTX01JRC4xOC8wOC8yNgEAAADvVQ0AAgAAAAY1OS43MDkAGLXoe+MB3whfhNQB8AHfCCNDSVEuSVFUNzk2Mzk5MTMuSVFfQ0RTX01JRC4xNy8wOC8yNgEAAAAgYxwCAgAAAAU4LjEyNQCfukJ84wHfCMz91AHwAd8II0NJUS5JUVQ0NjIwNzg3Mi5JUV9DRFNfTUlELjE3LzA4LzI2AQAAAFgNCgACAAAABzM4LjQxNDgAUKlDfOMB3wgM/NUB8AHfCCNDSVEuSVFUNDYyMDAzMTcuSVFfQ0RTX01JRC4xNy8wOC8yNgEAAAD+VA0AAgAAAAc2MS40MjQxABi16HvjAd8IDPzVAfAB3wgkQ0lRLklRVDY0NDcwMTc5Ny5JUV9DRFNfTUlELjE2LzA4LzI2AQAAAFM/fQECAAAABjkuODAwMgCfukJ84wHfCGxG2AHwAd8II0NJUS5JUVQ0NjIxNjk4Ni5JUV9DRFNfTUlELjE2LzA4LzI2AQAAAM5EOAEDAAAAAABQqUN84wHfCMsS2QHwAd8IJENJUS5JUVQyNTQ5NTUyMzMuSVFfQ0RTX01JRC4xNi8wOC8yNgEAAAA5VgoAAgAAAAczOC40OTc1AFCpQ3zjAd8IyxLZAfAB3wgjQ0lRLklRVDQ2MTk2MjI1LklRX0NEU19NSUQuMTUvMDgvMjYBAAAAvlWjAQIAAAAGMTcuMzc1AJ+6QnzjAd8IgMTWAfAB3wgjQ0lRLklRVDUxMDIzMjYwLklRX0NEU19NSUQuMTUvMDgvMjYBAAAAsRF/AQIAAAAHMTQuOTY4MwBQqUN8</t>
  </si>
  <si>
    <t>4wHfCIDE1gHwAd8II0NJUS5JUVQ0NjIyNDc0MC5JUV9DRFNfTUlELjE1LzA4LzI2AQAAANNyCAACAAAABzM1LjMyNzcAUKlDfOMB3wiAxNYB8AHfCCRDSVEuSVFUMzEzMzE3MzQ0LklRX0NEU19NSUQuMTUvMDgvMjYBAAAA8awBAAIAAAAGNjAuNzk3ABi16HvjAd8Iu33XAfAB3wgjQ0lRLklRVDQ2MjAwMjc2LklRX0NEU19NSUQuMTQvMDgvMjYBAAAAlnd8AQIAAAAHMjUuNDA1NwCfukJ84wHfCOna2QHwAd8II0NJUS5JUVQ0NjE5NTQ5MS5JUV9DRFNfTUlELjE0LzA4LzI2AQAAAGlKAAACAAAABjUzLjE5MQBQqUN84wHfCFrl2QHwAd8II0NJUS5JUVQ3OTYzNDkwMS5JUV9DRFNfTUlELjE0LzA4LzI2AQAAAJwGEAACAAAABzQwLjQ5ODcAUKlDfOMB3wha5dkB8AHfCCNDSVEuSVFUNDYyMDc1NzEuSVFfQ0RTX01JRC4xMy8wOC8yNgEAAABt7zUAAgAAAAcyOS4yMTg4AJ+6QnzjAd8Iu33XAfAB3wgjQ0lRLklRVDQ2MjEzNDcyLklRX0NEU19NSUQuMTMvMDgvMjYBAAAAuVo4AAIAAAAGMTUuNDc1AFCpQ3zjAd8Iu33XAfAB3wgkQ0lRLklRVDI2MzIxMzEzMi5JUV9DRFNfTUlELjEzLzA4LzI2AQAAAOGaCAACAAAABzUwLjc2MzMAUKlDfOMB3whsRtgB8AHfCCNDSVEuSVFUNDYyMjAzMjkuSVFfQ0RTX01JRC4yMi8wOC8yNgEAAADbWwAAAgAAAAc1NS45ODUyABi16HvjAd8IKb7NAfAB3wgjQ0lRLklRVDQ2MjYy</t>
  </si>
  <si>
    <t>Mzc4LklRX0NEU19NSUQuMTEvMDgvMjYBAAAAQNKJAQIAAAAHMTguMDYyNQCfukJ84wHfCA3w0gHwAd8II0NJUS5JUVQ0NjE5NzY5NC5JUV9DRFNfTUlELjExLzA4LzI2AQAAAAf6BQACAAAABzUyLjgxNzEAUKlDfOMB3wgN8NIB8AHfCCNDSVEuSVFUNjIyNzAxMDcuSVFfQ0RTX01JRC4xMS8wOC8yNgEAAAAVWQAAAgAAAAc0My41MjI2AFCpQ3zjAd8IQbjTAfAB3wgjQ0lRLklRVDQ2MjA3MzA4LklRX0NEU19NSUQuMTAvMDgvMjYBAAAAOYl6AQIAAAAHMTQuMzU1MQCfukJ84wHfCEQh0AHwAd8II0NJUS5JUVQ0NjIxMDAzMi5JUV9DRFNfTUlELjEwLzA4LzI2AQAAAI9VowECAAAABDM0LjgAUKlDfOMB3whEIdAB8AHfCCNDSVEuSVFUNDYyMjUzNzQuSVFfQ0RTX01JRC4xMC8wOC8yNgEAAAC11gUAAgAAAAczNi43MTgyAFCpQ3zjAd8IRCHQAfAB3wgjQ0lRLklRVDQ5NzUxMTk2LklRX0NEU19NSUQuMjQvMDUvMjYBAAAAzZm9AAIAAAACNDIAn7pCfOMB3wjxl9oB8AHfCCNDSVEuSVFUNjAzODk1MTYuSVFfQ0RTX01JRC4yNC8wNS8yNgEAAACl8MMBAgAAAAY3LjA5NDMAn7pCfOMB3wjxl9oB8AHfCCRDSVEuSVFUMzIzNjgwMTMwLklRX0NEU19NSUQuMjQvMDUvMjYBAAAAceECAAIAAAAGNTIuMDExAFCpQ3zjAd8I8ZfaAfAB3wgkQ0lRLklRVDMxMzMxNTQyOS5JUV9DRFNfTUlELjI0LzA1LzI2AQAAADnnBQAC</t>
  </si>
  <si>
    <t>AAAABzYyLjUzNjQAGLXoe+MB3wiXYNsB8AHfCCNDSVEuSVFUNDYyMDY3NzkuSVFfQ0RTX01JRC4xMi8wOC8yNgEAAAD87zYAAgAAAAcxNS44MzMzAJ+6QnzjAd8IfSDPAfAB3wgjQ0lRLklRVDQ2MjE4Njc0LklRX0NEU19NSUQuMTIvMDgvMjYBAAAAV8o2AAIAAAAIMTIxLjcwODgAUKlDfOMB3wh9IM8B8AHfCCNDSVEuSVFUNDYyMjU3MTUuSVFfQ0RTX01JRC4xMi8wOC8yNgEAAAC35QQAAgAAAAc0My40OTkzAFCpQ3zjAd8IcebPAfAB3wgjQ0lRLklRVDQ2MTk0OTk1LklRX0NEU19NSUQuMTcvMDgvMjYBAAAAbhAxAAIAAAAHMTAuOTY5OACfukJ84wHfCF+E1AHwAd8II0NJUS5JUVQ2MjI3MDEwNy5JUV9DRFNfTUlELjE2LzA4LzI2AQAAABVZAAACAAAABzQyLjQyNzIAUKlDfOMB3wjLEtkB8AHfCCNDSVEuSVFUNDYyMDczMDguSVFfQ0RTX01JRC4xNS8wOC8yNgEAAAA5iXoBAgAAAAcxNC4yMDgzAJ+6QnzjAd8IgMTWAfAB3wgjQ0lRLklRVDYwMzg5NTE2LklRX0NEU19NSUQuMTQvMDgvMjYBAAAApfDDAQIAAAAGNy4xNjM2AJ+6QnzjAd8IWuXZAfAB3wgkQ0lRLklRVDMyMzY4MDEzMC5JUV9DRFNfTUlELjE0LzA4LzI2AQAAAHHhAgACAAAABzUwLjgwNjMAUKlDfOMB3wha5dkB8AHfCCNDSVEuSVFUNDYyMjU3MTUuSVFfQ0RTX01JRC4xMy8wOC8yNgEAAAC35QQAAgAAAAY0My41MTQAUKlDfOMB3whsRtgB</t>
  </si>
  <si>
    <t>8AHfCCNDSVEuSVFUNDYyMTk5MjIuSVFfQ0RTX01JRC4xMS8wOC8yNgEAAADWRzkBAgAAAAY1Ljg1MDgAn7pCfOMB3wgN8NIB8AHfCCNDSVEuSVFUNDYyMjM2NDYuSVFfQ0RTX01JRC4xMS8wOC8yNgEAAAAbeAQAAgAAAAc0OC4yMDAzAFCpQ3zjAd8IDfDSAfAB3wgjQ0lRLklRVDQ2MjA0MzAwLklRX0NEU19NSUQuMjQvMDUvMjYBAAAA9iV9AAIAAAAGOC4wMDAyAJ+6QnzjAd8I8ZfaAfAB3wgjQ0lRLklRVDQ2MjE0ODc5LklRX0NEU19NSUQuMTIvMDgvMjYBAAAA9Ro3AAIAAAAHNDkuNzA5NwCfukJ84wHfCH0gzwHwAd8II0NJUS5JUVQ0NjIyNTA4My5JUV9DRFNfTUlELjI0LzA4LzI1AQAAAFZEBgACAAAABzQxLjc1MDIAUKlDfOMB3wjwVNwB8AHfCCNDSVEuSVFUNDYyMTg1MTYuSVFfQ0RTX01JRC4yMy8wOC8yNgEAAACmVaMBAgAAAAczNS45NTQ0AJ+6QnzjAd8I8FTcAfAB3wgjQ0lRLklRVDQ2MjIwODAzLklRX0NEU19NSUQuMjMvMDgvMjYBAAAA1sk2AAIAAAAHNDAuNTI2OQBQqUN84wHfCPBU3AHwAd8II0NJUS5JUVQ0NjIwMDM2NC5JUV9DRFNfTUlELjIzLzA4LzI2AQAAAFeGCAACAAAABzIzLjYwMTEAUKlDfOMB3wjwVNwB8AHfCCNDSVEuSVFUNDYyMDQzMDAuSVFfQ0RTX01JRC4yMS8wOC8yNgEAAAD2JX0AAgAAAAY2Ljk5NjgAn7pCfOMB3wg2XM4B8AHfCCNDSVEuSVFUNjAzODgwNTcuSVFfQ0RT</t>
  </si>
  <si>
    <t>X01JRC4yMS8wOC8yNgEAAADfyX0BAwAAAAAAUKlDfOMB3wg2XM4B8AHfCCNDSVEuSVFUNDYxOTk4NDEuSVFfQ0RTX01JRC4yMS8wOC8yNgEAAADrMAYAAwAAAAAAUKlDfOMB3wg2XM4B8AHfCCRDSVEuSVFUMzEzMzEwMTg0LklRX0NEU19NSUQuMjAvMDgvMjYBAAAAYEQ+AAIAAAAHMTAuODE0NACfukJ84wHfCEQh0AHwAd8II0NJUS5JUVQ0NjIxNDg3OS5JUV9DRFNfTUlELjIwLzA4LzI2AQAAAPUaNwACAAAAAjUwAJ+6QnzjAd8ImnHRAfAB3wgjQ0lRLklRVDQ2NDcwODc3LklRX0NEU19NSUQuMjAvMDgvMjYBAAAAQjcHAAIAAAAHNTYuNTc4NQBQqUN84wHfCJpx0QHwAd8IJENJUS5JUVQzMTMzMTA4NTQuSVFfQ0RTX01JRC4yMC8wOC8yNgEAAACvVA0AAgAAAAc2MC4xNjY3ABi16HvjAd8ImnHRAfAB3wgjQ0lRLklRVDQ2MjAzNzE0LklRX0NEU19NSUQuMTgvMDgvMjYBAAAAXwU1AAIAAAAHMzIuMzkxMwCfukJ84wHfCEG40wHwAd8II0NJUS5JUVQ3OTYzOTk1My5JUV9DRFNfTUlELjE4LzA4LzI2AQAAADSbVgECAAAABzI0LjkzOTEAUKlDfOMB3whBuNMB8AHfCCRDSVEuSVFUNTI4OTM2ODEyLklRX0NEU19NSUQuMTgvMDgvMjYBAAAAbFsGAAIAAAAHNDQuODQxMQBQqUN84wHfCF+E1AHwAd8II0NJUS5JUVQ0NjE5NzEzOC5JUV9DRFNfTUlELjE3LzA4LzI2AQAAAO6UOAECAAAACDEyNi42ODkxAJ+6Qnzj</t>
  </si>
  <si>
    <t>Ad8IX4TUAfAB3wgjQ0lRLklRVDUxMDIzNDgwLklRX0NEU19NSUQuMTcvMDgvMjYBAAAAwkXxAQIAAAAGNC42MzQxAJ+6QnzjAd8IzP3UAfAB3wgjQ0lRLklRVDQ2MjA0OTU3LklRX0NEU19NSUQuMTcvMDgvMjYBAAAAIRUGAAIAAAAHNTQuMzEwNgBQqUN84wHfCAz81QHwAd8II0NJUS5JUVQ2MjI3MDEwNi5JUV9DRFNfTUlELjE3LzA4LzI2AQAAAK13gwACAAAABzc0LjcyMzIAGLXoe+MB3wgM/NUB8AHfCCNDSVEuSVFUNzk2NDAwMjQuSVFfQ0RTX01JRC4xNi8wOC8yNgEAAAA1j5sBAgAAAAY3LjgzMzMAn7pCfOMB3whsRtgB8AHfCCRDSVEuSVFUMzEzMzA1ODc5LklRX0NEU19NSUQuMTYvMDgvMjYBAAAAhNbcAQIAAAAGMi4yOTM5AFCpQ3zjAd8IyxLZAfAB3wgjQ0lRLklRVDQ2MjAwNDEyLklRX0NEU19NSUQuMTYvMDgvMjYBAAAAY0MGAAIAAAAHNDQuMDAzMgBQqUN84wHfCMsS2QHwAd8II0NJUS5JUVQ0NjIwMzMzMi5JUV9DRFNfTUlELjE1LzA4LzI2AQAAAF8eNwACAAAABzEwLjY2NjcAn7pCfOMB3wiAxNYB8AHfCCNDSVEuSVFUNDYyMTUxMTEuSVFfQ0RTX01JRC4xNS8wOC8yNgEAAACgS7IBAgAAAAczNi4zMDMyAFCpQ3zjAd8IgMTWAfAB3wgjQ0lRLklRVDQ2MjI2MTMyLklRX0NEU19NSUQuMTUvMDgvMjYBAAAA3VkAAAIAAAAFNDIuNzEAUKlDfOMB3wiAxNYB8AHfCCRDSVEuSVFUMzEzMzEzNTI0</t>
  </si>
  <si>
    <t>LklRX0NEU19NSUQuMTUvMDgvMjYBAAAA71UNAAIAAAAHNTkuNTIyMwAYteh74wHfCLt91wHwAd8II0NJUS5JUVQ3OTYzOTkxMy5JUV9DRFNfTUlELjE0LzA4LzI2AQAAACBjHAICAAAABjcuNjY2NwCfukJ84wHfCOna2QHwAd8II0NJUS5JUVQ0NjIwNzg3Mi5JUV9DRFNfTUlELjE0LzA4LzI2AQAAAFgNCgACAAAABzM4LjEzNzMAUKlDfOMB3wha5dkB8AHfCCNDSVEuSVFUNDYyMDAzMTcuSVFfQ0RTX01JRC4xNC8wOC8yNgEAAAD+VA0AAgAAAAY2My40MTYAGLXoe+MB3wha5dkB8AHfCCRDSVEuSVFUNjQ0NzAxNzk3LklRX0NEU19NSUQuMTMvMDgvMjYBAAAAUz99AQIAAAAGOS44MjMzAJ+6QnzjAd8Iu33XAfAB3wgjQ0lRLklRVDQ2MjE2OTg2LklRX0NEU19NSUQuMTMvMDgvMjYBAAAAzkQ4AQMAAAAAAFCpQ3zjAd8Iu33XAfAB3wgkQ0lRLklRVDI1NDk1NTIzMy5JUV9DRFNfTUlELjEzLzA4LzI2AQAAADlWCgACAAAABzM4LjQ3MTQAUKlDfOMB3whsRtgB8AHfCCRDSVEuSVFUMzEzMzE3MzQ0LklRX0NEU19NSUQuMjIvMDgvMjYBAAAA8awBAAIAAAAHNjAuNDI0NgAYteh74wHfCCm+zQHwAd8II0NJUS5JUVQ0NjIwMDI3Ni5JUV9DRFNfTUlELjExLzA4LzI2AQAAAJZ3fAECAAAABzI3LjY4OTUAn7pCfOMB3wgN8NIB8AHfCCNDSVEuSVFUNDYxOTU0OTEuSVFfQ0RTX01JRC4xMS8wOC8yNgEAAABpSgAAAgAA</t>
  </si>
  <si>
    <t>AAc1NC42MjUxAFCpQ3zjAd8IDfDSAfAB3wgjQ0lRLklRVDc5NjM0OTAxLklRX0NEU19NSUQuMTEvMDgvMjYBAAAAnAYQAAIAAAAGNDAuNTIzAFCpQ3zjAd8IQbjTAfAB3wgjQ0lRLklRVDQ2MjA3NTcxLklRX0NEU19NSUQuMTAvMDgvMjYBAAAAbe81AAIAAAAEMjkuNQCfukJ84wHfCEQh0AHwAd8II0NJUS5JUVQ0NjIxMzQ3Mi5JUV9DRFNfTUlELjEwLzA4LzI2AQAAALlaOAACAAAABzE1LjQzNzUAUKlDfOMB3whEIdAB8AHfCCRDSVEuSVFUMjYzMjEzMTMyLklRX0NEU19NSUQuMTAvMDgvMjYBAAAA4ZoIAAIAAAAHNTEuMzgwNABQqUN84wHfCEQh0AHwAd8II0NJUS5JUVQ0NjE5NDk5NS5JUV9DRFNfTUlELjI0LzA1LzI2AQAAAG4QMQACAAAABzExLjg2ODEAn7pCfOMB3wjxl9oB8AHfCCNDSVEuSVFUNDYyMjIyOTIuSVFfQ0RTX01JRC4yNC8wNS8yNgEAAADRkZsBAgAAAAg3NTMuMjI0OACfukJ84wHfCPGX2gHwAd8II0NJUS5JUVQ0NjIyNTAwNi5JUV9DRFNfTUlELjI0LzA1LzI2AQAAAPhVDQACAAAABzM5LjczNTQAUKlDfOMB3wjxl9oB8AHfCCNDSVEuSVFUNDYyMjAzMjkuSVFfQ0RTX01JRC4yNC8wNS8yNgEAAADbWwAAAgAAAAQ1NS41ABi16HvjAd8Il2DbAfAB3wgjQ0lRLklRVDQ2MjYyMzc4LklRX0NEU19NSUQuMTIvMDgvMjYBAAAAQNKJAQIAAAAHMTguMDgzMwCfukJ84wHfCH0gzwHwAd8II0NJ</t>
  </si>
  <si>
    <t>US5JUVQ0NjE5NzY5NC5JUV9DRFNfTUlELjEyLzA4LzI2AQAAAAf6BQACAAAABzUxLjkxMzQAUKlDfOMB3wh9IM8B8AHfCCNDSVEuSVFUNjIyNzAxMDcuSVFfQ0RTX01JRC4xMi8wOC8yNgEAAAAVWQAAAgAAAAc0My4zMzg2AFCpQ3zjAd8IcebPAfAB3wgjQ0lRLklRVDQ2MjA3MzA4LklRX0NEU19NSUQuMjQvMDgvMjUBAAAAOYl6AQIAAAAHMTcuMTY3NQCfukJ84wHfCJdg2wHwAd8II0NJUS5JUVQ0NjIxMDAzMi5JUV9DRFNfTUlELjI0LzA4LzI1AQAAAI9VowECAAAABzM4LjY2NzUAUKlDfOMB3wiXYNsB8AHfCCNDSVEuSVFUNDYyMjUzNzQuSVFfQ0RTX01JRC4yNC8wOC8yNQEAAAC11gUAAgAAAAc0NS44Mzk4AFCpQ3zjAd8I8FTcAfAB3wgjQ0lRLklRVDQ2MjE0ODc5LklRX0NEU19NSUQuMTcvMDgvMjYBAAAA9Ro3AAIAAAAHNDkuNjM3MgCfukJ84wHfCMz91AHwAd8II0NJUS5JUVQ0NjIwODYzNC5JUV9DRFNfTUlELjE2LzA4LzI2AQAAAAMfwgACAAAABzIyLjA0MjIAUKlDfOMB3wjLEtkB8AHfCCNDSVEuSVFUNDYyMjUwODMuSVFfQ0RTX01JRC4xNi8wOC8yNgEAAABWRAYAAgAAAAQzMy42AFCpQ3zjAd8IyxLZAfAB3wgjQ0lRLklRVDQ2MjAzNzE0LklRX0NEU19NSUQuMTUvMDgvMjYBAAAAXwU1AAIAAAAHMzEuMjY3NQCfukJ84wHfCIDE1gHwAd8II0NJUS5JUVQ0NjIwNDk1Ny5JUV9DRFNfTUlELjE0</t>
  </si>
  <si>
    <t>LzA4LzI2AQAAACEVBgACAAAABzUzLjc2MzMAUKlDfOMB3wha5dkB8AHfCCRDSVEuSVFUMzEzMzA1ODc5LklRX0NEU19NSUQuMTMvMDgvMjYBAAAAhNbcAQIAAAAGMi4yOTM5AFCpQ3zjAd8Iu33XAfAB3wgkQ0lRLklRVDMxMzMxMzUyNC5JUV9DRFNfTUlELjIyLzA4LzI2AQAAAO9VDQACAAAABjU5LjQzMQAYteh74wHfCCm+zQHwAd8II0NJUS5JUVQ0NjIwMDMxNy5JUV9DRFNfTUlELjExLzA4LzI2AQAAAP5UDQACAAAABzYwLjg3MzIAGLXoe+MB3whBuNMB8AHfCCRDSVEuSVFUNjQ0NzAxNzk3LklRX0NEU19NSUQuMTAvMDgvMjYBAAAAUz99AQIAAAAGOS44ODU2AJ+6QnzjAd8IRCHQAfAB3wgkQ0lRLklRVDI1NDk1NTIzMy5JUV9DRFNfTUlELjEwLzA4LzI2AQAAADlWCgACAAAABzM4Ljk2MjEAUKlDfOMB3whEIdAB8AHfCCNDSVEuSVFUNDYyMjQ3NDAuSVFfQ0RTX01JRC4yNC8wNS8yNgEAAADTcggAAgAAAAczNC4yOTI5AFCpQ3zjAd8I8ZfaAfAB3wgjQ0lRLklRVDc5NjM0OTAxLklRX0NEU19NSUQuMTIvMDgvMjYBAAAAnAYQAAIAAAAHNDAuNTExNgBQqUN84wHfCHHmzwHwAd8II0NJUS5JUVQ1MTAyMzQ4MC5JUV9DRFNfTUlELjExLzA4LzI2AQAAAMJF8QECAAAABjQuNzQ3NACfukJ84wHfCA3w0gHwAd8II0NJUS5JUVQ0NjIwMDQxMi5JUV9DRFNfTUlELjEwLzA4LzI2AQAAAGNDBgACAAAABzQ0LjA1</t>
  </si>
  <si>
    <t>MjIAUKlDfOMB3whEIdAB8AHfCCNDSVEuSVFUNDYyMDMzMzIuSVFfQ0RTX01JRC4yNC8wNS8yNgEAAABfHjcAAgAAAAcxMS42MDQyAJ+6QnzjAd8I8ZfaAfAB3wgjQ0lRLklRVDQ2MjE1MTExLklRX0NEU19NSUQuMjQvMDUvMjYBAAAAoEuyAQIAAAAHNDAuNjEwNQBQqUN84wHfCPGX2gHwAd8II0NJUS5JUVQ0NjIwMDMxNy5JUV9DRFNfTUlELjEyLzA4LzI2AQAAAP5UDQACAAAABzYyLjU0MzgAGLXoe+MB3whx5s8B8AHfCCNDSVEuSVFUNDYyMTAwMzIuSVFfQ0RTX01JRC4xOC8wOC8yNgEAAACPVaMBAgAAAAUzNC40NQBQqUN84wHfCEG40wHwAd8II0NJUS5JUVQ0OTc1MTE5Ni5JUV9DRFNfTUlELjE3LzA4LzI2AQAAAM2ZvQACAAAAAjM3AJ+6QnzjAd8IX4TUAfAB3wgkQ0lRLklRVDMxMzMxNTQyOS5JUV9DRFNfTUlELjE3LzA4LzI2AQAAADnnBQACAAAABzYwLjc1MTcAGLXoe+MB3wgM/NUB8AHfCCNDSVEuSVFUNDYyMDY3NzkuSVFfQ0RTX01JRC4xNi8wOC8yNgEAAAD87zYAAgAAAAcxNS42NjY3AJ+6QnzjAd8IbEbYAfAB3wgjQ0lRLklRVDQ2MjE4Njc0LklRX0NEU19NSUQuMTYvMDgvMjYBAAAAV8o2AAIAAAAIMTE4LjU0MDgAUKlDfOMB3wjLEtkB8AHfCCNDSVEuSVFUNDYyMjU3MTUuSVFfQ0RTX01JRC4xNi8wOC8yNgEAAAC35QQAAgAAAAc0My40OTY0AFCpQ3zjAd8IyxLZAfAB3wgjQ0lRLklRVDQ2</t>
  </si>
  <si>
    <t>MjA0ODg0LklRX0NEU19NSUQuMTUvMDgvMjYBAAAAgVHAAQIAAAAFMjkuMTUAn7pCfOMB3wiAxNYB8AHfCCNDSVEuSVFUNDYyMDc3ODkuSVFfQ0RTX01JRC4xNS8wOC8yNgEAAAAqWKMBAgAAAAcyNi4zNTI0AFCpQ3zjAd8IgMTWAfAB3wgjQ0lRLklRVDQ2MjEwNTYwLklRX0NEU19NSUQuMTkvMDgvMjYBAAAA9ho3AAIAAAAHODAuNjk1MwCfukJ84wHfCJpx0QHwAd8II0NJUS5JUVQ0NjIxOTkyMi5JUV9DRFNfTUlELjE5LzA4LzI2AQAAANZHOQECAAAABjUuODMzMgCfukJ84wHfCEw50gHwAd8II0NJUS5JUVQ0NjIyMzY0Ni5JUV9DRFNfTUlELjE5LzA4LzI2AQAAABt4BAACAAAABjQ3LjU2OQBQqUN84wHfCIyL0gHwAd8IJENJUS5JUVQzMTMzMTQ5NzYuSVFfQ0RTX01JRC4xOS8wOC8yNgEAAABtSgAAAgAAAAc1Ny40ODYyABi16HvjAd8IDfDSAfAB3wgjQ0lRLklRVDQ2MjA0MzAwLklRX0NEU19NSUQuMTgvMDgvMjYBAAAA9iV9AAIAAAAGNi45OTk3AJ+6QnzjAd8IQbjTAfAB3wgjQ0lRLklRVDYwMzg4MDU3LklRX0NEU19NSUQuMTgvMDgvMjYBAAAA38l9AQMAAAAAAFCpQ3zjAd8IQbjTAfAB3wgjQ0lRLklRVDQ2MTk5ODQxLklRX0NEU19NSUQuMTgvMDgvMjYBAAAA6zAGAAMAAAAAAFCpQ3zjAd8IX4TUAfAB3wgjQ0lRLklRVDQ5NzUxMTk2LklRX0NEU19NSUQuMTkvMDgvMjYBAAAAzZm9AAIAAAAHMzcu</t>
  </si>
  <si>
    <t>MzMzMwCfukJ84wHfCJpx0QHwAd8II0NJUS5JUVQ2MDM4OTUxNi5JUV9DRFNfTUlELjE5LzA4LzI2AQAAAKXwwwECAAAABjcuMTY1NACfukJ84wHfCEw50gHwAd8IJENJUS5JUVQzMjM2ODAxMzAuSVFfQ0RTX01JRC4xOS8wOC8yNgEAAABx4QIAAgAAAAU1MC4wNwBQqUN84wHfCIyL0gHwAd8IJENJUS5JUVQzMTMzMTU0MjkuSVFfQ0RTX01JRC4xOS8wOC8yNgEAAAA55wUAAgAAAAc2MC42Mjc0ABi16HvjAd8IDfDSAfAB3wgjQ0lRLklRVDQ2MjA2Nzc5LklRX0NEU19NSUQuMjMvMDgvMjYBAAAA/O82AAIAAAAEMTUuNQCfukJ84wHfCPBU3AHwAd8II0NJUS5JUVQ0NjIxODY3NC5JUV9DRFNfTUlELjIzLzA4LzI2AQAAAFfKNgACAAAACDEyMC4wMzExAFCpQ3zjAd8I8FTcAfAB3wgjQ0lRLklRVDQ2MjI1NzE1LklRX0NEU19NSUQuMjMvMDgvMjYBAAAAt+UEAAIAAAAFNDMuMDUAUKlDfOMB3wjwVNwB8AHfCCNDSVEuSVFUNDYyMDQ4ODQuSVFfQ0RTX01JRC4xOC8wOC8yNgEAAACBUcABAgAAAAcyOS4yMDgzAJ+6QnzjAd8IQbjTAfAB3wgjQ0lRLklRVDQ2MjA3Nzg5LklRX0NEU19NSUQuMTgvMDgvMjYBAAAAKlijAQIAAAAHMjYuMzUyMwBQqUN84wHfCEG40wHwAd8II0NJUS5JUVQ0NjE5NDk5NS5JUV9DRFNfTUlELjE5LzA4LzI2AQAAAG4QMQACAAAABzExLjA4ODgAn7pCfOMB3wiacdEB8AHfCCNDSVEuSVFU</t>
  </si>
  <si>
    <t>NDYyMjIyOTIuSVFfQ0RTX01JRC4xOS8wOC8yNgEAAADRkZsBAgAAAAg3NjUuNDI2MQCfukJ84wHfCEw50gHwAd8II0NJUS5JUVQ0NjIyNTAwNi5JUV9DRFNfTUlELjE5LzA4LzI2AQAAAPhVDQACAAAABDQwLjkAUKlDfOMB3wiMi9IB8AHfCCNDSVEuSVFUNDYyMjAzMjkuSVFfQ0RTX01JRC4xOS8wOC8yNgEAAADbWwAAAgAAAAc1Ni4wMDYzABi16HvjAd8IDfDSAfAB3wgjQ0lRLklRVDQ2MjYyMzc4LklRX0NEU19NSUQuMjMvMDgvMjYBAAAAQNKJAQIAAAAGMTcuODI1AJ+6QnzjAd8I8FTcAfAB3wgjQ0lRLklRVDQ2MTk3Njk0LklRX0NEU19NSUQuMjMvMDgvMjYBAAAAB/oFAAIAAAAHNTEuNjA1MgBQqUN84wHfCPBU3AHwAd8II0NJUS5JUVQ2MjI3MDEwNy5JUV9DRFNfTUlELjIzLzA4LzI2AQAAABVZAAACAAAABzQxLjA0MTcAUKlDfOMB3wjwVNwB8AHfCCNDSVEuSVFUNDYyMDczMDguSVFfQ0RTX01JRC4xOC8wOC8yNgEAAAA5iXoBAgAAAAcxNC4yMDgzAJ+6QnzjAd8IQbjTAfAB3wgjQ0lRLklRVDQ2MTk2MjI1LklRX0NEU19NSUQuMTkvMDgvMjYBAAAAvlWjAQIAAAAHMTcuNDIwMQCfukJ84wHfCJpx0QHwAd8II0NJUS5JUVQ1MTAyMzI2MC5JUV9DRFNfTUlELjE5LzA4LzI2AQAAALERfwECAAAABzE1LjIzNzgAn7pCfOMB3whMOdIB8AHfCCNDSVEuSVFUNDYyMjQ3NDAuSVFfQ0RTX01JRC4xOS8wOC8y</t>
  </si>
  <si>
    <t>NgEAAADTcggAAgAAAAUzNS43MQBQqUN84wHfCIyL0gHwAd8IJENJUS5JUVQzMTMzMTczNDQuSVFfQ0RTX01JRC4xOS8wOC8yNgEAAADxrAEAAgAAAAc2MC4yMDM2ABi16HvjAd8IDfDSAfAB3wgjQ0lRLklRVDQ2MjAwMjc2LklRX0NEU19NSUQuMjMvMDgvMjYBAAAAlnd8AQIAAAAHMjAuNzg5NwCfukJ84wHfCPBU3AHwAd8II0NJUS5JUVQ0NjE5NTQ5MS5JUV9DRFNfTUlELjIzLzA4LzI2AQAAAGlKAAACAAAABjUzLjYxNwBQqUN84wHfCPBU3AHwAd8II0NJUS5JUVQ3OTYzNDkwMS5JUV9DRFNfTUlELjIzLzA4LzI2AQAAAJwGEAACAAAABzQwLjQ5MjkAUKlDfOMB3wjwVNwB8AHfCCNDSVEuSVFUNDYyNjIzNzguSVFfQ0RTX01JRC4xOS8wOC8yNgEAAABA0okBAgAAAAcxNy45MjAxAJ+6QnzjAd8ITDnSAfAB3wgjQ0lRLklRVDc5NjM5OTEzLklRX0NEU19NSUQuMTkvMDgvMjYBAAAAIGMcAgIAAAAFOC4xMjUAn7pCfOMB3whMOdIB8AHfCCNDSVEuSVFUNDYyMDMzMzIuSVFfQ0RTX01JRC4xOS8wOC8yNgEAAABfHjcAAgAAAAcxMC42NjY3AJ+6QnzjAd8ImnHRAfAB3wgjQ0lRLklRVDQ2MjE1MTExLklRX0NEU19NSUQuMTkvMDgvMjYBAAAAoEuyAQIAAAAHMzYuMjEyNwBQqUN84wHfCEw50gHwAd8II0NJUS5JUVQ0NjIyNjEzMi5JUV9DRFNfTUlELjE5LzA4LzI2AQAAAN1ZAAACAAAABzQzLjA4MzMAUKlDfOMB</t>
  </si>
  <si>
    <t>3wiMi9IB8AHfCCRDSVEuSVFUMzEzMzEzNTI0LklRX0NEU19NSUQuMTkvMDgvMjYBAAAA71UNAAIAAAAHNTkuNTUzOQAYteh74wHfCA3w0gHwAd8II0NJUS5JUVQ0NjE5NTQ5MS5JUV9DRFNfTUlELjE5LzA4LzI2AQAAAGlKAAACAAAABzU0LjMzNDgAUKlDfOMB3whMOdIB8AHfCCNDSVEuSVFUNDYyMDM3MTQuSVFfQ0RTX01JRC4xOS8wOC8yNgEAAABfBTUAAgAAAAczMi4zMzMzAJ+6QnzjAd8ImnHRAfAB3wgjQ0lRLklRVDc5NjM5OTUzLklRX0NEU19NSUQuMTkvMDgvMjYBAAAANJtWAQIAAAAHMjQuOTEzMQBQqUN84wHfCEw50gHwAd8IJENJUS5JUVQ1Mjg5MzY4MTIuSVFfQ0RTX01JRC4xOS8wOC8yNgEAAABsWwYAAgAAAAc0NC43MzM3AFCpQ3zjAd8IjIvSAfAB3wgjQ0lRLklRVDQ2MTk3MTM4LklRX0NEU19NSUQuMjMvMDgvMjYBAAAA7pQ4AQIAAAAIMTIzLjg2MjgAn7pCfOMB3wjwVNwB8AHfCCNDSVEuSVFUNDYyMDQzMDAuSVFfQ0RTX01JRC4xOS8wOC8yNgEAAAD2JX0AAgAAAAY2Ljk5OTkAn7pCfOMB3wiacdEB8AHfCCNDSVEuSVFUNjAzODgwNTcuSVFfQ0RTX01JRC4xOS8wOC8yNgEAAADfyX0BAwAAAAAAUKlDfOMB3whMOdIB8AHfCCNDSVEuSVFUNDYxOTk4NDEuSVFfQ0RTX01JRC4xOS8wOC8yNgEAAADrMAYAAwAAAAAAUKlDfOMB3wiMi9IB8AHfCCRDSVEuSVFUMzEzMzEwMTg0LklRX0NEU19N</t>
  </si>
  <si>
    <t>SUQuMjMvMDgvMjYBAAAAYEQ+AAIAAAAHMTAuODA4NwCfukJ84wHfCPBU3AHwAd8II0NJUS5JUVQ0NjIwMDMxNy5JUV9DRFNfTUlELjE5LzA4LzI2AQAAAP5UDQACAAAABzYzLjAwODYAGLXoe+MB3wgN8NIB8AHfCCNDSVEuSVFUNDYyMDQ4ODQuSVFfQ0RTX01JRC4xOS8wOC8yNgEAAACBUcABAgAAAAcyOS42MjM0AJ+6QnzjAd8ImnHRAfAB3wgjQ0lRLklRVDQ2MjA3Nzg5LklRX0NEU19NSUQuMTkvMDgvMjYBAAAAKlijAQIAAAAHMjYuMTg1OABQqUN84wHfCEw50gHwAd8IJENJUS5JUVQyODYwOTYxMzEuSVFfQ0RTX01JRC4xOS8wOC8yNgEAAAA78QQAAgAAAAc1NC4xNzA0AFCpQ3zjAd8IjIvSAfAB3wgjQ0lRLklRVDQ2MjEwNTYwLklRX0NEU19NSUQuMjMvMDgvMjYBAAAA9ho3AAIAAAAHODAuMTI0MwCfukJ84wHfCPBU3AHwAd8II0NJUS5JUVQ0NjIwNzMwOC5JUV9DRFNfTUlELjE5LzA4LzI2AQAAADmJegECAAAABzE0LjIwODMAn7pCfOMB3wiacdEB8AHfCCNDSVEuSVFUNDYyMTAwMzIuSVFfQ0RTX01JRC4xOS8wOC8yNgEAAACPVaMBAgAAAAUzNC4xOQBQqUN84wHfCEw50gHwAd8II0NJUS5JUVQ0NjIyNTM3NC5JUV9DRFNfTUlELjE5LzA4LzI2AQAAALXWBQACAAAABzM2LjQ0NTgAUKlDfOMB3wiMi9IB8AHfCCNDSVEuSVFUNDk3NTExOTYuSVFfQ0RTX01JRC4yMy8wOC8yNgEAAADNmb0AAgAAAAQz</t>
  </si>
  <si>
    <t>Ny41AJ+6QnzjAd8I8FTcAfAB3wgjQ0lRLklRVDQ2MTk3Njk0LklRX0NEU19NSUQuMTkvMDgvMjYBAAAAB/oFAAIAAAAHNTIuMDk4OABQqUN84wHfCEw50gHwAd8II0NJUS5JUVQ0NjIwNzU3MS5JUV9DRFNfTUlELjE5LzA4LzI2AQAAAG3vNQACAAAABzMwLjEwODEAn7pCfOMB3wiacdEB8AHfCCNDSVEuSVFUNDYyMTM0NzIuSVFfQ0RTX01JRC4xOS8wOC8yNgEAAAC5WjgAAgAAAAYxNS40MjcAUKlDfOMB3whMOdIB8AHfCCRDSVEuSVFUMjYzMjEzMTMyLklRX0NEU19NSUQuMTkvMDgvMjYBAAAA4ZoIAAIAAAAHNTEuNTczNwBQqUN84wHfCIyL0gHwAd8II0NJUS5JUVQ0NjE5NDk5NS5JUV9DRFNfTUlELjIzLzA4LzI2AQAAAG4QMQACAAAABzExLjA0MzYAn7pCfOMB3wjwVNwB8AHfCCNDSVEuSVFUNDYyMDA0MTIuSVFfQ0RTX01JRC4xOS8wOC8yNgEAAABjQwYAAgAAAAc0NC4wNTQxAFCpQ3zjAd8IjIvSAfAB3wgjQ0lRLklRVDYyMjcwMTA3LklRX0NEU19NSUQuMTkvMDgvMjYBAAAAFVkAAAIAAAAHNDAuOTU1NABQqUN84wHfCA3w0gHwAd8II0NJUS5JUVQ3OTYzNDkwMS5JUV9DRFNfTUlELjE5LzA4LzI2AQAAAJwGEAACAAAABjQwLjUyNwBQqUN84wHfCA3w0gHwAd8IJENJUS5JUVQ2NDQ3MDE3OTcuSVFfQ0RTX01JRC4xOS8wOC8yNgEAAABTP30BAgAAAAY5Ljc1NjIAn7pCfOMB3wiacdEB8AHfCCNDSVEu</t>
  </si>
  <si>
    <t>SVFUNDYyMTY5ODYuSVFfQ0RTX01JRC4xOS8wOC8yNgEAAADORDgBAwAAAAAAUKlDfOMB3whMOdIB8AHfCCRDSVEuSVFUMjU0OTU1MjMzLklRX0NEU19NSUQuMTkvMDgvMjYBAAAAOVYKAAIAAAAHMzkuMDM2NQBQqUN84wHfCIyL0gHwAd8II0NJUS5JUVQ0NjE5NjIyNS5JUV9DRFNfTUlELjIzLzA4LzI2AQAAAL5VowECAAAABzE3LjI4MTMAn7pCfOMB3wjwVNwB8AHfCCNDSVEuSVFUNDYyMDMzMzIuSVFfQ0RTX01JRC4yMy8wOC8yNgEAAABfHjcAAgAAAAcxMC42NjY3AJ+6QnzjAd8I8FTcAfAB3wgjQ0lRLklRVDc5NjQwMDI0LklRX0NEU19NSUQuMTkvMDgvMjYBAAAANY+bAQIAAAAGNy44MzMzAJ+6QnzjAd8ImnHRAfAB3wgkQ0lRLklRVDMxMzMwNTg3OS5JUV9DRFNfTUlELjE5LzA4LzI2AQAAAITW3AECAAAABjIuMjkzOQBQqUN84wHfCEw50gHwAd8II0NJUS5JUVQ0NjIxNDk1NC5JUV9DRFNfTUlELjE5LzA4LzI2AQAAADo9OQECAAAABzE0LjMzMzMAn7pCfOMB3wiacdEB8AHfCCNDSVEuSVFUNDYyMDg2MzQuSVFfQ0RTX01JRC4xOS8wOC8yNgEAAAADH8IAAgAAAAcyMi4yNzU1AFCpQ3zjAd8ITDnSAfAB3wgjQ0lRLklRVDQ2MjI1MDgzLklRX0NEU19NSUQuMTkvMDgvMjYBAAAAVkQGAAIAAAAHMzMuNDM0MQBQqUN84wHfCIyL0gHwAd8II0NJUS5JUVQ0NjIwMDI3Ni5JUV9DRFNfTUlELjE5LzA4LzI2</t>
  </si>
  <si>
    <t>AQAAAJZ3fAECAAAABzIxLjg2OTkAn7pCfOMB3whMOdIB8AHfCCNDSVEuSVFUNDYyMDc4NzIuSVFfQ0RTX01JRC4xOS8wOC8yNgEAAABYDQoAAgAAAAczOS4xNzg4AFCpQ3zjAd8ITDnSAfAB3wgjQ0lRLklRVDQ2MjE4NTE2LklRX0NEU19NSUQuMTkvMDgvMjYBAAAAplWjAQIAAAAHMzYuMzkxNACfukJ84wHfCEw50gHwAd8II0NJUS5JUVQ0NjIyMDgwMy5JUV9DRFNfTUlELjE5LzA4LzI2AQAAANbJNgACAAAABzQxLjA4MTUAUKlDfOMB3whMOdIB8AHfCCNDSVEuSVFUNDYyMDAzNjQuSVFfQ0RTX01JRC4xOS8wOC8yNgEAAABXhggAAgAAAAQyMy42AFCpQ3zjAd8IjIvSAfAB3wgjQ0lRLklRVDQ2MjA2Nzc5LklRX0NEU19NSUQuMTkvMDgvMjYBAAAA/O82AAIAAAAHMTUuMzMzMwCfukJ84wHfCEw50gHwAd8II0NJUS5JUVQ0NjIxODY3NC5JUV9DRFNfTUlELjE5LzA4LzI2AQAAAFfKNgACAAAACDExOS42MjM2AFCpQ3zjAd8ITDnSAfAB3wgjQ0lRLklRVDQ2MjI1NzE1LklRX0NEU19NSUQuMTkvMDgvMjYBAAAAt+UEAAIAAAAHNDQuMjQzNgBQqUN84wHfCIyL0gHwAd8II0NJUS5JUVQ0NjE5NzEzOC5JUV9DRFNfTUlELjE5LzA4LzI2AQAAAO6UOAECAAAACDEyNS4xOTgyAJ+6QnzjAd8ImnHRAfAB3wgjQ0lRLklRVDUxMDIzNDgwLklRX0NEU19NSUQuMTkvMDgvMjYBAAAAwkXxAQIAAAAFNC42MjIAn7pCfOMB</t>
  </si>
  <si>
    <t>3whMOdIB8AHfCCNDSVEuSVFUNDYyMDQ5NTcuSVFfQ0RTX01JRC4xOS8wOC8yNgEAAAAhFQYAAgAAAAc1NC4zNjg5AFCpQ3zjAd8ITDnSAfAB3wgjQ0lRLklRVDYyMjcwMTA2LklRX0NEU19NSUQuMTkvMDgvMjYBAAAArXeDAAIAAAAHNzUuNTQ5MwAYteh74wHfCA3w0gHwAd8IJENJUS5JUVQzMTMzMTAxODQuSVFfQ0RTX01JRC4xOS8wOC8yNgEAAABgRD4AAgAAAAcxMC44NzA4AJ+6QnzjAd8ImnHRAfAB3wgjQ0lRLklRVDQ2MjE0ODc5LklRX0NEU19NSUQuMTkvMDgvMjYBAAAA9Ro3AAIAAAAHNDkuOTk0OQCfukJ84wHfCEw50gHwAd8II0NJUS5JUVQ0NjQ3MDg3Ny5JUV9DRFNfTUlELjE5LzA4LzI2AQAAAEI3BwACAAAABzU2Ljc4MDkAUKlDfOMB3wiMi9IB8AHfCCRDSVEuSVFUMzEzMzEwODU0LklRX0NEU19NSUQuMTkvMDgvMjYBAAAAr1QNAAIAAAACNjAAGLXoe+MB3wgN8NIB8AHfCA=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</si>
</sst>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+0;\-0;&quot;-&quot;"/>
    <numFmt numFmtId="165" formatCode="#,##0.0;\-#,##0.0;&quot;-&quot;"/>
    <numFmt numFmtId="166" formatCode="\+0.0%;\-0.0%;&quot;-&quot;"/>
    <numFmt numFmtId="167" formatCode="#,##0.0_ ;\-#,##0.0\ "/>
    <numFmt numFmtId="168" formatCode="#,##0.000_ ;\-#,##0.000\ "/>
    <numFmt numFmtId="169" formatCode="0.0;[Red]\(0.0\);\-"/>
    <numFmt numFmtId="170" formatCode="0.0%;[Red]\(0.0%\);\-"/>
  </numFmts>
  <fonts count="30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8"/>
      <color rgb="FF333333"/>
      <name val="Arial"/>
      <family val="2"/>
    </font>
    <font>
      <sz val="8"/>
      <color rgb="FF000000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i/>
      <sz val="8"/>
      <color rgb="FF333333"/>
      <name val="Arial"/>
      <family val="2"/>
    </font>
    <font>
      <i/>
      <sz val="9"/>
      <color rgb="FFFFFFFF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sz val="10"/>
      <color rgb="FF14181F"/>
      <name val="Aptos Narrow"/>
      <family val="2"/>
      <scheme val="minor"/>
    </font>
    <font>
      <sz val="8"/>
      <color rgb="FF000000"/>
      <name val="Verdana"/>
      <family val="2"/>
    </font>
    <font>
      <sz val="12"/>
      <color theme="1"/>
      <name val="Tahoma"/>
      <family val="2"/>
    </font>
    <font>
      <b/>
      <sz val="12"/>
      <color theme="0"/>
      <name val="Tahoma"/>
      <family val="2"/>
    </font>
    <font>
      <sz val="11"/>
      <color rgb="FF14181F"/>
      <name val="Aptos Narrow"/>
      <family val="2"/>
      <scheme val="minor"/>
    </font>
    <font>
      <sz val="8"/>
      <color theme="1"/>
      <name val="Arial"/>
      <family val="2"/>
    </font>
    <font>
      <sz val="11"/>
      <color rgb="FF000000"/>
      <name val="Verdana"/>
      <family val="2"/>
    </font>
    <font>
      <sz val="5"/>
      <color rgb="FF000000"/>
      <name val="Verdana"/>
      <family val="2"/>
    </font>
    <font>
      <sz val="11"/>
      <color theme="1"/>
      <name val="Aptos Narrow"/>
      <family val="2"/>
      <scheme val="minor"/>
    </font>
    <font>
      <b/>
      <sz val="10"/>
      <color rgb="FF333333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Arial Unicode MS"/>
    </font>
    <font>
      <sz val="11"/>
      <name val="Carlito"/>
    </font>
    <font>
      <sz val="11"/>
      <color rgb="FF0000FF"/>
      <name val="Carlito"/>
    </font>
    <font>
      <sz val="11"/>
      <color rgb="FF000000"/>
      <name val="Carlito"/>
    </font>
    <font>
      <b/>
      <sz val="11"/>
      <color rgb="FF17365D"/>
      <name val="Carlito"/>
    </font>
    <font>
      <b/>
      <sz val="11"/>
      <color rgb="FFFFFFFF"/>
      <name val="Carlito"/>
    </font>
    <font>
      <b/>
      <sz val="11"/>
      <name val="Carlito"/>
    </font>
    <font>
      <b/>
      <sz val="15"/>
      <color rgb="FFFFFFFF"/>
      <name val="Carlito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5C6B"/>
      </patternFill>
    </fill>
    <fill>
      <patternFill patternType="solid">
        <fgColor rgb="FF4AA8B8"/>
      </patternFill>
    </fill>
    <fill>
      <patternFill patternType="solid">
        <fgColor rgb="FF2F4F7F"/>
      </patternFill>
    </fill>
    <fill>
      <patternFill patternType="solid">
        <fgColor rgb="FFDCE9F5"/>
      </patternFill>
    </fill>
    <fill>
      <patternFill patternType="solid">
        <fgColor rgb="FFFFFFFF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21596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rgb="FF17365D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215968"/>
      </left>
      <right style="thin">
        <color rgb="FF215968"/>
      </right>
      <top/>
      <bottom/>
      <diagonal/>
    </border>
    <border>
      <left style="thin">
        <color rgb="FF215968"/>
      </left>
      <right style="thin">
        <color rgb="FF215968"/>
      </right>
      <top style="thin">
        <color rgb="FF215968"/>
      </top>
      <bottom style="thin">
        <color rgb="FF215968"/>
      </bottom>
      <diagonal/>
    </border>
  </borders>
  <cellStyleXfs count="3">
    <xf numFmtId="0" fontId="0" fillId="0" borderId="0"/>
    <xf numFmtId="9" fontId="18" fillId="0" borderId="0" applyFont="0" applyFill="0" applyBorder="0" applyAlignment="0" applyProtection="0"/>
    <xf numFmtId="0" fontId="23" fillId="0" borderId="0"/>
  </cellStyleXfs>
  <cellXfs count="8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165" fontId="1" fillId="6" borderId="1" xfId="0" applyNumberFormat="1" applyFont="1" applyFill="1" applyBorder="1" applyAlignment="1">
      <alignment horizontal="center" vertical="center"/>
    </xf>
    <xf numFmtId="166" fontId="1" fillId="6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0" borderId="0" xfId="0" applyFont="1" applyAlignment="1">
      <alignment vertical="center" wrapText="1"/>
    </xf>
    <xf numFmtId="0" fontId="8" fillId="0" borderId="0" xfId="0" applyFont="1"/>
    <xf numFmtId="166" fontId="1" fillId="8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9" fillId="0" borderId="0" xfId="0" applyFont="1"/>
    <xf numFmtId="0" fontId="10" fillId="0" borderId="0" xfId="0" applyFont="1" applyAlignment="1">
      <alignment vertical="center"/>
    </xf>
    <xf numFmtId="165" fontId="1" fillId="8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9" fillId="0" borderId="0" xfId="0" applyFont="1" applyAlignment="1">
      <alignment vertical="center"/>
    </xf>
    <xf numFmtId="0" fontId="11" fillId="0" borderId="0" xfId="0" applyFont="1"/>
    <xf numFmtId="0" fontId="12" fillId="0" borderId="3" xfId="0" applyFont="1" applyBorder="1"/>
    <xf numFmtId="0" fontId="12" fillId="0" borderId="4" xfId="0" applyFont="1" applyBorder="1"/>
    <xf numFmtId="0" fontId="13" fillId="9" borderId="0" xfId="0" applyFont="1" applyFill="1"/>
    <xf numFmtId="0" fontId="12" fillId="0" borderId="0" xfId="0" applyFont="1"/>
    <xf numFmtId="14" fontId="0" fillId="0" borderId="0" xfId="0" applyNumberFormat="1"/>
    <xf numFmtId="165" fontId="14" fillId="0" borderId="0" xfId="0" applyNumberFormat="1" applyFont="1" applyAlignment="1">
      <alignment vertical="center"/>
    </xf>
    <xf numFmtId="167" fontId="14" fillId="0" borderId="0" xfId="0" applyNumberFormat="1" applyFont="1" applyAlignment="1">
      <alignment vertical="center"/>
    </xf>
    <xf numFmtId="167" fontId="0" fillId="0" borderId="0" xfId="0" applyNumberFormat="1"/>
    <xf numFmtId="168" fontId="0" fillId="0" borderId="0" xfId="0" applyNumberFormat="1"/>
    <xf numFmtId="1" fontId="1" fillId="6" borderId="1" xfId="0" applyNumberFormat="1" applyFont="1" applyFill="1" applyBorder="1" applyAlignment="1">
      <alignment horizontal="center" vertical="center"/>
    </xf>
    <xf numFmtId="1" fontId="1" fillId="6" borderId="2" xfId="0" applyNumberFormat="1" applyFont="1" applyFill="1" applyBorder="1" applyAlignment="1">
      <alignment horizontal="center" vertical="center"/>
    </xf>
    <xf numFmtId="1" fontId="1" fillId="8" borderId="1" xfId="0" applyNumberFormat="1" applyFont="1" applyFill="1" applyBorder="1" applyAlignment="1">
      <alignment horizontal="center" vertical="center"/>
    </xf>
    <xf numFmtId="1" fontId="1" fillId="8" borderId="2" xfId="0" applyNumberFormat="1" applyFont="1" applyFill="1" applyBorder="1" applyAlignment="1">
      <alignment horizontal="center" vertical="center"/>
    </xf>
    <xf numFmtId="164" fontId="3" fillId="10" borderId="1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2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0" fontId="20" fillId="0" borderId="0" xfId="0" applyFont="1" applyAlignment="1">
      <alignment horizontal="left"/>
    </xf>
    <xf numFmtId="164" fontId="3" fillId="10" borderId="2" xfId="0" applyNumberFormat="1" applyFont="1" applyFill="1" applyBorder="1" applyAlignment="1">
      <alignment horizontal="center" vertical="center"/>
    </xf>
    <xf numFmtId="164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15" fillId="0" borderId="0" xfId="0" applyFont="1"/>
    <xf numFmtId="9" fontId="8" fillId="13" borderId="0" xfId="1" applyFont="1" applyFill="1" applyAlignment="1">
      <alignment horizontal="left"/>
    </xf>
    <xf numFmtId="9" fontId="21" fillId="12" borderId="0" xfId="1" applyFont="1" applyFill="1" applyBorder="1" applyAlignment="1">
      <alignment horizontal="left" vertical="center"/>
    </xf>
    <xf numFmtId="9" fontId="22" fillId="12" borderId="0" xfId="1" applyFont="1" applyFill="1" applyAlignment="1">
      <alignment horizontal="left" vertical="center"/>
    </xf>
    <xf numFmtId="9" fontId="22" fillId="13" borderId="0" xfId="1" applyFont="1" applyFill="1" applyAlignment="1">
      <alignment horizontal="left" vertical="center"/>
    </xf>
    <xf numFmtId="0" fontId="23" fillId="0" borderId="0" xfId="2"/>
    <xf numFmtId="0" fontId="23" fillId="0" borderId="0" xfId="2" applyAlignment="1">
      <alignment horizontal="center"/>
    </xf>
    <xf numFmtId="169" fontId="23" fillId="0" borderId="0" xfId="2" applyNumberFormat="1" applyAlignment="1">
      <alignment horizontal="right"/>
    </xf>
    <xf numFmtId="170" fontId="24" fillId="17" borderId="0" xfId="2" applyNumberFormat="1" applyFont="1" applyFill="1" applyAlignment="1">
      <alignment horizontal="right"/>
    </xf>
    <xf numFmtId="169" fontId="24" fillId="17" borderId="0" xfId="2" applyNumberFormat="1" applyFont="1" applyFill="1" applyAlignment="1">
      <alignment horizontal="right"/>
    </xf>
    <xf numFmtId="0" fontId="24" fillId="0" borderId="0" xfId="2" applyFont="1"/>
    <xf numFmtId="0" fontId="25" fillId="0" borderId="0" xfId="2" applyFont="1" applyAlignment="1">
      <alignment horizontal="center"/>
    </xf>
    <xf numFmtId="169" fontId="25" fillId="0" borderId="0" xfId="2" applyNumberFormat="1" applyFont="1" applyAlignment="1">
      <alignment horizontal="right"/>
    </xf>
    <xf numFmtId="0" fontId="23" fillId="15" borderId="0" xfId="2" applyFill="1"/>
    <xf numFmtId="0" fontId="23" fillId="19" borderId="0" xfId="2" applyFill="1"/>
    <xf numFmtId="0" fontId="23" fillId="16" borderId="0" xfId="2" applyFill="1"/>
    <xf numFmtId="0" fontId="23" fillId="14" borderId="0" xfId="2" applyFill="1"/>
    <xf numFmtId="0" fontId="27" fillId="20" borderId="0" xfId="2" applyFont="1" applyFill="1"/>
    <xf numFmtId="0" fontId="27" fillId="20" borderId="0" xfId="2" applyFont="1" applyFill="1" applyAlignment="1">
      <alignment horizontal="center" vertical="center" wrapText="1"/>
    </xf>
    <xf numFmtId="0" fontId="23" fillId="2" borderId="0" xfId="2" applyFill="1"/>
    <xf numFmtId="0" fontId="28" fillId="18" borderId="0" xfId="2" applyFont="1" applyFill="1"/>
    <xf numFmtId="9" fontId="24" fillId="17" borderId="0" xfId="2" applyNumberFormat="1" applyFont="1" applyFill="1"/>
    <xf numFmtId="0" fontId="6" fillId="2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/>
    <xf numFmtId="0" fontId="0" fillId="0" borderId="2" xfId="0" applyBorder="1"/>
    <xf numFmtId="0" fontId="4" fillId="3" borderId="1" xfId="0" applyFont="1" applyFill="1" applyBorder="1" applyAlignment="1">
      <alignment horizontal="center" vertical="center"/>
    </xf>
    <xf numFmtId="0" fontId="26" fillId="18" borderId="0" xfId="2" applyFont="1" applyFill="1" applyAlignment="1">
      <alignment horizontal="left" vertical="center"/>
    </xf>
    <xf numFmtId="169" fontId="26" fillId="18" borderId="0" xfId="2" applyNumberFormat="1" applyFont="1" applyFill="1" applyAlignment="1">
      <alignment horizontal="left" vertical="center"/>
    </xf>
    <xf numFmtId="170" fontId="26" fillId="18" borderId="0" xfId="2" applyNumberFormat="1" applyFont="1" applyFill="1" applyAlignment="1">
      <alignment horizontal="left" vertical="center"/>
    </xf>
    <xf numFmtId="0" fontId="29" fillId="21" borderId="0" xfId="2" applyFont="1" applyFill="1" applyAlignment="1">
      <alignment horizontal="left" vertical="center"/>
    </xf>
    <xf numFmtId="0" fontId="27" fillId="21" borderId="0" xfId="2" applyFont="1" applyFill="1" applyAlignment="1">
      <alignment horizontal="left"/>
    </xf>
  </cellXfs>
  <cellStyles count="3">
    <cellStyle name="Normal" xfId="0" builtinId="0"/>
    <cellStyle name="Normal 2" xfId="2" xr:uid="{A1D5D424-D9FE-4AC9-A874-619309FC9078}"/>
    <cellStyle name="Percent" xfId="1" builtinId="5"/>
  </cellStyles>
  <dxfs count="2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C65911"/>
      </font>
      <fill>
        <patternFill patternType="solid">
          <bgColor rgb="FFFCE4D6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tr">
      <tp>
        <v>3481</v>
        <stp/>
        <stp>149</stp>
        <stp>13547234</stp>
        <tr r="I32" s="1"/>
      </tp>
      <tp>
        <v>3649</v>
        <stp/>
        <stp>148</stp>
        <stp>13547234</stp>
        <tr r="H32" s="1"/>
        <tr r="H32" s="1"/>
      </tp>
      <tp t="s">
        <v>The record could not be found (Error code: 0)</v>
        <stp/>
        <stp>241</stp>
        <stp>13547234</stp>
        <tr r="D44" s="1"/>
        <tr r="D44" s="1"/>
      </tp>
      <tp>
        <v>370.3</v>
        <stp/>
        <stp>141</stp>
        <stp>13547234</stp>
        <tr r="I30" s="1"/>
      </tp>
      <tp t="s">
        <v>The record could not be found (Error code: 0)</v>
        <stp/>
        <stp>240</stp>
        <stp>13547234</stp>
        <tr r="D44" s="1"/>
      </tp>
      <tp>
        <v>374.1</v>
        <stp/>
        <stp>140</stp>
        <stp>13547234</stp>
        <tr r="H30" s="1"/>
        <tr r="H30" s="1"/>
      </tp>
      <tp>
        <v>40.270000000000003</v>
        <stp/>
        <stp>243</stp>
        <stp>13547234</stp>
        <tr r="H44" s="1"/>
        <tr r="H44" s="1"/>
      </tp>
      <tp>
        <v>370.3</v>
        <stp/>
        <stp>143</stp>
        <stp>13547234</stp>
        <tr r="J30" s="1"/>
      </tp>
      <tp>
        <v>40.4</v>
        <stp/>
        <stp>242</stp>
        <stp>13547234</stp>
        <tr r="H44" s="1"/>
      </tp>
      <tp>
        <v>373.5</v>
        <stp/>
        <stp>142</stp>
        <stp>13547234</stp>
        <tr r="I30" s="1"/>
        <tr r="I30" s="1"/>
      </tp>
      <tp>
        <v>40.24</v>
        <stp/>
        <stp>245</stp>
        <stp>13547234</stp>
        <tr r="I44" s="1"/>
        <tr r="I44" s="1"/>
      </tp>
      <tp>
        <v>370.3</v>
        <stp/>
        <stp>145</stp>
        <stp>13547234</stp>
        <tr r="K30" s="1"/>
      </tp>
      <tp>
        <v>40.4</v>
        <stp/>
        <stp>244</stp>
        <stp>13547234</stp>
        <tr r="I44" s="1"/>
      </tp>
      <tp>
        <v>332.5</v>
        <stp/>
        <stp>144</stp>
        <stp>13547234</stp>
        <tr r="J30" s="1"/>
        <tr r="J30" s="1"/>
      </tp>
      <tp>
        <v>151.55000000000001</v>
        <stp/>
        <stp>247</stp>
        <stp>13547234</stp>
        <tr r="K43" s="1"/>
        <tr r="K43" s="1"/>
      </tp>
      <tp>
        <v>3481</v>
        <stp/>
        <stp>147</stp>
        <stp>13547234</stp>
        <tr r="H32" s="1"/>
      </tp>
      <tp>
        <v>218.34</v>
        <stp/>
        <stp>246</stp>
        <stp>13547234</stp>
        <tr r="K43" s="1"/>
      </tp>
      <tp>
        <v>275.5</v>
        <stp/>
        <stp>146</stp>
        <stp>13547234</stp>
        <tr r="K30" s="1"/>
        <tr r="K30" s="1"/>
      </tp>
      <tp>
        <v>6593</v>
        <stp/>
        <stp>159</stp>
        <stp>13547234</stp>
        <tr r="J33" s="1"/>
      </tp>
      <tp>
        <v>6629</v>
        <stp/>
        <stp>158</stp>
        <stp>13547234</stp>
        <tr r="I33" s="1"/>
        <tr r="I33" s="1"/>
      </tp>
      <tp>
        <v>3481</v>
        <stp/>
        <stp>151</stp>
        <stp>13547234</stp>
        <tr r="J32" s="1"/>
      </tp>
      <tp>
        <v>3510</v>
        <stp/>
        <stp>150</stp>
        <stp>13547234</stp>
        <tr r="I32" s="1"/>
        <tr r="I32" s="1"/>
      </tp>
      <tp>
        <v>3481</v>
        <stp/>
        <stp>153</stp>
        <stp>13547234</stp>
        <tr r="K32" s="1"/>
      </tp>
      <tp>
        <v>3091</v>
        <stp/>
        <stp>152</stp>
        <stp>13547234</stp>
        <tr r="J32" s="1"/>
        <tr r="J32" s="1"/>
      </tp>
      <tp>
        <v>6593</v>
        <stp/>
        <stp>155</stp>
        <stp>13547234</stp>
        <tr r="H33" s="1"/>
      </tp>
      <tp>
        <v>2291</v>
        <stp/>
        <stp>154</stp>
        <stp>13547234</stp>
        <tr r="K32" s="1"/>
        <tr r="K32" s="1"/>
      </tp>
      <tp>
        <v>6593</v>
        <stp/>
        <stp>157</stp>
        <stp>13547234</stp>
        <tr r="I33" s="1"/>
      </tp>
      <tp>
        <v>6918</v>
        <stp/>
        <stp>156</stp>
        <stp>13547234</stp>
        <tr r="H33" s="1"/>
        <tr r="H33" s="1"/>
      </tp>
      <tp>
        <v>8108</v>
        <stp/>
        <stp>169</stp>
        <stp>13547234</stp>
        <tr r="K34" s="1"/>
      </tp>
      <tp>
        <v>7457</v>
        <stp/>
        <stp>168</stp>
        <stp>13547234</stp>
        <tr r="J34" s="1"/>
        <tr r="J34" s="1"/>
      </tp>
      <tp>
        <v>6593</v>
        <stp/>
        <stp>161</stp>
        <stp>13547234</stp>
        <tr r="K33" s="1"/>
      </tp>
      <tp>
        <v>6006</v>
        <stp/>
        <stp>160</stp>
        <stp>13547234</stp>
        <tr r="J33" s="1"/>
        <tr r="J33" s="1"/>
      </tp>
      <tp>
        <v>8108</v>
        <stp/>
        <stp>163</stp>
        <stp>13547234</stp>
        <tr r="H34" s="1"/>
      </tp>
      <tp>
        <v>4127</v>
        <stp/>
        <stp>162</stp>
        <stp>13547234</stp>
        <tr r="K33" s="1"/>
        <tr r="K33" s="1"/>
      </tp>
      <tp>
        <v>8108</v>
        <stp/>
        <stp>165</stp>
        <stp>13547234</stp>
        <tr r="I34" s="1"/>
      </tp>
      <tp>
        <v>8530</v>
        <stp/>
        <stp>164</stp>
        <stp>13547234</stp>
        <tr r="H34" s="1"/>
        <tr r="H34" s="1"/>
      </tp>
      <tp>
        <v>8108</v>
        <stp/>
        <stp>167</stp>
        <stp>13547234</stp>
        <tr r="J34" s="1"/>
      </tp>
      <tp>
        <v>8244</v>
        <stp/>
        <stp>166</stp>
        <stp>13547234</stp>
        <tr r="I34" s="1"/>
        <tr r="I34" s="1"/>
      </tp>
      <tp>
        <v>1539</v>
        <stp/>
        <stp>179</stp>
        <stp>13547234</stp>
        <tr r="H36" s="1"/>
      </tp>
      <tp>
        <v>1157.5</v>
        <stp/>
        <stp>178</stp>
        <stp>13547234</stp>
        <tr r="K35" s="1"/>
        <tr r="K35" s="1"/>
      </tp>
      <tp>
        <v>1786.5</v>
        <stp/>
        <stp>171</stp>
        <stp>13547234</stp>
        <tr r="H35" s="1"/>
      </tp>
      <tp>
        <v>4817</v>
        <stp/>
        <stp>170</stp>
        <stp>13547234</stp>
        <tr r="K34" s="1"/>
        <tr r="K34" s="1"/>
      </tp>
      <tp>
        <v>1786.5</v>
        <stp/>
        <stp>173</stp>
        <stp>13547234</stp>
        <tr r="I35" s="1"/>
      </tp>
      <tp>
        <v>1778.5</v>
        <stp/>
        <stp>172</stp>
        <stp>13547234</stp>
        <tr r="H35" s="1"/>
        <tr r="H35" s="1"/>
      </tp>
      <tp>
        <v>1786.5</v>
        <stp/>
        <stp>175</stp>
        <stp>13547234</stp>
        <tr r="J35" s="1"/>
      </tp>
      <tp>
        <v>1788.5</v>
        <stp/>
        <stp>174</stp>
        <stp>13547234</stp>
        <tr r="I35" s="1"/>
        <tr r="I35" s="1"/>
      </tp>
      <tp>
        <v>1786.5</v>
        <stp/>
        <stp>177</stp>
        <stp>13547234</stp>
        <tr r="K35" s="1"/>
      </tp>
      <tp>
        <v>1490</v>
        <stp/>
        <stp>176</stp>
        <stp>13547234</stp>
        <tr r="J35" s="1"/>
        <tr r="J35" s="1"/>
      </tp>
      <tp>
        <v>160.32</v>
        <stp/>
        <stp>209</stp>
        <stp>13547234</stp>
        <tr r="K40" s="1"/>
      </tp>
      <tp>
        <v>688.8</v>
        <stp/>
        <stp>109</stp>
        <stp>13547234</stp>
        <tr r="I24" s="1"/>
      </tp>
      <tp>
        <v>160.76</v>
        <stp/>
        <stp>208</stp>
        <stp>13547234</stp>
        <tr r="J40" s="1"/>
        <tr r="J40" s="1"/>
      </tp>
      <tp>
        <v>709</v>
        <stp/>
        <stp>108</stp>
        <stp>13547234</stp>
        <tr r="H24" s="1"/>
        <tr r="H24" s="1"/>
      </tp>
      <tp>
        <v>240.25</v>
        <stp/>
        <stp>201</stp>
        <stp>13547234</stp>
        <tr r="K39" s="1"/>
      </tp>
      <tp>
        <v>1529</v>
        <stp/>
        <stp>101</stp>
        <stp>13547234</stp>
        <tr r="I23" s="1"/>
      </tp>
      <tp>
        <v>224.53</v>
        <stp/>
        <stp>200</stp>
        <stp>13547234</stp>
        <tr r="J39" s="1"/>
        <tr r="J39" s="1"/>
      </tp>
      <tp>
        <v>1531</v>
        <stp/>
        <stp>100</stp>
        <stp>13547234</stp>
        <tr r="H23" s="1"/>
        <tr r="H23" s="1"/>
      </tp>
      <tp>
        <v>160.32</v>
        <stp/>
        <stp>203</stp>
        <stp>13547234</stp>
        <tr r="H40" s="1"/>
      </tp>
      <tp>
        <v>1529</v>
        <stp/>
        <stp>103</stp>
        <stp>13547234</stp>
        <tr r="J23" s="1"/>
      </tp>
      <tp>
        <v>158.68</v>
        <stp/>
        <stp>202</stp>
        <stp>13547234</stp>
        <tr r="K39" s="1"/>
        <tr r="K39" s="1"/>
      </tp>
      <tp>
        <v>1526.4</v>
        <stp/>
        <stp>102</stp>
        <stp>13547234</stp>
        <tr r="I23" s="1"/>
        <tr r="I23" s="1"/>
      </tp>
      <tp>
        <v>160.32</v>
        <stp/>
        <stp>205</stp>
        <stp>13547234</stp>
        <tr r="I40" s="1"/>
      </tp>
      <tp>
        <v>1529</v>
        <stp/>
        <stp>105</stp>
        <stp>13547234</stp>
        <tr r="K23" s="1"/>
      </tp>
      <tp>
        <v>171.36</v>
        <stp/>
        <stp>204</stp>
        <stp>13547234</stp>
        <tr r="H40" s="1"/>
        <tr r="H40" s="1"/>
      </tp>
      <tp>
        <v>1374.2</v>
        <stp/>
        <stp>104</stp>
        <stp>13547234</stp>
        <tr r="J23" s="1"/>
        <tr r="J23" s="1"/>
      </tp>
      <tp>
        <v>160.32</v>
        <stp/>
        <stp>207</stp>
        <stp>13547234</stp>
        <tr r="J40" s="1"/>
      </tp>
      <tp>
        <v>688.8</v>
        <stp/>
        <stp>107</stp>
        <stp>13547234</stp>
        <tr r="H24" s="1"/>
      </tp>
      <tp>
        <v>166.32</v>
        <stp/>
        <stp>206</stp>
        <stp>13547234</stp>
        <tr r="I40" s="1"/>
        <tr r="I40" s="1"/>
      </tp>
      <tp>
        <v>967.3</v>
        <stp/>
        <stp>106</stp>
        <stp>13547234</stp>
        <tr r="K23" s="1"/>
        <tr r="K23" s="1"/>
      </tp>
      <tp>
        <v>61.09</v>
        <stp/>
        <stp>219</stp>
        <stp>13547234</stp>
        <tr r="D42" s="1"/>
      </tp>
      <tp>
        <v>2195</v>
        <stp/>
        <stp>119</stp>
        <stp>13547234</stp>
        <tr r="J25" s="1"/>
      </tp>
      <tp>
        <v>102.88</v>
        <stp/>
        <stp>218</stp>
        <stp>13547234</stp>
        <tr r="K41" s="1"/>
        <tr r="K41" s="1"/>
      </tp>
      <tp>
        <v>2234</v>
        <stp/>
        <stp>118</stp>
        <stp>13547234</stp>
        <tr r="I25" s="1"/>
        <tr r="I25" s="1"/>
      </tp>
      <tp>
        <v>161.24</v>
        <stp/>
        <stp>211</stp>
        <stp>13547234</stp>
        <tr r="H41" s="1"/>
      </tp>
      <tp>
        <v>688.8</v>
        <stp/>
        <stp>111</stp>
        <stp>13547234</stp>
        <tr r="J24" s="1"/>
      </tp>
      <tp>
        <v>101.22</v>
        <stp/>
        <stp>210</stp>
        <stp>13547234</stp>
        <tr r="K40" s="1"/>
        <tr r="K40" s="1"/>
      </tp>
      <tp>
        <v>711.8</v>
        <stp/>
        <stp>110</stp>
        <stp>13547234</stp>
        <tr r="I24" s="1"/>
        <tr r="I24" s="1"/>
      </tp>
      <tp>
        <v>161.24</v>
        <stp/>
        <stp>213</stp>
        <stp>13547234</stp>
        <tr r="I41" s="1"/>
      </tp>
      <tp>
        <v>688.8</v>
        <stp/>
        <stp>113</stp>
        <stp>13547234</stp>
        <tr r="K24" s="1"/>
      </tp>
      <tp>
        <v>172.52</v>
        <stp/>
        <stp>212</stp>
        <stp>13547234</stp>
        <tr r="H41" s="1"/>
        <tr r="H41" s="1"/>
      </tp>
      <tp>
        <v>584.20000000000005</v>
        <stp/>
        <stp>112</stp>
        <stp>13547234</stp>
        <tr r="J24" s="1"/>
        <tr r="J24" s="1"/>
      </tp>
      <tp>
        <v>161.24</v>
        <stp/>
        <stp>215</stp>
        <stp>13547234</stp>
        <tr r="J41" s="1"/>
      </tp>
      <tp>
        <v>2195</v>
        <stp/>
        <stp>115</stp>
        <stp>13547234</stp>
        <tr r="H25" s="1"/>
      </tp>
      <tp>
        <v>168.83</v>
        <stp/>
        <stp>214</stp>
        <stp>13547234</stp>
        <tr r="I41" s="1"/>
        <tr r="I41" s="1"/>
      </tp>
      <tp>
        <v>562.4</v>
        <stp/>
        <stp>114</stp>
        <stp>13547234</stp>
        <tr r="K24" s="1"/>
        <tr r="K24" s="1"/>
      </tp>
      <tp>
        <v>161.24</v>
        <stp/>
        <stp>217</stp>
        <stp>13547234</stp>
        <tr r="K41" s="1"/>
      </tp>
      <tp>
        <v>2195</v>
        <stp/>
        <stp>117</stp>
        <stp>13547234</stp>
        <tr r="I25" s="1"/>
      </tp>
      <tp>
        <v>156.56</v>
        <stp/>
        <stp>216</stp>
        <stp>13547234</stp>
        <tr r="J41" s="1"/>
        <tr r="J41" s="1"/>
      </tp>
      <tp>
        <v>2235</v>
        <stp/>
        <stp>116</stp>
        <stp>13547234</stp>
        <tr r="H25" s="1"/>
        <tr r="H25" s="1"/>
      </tp>
      <tp>
        <v>282.37</v>
        <stp/>
        <stp>229</stp>
        <stp>13547234</stp>
        <tr r="K42" s="1"/>
      </tp>
      <tp>
        <v>33.055</v>
        <stp/>
        <stp>129</stp>
        <stp>13547234</stp>
        <tr r="K27" s="1"/>
      </tp>
      <tp>
        <v>231.7</v>
        <stp/>
        <stp>228</stp>
        <stp>13547234</stp>
        <tr r="H43" s="1"/>
        <tr r="H43" s="1"/>
      </tp>
      <tp>
        <v>28.164999999999999</v>
        <stp/>
        <stp>128</stp>
        <stp>13547234</stp>
        <tr r="J27" s="1"/>
        <tr r="J27" s="1"/>
      </tp>
      <tp>
        <v>282.37</v>
        <stp/>
        <stp>221</stp>
        <stp>13547234</stp>
        <tr r="H42" s="1"/>
      </tp>
      <tp>
        <v>2195</v>
        <stp/>
        <stp>121</stp>
        <stp>13547234</stp>
        <tr r="K25" s="1"/>
      </tp>
      <tp>
        <v>-4.7E-2</v>
        <stp/>
        <stp>220</stp>
        <stp>13547234</stp>
        <tr r="D42" s="1"/>
        <tr r="D42" s="1"/>
      </tp>
      <tp>
        <v>1946</v>
        <stp/>
        <stp>120</stp>
        <stp>13547234</stp>
        <tr r="J25" s="1"/>
        <tr r="J25" s="1"/>
      </tp>
      <tp>
        <v>282.37</v>
        <stp/>
        <stp>223</stp>
        <stp>13547234</stp>
        <tr r="J42" s="1"/>
      </tp>
      <tp>
        <v>33.055</v>
        <stp/>
        <stp>123</stp>
        <stp>13547234</stp>
        <tr r="H27" s="1"/>
      </tp>
      <tp>
        <v>300.08999999999997</v>
        <stp/>
        <stp>222</stp>
        <stp>13547234</stp>
        <tr r="H42" s="1"/>
        <tr r="H42" s="1"/>
      </tp>
      <tp>
        <v>1417</v>
        <stp/>
        <stp>122</stp>
        <stp>13547234</stp>
        <tr r="K25" s="1"/>
        <tr r="K25" s="1"/>
      </tp>
      <tp>
        <v>282.37</v>
        <stp/>
        <stp>225</stp>
        <stp>13547234</stp>
        <tr r="I42" s="1"/>
      </tp>
      <tp>
        <v>33.055</v>
        <stp/>
        <stp>125</stp>
        <stp>13547234</stp>
        <tr r="I27" s="1"/>
      </tp>
      <tp>
        <v>264.14999999999998</v>
        <stp/>
        <stp>224</stp>
        <stp>13547234</stp>
        <tr r="J42" s="1"/>
        <tr r="J42" s="1"/>
      </tp>
      <tp>
        <v>33.064999999999998</v>
        <stp/>
        <stp>124</stp>
        <stp>13547234</stp>
        <tr r="H27" s="1"/>
        <tr r="H27" s="1"/>
      </tp>
      <tp>
        <v>218.34</v>
        <stp/>
        <stp>227</stp>
        <stp>13547234</stp>
        <tr r="H43" s="1"/>
      </tp>
      <tp>
        <v>33.055</v>
        <stp/>
        <stp>127</stp>
        <stp>13547234</stp>
        <tr r="J27" s="1"/>
      </tp>
      <tp>
        <v>294.08999999999997</v>
        <stp/>
        <stp>226</stp>
        <stp>13547234</stp>
        <tr r="I42" s="1"/>
        <tr r="I42" s="1"/>
      </tp>
      <tp>
        <v>33.229999999999997</v>
        <stp/>
        <stp>126</stp>
        <stp>13547234</stp>
        <tr r="I27" s="1"/>
        <tr r="I27" s="1"/>
      </tp>
      <tp t="s">
        <v>The record could not be found (Error code: 0)</v>
        <stp/>
        <stp>239</stp>
        <stp>13547234</stp>
        <tr r="C44" s="1"/>
      </tp>
      <tp>
        <v>370.3</v>
        <stp/>
        <stp>139</stp>
        <stp>13547234</stp>
        <tr r="H30" s="1"/>
      </tp>
      <tp>
        <v>30.81</v>
        <stp/>
        <stp>238</stp>
        <stp>13547234</stp>
        <tr r="K44" s="1"/>
        <tr r="K44" s="1"/>
      </tp>
      <tp>
        <v>36.46</v>
        <stp/>
        <stp>138</stp>
        <stp>13547234</stp>
        <tr r="K28" s="1"/>
        <tr r="K28" s="1"/>
      </tp>
      <tp>
        <v>218.34</v>
        <stp/>
        <stp>231</stp>
        <stp>13547234</stp>
        <tr r="I43" s="1"/>
      </tp>
      <tp>
        <v>39.549999999999997</v>
        <stp/>
        <stp>131</stp>
        <stp>13547234</stp>
        <tr r="H28" s="1"/>
      </tp>
      <tp>
        <v>190.65</v>
        <stp/>
        <stp>230</stp>
        <stp>13547234</stp>
        <tr r="K42" s="1"/>
        <tr r="K42" s="1"/>
      </tp>
      <tp>
        <v>31.7</v>
        <stp/>
        <stp>130</stp>
        <stp>13547234</stp>
        <tr r="K27" s="1"/>
        <tr r="K27" s="1"/>
      </tp>
      <tp>
        <v>218.34</v>
        <stp/>
        <stp>233</stp>
        <stp>13547234</stp>
        <tr r="J43" s="1"/>
      </tp>
      <tp>
        <v>39.549999999999997</v>
        <stp/>
        <stp>133</stp>
        <stp>13547234</stp>
        <tr r="I28" s="1"/>
      </tp>
      <tp>
        <v>226.02</v>
        <stp/>
        <stp>232</stp>
        <stp>13547234</stp>
        <tr r="I43" s="1"/>
        <tr r="I43" s="1"/>
      </tp>
      <tp>
        <v>39.61</v>
        <stp/>
        <stp>132</stp>
        <stp>13547234</stp>
        <tr r="H28" s="1"/>
        <tr r="H28" s="1"/>
      </tp>
      <tp>
        <v>40.4</v>
        <stp/>
        <stp>235</stp>
        <stp>13547234</stp>
        <tr r="J44" s="1"/>
      </tp>
      <tp>
        <v>39.549999999999997</v>
        <stp/>
        <stp>135</stp>
        <stp>13547234</stp>
        <tr r="J28" s="1"/>
      </tp>
      <tp>
        <v>213.38</v>
        <stp/>
        <stp>234</stp>
        <stp>13547234</stp>
        <tr r="J43" s="1"/>
        <tr r="J43" s="1"/>
      </tp>
      <tp>
        <v>39.1</v>
        <stp/>
        <stp>134</stp>
        <stp>13547234</stp>
        <tr r="I28" s="1"/>
        <tr r="I28" s="1"/>
      </tp>
      <tp>
        <v>40.4</v>
        <stp/>
        <stp>237</stp>
        <stp>13547234</stp>
        <tr r="K44" s="1"/>
      </tp>
      <tp>
        <v>39.549999999999997</v>
        <stp/>
        <stp>137</stp>
        <stp>13547234</stp>
        <tr r="K28" s="1"/>
      </tp>
      <tp>
        <v>40.369999999999997</v>
        <stp/>
        <stp>236</stp>
        <stp>13547234</stp>
        <tr r="J44" s="1"/>
        <tr r="J44" s="1"/>
      </tp>
      <tp>
        <v>36.28</v>
        <stp/>
        <stp>136</stp>
        <stp>13547234</stp>
        <tr r="J28" s="1"/>
        <tr r="J28" s="1"/>
      </tp>
      <tp>
        <v>120.57</v>
        <stp/>
        <stp>189</stp>
        <stp>13547234</stp>
        <tr r="I38" s="1"/>
      </tp>
      <tp>
        <v>1067.5</v>
        <stp/>
        <stp>188</stp>
        <stp>13547234</stp>
        <tr r="K36" s="1"/>
        <tr r="K36" s="1"/>
      </tp>
      <tp>
        <v>1539</v>
        <stp/>
        <stp>181</stp>
        <stp>13547234</stp>
        <tr r="I36" s="1"/>
      </tp>
      <tp>
        <v>1559</v>
        <stp/>
        <stp>180</stp>
        <stp>13547234</stp>
        <tr r="H36" s="1"/>
        <tr r="H36" s="1"/>
      </tp>
      <tp>
        <v>1539</v>
        <stp/>
        <stp>183</stp>
        <stp>13547234</stp>
        <tr r="J36" s="1"/>
      </tp>
      <tp>
        <v>1550</v>
        <stp/>
        <stp>182</stp>
        <stp>13547234</stp>
        <tr r="I36" s="1"/>
        <tr r="I36" s="1"/>
      </tp>
      <tp>
        <v>120.57</v>
        <stp/>
        <stp>185</stp>
        <stp>13547234</stp>
        <tr r="H38" s="1"/>
      </tp>
      <tp>
        <v>1273</v>
        <stp/>
        <stp>184</stp>
        <stp>13547234</stp>
        <tr r="J36" s="1"/>
        <tr r="J36" s="1"/>
      </tp>
      <tp>
        <v>1539</v>
        <stp/>
        <stp>187</stp>
        <stp>13547234</stp>
        <tr r="K36" s="1"/>
      </tp>
      <tp>
        <v>126.7</v>
        <stp/>
        <stp>186</stp>
        <stp>13547234</stp>
        <tr r="H38" s="1"/>
        <tr r="H38" s="1"/>
      </tp>
      <tp>
        <v>240.25</v>
        <stp/>
        <stp>199</stp>
        <stp>13547234</stp>
        <tr r="J39" s="1"/>
      </tp>
      <tp>
        <v>253.47</v>
        <stp/>
        <stp>198</stp>
        <stp>13547234</stp>
        <tr r="I39" s="1"/>
        <tr r="I39" s="1"/>
      </tp>
      <tp>
        <v>120.57</v>
        <stp/>
        <stp>191</stp>
        <stp>13547234</stp>
        <tr r="J38" s="1"/>
      </tp>
      <tp>
        <v>123.55</v>
        <stp/>
        <stp>190</stp>
        <stp>13547234</stp>
        <tr r="I38" s="1"/>
        <tr r="I38" s="1"/>
      </tp>
      <tp>
        <v>120.57</v>
        <stp/>
        <stp>193</stp>
        <stp>13547234</stp>
        <tr r="K38" s="1"/>
      </tp>
      <tp>
        <v>110.98</v>
        <stp/>
        <stp>192</stp>
        <stp>13547234</stp>
        <tr r="J38" s="1"/>
        <tr r="J38" s="1"/>
      </tp>
      <tp>
        <v>240.25</v>
        <stp/>
        <stp>195</stp>
        <stp>13547234</stp>
        <tr r="H39" s="1"/>
      </tp>
      <tp>
        <v>79.7</v>
        <stp/>
        <stp>194</stp>
        <stp>13547234</stp>
        <tr r="K38" s="1"/>
        <tr r="K38" s="1"/>
      </tp>
      <tp>
        <v>240.25</v>
        <stp/>
        <stp>197</stp>
        <stp>13547234</stp>
        <tr r="I39" s="1"/>
      </tp>
      <tp>
        <v>257.05</v>
        <stp/>
        <stp>196</stp>
        <stp>13547234</stp>
        <tr r="H39" s="1"/>
        <tr r="H39" s="1"/>
      </tp>
      <tp>
        <v>61.69</v>
        <stp/>
        <stp>13</stp>
        <stp>13547234</stp>
        <tr r="I9" s="1"/>
      </tp>
      <tp>
        <v>63.89</v>
        <stp/>
        <stp>12</stp>
        <stp>13547234</stp>
        <tr r="H9" s="1"/>
        <tr r="H9" s="1"/>
      </tp>
      <tp>
        <v>61.69</v>
        <stp/>
        <stp>11</stp>
        <stp>13547234</stp>
        <tr r="H9" s="1"/>
      </tp>
      <tp>
        <v>95.26</v>
        <stp/>
        <stp>10</stp>
        <stp>13547234</stp>
        <tr r="K8" s="1"/>
        <tr r="K8" s="1"/>
      </tp>
      <tp>
        <v>61.69</v>
        <stp/>
        <stp>17</stp>
        <stp>13547234</stp>
        <tr r="K9" s="1"/>
      </tp>
      <tp>
        <v>51.8</v>
        <stp/>
        <stp>16</stp>
        <stp>13547234</stp>
        <tr r="J9" s="1"/>
        <tr r="J9" s="1"/>
      </tp>
      <tp>
        <v>61.69</v>
        <stp/>
        <stp>15</stp>
        <stp>13547234</stp>
        <tr r="J9" s="1"/>
      </tp>
      <tp>
        <v>63.86</v>
        <stp/>
        <stp>14</stp>
        <stp>13547234</stp>
        <tr r="I9" s="1"/>
        <tr r="I9" s="1"/>
      </tp>
      <tp>
        <v>351.58</v>
        <stp/>
        <stp>19</stp>
        <stp>13547234</stp>
        <tr r="H10" s="1"/>
      </tp>
      <tp>
        <v>49.48</v>
        <stp/>
        <stp>18</stp>
        <stp>13547234</stp>
        <tr r="K9" s="1"/>
        <tr r="K9" s="1"/>
      </tp>
      <tp>
        <v>351.58</v>
        <stp/>
        <stp>23</stp>
        <stp>13547234</stp>
        <tr r="I10" s="1"/>
      </tp>
      <tp>
        <v>306.38</v>
        <stp/>
        <stp>22</stp>
        <stp>13547234</stp>
        <tr r="J10" s="1"/>
        <tr r="J10" s="1"/>
      </tp>
      <tp>
        <v>351.58</v>
        <stp/>
        <stp>21</stp>
        <stp>13547234</stp>
        <tr r="J10" s="1"/>
      </tp>
      <tp>
        <v>360.96</v>
        <stp/>
        <stp>20</stp>
        <stp>13547234</stp>
        <tr r="H10" s="1"/>
        <tr r="H10" s="1"/>
      </tp>
      <tp>
        <v>1039.28</v>
        <stp/>
        <stp>27</stp>
        <stp>13547234</stp>
        <tr r="H11" s="1"/>
      </tp>
      <tp>
        <v>296.24</v>
        <stp/>
        <stp>26</stp>
        <stp>13547234</stp>
        <tr r="K10" s="1"/>
        <tr r="K10" s="1"/>
      </tp>
      <tp>
        <v>351.58</v>
        <stp/>
        <stp>25</stp>
        <stp>13547234</stp>
        <tr r="K10" s="1"/>
      </tp>
      <tp>
        <v>359.79</v>
        <stp/>
        <stp>24</stp>
        <stp>13547234</stp>
        <tr r="I10" s="1"/>
        <tr r="I10" s="1"/>
      </tp>
      <tp>
        <v>1039.28</v>
        <stp/>
        <stp>29</stp>
        <stp>13547234</stp>
        <tr r="I11" s="1"/>
      </tp>
      <tp>
        <v>1051.31</v>
        <stp/>
        <stp>28</stp>
        <stp>13547234</stp>
        <tr r="H11" s="1"/>
        <tr r="H11" s="1"/>
      </tp>
      <tp>
        <v>1039.28</v>
        <stp/>
        <stp>33</stp>
        <stp>13547234</stp>
        <tr r="K11" s="1"/>
      </tp>
      <tp>
        <v>996.73</v>
        <stp/>
        <stp>32</stp>
        <stp>13547234</stp>
        <tr r="J11" s="1"/>
        <tr r="J11" s="1"/>
      </tp>
      <tp>
        <v>1039.28</v>
        <stp/>
        <stp>31</stp>
        <stp>13547234</stp>
        <tr r="J11" s="1"/>
      </tp>
      <tp>
        <v>1034.51</v>
        <stp/>
        <stp>30</stp>
        <stp>13547234</stp>
        <tr r="I11" s="1"/>
        <tr r="I11" s="1"/>
      </tp>
      <tp>
        <v>214.2</v>
        <stp/>
        <stp>37</stp>
        <stp>13547234</stp>
        <tr r="I12" s="1"/>
      </tp>
      <tp>
        <v>218.21</v>
        <stp/>
        <stp>36</stp>
        <stp>13547234</stp>
        <tr r="H12" s="1"/>
        <tr r="H12" s="1"/>
      </tp>
      <tp>
        <v>214.2</v>
        <stp/>
        <stp>35</stp>
        <stp>13547234</stp>
        <tr r="H12" s="1"/>
      </tp>
      <tp>
        <v>741.89</v>
        <stp/>
        <stp>34</stp>
        <stp>13547234</stp>
        <tr r="K11" s="1"/>
        <tr r="K11" s="1"/>
      </tp>
      <tp>
        <v>214.2</v>
        <stp/>
        <stp>39</stp>
        <stp>13547234</stp>
        <tr r="J12" s="1"/>
      </tp>
      <tp>
        <v>215.33</v>
        <stp/>
        <stp>38</stp>
        <stp>13547234</stp>
        <tr r="I12" s="1"/>
        <tr r="I12" s="1"/>
      </tp>
      <tp>
        <v>83.84</v>
        <stp/>
        <stp>43</stp>
        <stp>13547234</stp>
        <tr r="H13" s="1"/>
      </tp>
      <tp>
        <v>148.02000000000001</v>
        <stp/>
        <stp>42</stp>
        <stp>13547234</stp>
        <tr r="K12" s="1"/>
        <tr r="K12" s="1"/>
      </tp>
      <tp>
        <v>214.2</v>
        <stp/>
        <stp>41</stp>
        <stp>13547234</stp>
        <tr r="K12" s="1"/>
      </tp>
      <tp>
        <v>201.03</v>
        <stp/>
        <stp>40</stp>
        <stp>13547234</stp>
        <tr r="J12" s="1"/>
        <tr r="J12" s="1"/>
      </tp>
      <tp>
        <v>83.84</v>
        <stp/>
        <stp>47</stp>
        <stp>13547234</stp>
        <tr r="J13" s="1"/>
      </tp>
      <tp>
        <v>87.52</v>
        <stp/>
        <stp>46</stp>
        <stp>13547234</stp>
        <tr r="I13" s="1"/>
        <tr r="I13" s="1"/>
      </tp>
      <tp>
        <v>83.84</v>
        <stp/>
        <stp>45</stp>
        <stp>13547234</stp>
        <tr r="I13" s="1"/>
      </tp>
      <tp>
        <v>87.54</v>
        <stp/>
        <stp>44</stp>
        <stp>13547234</stp>
        <tr r="H13" s="1"/>
        <tr r="H13" s="1"/>
      </tp>
      <tp>
        <v>83.84</v>
        <stp/>
        <stp>49</stp>
        <stp>13547234</stp>
        <tr r="K13" s="1"/>
      </tp>
      <tp>
        <v>76.400000000000006</v>
        <stp/>
        <stp>48</stp>
        <stp>13547234</stp>
        <tr r="J13" s="1"/>
        <tr r="J13" s="1"/>
      </tp>
      <tp>
        <v>187.13</v>
        <stp/>
        <stp>53</stp>
        <stp>13547234</stp>
        <tr r="I14" s="1"/>
      </tp>
      <tp>
        <v>193.04</v>
        <stp/>
        <stp>52</stp>
        <stp>13547234</stp>
        <tr r="H14" s="1"/>
        <tr r="H14" s="1"/>
      </tp>
      <tp>
        <v>187.13</v>
        <stp/>
        <stp>51</stp>
        <stp>13547234</stp>
        <tr r="H14" s="1"/>
      </tp>
      <tp>
        <v>79.099999999999994</v>
        <stp/>
        <stp>50</stp>
        <stp>13547234</stp>
        <tr r="K13" s="1"/>
        <tr r="K13" s="1"/>
      </tp>
      <tp>
        <v>187.13</v>
        <stp/>
        <stp>57</stp>
        <stp>13547234</stp>
        <tr r="K14" s="1"/>
      </tp>
      <tp>
        <v>153.94999999999999</v>
        <stp/>
        <stp>56</stp>
        <stp>13547234</stp>
        <tr r="J14" s="1"/>
        <tr r="J14" s="1"/>
      </tp>
      <tp>
        <v>187.13</v>
        <stp/>
        <stp>55</stp>
        <stp>13547234</stp>
        <tr r="J14" s="1"/>
      </tp>
      <tp>
        <v>186.68</v>
        <stp/>
        <stp>54</stp>
        <stp>13547234</stp>
        <tr r="I14" s="1"/>
        <tr r="I14" s="1"/>
      </tp>
      <tp>
        <v>106.8</v>
        <stp/>
        <stp>59</stp>
        <stp>13547234</stp>
        <tr r="H16" s="1"/>
      </tp>
      <tp>
        <v>115.48</v>
        <stp/>
        <stp>58</stp>
        <stp>13547234</stp>
        <tr r="K14" s="1"/>
        <tr r="K14" s="1"/>
      </tp>
      <tp>
        <v>106.8</v>
        <stp/>
        <stp>63</stp>
        <stp>13547234</stp>
        <tr r="J16" s="1"/>
      </tp>
      <tp>
        <v>112.8</v>
        <stp/>
        <stp>62</stp>
        <stp>13547234</stp>
        <tr r="I16" s="1"/>
        <tr r="I16" s="1"/>
      </tp>
      <tp>
        <v>106.8</v>
        <stp/>
        <stp>61</stp>
        <stp>13547234</stp>
        <tr r="I16" s="1"/>
      </tp>
      <tp>
        <v>111.14</v>
        <stp/>
        <stp>60</stp>
        <stp>13547234</stp>
        <tr r="H16" s="1"/>
        <tr r="H16" s="1"/>
      </tp>
      <tp>
        <v>106.8</v>
        <stp/>
        <stp>67</stp>
        <stp>13547234</stp>
        <tr r="K16" s="1"/>
      </tp>
      <tp>
        <v>20.07</v>
        <stp/>
        <stp>66</stp>
        <stp>13547234</stp>
        <tr r="H17" s="1"/>
        <tr r="H17" s="1"/>
      </tp>
      <tp>
        <v>19.085000000000001</v>
        <stp/>
        <stp>65</stp>
        <stp>13547234</stp>
        <tr r="H17" s="1"/>
      </tp>
      <tp>
        <v>89.93</v>
        <stp/>
        <stp>64</stp>
        <stp>13547234</stp>
        <tr r="J16" s="1"/>
        <tr r="J16" s="1"/>
      </tp>
      <tp>
        <v>19.085000000000001</v>
        <stp/>
        <stp>69</stp>
        <stp>13547234</stp>
        <tr r="I17" s="1"/>
      </tp>
      <tp>
        <v>83.38</v>
        <stp/>
        <stp>68</stp>
        <stp>13547234</stp>
        <tr r="K16" s="1"/>
        <tr r="K16" s="1"/>
      </tp>
      <tp>
        <v>19.085000000000001</v>
        <stp/>
        <stp>73</stp>
        <stp>13547234</stp>
        <tr r="K17" s="1"/>
      </tp>
      <tp>
        <v>17.260000000000002</v>
        <stp/>
        <stp>72</stp>
        <stp>13547234</stp>
        <tr r="J17" s="1"/>
        <tr r="J17" s="1"/>
      </tp>
      <tp>
        <v>19.085000000000001</v>
        <stp/>
        <stp>71</stp>
        <stp>13547234</stp>
        <tr r="J17" s="1"/>
      </tp>
      <tp>
        <v>19.93</v>
        <stp/>
        <stp>70</stp>
        <stp>13547234</stp>
        <tr r="I17" s="1"/>
        <tr r="I17" s="1"/>
      </tp>
      <tp>
        <v>75.64</v>
        <stp/>
        <stp>77</stp>
        <stp>13547234</stp>
        <tr r="I18" s="1"/>
      </tp>
      <tp>
        <v>82.14</v>
        <stp/>
        <stp>76</stp>
        <stp>13547234</stp>
        <tr r="H18" s="1"/>
        <tr r="H18" s="1"/>
      </tp>
      <tp>
        <v>75.64</v>
        <stp/>
        <stp>75</stp>
        <stp>13547234</stp>
        <tr r="H18" s="1"/>
      </tp>
      <tp>
        <v>17.055</v>
        <stp/>
        <stp>74</stp>
        <stp>13547234</stp>
        <tr r="K17" s="1"/>
        <tr r="K17" s="1"/>
      </tp>
      <tp>
        <v>75.64</v>
        <stp/>
        <stp>79</stp>
        <stp>13547234</stp>
        <tr r="J18" s="1"/>
      </tp>
      <tp>
        <v>84</v>
        <stp/>
        <stp>78</stp>
        <stp>13547234</stp>
        <tr r="I18" s="1"/>
        <tr r="I18" s="1"/>
      </tp>
      <tp>
        <v>43.2</v>
        <stp/>
        <stp>83</stp>
        <stp>13547234</stp>
        <tr r="H20" s="1"/>
      </tp>
      <tp>
        <v>57.84</v>
        <stp/>
        <stp>82</stp>
        <stp>13547234</stp>
        <tr r="K18" s="1"/>
        <tr r="K18" s="1"/>
      </tp>
      <tp>
        <v>75.64</v>
        <stp/>
        <stp>81</stp>
        <stp>13547234</stp>
        <tr r="K18" s="1"/>
      </tp>
      <tp>
        <v>68.8</v>
        <stp/>
        <stp>80</stp>
        <stp>13547234</stp>
        <tr r="J18" s="1"/>
        <tr r="J18" s="1"/>
      </tp>
      <tp>
        <v>43.2</v>
        <stp/>
        <stp>87</stp>
        <stp>13547234</stp>
        <tr r="K20" s="1"/>
      </tp>
      <tp>
        <v>43.83</v>
        <stp/>
        <stp>86</stp>
        <stp>13547234</stp>
        <tr r="I20" s="1"/>
        <tr r="I20" s="1"/>
      </tp>
      <tp>
        <v>43.2</v>
        <stp/>
        <stp>85</stp>
        <stp>13547234</stp>
        <tr r="I20" s="1"/>
      </tp>
      <tp>
        <v>43.55</v>
        <stp/>
        <stp>84</stp>
        <stp>13547234</stp>
        <tr r="H20" s="1"/>
        <tr r="H20" s="1"/>
      </tp>
      <tp>
        <v>43.2</v>
        <stp/>
        <stp>89</stp>
        <stp>13547234</stp>
        <tr r="J20" s="1"/>
      </tp>
      <tp>
        <v>32.32</v>
        <stp/>
        <stp>88</stp>
        <stp>13547234</stp>
        <tr r="K20" s="1"/>
        <tr r="K20" s="1"/>
      </tp>
      <tp>
        <v>495.35</v>
        <stp/>
        <stp>93</stp>
        <stp>13547234</stp>
        <tr r="I22" s="1"/>
      </tp>
      <tp>
        <v>515.4</v>
        <stp/>
        <stp>92</stp>
        <stp>13547234</stp>
        <tr r="H22" s="1"/>
        <tr r="H22" s="1"/>
      </tp>
      <tp>
        <v>495.35</v>
        <stp/>
        <stp>91</stp>
        <stp>13547234</stp>
        <tr r="H22" s="1"/>
      </tp>
      <tp>
        <v>37.090000000000003</v>
        <stp/>
        <stp>90</stp>
        <stp>13547234</stp>
        <tr r="J20" s="1"/>
        <tr r="J20" s="1"/>
      </tp>
      <tp>
        <v>495.35</v>
        <stp/>
        <stp>97</stp>
        <stp>13547234</stp>
        <tr r="K22" s="1"/>
      </tp>
      <tp>
        <v>445.8</v>
        <stp/>
        <stp>96</stp>
        <stp>13547234</stp>
        <tr r="J22" s="1"/>
        <tr r="J22" s="1"/>
      </tp>
      <tp>
        <v>495.35</v>
        <stp/>
        <stp>95</stp>
        <stp>13547234</stp>
        <tr r="J22" s="1"/>
      </tp>
      <tp>
        <v>518</v>
        <stp/>
        <stp>94</stp>
        <stp>13547234</stp>
        <tr r="I22" s="1"/>
        <tr r="I22" s="1"/>
      </tp>
      <tp>
        <v>1529</v>
        <stp/>
        <stp>99</stp>
        <stp>13547234</stp>
        <tr r="H23" s="1"/>
      </tp>
      <tp>
        <v>376.45</v>
        <stp/>
        <stp>98</stp>
        <stp>13547234</stp>
        <tr r="K22" s="1"/>
        <tr r="K22" s="1"/>
      </tp>
      <tp>
        <v>131.65</v>
        <stp/>
        <stp>7</stp>
        <stp>13547234</stp>
        <tr r="I8" s="1"/>
      </tp>
      <tp>
        <v>125.09</v>
        <stp/>
        <stp>6</stp>
        <stp>13547234</stp>
        <tr r="J8" s="1"/>
        <tr r="J8" s="1"/>
      </tp>
      <tp>
        <v>131.65</v>
        <stp/>
        <stp>5</stp>
        <stp>13547234</stp>
        <tr r="J8" s="1"/>
      </tp>
      <tp>
        <v>138.51</v>
        <stp/>
        <stp>4</stp>
        <stp>13547234</stp>
        <tr r="H8" s="1"/>
        <tr r="H8" s="1"/>
      </tp>
      <tp>
        <v>131.65</v>
        <stp/>
        <stp>3</stp>
        <stp>13547234</stp>
        <tr r="H8" s="1"/>
      </tp>
      <tp t="s">
        <v>The formula must contain at least one field or function.</v>
        <stp/>
        <stp>2</stp>
        <stp>13547234</stp>
        <tr r="M5" s="1"/>
      </tp>
      <tp t="s">
        <v>The formula must contain at least one field or function.</v>
        <stp/>
        <stp>1</stp>
        <stp>13547234</stp>
        <tr r="M2" s="1"/>
      </tp>
      <tp>
        <v>131.65</v>
        <stp/>
        <stp>9</stp>
        <stp>13547234</stp>
        <tr r="K8" s="1"/>
      </tp>
      <tp>
        <v>135.22</v>
        <stp/>
        <stp>8</stp>
        <stp>13547234</stp>
        <tr r="I8" s="1"/>
        <tr r="I8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CA"/>
              <a:t>Composite Risk Score by Bank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C14-4BF4-BA99-8D63BE6D9D3F}"/>
            </c:ext>
          </c:extLst>
        </c:ser>
        <c:ser>
          <c:idx val="1"/>
          <c:order val="1"/>
          <c:tx>
            <c:v>Composite Risk Score</c:v>
          </c:tx>
          <c:invertIfNegative val="1"/>
          <c:cat>
            <c:strRef>
              <c:f>'Risk Score Model'!$A$8:$A$44</c:f>
              <c:strCache>
                <c:ptCount val="37"/>
                <c:pt idx="0">
                  <c:v>Citigroup</c:v>
                </c:pt>
                <c:pt idx="1">
                  <c:v>Bank of America</c:v>
                </c:pt>
                <c:pt idx="2">
                  <c:v>JPMorgan Chase</c:v>
                </c:pt>
                <c:pt idx="3">
                  <c:v>Goldman Sachs</c:v>
                </c:pt>
                <c:pt idx="4">
                  <c:v>Morgan Stanley</c:v>
                </c:pt>
                <c:pt idx="5">
                  <c:v>Wells Fargo</c:v>
                </c:pt>
                <c:pt idx="6">
                  <c:v>State Street Bank</c:v>
                </c:pt>
                <c:pt idx="7">
                  <c:v>France</c:v>
                </c:pt>
                <c:pt idx="8">
                  <c:v>BNP Paribas SA</c:v>
                </c:pt>
                <c:pt idx="9">
                  <c:v>Credit Agricole SA</c:v>
                </c:pt>
                <c:pt idx="10">
                  <c:v>Societe Generale</c:v>
                </c:pt>
                <c:pt idx="11">
                  <c:v>Switzerland</c:v>
                </c:pt>
                <c:pt idx="12">
                  <c:v>UBS Group AG</c:v>
                </c:pt>
                <c:pt idx="13">
                  <c:v>U.K.</c:v>
                </c:pt>
                <c:pt idx="14">
                  <c:v>Barclays Bank PLC</c:v>
                </c:pt>
                <c:pt idx="15">
                  <c:v>HSBC Holdings PLC</c:v>
                </c:pt>
                <c:pt idx="16">
                  <c:v>RBS Group PLC</c:v>
                </c:pt>
                <c:pt idx="17">
                  <c:v>Standard Chartered</c:v>
                </c:pt>
                <c:pt idx="18">
                  <c:v>Germany</c:v>
                </c:pt>
                <c:pt idx="19">
                  <c:v>Deutsche Bank AG</c:v>
                </c:pt>
                <c:pt idx="20">
                  <c:v>Commerzbank</c:v>
                </c:pt>
                <c:pt idx="21">
                  <c:v>Denmark</c:v>
                </c:pt>
                <c:pt idx="22">
                  <c:v>Danske</c:v>
                </c:pt>
                <c:pt idx="23">
                  <c:v>Japan</c:v>
                </c:pt>
                <c:pt idx="24">
                  <c:v>Mitsubishi</c:v>
                </c:pt>
                <c:pt idx="25">
                  <c:v>Sumitomo</c:v>
                </c:pt>
                <c:pt idx="26">
                  <c:v>Mizuho</c:v>
                </c:pt>
                <c:pt idx="27">
                  <c:v>Daiwa</c:v>
                </c:pt>
                <c:pt idx="28">
                  <c:v>Nomura</c:v>
                </c:pt>
                <c:pt idx="29">
                  <c:v>Canada</c:v>
                </c:pt>
                <c:pt idx="30">
                  <c:v>Bank of Nova Scotia</c:v>
                </c:pt>
                <c:pt idx="31">
                  <c:v>BMO</c:v>
                </c:pt>
                <c:pt idx="32">
                  <c:v>CIBC</c:v>
                </c:pt>
                <c:pt idx="33">
                  <c:v>TD</c:v>
                </c:pt>
                <c:pt idx="34">
                  <c:v>RBC</c:v>
                </c:pt>
                <c:pt idx="35">
                  <c:v>Nationale</c:v>
                </c:pt>
                <c:pt idx="36">
                  <c:v>Laurentian</c:v>
                </c:pt>
              </c:strCache>
            </c:strRef>
          </c:cat>
          <c:val>
            <c:numRef>
              <c:f>'Risk Score Model'!$G$8:$G$44</c:f>
              <c:numCache>
                <c:formatCode>0.0;[Red]\(0.0\);\-</c:formatCode>
                <c:ptCount val="37"/>
                <c:pt idx="0">
                  <c:v>56.680000000000007</c:v>
                </c:pt>
                <c:pt idx="1">
                  <c:v>73.319999999999993</c:v>
                </c:pt>
                <c:pt idx="2">
                  <c:v>20</c:v>
                </c:pt>
                <c:pt idx="3">
                  <c:v>49.98</c:v>
                </c:pt>
                <c:pt idx="4">
                  <c:v>73.36</c:v>
                </c:pt>
                <c:pt idx="5">
                  <c:v>49.96</c:v>
                </c:pt>
                <c:pt idx="6">
                  <c:v>26.660000000000004</c:v>
                </c:pt>
                <c:pt idx="8">
                  <c:v>0</c:v>
                </c:pt>
                <c:pt idx="9">
                  <c:v>30</c:v>
                </c:pt>
                <c:pt idx="10">
                  <c:v>100</c:v>
                </c:pt>
                <c:pt idx="12">
                  <c:v>0</c:v>
                </c:pt>
                <c:pt idx="14">
                  <c:v>100</c:v>
                </c:pt>
                <c:pt idx="15">
                  <c:v>0</c:v>
                </c:pt>
                <c:pt idx="16">
                  <c:v>66.64</c:v>
                </c:pt>
                <c:pt idx="17">
                  <c:v>33.340000000000003</c:v>
                </c:pt>
                <c:pt idx="19">
                  <c:v>100</c:v>
                </c:pt>
                <c:pt idx="20">
                  <c:v>0</c:v>
                </c:pt>
                <c:pt idx="22">
                  <c:v>0</c:v>
                </c:pt>
                <c:pt idx="24">
                  <c:v>60</c:v>
                </c:pt>
                <c:pt idx="25">
                  <c:v>25</c:v>
                </c:pt>
                <c:pt idx="26">
                  <c:v>40</c:v>
                </c:pt>
                <c:pt idx="27">
                  <c:v>45</c:v>
                </c:pt>
                <c:pt idx="28">
                  <c:v>80</c:v>
                </c:pt>
                <c:pt idx="30">
                  <c:v>36</c:v>
                </c:pt>
                <c:pt idx="31">
                  <c:v>52</c:v>
                </c:pt>
                <c:pt idx="32">
                  <c:v>76</c:v>
                </c:pt>
                <c:pt idx="33">
                  <c:v>32</c:v>
                </c:pt>
                <c:pt idx="34">
                  <c:v>72</c:v>
                </c:pt>
                <c:pt idx="35">
                  <c:v>32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4-4BF4-BA99-8D63BE6D9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1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0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13</xdr:row>
      <xdr:rowOff>0</xdr:rowOff>
    </xdr:from>
    <xdr:to>
      <xdr:col>17</xdr:col>
      <xdr:colOff>0</xdr:colOff>
      <xdr:row>42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5F02A0E3-C32E-48CE-B969-D4ABB72B01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ofcanada.sharepoint.com/sites/D_FER_CRA/mcrag/RA%20Materials/Biweekly%20Meetings/Bi-Weekly%20Templates/CRAO%20-%20Markets%20Monitoring.xlsx" TargetMode="External"/><Relationship Id="rId1" Type="http://schemas.openxmlformats.org/officeDocument/2006/relationships/externalLinkPath" Target="https://bankofcanada.sharepoint.com/sites/D_FER_CRA/mcrag/RA%20Materials/Biweekly%20Meetings/Bi-Weekly%20Templates/CRAO%20-%20Markets%20Monitor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Log"/>
      <sheetName val="Bloomberg Codes"/>
      <sheetName val="_CIQHiddenCacheSheet"/>
      <sheetName val="Report"/>
      <sheetName val="TimeSeries_provinces_5yr"/>
      <sheetName val="TimeSeries_provinces"/>
      <sheetName val="Provinces"/>
      <sheetName val="Sovereign Indicators"/>
      <sheetName val="Bank Indicators"/>
      <sheetName val="DebtDist"/>
      <sheetName val="List"/>
    </sheetNames>
    <sheetDataSet>
      <sheetData sheetId="0" refreshError="1"/>
      <sheetData sheetId="1" refreshError="1"/>
      <sheetData sheetId="2">
        <row r="2">
          <cell r="O2" t="str">
            <v>Rating Code</v>
          </cell>
          <cell r="P2" t="str">
            <v>Equity Data</v>
          </cell>
          <cell r="Q2" t="str">
            <v>CDS 5Y</v>
          </cell>
          <cell r="R2" t="str">
            <v>CDS 1Y</v>
          </cell>
          <cell r="S2" t="str">
            <v>Corp Bond 5Y</v>
          </cell>
          <cell r="T2" t="str">
            <v>Liquidity Ratios</v>
          </cell>
          <cell r="U2" t="str">
            <v>General Debt Profile/Credit Tred</v>
          </cell>
        </row>
        <row r="3">
          <cell r="A3" t="str">
            <v>America</v>
          </cell>
          <cell r="N3" t="str">
            <v>Citigroup</v>
          </cell>
          <cell r="O3" t="str">
            <v>C US Equity</v>
          </cell>
          <cell r="P3" t="str">
            <v>C US Equity</v>
          </cell>
          <cell r="Q3" t="str">
            <v>CCGI1U5 CBIN Curncy</v>
          </cell>
          <cell r="R3" t="str">
            <v>CINC CDS USD SR 1Y D14</v>
          </cell>
          <cell r="S3" t="str">
            <v>C GB USD SR 5Y Corp</v>
          </cell>
        </row>
        <row r="4">
          <cell r="A4" t="str">
            <v>BRAZIL</v>
          </cell>
          <cell r="B4" t="str">
            <v>1323Z BZ Equity</v>
          </cell>
          <cell r="C4" t="str">
            <v>BRAZIL CDS USD SR 5Y D14 Corp</v>
          </cell>
          <cell r="D4" t="str">
            <v>GTBRL5Y Govt</v>
          </cell>
          <cell r="E4" t="str">
            <v>BCSWNPD Curncy</v>
          </cell>
          <cell r="F4" t="str">
            <v>IBOV Index</v>
          </cell>
          <cell r="G4" t="str">
            <v>USDBRL Curncy</v>
          </cell>
          <cell r="J4" t="str">
            <v>BZUETOTN Index</v>
          </cell>
          <cell r="N4" t="str">
            <v>Bank of America</v>
          </cell>
          <cell r="O4" t="str">
            <v>15581Z US Equity</v>
          </cell>
          <cell r="P4" t="str">
            <v>BAC US Equity</v>
          </cell>
          <cell r="Q4" t="str">
            <v>CBAC1U5 CBIN Curncy</v>
          </cell>
          <cell r="R4" t="str">
            <v>BOFA CDS USD SR 1Y D14</v>
          </cell>
          <cell r="S4" t="str">
            <v>BAC GB USD SR 5Y Corp</v>
          </cell>
        </row>
        <row r="5">
          <cell r="A5" t="str">
            <v>CANADA</v>
          </cell>
          <cell r="B5" t="str">
            <v>80710Z CN Equity</v>
          </cell>
          <cell r="C5" t="str">
            <v>CANPAC CDS USD SR 5Y D14 Corp</v>
          </cell>
          <cell r="D5" t="str">
            <v>GCAN5YR Index</v>
          </cell>
          <cell r="E5" t="str">
            <v>CDSW5 Curncy</v>
          </cell>
          <cell r="F5" t="str">
            <v>SPTSX Index</v>
          </cell>
          <cell r="G5" t="str">
            <v>USDCAD Curncy</v>
          </cell>
          <cell r="H5" t="str">
            <v>CACPIYOY Index</v>
          </cell>
          <cell r="I5" t="str">
            <v>CACPICHG Index</v>
          </cell>
          <cell r="J5" t="str">
            <v>CANLXEMR Index</v>
          </cell>
          <cell r="N5" t="str">
            <v>JPMorgan Chase &amp; Co</v>
          </cell>
          <cell r="O5" t="str">
            <v>8147Z US Equity</v>
          </cell>
          <cell r="P5" t="str">
            <v>JPM US Equity</v>
          </cell>
          <cell r="Q5" t="str">
            <v>CJPM1U5 CBIN Curncy</v>
          </cell>
          <cell r="R5" t="str">
            <v>JPMCC CDS USD SR 1Y D14</v>
          </cell>
          <cell r="S5" t="str">
            <v>JPM GB USD SR 5Y Corp</v>
          </cell>
        </row>
        <row r="6">
          <cell r="A6" t="str">
            <v>MEXICO</v>
          </cell>
          <cell r="B6" t="str">
            <v>1426Z MM Equity</v>
          </cell>
          <cell r="C6" t="str">
            <v>MEXICO CDS USD SR 5Y D14 Corp</v>
          </cell>
          <cell r="D6" t="str">
            <v>GMXN05YR Index</v>
          </cell>
          <cell r="E6" t="str">
            <v>MPSW5E Curncy</v>
          </cell>
          <cell r="F6" t="str">
            <v>MEXBOL Index</v>
          </cell>
          <cell r="G6" t="str">
            <v>USDMXN Curncy</v>
          </cell>
          <cell r="H6" t="str">
            <v>MXCPYOY Index</v>
          </cell>
          <cell r="I6" t="str">
            <v>MXCPCHNG Index</v>
          </cell>
          <cell r="J6" t="str">
            <v>MXUERATE Index</v>
          </cell>
          <cell r="N6" t="str">
            <v>BNP Paribas SA</v>
          </cell>
          <cell r="O6" t="str">
            <v>BNP FP Equity</v>
          </cell>
          <cell r="P6" t="str">
            <v>BNP FP Equity</v>
          </cell>
          <cell r="Q6" t="str">
            <v>CBNP1E5 CBIN Curncy</v>
          </cell>
          <cell r="R6" t="str">
            <v>BNP CDS EUR SR 1Y D14</v>
          </cell>
          <cell r="S6" t="str">
            <v>AL997029 Corp</v>
          </cell>
        </row>
        <row r="7">
          <cell r="A7" t="str">
            <v>UNITED STATES</v>
          </cell>
          <cell r="B7" t="str">
            <v>3352Z US Equity</v>
          </cell>
          <cell r="C7" t="str">
            <v>US CDS EUR SR 5Y D14 Corp</v>
          </cell>
          <cell r="D7" t="str">
            <v>USGG5YR Index</v>
          </cell>
          <cell r="E7" t="str">
            <v>USSWAP5 Curncy</v>
          </cell>
          <cell r="F7" t="str">
            <v>SPX Index</v>
          </cell>
          <cell r="H7" t="str">
            <v>CPI YOY Index</v>
          </cell>
          <cell r="I7" t="str">
            <v>CPI CHNG Index</v>
          </cell>
          <cell r="J7" t="str">
            <v>USURTOT Index</v>
          </cell>
          <cell r="N7" t="str">
            <v>Credit Agricole SA</v>
          </cell>
          <cell r="O7" t="str">
            <v>331900Z FP Equity</v>
          </cell>
          <cell r="P7" t="str">
            <v>ACA FP Equity</v>
          </cell>
          <cell r="Q7" t="str">
            <v>LCL SA CDS EUR SR 5Y D14 Corp</v>
          </cell>
          <cell r="R7" t="str">
            <v>LCL SA CDS EUR SR 1Y D14 Corp</v>
          </cell>
          <cell r="S7" t="str">
            <v>ACAFP 0.435 06/26/20 Corp</v>
          </cell>
        </row>
        <row r="8">
          <cell r="A8" t="str">
            <v>Europe</v>
          </cell>
          <cell r="N8" t="str">
            <v>Societe Generale SA</v>
          </cell>
          <cell r="O8" t="str">
            <v>GLE FP Equity</v>
          </cell>
          <cell r="P8" t="str">
            <v>GLE FP Equity</v>
          </cell>
          <cell r="Q8" t="str">
            <v>SOCGEN CDS EUR SR 5Y D14 Corp</v>
          </cell>
          <cell r="R8" t="str">
            <v>SOCGEN CDS EUR SR 1Y D14 Corp</v>
          </cell>
          <cell r="S8" t="str">
            <v>QJ659760 Corp</v>
          </cell>
        </row>
        <row r="9">
          <cell r="A9" t="str">
            <v>AUSTRIA</v>
          </cell>
          <cell r="B9" t="str">
            <v>1480Z AV Equity</v>
          </cell>
          <cell r="C9" t="str">
            <v>AUST CDS USD SR 5Y D14 Corp</v>
          </cell>
          <cell r="D9" t="str">
            <v>GAGB5YR Index</v>
          </cell>
          <cell r="E9" t="str">
            <v>EUSA5 CMPN Curncy</v>
          </cell>
          <cell r="F9" t="str">
            <v>ATX Index</v>
          </cell>
          <cell r="G9" t="str">
            <v>USDEUR Curncy</v>
          </cell>
          <cell r="H9" t="str">
            <v>ATCPYY10 Index</v>
          </cell>
          <cell r="J9" t="str">
            <v>ATUERNA Index</v>
          </cell>
          <cell r="N9" t="str">
            <v>UBS Group AG</v>
          </cell>
          <cell r="O9" t="str">
            <v>UBSN SW Equity</v>
          </cell>
          <cell r="P9" t="str">
            <v>UBSG SW Equity</v>
          </cell>
          <cell r="Q9" t="str">
            <v>UBS AG CDS EUR SR 5Y D14 Corp</v>
          </cell>
          <cell r="R9" t="str">
            <v>UBS CDS EUR SR 1Y D14 Corp</v>
          </cell>
          <cell r="S9" t="str">
            <v>UBS GB USD SR 3Y Corp</v>
          </cell>
        </row>
        <row r="10">
          <cell r="A10" t="str">
            <v>BELGIUM</v>
          </cell>
          <cell r="B10" t="str">
            <v>111136Z BB Equity</v>
          </cell>
          <cell r="C10" t="str">
            <v>BELG CDS USD SR 5Y D14 Corp</v>
          </cell>
          <cell r="D10" t="str">
            <v>GBGB5YR Index</v>
          </cell>
          <cell r="E10" t="str">
            <v>EUSA5 CMPN Curncy</v>
          </cell>
          <cell r="F10" t="str">
            <v>BEL20 Index</v>
          </cell>
          <cell r="G10" t="str">
            <v>USDEUR Curncy</v>
          </cell>
          <cell r="H10" t="str">
            <v>BECPYOY Index</v>
          </cell>
          <cell r="I10" t="str">
            <v>BECPCHNG Index</v>
          </cell>
          <cell r="J10" t="str">
            <v>BEUER Index</v>
          </cell>
          <cell r="N10" t="str">
            <v>HSBC Holdings PLC</v>
          </cell>
          <cell r="O10" t="str">
            <v>521903Z US Equity</v>
          </cell>
          <cell r="P10" t="str">
            <v>HSBA LN Equity</v>
          </cell>
          <cell r="Q10" t="str">
            <v>HSBCHD CDS GBP SR 5Y D14</v>
          </cell>
          <cell r="R10" t="str">
            <v>HSBCHD CDS GBP SR 1Y D14</v>
          </cell>
          <cell r="S10" t="str">
            <v>HSBC GB USD SR 5Y Corp</v>
          </cell>
        </row>
        <row r="11">
          <cell r="A11" t="str">
            <v>BRITAIN</v>
          </cell>
          <cell r="B11" t="str">
            <v>6152Z LN Equity</v>
          </cell>
          <cell r="C11" t="str">
            <v>UK CDS USD SR 5Y D14 Corp</v>
          </cell>
          <cell r="D11" t="str">
            <v>GUKG5 Index</v>
          </cell>
          <cell r="E11" t="str">
            <v>BPSW5 Curncy</v>
          </cell>
          <cell r="F11" t="str">
            <v>UKX Index</v>
          </cell>
          <cell r="G11" t="str">
            <v>USDGBP Curncy</v>
          </cell>
          <cell r="H11" t="str">
            <v>UKRPYOY Index</v>
          </cell>
          <cell r="I11" t="str">
            <v>UKRPMOM Index</v>
          </cell>
          <cell r="J11" t="str">
            <v>UKUEILOR Index</v>
          </cell>
          <cell r="N11" t="str">
            <v>Credit Suisse Group AG</v>
          </cell>
          <cell r="O11" t="str">
            <v>1236172D LN Equity</v>
          </cell>
          <cell r="P11" t="str">
            <v>CSGN SW Equity</v>
          </cell>
          <cell r="Q11" t="str">
            <v>CRDSUI CDS EUR SR 5Y D14 Corp</v>
          </cell>
          <cell r="R11" t="str">
            <v>CRDSUI CDS EUR SR 1Y D14 Corp</v>
          </cell>
          <cell r="S11" t="str">
            <v>CS GB USD SR 5Y Corp</v>
          </cell>
        </row>
        <row r="12">
          <cell r="A12" t="str">
            <v>CZECH REPUBLIC</v>
          </cell>
          <cell r="B12" t="str">
            <v>1040Z CP Equity</v>
          </cell>
          <cell r="C12" t="str">
            <v>CZECH CDS USD SR 5Y D14 Corp</v>
          </cell>
          <cell r="D12" t="str">
            <v>CZGB5YR Index</v>
          </cell>
          <cell r="E12" t="str">
            <v>CKSW5 Curncy</v>
          </cell>
          <cell r="F12" t="str">
            <v>PX Index</v>
          </cell>
          <cell r="G12" t="str">
            <v>USDCZK Curncy</v>
          </cell>
          <cell r="H12" t="str">
            <v>CZCPYOY Index</v>
          </cell>
          <cell r="I12" t="str">
            <v>CZCPMOM Index</v>
          </cell>
          <cell r="J12" t="str">
            <v>CZJLUNR Index</v>
          </cell>
          <cell r="N12" t="str">
            <v>RBS Group PLC</v>
          </cell>
          <cell r="O12" t="str">
            <v>RBS LN Equity</v>
          </cell>
          <cell r="P12" t="str">
            <v>RBS LN Equity</v>
          </cell>
          <cell r="Q12" t="str">
            <v>CRBS1E5 CBIN Curncy</v>
          </cell>
          <cell r="R12" t="str">
            <v>RPSPLC CDS EUR SR 1Y D14 Corp</v>
          </cell>
          <cell r="S12" t="str">
            <v>EI189405 Corp</v>
          </cell>
        </row>
        <row r="13">
          <cell r="A13" t="str">
            <v>DENMARK</v>
          </cell>
          <cell r="B13" t="str">
            <v>1271Z DC Equity</v>
          </cell>
          <cell r="C13" t="str">
            <v>DENK CDS USD SR 5Y D14 Corp</v>
          </cell>
          <cell r="D13" t="str">
            <v>GDGB5YR  Index</v>
          </cell>
          <cell r="E13" t="str">
            <v>DKSW5 Curncy</v>
          </cell>
          <cell r="F13" t="str">
            <v>KFX Index</v>
          </cell>
          <cell r="G13" t="str">
            <v>USDDKK Curncy</v>
          </cell>
          <cell r="H13" t="str">
            <v>DNCPIYOY Index</v>
          </cell>
          <cell r="I13" t="str">
            <v>DNCPIMOM Index</v>
          </cell>
          <cell r="J13" t="str">
            <v>DEUEGRAT Index</v>
          </cell>
          <cell r="N13" t="str">
            <v>Bank of Nova Scotia</v>
          </cell>
          <cell r="O13" t="str">
            <v>BNS CN Equity</v>
          </cell>
          <cell r="P13" t="str">
            <v>BNS CN Equity</v>
          </cell>
          <cell r="Q13" t="str">
            <v>BNS CDS USD SR 5Y D14 Corp</v>
          </cell>
          <cell r="R13" t="str">
            <v>BNS CDS USD SR 1Y D14 Corp</v>
          </cell>
          <cell r="S13" t="str">
            <v>BNS GB USD SR 5Y Corp</v>
          </cell>
        </row>
        <row r="14">
          <cell r="A14" t="str">
            <v>FINLAND</v>
          </cell>
          <cell r="B14" t="str">
            <v>1306Z FH Equity</v>
          </cell>
          <cell r="C14" t="str">
            <v>FINL CDS USD SR 5Y D14 Corp</v>
          </cell>
          <cell r="D14" t="str">
            <v>GFIN5YR Index</v>
          </cell>
          <cell r="E14" t="str">
            <v>EUSA5 CMPN Curncy</v>
          </cell>
          <cell r="F14" t="str">
            <v>HEX Index</v>
          </cell>
          <cell r="G14" t="str">
            <v>USDEUR Curncy</v>
          </cell>
          <cell r="H14" t="str">
            <v>FICP2YOY Index</v>
          </cell>
          <cell r="I14" t="str">
            <v>FICP2MOM Index</v>
          </cell>
          <cell r="J14" t="str">
            <v>FIUER Index</v>
          </cell>
          <cell r="N14" t="str">
            <v>BMO</v>
          </cell>
          <cell r="O14" t="str">
            <v>BMO CN Equity</v>
          </cell>
          <cell r="P14" t="str">
            <v>BMO CN Equity</v>
          </cell>
          <cell r="Q14" t="str">
            <v>BMO CDS USD SR 5Y D14 Corp</v>
          </cell>
          <cell r="R14" t="str">
            <v>BMO CDS USD SR 1Y D14 Corp</v>
          </cell>
          <cell r="S14" t="str">
            <v>QJ076587 Corp</v>
          </cell>
        </row>
        <row r="15">
          <cell r="A15" t="str">
            <v>FRANCE</v>
          </cell>
          <cell r="B15" t="str">
            <v>223727Z FP Equity</v>
          </cell>
          <cell r="C15" t="str">
            <v>FRANCE CDS USD SR 5Y D14 Corp</v>
          </cell>
          <cell r="D15" t="str">
            <v>GFRN5 Index</v>
          </cell>
          <cell r="E15" t="str">
            <v>EUSA5 CMPN Curncy</v>
          </cell>
          <cell r="F15" t="str">
            <v>CAC Index</v>
          </cell>
          <cell r="G15" t="str">
            <v>USDEUR Curncy</v>
          </cell>
          <cell r="H15" t="str">
            <v>FRCPISYY Index</v>
          </cell>
          <cell r="I15" t="str">
            <v>FRCPISMM Index</v>
          </cell>
          <cell r="J15" t="str">
            <v>FRUEREU Index</v>
          </cell>
          <cell r="N15" t="str">
            <v>CIBC</v>
          </cell>
          <cell r="O15" t="str">
            <v>CM CN Equity</v>
          </cell>
          <cell r="P15" t="str">
            <v>CM CN Equity</v>
          </cell>
          <cell r="S15" t="str">
            <v>CM 1.85 07/14/20 Corp</v>
          </cell>
        </row>
        <row r="16">
          <cell r="A16" t="str">
            <v>GERMANY</v>
          </cell>
          <cell r="B16" t="str">
            <v>3413Z GR Equity</v>
          </cell>
          <cell r="C16" t="str">
            <v>GERMAN CDS USD SR 5Y D14 Corp</v>
          </cell>
          <cell r="D16" t="str">
            <v>GDBR5 Index</v>
          </cell>
          <cell r="E16" t="str">
            <v>EUSA5 CMPN Curncy</v>
          </cell>
          <cell r="F16" t="str">
            <v>DAX Index</v>
          </cell>
          <cell r="G16" t="str">
            <v>USDEUR Curncy</v>
          </cell>
          <cell r="H16" t="str">
            <v>GRCP20YY Index</v>
          </cell>
          <cell r="I16" t="str">
            <v>GRCP20MM Index</v>
          </cell>
          <cell r="J16" t="str">
            <v>GRUEPR Index</v>
          </cell>
          <cell r="N16" t="str">
            <v>TD</v>
          </cell>
          <cell r="O16" t="str">
            <v>TD US Equity</v>
          </cell>
          <cell r="P16" t="str">
            <v>TD CN Equity</v>
          </cell>
          <cell r="Q16" t="str">
            <v>TD CDS USD SR 5Y D14 Corp</v>
          </cell>
          <cell r="R16" t="str">
            <v>TD CDS USD SR 1Y D14 Corp</v>
          </cell>
          <cell r="S16" t="str">
            <v>TD 2.621 12/22/21 Corp</v>
          </cell>
        </row>
        <row r="17">
          <cell r="A17" t="str">
            <v>GREECE</v>
          </cell>
          <cell r="B17" t="str">
            <v>1004Z GA Equity</v>
          </cell>
          <cell r="C17" t="str">
            <v>GREECE CDS USD SR 5Y D14 Corp</v>
          </cell>
          <cell r="D17" t="str">
            <v>GGGB5YR Index</v>
          </cell>
          <cell r="E17" t="str">
            <v>EUSA5 CMPN Curncy</v>
          </cell>
          <cell r="F17" t="str">
            <v>ASE Index</v>
          </cell>
          <cell r="G17" t="str">
            <v>USDEUR Curncy</v>
          </cell>
          <cell r="H17" t="str">
            <v>GKCPNEWY Index</v>
          </cell>
          <cell r="I17" t="str">
            <v>GKCPNEWM Index</v>
          </cell>
          <cell r="J17" t="str">
            <v>GKUERATE Index</v>
          </cell>
          <cell r="N17" t="str">
            <v>RBC</v>
          </cell>
          <cell r="O17" t="str">
            <v>RY CN Equity</v>
          </cell>
          <cell r="P17" t="str">
            <v>RY CN Equity</v>
          </cell>
          <cell r="S17" t="str">
            <v>RY GB USD SR 5Y Corp</v>
          </cell>
        </row>
        <row r="18">
          <cell r="A18" t="str">
            <v>IRELAND</v>
          </cell>
          <cell r="B18" t="str">
            <v>1266Z ID Equity</v>
          </cell>
          <cell r="C18" t="str">
            <v>IRELND CDS USD SR 5Y D14 Corp</v>
          </cell>
          <cell r="D18" t="str">
            <v>GTIEP5YR  Corp</v>
          </cell>
          <cell r="E18" t="str">
            <v>EUSA5 CMPN Curncy</v>
          </cell>
          <cell r="F18" t="str">
            <v>ISEQ Index</v>
          </cell>
          <cell r="G18" t="str">
            <v>USDEUR Curncy</v>
          </cell>
          <cell r="H18" t="str">
            <v>IECPIYOY Index</v>
          </cell>
          <cell r="I18" t="str">
            <v>IECPIMOM Index</v>
          </cell>
          <cell r="J18" t="str">
            <v>IEUERT Index</v>
          </cell>
          <cell r="N18" t="str">
            <v>Nationale</v>
          </cell>
          <cell r="O18" t="str">
            <v>NA CN Equity</v>
          </cell>
          <cell r="P18" t="str">
            <v>NA CN Equity</v>
          </cell>
          <cell r="S18" t="str">
            <v>EK777641 Corp</v>
          </cell>
        </row>
        <row r="19">
          <cell r="A19" t="str">
            <v>ITALY</v>
          </cell>
          <cell r="B19" t="str">
            <v>2103Z IM Equity</v>
          </cell>
          <cell r="C19" t="str">
            <v>ITALY CDS USD SR 5Y D14 Corp</v>
          </cell>
          <cell r="D19" t="str">
            <v>GBTPGR5 Index</v>
          </cell>
          <cell r="E19" t="str">
            <v>EUSA5 CMPN Curncy</v>
          </cell>
          <cell r="F19" t="str">
            <v>FTSEMIB Index</v>
          </cell>
          <cell r="G19" t="str">
            <v>USDEUR Curncy</v>
          </cell>
          <cell r="H19" t="str">
            <v>ITCPNICY Index</v>
          </cell>
          <cell r="I19" t="str">
            <v>ITCPNICM Index</v>
          </cell>
          <cell r="J19" t="str">
            <v>ITMUURS Index</v>
          </cell>
          <cell r="N19" t="str">
            <v>Deutche Bank AG</v>
          </cell>
          <cell r="O19" t="str">
            <v>DBK GR Equity</v>
          </cell>
          <cell r="P19" t="str">
            <v>DBK GR Equity</v>
          </cell>
          <cell r="Q19" t="str">
            <v>CDB1E5 CBIN Curncy</v>
          </cell>
          <cell r="R19" t="str">
            <v>DB CDS EUR SR 1Y D14</v>
          </cell>
          <cell r="S19" t="str">
            <v>LW0631934 Corp</v>
          </cell>
        </row>
        <row r="20">
          <cell r="A20" t="str">
            <v>LUXEMBOURG</v>
          </cell>
          <cell r="B20" t="str">
            <v>1110Z LX Equity</v>
          </cell>
          <cell r="C20" t="str">
            <v>LUXEMBOURG CDS USD SR 5Y D14 Corp</v>
          </cell>
          <cell r="D20" t="str">
            <v>EI2501308 Corp</v>
          </cell>
          <cell r="E20" t="str">
            <v>EUSA5 CMPN Curncy</v>
          </cell>
          <cell r="F20" t="str">
            <v>LUXXX Index</v>
          </cell>
          <cell r="G20" t="str">
            <v>USDEUR Curncy</v>
          </cell>
          <cell r="H20" t="str">
            <v>LXCPIYOY Index</v>
          </cell>
          <cell r="J20" t="str">
            <v>LXUERS Index</v>
          </cell>
          <cell r="N20" t="str">
            <v>Barclays Bank PLC</v>
          </cell>
          <cell r="P20" t="str">
            <v>BARC LN Equity</v>
          </cell>
          <cell r="Q20" t="str">
            <v>CBAR1E5 CBIN Curncy</v>
          </cell>
          <cell r="R20" t="str">
            <v>CBAR1E1 CBIN Curncy</v>
          </cell>
          <cell r="S20" t="str">
            <v>BACR GB USD SR 5Y Corp</v>
          </cell>
        </row>
        <row r="21">
          <cell r="A21" t="str">
            <v>NETHERLANDS</v>
          </cell>
          <cell r="B21" t="str">
            <v>1533Z NA Equity</v>
          </cell>
          <cell r="C21" t="str">
            <v>NETHER CDS USD SR 5Y D14 Corp</v>
          </cell>
          <cell r="D21" t="str">
            <v>GNTH5YR Index</v>
          </cell>
          <cell r="E21" t="str">
            <v>EUSA5 CMPN Curncy</v>
          </cell>
          <cell r="F21" t="str">
            <v>AEX Index</v>
          </cell>
          <cell r="G21" t="str">
            <v>USDEUR Curncy</v>
          </cell>
          <cell r="H21" t="str">
            <v>NECPIYOY Index</v>
          </cell>
          <cell r="I21" t="str">
            <v>NECPIMOM Index</v>
          </cell>
          <cell r="J21" t="str">
            <v>NEUETOTR Index</v>
          </cell>
          <cell r="N21" t="str">
            <v>Goldman Sachs Group</v>
          </cell>
          <cell r="P21" t="str">
            <v>GS US Equity</v>
          </cell>
          <cell r="Q21" t="str">
            <v>CGS1U5 CBIN Curncy</v>
          </cell>
          <cell r="R21" t="str">
            <v>CGS1U1 CBIN Curncy</v>
          </cell>
          <cell r="S21" t="str">
            <v>GS GB USD SR 5Y Corp</v>
          </cell>
        </row>
        <row r="22">
          <cell r="A22" t="str">
            <v>NORWAY</v>
          </cell>
          <cell r="B22" t="str">
            <v>1233Z NO Equity</v>
          </cell>
          <cell r="C22" t="str">
            <v>NORWAY CDS USD SR 5Y D14 Corp</v>
          </cell>
          <cell r="D22" t="str">
            <v>EI2488605 Corp</v>
          </cell>
          <cell r="E22" t="str">
            <v>NKSW5 Curncy</v>
          </cell>
          <cell r="F22" t="str">
            <v>OSEAX Index</v>
          </cell>
          <cell r="G22" t="str">
            <v>USDNOK Curncy</v>
          </cell>
          <cell r="H22" t="str">
            <v>NOCPIYOY Index</v>
          </cell>
          <cell r="I22" t="str">
            <v>NOCPIMOM Index</v>
          </cell>
          <cell r="J22" t="str">
            <v>NOLBRATE Index</v>
          </cell>
          <cell r="N22" t="str">
            <v>Morgan Stanley</v>
          </cell>
          <cell r="P22" t="str">
            <v>MS US Equity</v>
          </cell>
          <cell r="Q22" t="str">
            <v>CMWD1U5 CBIN Curncy</v>
          </cell>
          <cell r="R22" t="str">
            <v>MS CDS USD SR 1Y D14</v>
          </cell>
          <cell r="S22" t="str">
            <v>MS GB USD SR 5Y Corp</v>
          </cell>
        </row>
        <row r="23">
          <cell r="A23" t="str">
            <v>POLAND</v>
          </cell>
          <cell r="B23" t="str">
            <v>1084Z PW Equity</v>
          </cell>
          <cell r="C23" t="str">
            <v>POLAND CDS USD SR 5Y D14 Corp</v>
          </cell>
          <cell r="D23" t="str">
            <v>POGB5YR Index</v>
          </cell>
          <cell r="E23" t="str">
            <v>PZSW5 Curncy</v>
          </cell>
          <cell r="F23" t="str">
            <v>WIG Index</v>
          </cell>
          <cell r="G23" t="str">
            <v>USDPLN Curncy</v>
          </cell>
          <cell r="H23" t="str">
            <v>POCPIYOY Index</v>
          </cell>
          <cell r="I23" t="str">
            <v>POCPIMOM Index</v>
          </cell>
          <cell r="J23" t="str">
            <v>POUER Index</v>
          </cell>
          <cell r="N23" t="str">
            <v>State Street Bank &amp; Trust</v>
          </cell>
          <cell r="P23" t="str">
            <v>STT US Equity</v>
          </cell>
          <cell r="Q23" t="str">
            <v>STT CDS USD SR 5Y D14</v>
          </cell>
          <cell r="R23" t="str">
            <v>STT CDS USD SR 1Y D14</v>
          </cell>
          <cell r="S23" t="str">
            <v>STT GB USD SR 5Y Corp</v>
          </cell>
        </row>
        <row r="24">
          <cell r="A24" t="str">
            <v>PORTUGAL</v>
          </cell>
          <cell r="B24" t="str">
            <v>1174Z PL Equity</v>
          </cell>
          <cell r="C24" t="str">
            <v>PORTUG CDS USD SR 5Y D14 Corp</v>
          </cell>
          <cell r="D24" t="str">
            <v>GSPT5YR Index</v>
          </cell>
          <cell r="E24" t="str">
            <v>EUSA5 CMPN Curncy</v>
          </cell>
          <cell r="F24" t="str">
            <v>PSI20 Index</v>
          </cell>
          <cell r="G24" t="str">
            <v>USDEUR Curncy</v>
          </cell>
          <cell r="H24" t="str">
            <v>PLCPYOY Index</v>
          </cell>
          <cell r="I24" t="str">
            <v>PLCPMOM Index</v>
          </cell>
          <cell r="J24" t="str">
            <v>PTUE Index</v>
          </cell>
        </row>
        <row r="25">
          <cell r="A25" t="str">
            <v>SLOVENIA</v>
          </cell>
          <cell r="B25" t="str">
            <v>1091Z SV Equity</v>
          </cell>
          <cell r="C25" t="str">
            <v>SLOVEN CDS USD SR 5Y D14 Corp</v>
          </cell>
          <cell r="D25" t="str">
            <v>EI1152335 Corp</v>
          </cell>
          <cell r="E25" t="str">
            <v>EUSA5 CMPN Curncy</v>
          </cell>
          <cell r="F25" t="str">
            <v>SBITOP Index</v>
          </cell>
          <cell r="G25" t="str">
            <v>USDEUR Curncy</v>
          </cell>
          <cell r="H25" t="str">
            <v>SVCPYOY Index</v>
          </cell>
          <cell r="I25" t="str">
            <v>SVCPMOM Index</v>
          </cell>
          <cell r="J25" t="str">
            <v>SVUER Index</v>
          </cell>
        </row>
        <row r="26">
          <cell r="A26" t="str">
            <v>SPAIN</v>
          </cell>
          <cell r="B26" t="str">
            <v>1841Z SM Equity</v>
          </cell>
          <cell r="C26" t="str">
            <v>SPAIN CDS USD SR 5Y D14 Corp</v>
          </cell>
          <cell r="D26" t="str">
            <v>GSPG5YR Index</v>
          </cell>
          <cell r="E26" t="str">
            <v>EUSA5 CMPN Curncy</v>
          </cell>
          <cell r="F26" t="str">
            <v>IBEX Index</v>
          </cell>
          <cell r="G26" t="str">
            <v>USDEUR Curncy</v>
          </cell>
          <cell r="H26" t="str">
            <v>SPIPCYOY Index</v>
          </cell>
          <cell r="I26" t="str">
            <v>SPIPCMOM Index</v>
          </cell>
          <cell r="J26" t="str">
            <v>SPUNEMPR Index</v>
          </cell>
        </row>
        <row r="27">
          <cell r="A27" t="str">
            <v>SWEDEN</v>
          </cell>
          <cell r="B27" t="str">
            <v>1179Z SS Equity</v>
          </cell>
          <cell r="C27" t="str">
            <v>SWED CDS USD SR 5Y D14 Corp</v>
          </cell>
          <cell r="D27" t="str">
            <v>GSGB5YR Index</v>
          </cell>
          <cell r="E27" t="str">
            <v>SKSW5 Curncy</v>
          </cell>
          <cell r="F27" t="str">
            <v>OMX Index</v>
          </cell>
          <cell r="G27" t="str">
            <v>USDSEK Index</v>
          </cell>
          <cell r="H27" t="str">
            <v>SWCPYOY Index</v>
          </cell>
          <cell r="I27" t="str">
            <v>SWCPMOM Index</v>
          </cell>
          <cell r="J27" t="str">
            <v>SWUERATE Index</v>
          </cell>
        </row>
        <row r="28">
          <cell r="A28" t="str">
            <v>SWITZERLAND</v>
          </cell>
          <cell r="B28" t="str">
            <v>344758Z SW Equity</v>
          </cell>
          <cell r="C28" t="str">
            <v>SWISS CDS USD SR 5Y D14 Corp</v>
          </cell>
          <cell r="D28" t="str">
            <v>GSWISS05 Index</v>
          </cell>
          <cell r="E28" t="str">
            <v>SFSW5 Curncy</v>
          </cell>
          <cell r="F28" t="str">
            <v>SMI Index</v>
          </cell>
          <cell r="G28" t="str">
            <v>USDCHF Curncy</v>
          </cell>
          <cell r="H28" t="str">
            <v>SZCPIYOY Index</v>
          </cell>
          <cell r="I28" t="str">
            <v>SZCPIMOM Index</v>
          </cell>
          <cell r="J28" t="str">
            <v>SZUEUEA Index</v>
          </cell>
        </row>
        <row r="29">
          <cell r="A29" t="str">
            <v>UKRAINE</v>
          </cell>
          <cell r="B29" t="str">
            <v>1089Z UZ Equity</v>
          </cell>
          <cell r="C29" t="str">
            <v>CUKR1U5 CBBT Curncy</v>
          </cell>
          <cell r="D29" t="str">
            <v>GTUAH5YR  Corp</v>
          </cell>
          <cell r="E29" t="str">
            <v>UKSW5 Curncy</v>
          </cell>
          <cell r="F29" t="str">
            <v>PFTS Index</v>
          </cell>
          <cell r="G29" t="str">
            <v>USDUAH Curncy</v>
          </cell>
          <cell r="H29" t="str">
            <v>UACPTYOY Index</v>
          </cell>
          <cell r="J29" t="str">
            <v>UAUEILO Index</v>
          </cell>
        </row>
        <row r="30">
          <cell r="A30" t="str">
            <v>Asia/Pacific</v>
          </cell>
        </row>
        <row r="31">
          <cell r="A31" t="str">
            <v>AUSTRALIA</v>
          </cell>
          <cell r="B31" t="str">
            <v>1525Z AU Equity</v>
          </cell>
          <cell r="C31" t="str">
            <v>AUSTLA CDS USD SR 5Y D14 Corp</v>
          </cell>
          <cell r="D31" t="str">
            <v>GACGB5 Index</v>
          </cell>
          <cell r="E31" t="str">
            <v>ADSWAP5 Curncy</v>
          </cell>
          <cell r="F31" t="str">
            <v>AS51 Index</v>
          </cell>
          <cell r="G31" t="str">
            <v>USDAUD Curncy</v>
          </cell>
          <cell r="H31" t="str">
            <v>AUCPIYOY Index</v>
          </cell>
          <cell r="I31" t="str">
            <v>AUCPICHG Index</v>
          </cell>
          <cell r="J31" t="str">
            <v>AULFUNEM Index</v>
          </cell>
        </row>
        <row r="32">
          <cell r="A32" t="str">
            <v>CHINA</v>
          </cell>
          <cell r="B32" t="str">
            <v>PRCH CH Equity</v>
          </cell>
          <cell r="C32" t="str">
            <v>CHINAGOV CDS USD SR 5Y D14 Corp</v>
          </cell>
          <cell r="D32" t="str">
            <v>GCNY5YR Index</v>
          </cell>
          <cell r="E32" t="str">
            <v>CCSWN5 Curncy</v>
          </cell>
          <cell r="F32" t="str">
            <v>SHCOMP Index</v>
          </cell>
          <cell r="G32" t="str">
            <v>USDCNY Index</v>
          </cell>
          <cell r="H32" t="str">
            <v>CNCPIYOY Index</v>
          </cell>
          <cell r="J32" t="str">
            <v>CNUERATE Index</v>
          </cell>
        </row>
        <row r="33">
          <cell r="A33" t="str">
            <v>HONG KONG</v>
          </cell>
          <cell r="B33" t="str">
            <v>3343935Z HK Equity</v>
          </cell>
          <cell r="C33" t="str">
            <v>HONGK CDS USD SR 5Y D14 Corp</v>
          </cell>
          <cell r="D33" t="str">
            <v>EI4809337 Corp</v>
          </cell>
          <cell r="E33" t="str">
            <v>HDSW5 Curncy</v>
          </cell>
          <cell r="F33" t="str">
            <v>HSI Index</v>
          </cell>
          <cell r="G33" t="str">
            <v>USDHKD Curncy</v>
          </cell>
          <cell r="H33" t="str">
            <v>HKCPIY Index</v>
          </cell>
          <cell r="I33" t="str">
            <v>HKCPIM Index</v>
          </cell>
          <cell r="J33" t="str">
            <v>HKUERATE Index</v>
          </cell>
        </row>
        <row r="34">
          <cell r="A34" t="str">
            <v>INDIA</v>
          </cell>
          <cell r="B34" t="str">
            <v>1504Z IN Equity</v>
          </cell>
          <cell r="C34" t="str">
            <v>INDIA CDS USD SR 5Y D14 Corp</v>
          </cell>
          <cell r="D34" t="str">
            <v>GIND5YR Index</v>
          </cell>
          <cell r="E34" t="str">
            <v>IRSWO5 Curncy</v>
          </cell>
          <cell r="F34" t="str">
            <v>SENSEX Index</v>
          </cell>
          <cell r="G34" t="str">
            <v>USDINR Curncy</v>
          </cell>
          <cell r="H34" t="str">
            <v>INFUTOTY Index</v>
          </cell>
          <cell r="J34" t="str">
            <v>INUNCIA Index</v>
          </cell>
        </row>
        <row r="35">
          <cell r="A35" t="str">
            <v>JAPAN</v>
          </cell>
          <cell r="B35" t="str">
            <v>JAPZ JP Equity</v>
          </cell>
          <cell r="C35" t="str">
            <v>JAPAN CDS USD SR 5Y D14 Corp</v>
          </cell>
          <cell r="D35" t="str">
            <v>GJGB5 Index</v>
          </cell>
          <cell r="E35" t="str">
            <v>JYSWAP5 Curncy</v>
          </cell>
          <cell r="F35" t="str">
            <v>TPX Index</v>
          </cell>
          <cell r="G35" t="str">
            <v>USDJPY BGN Curncy</v>
          </cell>
          <cell r="H35" t="str">
            <v>JNCPIYOY Index</v>
          </cell>
          <cell r="J35" t="str">
            <v>JNUE Index</v>
          </cell>
        </row>
        <row r="36">
          <cell r="A36" t="str">
            <v>MALAYSIA</v>
          </cell>
          <cell r="B36" t="str">
            <v>1124Z MK Equity</v>
          </cell>
          <cell r="C36" t="str">
            <v>MALAYS CDS USD SR 5Y D14 Corp</v>
          </cell>
          <cell r="D36" t="str">
            <v>MGIY5Y Index</v>
          </cell>
          <cell r="E36" t="str">
            <v>MRSWQO5 Curncy</v>
          </cell>
          <cell r="F36" t="str">
            <v>FBMKLCI Index</v>
          </cell>
          <cell r="G36" t="str">
            <v>USDMYR Curncy</v>
          </cell>
          <cell r="H36" t="str">
            <v>MACPIYOY Index</v>
          </cell>
          <cell r="I36" t="str">
            <v>MACPIMOM Index</v>
          </cell>
          <cell r="J36" t="str">
            <v>MAEPRATE Index</v>
          </cell>
        </row>
        <row r="37">
          <cell r="A37" t="str">
            <v>NEW ZEALAND</v>
          </cell>
          <cell r="B37" t="str">
            <v>46443Z NZ Equity</v>
          </cell>
          <cell r="C37" t="str">
            <v>NZ CDS USD SR 5Y D14 Corp</v>
          </cell>
          <cell r="D37" t="str">
            <v>GNZGB5 Index</v>
          </cell>
          <cell r="E37" t="str">
            <v>NDSWAP5 Curncy</v>
          </cell>
          <cell r="F37" t="str">
            <v>NZSE50FG Index</v>
          </cell>
          <cell r="G37" t="str">
            <v>USDNZD Curncy</v>
          </cell>
          <cell r="H37" t="str">
            <v>NZCPIYOY Index</v>
          </cell>
          <cell r="I37" t="str">
            <v>NZCPICHG Index</v>
          </cell>
          <cell r="J37" t="str">
            <v>NZLFUNER Index</v>
          </cell>
        </row>
        <row r="38">
          <cell r="A38" t="str">
            <v>RUSSIA</v>
          </cell>
          <cell r="B38" t="str">
            <v>4458Z RU Equity</v>
          </cell>
          <cell r="C38" t="str">
            <v>RUSSIA CDS USD SR 5Y D14 Corp</v>
          </cell>
          <cell r="D38" t="str">
            <v>GTRUB5YR  Corp</v>
          </cell>
          <cell r="F38" t="str">
            <v>INDEXCF Index</v>
          </cell>
          <cell r="G38" t="str">
            <v>USDRUB Curncy</v>
          </cell>
          <cell r="H38" t="str">
            <v>RUCPIYOY Index</v>
          </cell>
          <cell r="I38" t="str">
            <v>RUCPIMOM Index</v>
          </cell>
          <cell r="J38" t="str">
            <v>RUUER Index</v>
          </cell>
        </row>
        <row r="39">
          <cell r="A39" t="str">
            <v>SINGAPORE</v>
          </cell>
          <cell r="B39" t="str">
            <v>1545Z SP Equity</v>
          </cell>
          <cell r="C39" t="str">
            <v>SINGAP CDS USD SR 5Y D14 Corp</v>
          </cell>
          <cell r="D39" t="str">
            <v>MASB5Y Index</v>
          </cell>
          <cell r="E39" t="str">
            <v>SDSW5 Curncy</v>
          </cell>
          <cell r="F39" t="str">
            <v>FSSTI Index</v>
          </cell>
          <cell r="G39" t="str">
            <v>USDSGD Curncy</v>
          </cell>
          <cell r="H39" t="str">
            <v>SICPIYOY Index</v>
          </cell>
          <cell r="I39" t="str">
            <v>SICPIMOM Index</v>
          </cell>
          <cell r="J39" t="str">
            <v>SIQUTOTA Index</v>
          </cell>
        </row>
        <row r="40">
          <cell r="A40" t="str">
            <v>SOUTH KOREA</v>
          </cell>
          <cell r="B40" t="str">
            <v>ROKZ KS Equity</v>
          </cell>
          <cell r="C40" t="str">
            <v>KOREA CDS USD SR 5Y D14 Corp</v>
          </cell>
          <cell r="D40" t="str">
            <v>GVSK5YR Index</v>
          </cell>
          <cell r="E40" t="str">
            <v>KWSWO5 Curncy</v>
          </cell>
          <cell r="F40" t="str">
            <v>KOSPI Index</v>
          </cell>
          <cell r="G40" t="str">
            <v>USDKRW Curncy</v>
          </cell>
          <cell r="H40" t="str">
            <v>KOCPIYOY Index</v>
          </cell>
          <cell r="I40" t="str">
            <v>KOCPIMOM Index</v>
          </cell>
          <cell r="J40" t="str">
            <v>KOEAUERS Index</v>
          </cell>
        </row>
        <row r="41">
          <cell r="A41" t="str">
            <v>TAIWAN</v>
          </cell>
          <cell r="B41" t="str">
            <v>116657Z TT Equity</v>
          </cell>
          <cell r="D41" t="str">
            <v>GVTW5YR Index</v>
          </cell>
          <cell r="E41" t="str">
            <v>NTSWO5 Curncy</v>
          </cell>
          <cell r="F41" t="str">
            <v>TWSE Index</v>
          </cell>
          <cell r="G41" t="str">
            <v>USDTWD Curncy</v>
          </cell>
          <cell r="H41" t="str">
            <v>TWCPIYOY Index</v>
          </cell>
          <cell r="I41" t="str">
            <v>TWCPII Index</v>
          </cell>
          <cell r="J41" t="str">
            <v>TWLFADJ Index</v>
          </cell>
        </row>
        <row r="42">
          <cell r="A42" t="str">
            <v>THAILAND</v>
          </cell>
          <cell r="B42" t="str">
            <v>1179Z TB Equity</v>
          </cell>
          <cell r="C42" t="str">
            <v>THAI CDS USD SR 5Y D14 Corp</v>
          </cell>
          <cell r="D42" t="str">
            <v>GVTL5YR Index</v>
          </cell>
          <cell r="E42" t="str">
            <v>TBSWO5 Curncy</v>
          </cell>
          <cell r="F42" t="str">
            <v>SET Index</v>
          </cell>
          <cell r="G42" t="str">
            <v>USDTHB Curncy</v>
          </cell>
          <cell r="H42" t="str">
            <v>THCPIYOY Index</v>
          </cell>
          <cell r="I42" t="str">
            <v>THCPIMOM Index</v>
          </cell>
          <cell r="J42" t="str">
            <v>THLMUERT Index</v>
          </cell>
        </row>
        <row r="43">
          <cell r="A43" t="str">
            <v>South Africa</v>
          </cell>
          <cell r="B43" t="str">
            <v>50184Z SJ Equity</v>
          </cell>
          <cell r="C43" t="str">
            <v>REPSOU CDS USD SR 5Y D14 Corp</v>
          </cell>
          <cell r="D43" t="str">
            <v>GTZAR5Y Govt</v>
          </cell>
          <cell r="E43" t="str">
            <v>SASW5 Curncy</v>
          </cell>
          <cell r="F43" t="str">
            <v>TOP40 Index</v>
          </cell>
          <cell r="G43" t="str">
            <v>USDZAR Curncy</v>
          </cell>
          <cell r="H43" t="str">
            <v>SCP8EPNY Index</v>
          </cell>
          <cell r="I43" t="str">
            <v>SCP8014M Index</v>
          </cell>
          <cell r="J43" t="str">
            <v>SAUERATQ Index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C1">
            <v>46218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DD967-2E4A-4A99-AC5F-AF3C13A162C6}">
  <dimension ref="A1:DB1"/>
  <sheetViews>
    <sheetView workbookViewId="0"/>
  </sheetViews>
  <sheetFormatPr defaultRowHeight="14.5"/>
  <sheetData>
    <row r="1" spans="1:106">
      <c r="A1">
        <v>106</v>
      </c>
      <c r="B1" t="s">
        <v>267</v>
      </c>
      <c r="C1" t="s">
        <v>268</v>
      </c>
      <c r="D1" t="s">
        <v>269</v>
      </c>
      <c r="E1" t="s">
        <v>270</v>
      </c>
      <c r="F1" t="s">
        <v>271</v>
      </c>
      <c r="G1" t="s">
        <v>272</v>
      </c>
      <c r="H1" t="s">
        <v>273</v>
      </c>
      <c r="I1" t="s">
        <v>274</v>
      </c>
      <c r="J1" t="s">
        <v>275</v>
      </c>
      <c r="K1" t="s">
        <v>276</v>
      </c>
      <c r="L1" t="s">
        <v>277</v>
      </c>
      <c r="M1" t="s">
        <v>278</v>
      </c>
      <c r="N1" t="s">
        <v>279</v>
      </c>
      <c r="O1" t="s">
        <v>280</v>
      </c>
      <c r="P1" t="s">
        <v>281</v>
      </c>
      <c r="Q1" t="s">
        <v>282</v>
      </c>
      <c r="R1" t="s">
        <v>283</v>
      </c>
      <c r="S1" t="s">
        <v>284</v>
      </c>
      <c r="T1" t="s">
        <v>285</v>
      </c>
      <c r="U1" t="s">
        <v>286</v>
      </c>
      <c r="V1" t="s">
        <v>287</v>
      </c>
      <c r="W1" t="s">
        <v>288</v>
      </c>
      <c r="X1" t="s">
        <v>289</v>
      </c>
      <c r="Y1" t="s">
        <v>290</v>
      </c>
      <c r="Z1" t="s">
        <v>291</v>
      </c>
      <c r="AA1" t="s">
        <v>292</v>
      </c>
      <c r="AB1" t="s">
        <v>293</v>
      </c>
      <c r="AC1" t="s">
        <v>294</v>
      </c>
      <c r="AD1" t="s">
        <v>295</v>
      </c>
      <c r="AE1" t="s">
        <v>296</v>
      </c>
      <c r="AF1" t="s">
        <v>297</v>
      </c>
      <c r="AG1" t="s">
        <v>298</v>
      </c>
      <c r="AH1" t="s">
        <v>299</v>
      </c>
      <c r="AI1" t="s">
        <v>300</v>
      </c>
      <c r="AJ1" t="s">
        <v>301</v>
      </c>
      <c r="AK1" t="s">
        <v>302</v>
      </c>
      <c r="AL1" t="s">
        <v>303</v>
      </c>
      <c r="AM1" t="s">
        <v>304</v>
      </c>
      <c r="AN1" t="s">
        <v>305</v>
      </c>
      <c r="AO1" t="s">
        <v>306</v>
      </c>
      <c r="AP1" t="s">
        <v>307</v>
      </c>
      <c r="AQ1" t="s">
        <v>308</v>
      </c>
      <c r="AR1" t="s">
        <v>309</v>
      </c>
      <c r="AS1" t="s">
        <v>310</v>
      </c>
      <c r="AT1" t="s">
        <v>311</v>
      </c>
      <c r="AU1" t="s">
        <v>312</v>
      </c>
      <c r="AV1" t="s">
        <v>313</v>
      </c>
      <c r="AW1" t="s">
        <v>314</v>
      </c>
      <c r="AX1" t="s">
        <v>315</v>
      </c>
      <c r="AY1" t="s">
        <v>316</v>
      </c>
      <c r="AZ1" t="s">
        <v>317</v>
      </c>
      <c r="BA1" t="s">
        <v>318</v>
      </c>
      <c r="BB1" t="s">
        <v>319</v>
      </c>
      <c r="BC1" t="s">
        <v>320</v>
      </c>
      <c r="BD1" t="s">
        <v>321</v>
      </c>
      <c r="BE1" t="s">
        <v>322</v>
      </c>
      <c r="BF1" t="s">
        <v>323</v>
      </c>
      <c r="BG1" t="s">
        <v>324</v>
      </c>
      <c r="BH1" t="s">
        <v>325</v>
      </c>
      <c r="BI1" t="s">
        <v>326</v>
      </c>
      <c r="BJ1" t="s">
        <v>327</v>
      </c>
      <c r="BK1" t="s">
        <v>328</v>
      </c>
      <c r="BL1" t="s">
        <v>329</v>
      </c>
      <c r="BM1" t="s">
        <v>330</v>
      </c>
      <c r="BN1" t="s">
        <v>331</v>
      </c>
      <c r="BO1" t="s">
        <v>332</v>
      </c>
      <c r="BP1" t="s">
        <v>333</v>
      </c>
      <c r="BQ1" t="s">
        <v>334</v>
      </c>
      <c r="BR1" t="s">
        <v>335</v>
      </c>
      <c r="BS1" t="s">
        <v>336</v>
      </c>
      <c r="BT1" t="s">
        <v>337</v>
      </c>
      <c r="BU1" t="s">
        <v>338</v>
      </c>
      <c r="BV1" t="s">
        <v>339</v>
      </c>
      <c r="BW1" t="s">
        <v>340</v>
      </c>
      <c r="BX1" t="s">
        <v>341</v>
      </c>
      <c r="BY1" t="s">
        <v>342</v>
      </c>
      <c r="BZ1" t="s">
        <v>343</v>
      </c>
      <c r="CA1" t="s">
        <v>344</v>
      </c>
      <c r="CB1" t="s">
        <v>345</v>
      </c>
      <c r="CC1" t="s">
        <v>346</v>
      </c>
      <c r="CD1" t="s">
        <v>347</v>
      </c>
      <c r="CE1" t="s">
        <v>348</v>
      </c>
      <c r="CF1" t="s">
        <v>349</v>
      </c>
      <c r="CG1" t="s">
        <v>350</v>
      </c>
      <c r="CH1" t="s">
        <v>351</v>
      </c>
      <c r="CI1" t="s">
        <v>352</v>
      </c>
      <c r="CJ1" t="s">
        <v>353</v>
      </c>
      <c r="CK1" t="s">
        <v>354</v>
      </c>
      <c r="CL1" t="s">
        <v>355</v>
      </c>
      <c r="CM1" t="s">
        <v>356</v>
      </c>
      <c r="CN1" t="s">
        <v>357</v>
      </c>
      <c r="CO1" t="s">
        <v>358</v>
      </c>
      <c r="CP1" t="s">
        <v>359</v>
      </c>
      <c r="CQ1" t="s">
        <v>360</v>
      </c>
      <c r="CR1" t="s">
        <v>361</v>
      </c>
      <c r="CS1" t="s">
        <v>362</v>
      </c>
      <c r="CT1" t="s">
        <v>363</v>
      </c>
      <c r="CU1" t="s">
        <v>364</v>
      </c>
      <c r="CV1" t="s">
        <v>365</v>
      </c>
      <c r="CW1" t="s">
        <v>366</v>
      </c>
      <c r="CX1" t="s">
        <v>367</v>
      </c>
      <c r="CY1" t="s">
        <v>368</v>
      </c>
      <c r="CZ1" t="s">
        <v>369</v>
      </c>
      <c r="DA1" t="s">
        <v>370</v>
      </c>
      <c r="DB1" t="s">
        <v>371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7631-A035-4B26-8F61-072DACD140F6}">
  <dimension ref="A1:Q64"/>
  <sheetViews>
    <sheetView tabSelected="1" zoomScale="84" zoomScaleNormal="84" workbookViewId="0">
      <selection activeCell="G25" sqref="G25"/>
    </sheetView>
  </sheetViews>
  <sheetFormatPr defaultRowHeight="14.5"/>
  <cols>
    <col min="1" max="1" width="19.36328125" customWidth="1"/>
    <col min="2" max="2" width="27.08984375" customWidth="1"/>
    <col min="3" max="3" width="23.90625" customWidth="1"/>
    <col min="8" max="8" width="15.08984375" customWidth="1"/>
    <col min="13" max="13" width="21.453125" customWidth="1"/>
    <col min="14" max="14" width="12.7265625" customWidth="1"/>
    <col min="15" max="15" width="18.7265625" customWidth="1"/>
    <col min="16" max="16" width="18.6328125" customWidth="1"/>
    <col min="17" max="17" width="12.1796875" customWidth="1"/>
  </cols>
  <sheetData>
    <row r="1" spans="1:17">
      <c r="A1" s="44"/>
      <c r="B1" s="43"/>
      <c r="C1" s="73" t="s">
        <v>234</v>
      </c>
      <c r="D1" s="74"/>
      <c r="E1" s="74"/>
      <c r="F1" s="74"/>
      <c r="G1" s="75"/>
      <c r="H1" s="73" t="s">
        <v>1</v>
      </c>
      <c r="I1" s="74"/>
      <c r="J1" s="74"/>
      <c r="K1" s="74"/>
    </row>
    <row r="2" spans="1:17">
      <c r="A2" s="42"/>
      <c r="B2" s="45" t="s">
        <v>235</v>
      </c>
      <c r="C2" s="1"/>
      <c r="D2" s="39">
        <v>-3</v>
      </c>
      <c r="E2" s="39">
        <v>-3</v>
      </c>
      <c r="F2" s="39">
        <v>-30</v>
      </c>
      <c r="G2" s="47">
        <v>-75</v>
      </c>
      <c r="H2" s="39">
        <v>2</v>
      </c>
      <c r="I2" s="39">
        <v>10</v>
      </c>
      <c r="J2" s="39">
        <v>30</v>
      </c>
      <c r="K2" s="39">
        <v>70</v>
      </c>
      <c r="M2" s="21" t="str" cm="1">
        <f t="array" ref="M2">_xll.TR("C5YUSAX=R","PCT1W")</f>
        <v>The formula must contain at least one field or function.</v>
      </c>
    </row>
    <row r="3" spans="1:17">
      <c r="A3" s="42"/>
      <c r="B3" s="45" t="s">
        <v>236</v>
      </c>
      <c r="C3" s="1"/>
      <c r="D3" s="48">
        <v>3</v>
      </c>
      <c r="E3" s="48">
        <v>3</v>
      </c>
      <c r="F3" s="49">
        <v>20</v>
      </c>
      <c r="G3" s="49">
        <v>50</v>
      </c>
      <c r="H3" s="48">
        <v>-3</v>
      </c>
      <c r="I3" s="48">
        <v>-10</v>
      </c>
      <c r="J3" s="48">
        <v>-30</v>
      </c>
      <c r="K3" s="48">
        <v>-70</v>
      </c>
      <c r="M3" s="40"/>
      <c r="N3" s="40"/>
    </row>
    <row r="4" spans="1:17">
      <c r="A4" s="43"/>
      <c r="B4" s="46"/>
      <c r="H4" s="50"/>
      <c r="I4" s="50"/>
      <c r="J4" s="50"/>
      <c r="K4" s="50"/>
      <c r="M4" s="21"/>
    </row>
    <row r="5" spans="1:17">
      <c r="A5" s="2"/>
      <c r="B5" s="2"/>
      <c r="C5" s="76" t="s">
        <v>0</v>
      </c>
      <c r="D5" s="74"/>
      <c r="E5" s="74"/>
      <c r="F5" s="74"/>
      <c r="G5" s="75"/>
      <c r="H5" s="76" t="s">
        <v>1</v>
      </c>
      <c r="I5" s="74"/>
      <c r="J5" s="74"/>
      <c r="K5" s="74"/>
      <c r="M5" s="24" t="str" cm="1">
        <f t="array" ref="M5">_xll.TR(O10,"TR.CDSMidSpread")</f>
        <v>The formula must contain at least one field or function.</v>
      </c>
    </row>
    <row r="6" spans="1:17">
      <c r="A6" s="3" t="s">
        <v>2</v>
      </c>
      <c r="B6" s="3" t="s">
        <v>254</v>
      </c>
      <c r="C6" s="3" t="s">
        <v>3</v>
      </c>
      <c r="D6" s="3" t="s">
        <v>4</v>
      </c>
      <c r="E6" s="3" t="s">
        <v>5</v>
      </c>
      <c r="F6" s="3" t="s">
        <v>6</v>
      </c>
      <c r="G6" s="4" t="s">
        <v>7</v>
      </c>
      <c r="H6" s="3" t="s">
        <v>4</v>
      </c>
      <c r="I6" s="3" t="s">
        <v>5</v>
      </c>
      <c r="J6" s="3" t="s">
        <v>6</v>
      </c>
      <c r="K6" s="3" t="s">
        <v>7</v>
      </c>
    </row>
    <row r="7" spans="1:17">
      <c r="A7" s="5" t="s">
        <v>8</v>
      </c>
      <c r="B7" s="5" t="s">
        <v>9</v>
      </c>
      <c r="C7" s="6"/>
      <c r="D7" s="6"/>
      <c r="E7" s="6"/>
      <c r="F7" s="6"/>
      <c r="G7" s="7"/>
      <c r="H7" s="6"/>
      <c r="I7" s="6"/>
      <c r="J7" s="6"/>
      <c r="K7" s="6"/>
      <c r="M7" s="13" t="s">
        <v>2</v>
      </c>
      <c r="N7" s="13" t="s">
        <v>49</v>
      </c>
      <c r="O7" s="16" t="s">
        <v>233</v>
      </c>
    </row>
    <row r="8" spans="1:17">
      <c r="A8" s="8" t="s">
        <v>10</v>
      </c>
      <c r="B8" s="9" t="s">
        <v>263</v>
      </c>
      <c r="C8" s="10">
        <f ca="1">'CDS from CapitalIQ'!C48</f>
        <v>51.605200000000004</v>
      </c>
      <c r="D8" s="35">
        <f ca="1">'CDS from CapitalIQ'!T48</f>
        <v>-0.4935999999999936</v>
      </c>
      <c r="E8" s="35">
        <f ca="1">'CDS from CapitalIQ'!V48</f>
        <v>-0.91489999999999583</v>
      </c>
      <c r="F8" s="35">
        <f ca="1">'CDS from CapitalIQ'!W48</f>
        <v>-3.4101999999999961</v>
      </c>
      <c r="G8" s="36">
        <f ca="1">'CDS from CapitalIQ'!X48</f>
        <v>0.44340000000000401</v>
      </c>
      <c r="H8" s="11" cm="1">
        <f t="array" aca="1" ref="H8" ca="1">(_xll.TR(N8,"TR.PriceClose")-_xll.TR(N8,"TR.PriceClose","SDate:"&amp;TEXT(WORKDAY(TODAY(),-5),"yyyy-mm-dd")))/_xll.TR(N8,"TR.PriceClose","SDate:"&amp;TEXT(WORKDAY(TODAY(),-5),"yyyy-mm-dd"))</f>
        <v>-4.9527109955959756E-2</v>
      </c>
      <c r="I8" s="11" cm="1">
        <f t="array" aca="1" ref="I8" ca="1">(_xll.TR(N8,"TR.PriceClose")-_xll.TR(N8,"TR.PriceClose","SDate:"&amp;TEXT(WORKDAY(TODAY(),-10),"yyyy-mm-dd")))/_xll.TR(N8,"TR.PriceClose","SDate:"&amp;TEXT(WORKDAY(TODAY(),-10),"yyyy-mm-dd"))</f>
        <v>-2.640141990829754E-2</v>
      </c>
      <c r="J8" s="11" cm="1">
        <f t="array" aca="1" ref="J8" ca="1">(_xll.TR(N8,"TR.PriceClose")-_xll.TR(N8,"TR.PriceClose","SDate:"&amp;EDATE(TODAY(),-3)))/_xll.TR(N8,"TR.PriceClose","SDate:"&amp;EDATE(TODAY(),-3))</f>
        <v>5.2442241586058057E-2</v>
      </c>
      <c r="K8" s="11" cm="1">
        <f t="array" aca="1" ref="K8" ca="1">(_xll.TR(N8,"TR.PriceClose")-_xll.TR(N8,"TR.PriceClose","SDate:"&amp;EDATE(TODAY(),-12)))/_xll.TR(N8,"TR.PriceClose","SDate:"&amp;EDATE(TODAY(),-12))</f>
        <v>0.38200713835817762</v>
      </c>
      <c r="M8" s="14" t="s">
        <v>10</v>
      </c>
      <c r="N8" s="15" t="s">
        <v>50</v>
      </c>
      <c r="O8" t="s">
        <v>81</v>
      </c>
      <c r="Q8" s="31"/>
    </row>
    <row r="9" spans="1:17">
      <c r="A9" s="12" t="s">
        <v>11</v>
      </c>
      <c r="B9" s="9" t="s">
        <v>263</v>
      </c>
      <c r="C9" s="10">
        <f ca="1">'CDS from CapitalIQ'!C49</f>
        <v>53.616999999999997</v>
      </c>
      <c r="D9" s="35">
        <f ca="1">'CDS from CapitalIQ'!T49</f>
        <v>-0.71780000000000399</v>
      </c>
      <c r="E9" s="35">
        <f ca="1">'CDS from CapitalIQ'!V49</f>
        <v>-0.39980000000000615</v>
      </c>
      <c r="F9" s="35">
        <f ca="1">'CDS from CapitalIQ'!W49</f>
        <v>-3.0106000000000037</v>
      </c>
      <c r="G9" s="36">
        <f ca="1">'CDS from CapitalIQ'!X49</f>
        <v>2.3180999999999941</v>
      </c>
      <c r="H9" s="11" cm="1">
        <f t="array" aca="1" ref="H9" ca="1">(_xll.TR(N9,"TR.PriceClose")-_xll.TR(N9,"TR.PriceClose","SDate:"&amp;TEXT(WORKDAY(TODAY(),-5),"yyyy-mm-dd")))/_xll.TR(N9,"TR.PriceClose","SDate:"&amp;TEXT(WORKDAY(TODAY(),-5),"yyyy-mm-dd"))</f>
        <v>-3.4434183753326075E-2</v>
      </c>
      <c r="I9" s="11" cm="1">
        <f t="array" aca="1" ref="I9" ca="1">(_xll.TR(N9,"TR.PriceClose")-_xll.TR(N9,"TR.PriceClose","SDate:"&amp;TEXT(WORKDAY(TODAY(),-10),"yyyy-mm-dd")))/_xll.TR(N9,"TR.PriceClose","SDate:"&amp;TEXT(WORKDAY(TODAY(),-10),"yyyy-mm-dd"))</f>
        <v>-3.3980582524271871E-2</v>
      </c>
      <c r="J9" s="11" cm="1">
        <f t="array" aca="1" ref="J9" ca="1">(_xll.TR(N9,"TR.PriceClose")-_xll.TR(N9,"TR.PriceClose","SDate:"&amp;EDATE(TODAY(),-3)))/_xll.TR(N9,"TR.PriceClose","SDate:"&amp;EDATE(TODAY(),-3))</f>
        <v>0.19092664092664094</v>
      </c>
      <c r="K9" s="11" cm="1">
        <f t="array" aca="1" ref="K9" ca="1">(_xll.TR(N9,"TR.PriceClose")-_xll.TR(N9,"TR.PriceClose","SDate:"&amp;EDATE(TODAY(),-12)))/_xll.TR(N9,"TR.PriceClose","SDate:"&amp;EDATE(TODAY(),-12))</f>
        <v>0.24676637025060633</v>
      </c>
      <c r="M9" s="14" t="s">
        <v>11</v>
      </c>
      <c r="N9" s="15" t="s">
        <v>51</v>
      </c>
      <c r="O9" t="s">
        <v>82</v>
      </c>
      <c r="Q9" s="32"/>
    </row>
    <row r="10" spans="1:17">
      <c r="A10" s="8" t="s">
        <v>12</v>
      </c>
      <c r="B10" s="9" t="s">
        <v>263</v>
      </c>
      <c r="C10" s="10">
        <f ca="1">'CDS from CapitalIQ'!C50</f>
        <v>38.324199999999998</v>
      </c>
      <c r="D10" s="35">
        <f ca="1">'CDS from CapitalIQ'!T50</f>
        <v>-0.85460000000000491</v>
      </c>
      <c r="E10" s="35">
        <f ca="1">'CDS from CapitalIQ'!V50</f>
        <v>-0.80600000000000449</v>
      </c>
      <c r="F10" s="35">
        <f ca="1">'CDS from CapitalIQ'!W50</f>
        <v>-4.1416000000000039</v>
      </c>
      <c r="G10" s="36">
        <f ca="1">'CDS from CapitalIQ'!X50</f>
        <v>1.0214999999999961</v>
      </c>
      <c r="H10" s="11" cm="1">
        <f t="array" aca="1" ref="H10" ca="1">(_xll.TR(N10,"TR.PriceClose")-_xll.TR(N10,"TR.PriceClose","SDate:"&amp;TEXT(WORKDAY(TODAY(),-5),"yyyy-mm-dd")))/_xll.TR(N10,"TR.PriceClose","SDate:"&amp;TEXT(WORKDAY(TODAY(),-5),"yyyy-mm-dd"))</f>
        <v>-2.5986258865248215E-2</v>
      </c>
      <c r="I10" s="11" cm="1">
        <f t="array" aca="1" ref="I10" ca="1">(_xll.TR(N10,"TR.PriceClose")-_xll.TR(N10,"TR.PriceClose","SDate:"&amp;TEXT(WORKDAY(TODAY(),-10),"yyyy-mm-dd")))/_xll.TR(N10,"TR.PriceClose","SDate:"&amp;TEXT(WORKDAY(TODAY(),-10),"yyyy-mm-dd"))</f>
        <v>-2.2818866561049599E-2</v>
      </c>
      <c r="J10" s="11" cm="1">
        <f t="array" aca="1" ref="J10" ca="1">(_xll.TR(N10,"TR.PriceClose")-_xll.TR(N10,"TR.PriceClose","SDate:"&amp;EDATE(TODAY(),-3)))/_xll.TR(N10,"TR.PriceClose","SDate:"&amp;EDATE(TODAY(),-3))</f>
        <v>0.14752921208956193</v>
      </c>
      <c r="K10" s="11" cm="1">
        <f t="array" aca="1" ref="K10" ca="1">(_xll.TR(N10,"TR.PriceClose")-_xll.TR(N10,"TR.PriceClose","SDate:"&amp;EDATE(TODAY(),-12)))/_xll.TR(N10,"TR.PriceClose","SDate:"&amp;EDATE(TODAY(),-12))</f>
        <v>0.18680799351876848</v>
      </c>
      <c r="M10" s="14" t="s">
        <v>12</v>
      </c>
      <c r="N10" s="15" t="s">
        <v>52</v>
      </c>
      <c r="O10" t="s">
        <v>83</v>
      </c>
      <c r="Q10" s="33"/>
    </row>
    <row r="11" spans="1:17">
      <c r="A11" s="12" t="s">
        <v>13</v>
      </c>
      <c r="B11" s="9" t="s">
        <v>263</v>
      </c>
      <c r="C11" s="10">
        <f ca="1">'CDS from CapitalIQ'!C51</f>
        <v>54.0991</v>
      </c>
      <c r="D11" s="35">
        <f ca="1">'CDS from CapitalIQ'!T51</f>
        <v>-0.26979999999999649</v>
      </c>
      <c r="E11" s="35">
        <f ca="1">'CDS from CapitalIQ'!V51</f>
        <v>0.20060000000000144</v>
      </c>
      <c r="F11" s="35">
        <f ca="1">'CDS from CapitalIQ'!W51</f>
        <v>-2.4009</v>
      </c>
      <c r="G11" s="36">
        <f ca="1">'CDS from CapitalIQ'!X51</f>
        <v>-1.2000000000000455E-2</v>
      </c>
      <c r="H11" s="11" cm="1">
        <f t="array" aca="1" ref="H11" ca="1">(_xll.TR(N11,"TR.PriceClose")-_xll.TR(N11,"TR.PriceClose","SDate:"&amp;TEXT(WORKDAY(TODAY(),-5),"yyyy-mm-dd")))/_xll.TR(N11,"TR.PriceClose","SDate:"&amp;TEXT(WORKDAY(TODAY(),-5),"yyyy-mm-dd"))</f>
        <v>-1.1442866518914472E-2</v>
      </c>
      <c r="I11" s="11" cm="1">
        <f t="array" aca="1" ref="I11" ca="1">(_xll.TR(N11,"TR.PriceClose")-_xll.TR(N11,"TR.PriceClose","SDate:"&amp;TEXT(WORKDAY(TODAY(),-10),"yyyy-mm-dd")))/_xll.TR(N11,"TR.PriceClose","SDate:"&amp;TEXT(WORKDAY(TODAY(),-10),"yyyy-mm-dd"))</f>
        <v>4.6108785801973707E-3</v>
      </c>
      <c r="J11" s="11" cm="1">
        <f t="array" aca="1" ref="J11" ca="1">(_xll.TR(N11,"TR.PriceClose")-_xll.TR(N11,"TR.PriceClose","SDate:"&amp;EDATE(TODAY(),-3)))/_xll.TR(N11,"TR.PriceClose","SDate:"&amp;EDATE(TODAY(),-3))</f>
        <v>4.2689594975570067E-2</v>
      </c>
      <c r="K11" s="11" cm="1">
        <f t="array" aca="1" ref="K11" ca="1">(_xll.TR(N11,"TR.PriceClose")-_xll.TR(N11,"TR.PriceClose","SDate:"&amp;EDATE(TODAY(),-12)))/_xll.TR(N11,"TR.PriceClose","SDate:"&amp;EDATE(TODAY(),-12))</f>
        <v>0.40085457412824005</v>
      </c>
      <c r="M11" s="14" t="s">
        <v>13</v>
      </c>
      <c r="N11" s="15" t="s">
        <v>53</v>
      </c>
      <c r="O11" t="s">
        <v>84</v>
      </c>
      <c r="Q11" s="34"/>
    </row>
    <row r="12" spans="1:17">
      <c r="A12" s="8" t="s">
        <v>14</v>
      </c>
      <c r="B12" s="9" t="s">
        <v>263</v>
      </c>
      <c r="C12" s="10">
        <f ca="1">'CDS from CapitalIQ'!C52</f>
        <v>56.321899999999999</v>
      </c>
      <c r="D12" s="35">
        <f ca="1">'CDS from CapitalIQ'!T52</f>
        <v>-0.45900000000000318</v>
      </c>
      <c r="E12" s="35">
        <f ca="1">'CDS from CapitalIQ'!V52</f>
        <v>-1.9378000000000029</v>
      </c>
      <c r="F12" s="35">
        <f ca="1">'CDS from CapitalIQ'!W52</f>
        <v>-1.8693999999999988</v>
      </c>
      <c r="G12" s="36">
        <f ca="1">'CDS from CapitalIQ'!X52</f>
        <v>6.3053999999999988</v>
      </c>
      <c r="H12" s="11" cm="1">
        <f t="array" aca="1" ref="H12" ca="1">(_xll.TR(N12,"TR.PriceClose")-_xll.TR(N12,"TR.PriceClose","SDate:"&amp;TEXT(WORKDAY(TODAY(),-5),"yyyy-mm-dd")))/_xll.TR(N12,"TR.PriceClose","SDate:"&amp;TEXT(WORKDAY(TODAY(),-5),"yyyy-mm-dd"))</f>
        <v>-1.8376792997571233E-2</v>
      </c>
      <c r="I12" s="11" cm="1">
        <f t="array" aca="1" ref="I12" ca="1">(_xll.TR(N12,"TR.PriceClose")-_xll.TR(N12,"TR.PriceClose","SDate:"&amp;TEXT(WORKDAY(TODAY(),-10),"yyyy-mm-dd")))/_xll.TR(N12,"TR.PriceClose","SDate:"&amp;TEXT(WORKDAY(TODAY(),-10),"yyyy-mm-dd"))</f>
        <v>-5.2477592532393248E-3</v>
      </c>
      <c r="J12" s="11" cm="1">
        <f t="array" aca="1" ref="J12" ca="1">(_xll.TR(N12,"TR.PriceClose")-_xll.TR(N12,"TR.PriceClose","SDate:"&amp;EDATE(TODAY(),-3)))/_xll.TR(N12,"TR.PriceClose","SDate:"&amp;EDATE(TODAY(),-3))</f>
        <v>6.5512610058200207E-2</v>
      </c>
      <c r="K12" s="11" cm="1">
        <f t="array" aca="1" ref="K12" ca="1">(_xll.TR(N12,"TR.PriceClose")-_xll.TR(N12,"TR.PriceClose","SDate:"&amp;EDATE(TODAY(),-12)))/_xll.TR(N12,"TR.PriceClose","SDate:"&amp;EDATE(TODAY(),-12))</f>
        <v>0.4471017430077015</v>
      </c>
      <c r="M12" s="14" t="s">
        <v>14</v>
      </c>
      <c r="N12" s="15" t="s">
        <v>54</v>
      </c>
      <c r="O12" t="s">
        <v>85</v>
      </c>
      <c r="Q12" s="21"/>
    </row>
    <row r="13" spans="1:17">
      <c r="A13" s="12" t="s">
        <v>15</v>
      </c>
      <c r="B13" s="9" t="s">
        <v>263</v>
      </c>
      <c r="C13" s="10">
        <f ca="1">'CDS from CapitalIQ'!C53</f>
        <v>47.158299999999997</v>
      </c>
      <c r="D13" s="35">
        <f ca="1">'CDS from CapitalIQ'!T53</f>
        <v>-0.41070000000000562</v>
      </c>
      <c r="E13" s="35">
        <f ca="1">'CDS from CapitalIQ'!V53</f>
        <v>-0.98690000000000566</v>
      </c>
      <c r="F13" s="35">
        <f ca="1">'CDS from CapitalIQ'!W53</f>
        <v>-4.9518000000000058</v>
      </c>
      <c r="G13" s="36">
        <f ca="1">'CDS from CapitalIQ'!X53</f>
        <v>2.3220999999999989</v>
      </c>
      <c r="H13" s="11" cm="1">
        <f t="array" aca="1" ref="H13" ca="1">(_xll.TR(N13,"TR.PriceClose")-_xll.TR(N13,"TR.PriceClose","SDate:"&amp;TEXT(WORKDAY(TODAY(),-5),"yyyy-mm-dd")))/_xll.TR(N13,"TR.PriceClose","SDate:"&amp;TEXT(WORKDAY(TODAY(),-5),"yyyy-mm-dd"))</f>
        <v>-4.226639250628287E-2</v>
      </c>
      <c r="I13" s="11" cm="1">
        <f t="array" aca="1" ref="I13" ca="1">(_xll.TR(N13,"TR.PriceClose")-_xll.TR(N13,"TR.PriceClose","SDate:"&amp;TEXT(WORKDAY(TODAY(),-10),"yyyy-mm-dd")))/_xll.TR(N13,"TR.PriceClose","SDate:"&amp;TEXT(WORKDAY(TODAY(),-10),"yyyy-mm-dd"))</f>
        <v>-4.2047531992687306E-2</v>
      </c>
      <c r="J13" s="11" cm="1">
        <f t="array" aca="1" ref="J13" ca="1">(_xll.TR(N13,"TR.PriceClose")-_xll.TR(N13,"TR.PriceClose","SDate:"&amp;EDATE(TODAY(),-3)))/_xll.TR(N13,"TR.PriceClose","SDate:"&amp;EDATE(TODAY(),-3))</f>
        <v>9.7382198952879542E-2</v>
      </c>
      <c r="K13" s="11" cm="1">
        <f t="array" aca="1" ref="K13" ca="1">(_xll.TR(N13,"TR.PriceClose")-_xll.TR(N13,"TR.PriceClose","SDate:"&amp;EDATE(TODAY(),-12)))/_xll.TR(N13,"TR.PriceClose","SDate:"&amp;EDATE(TODAY(),-12))</f>
        <v>5.9924146649810488E-2</v>
      </c>
      <c r="M13" s="14" t="s">
        <v>15</v>
      </c>
      <c r="N13" s="15" t="s">
        <v>55</v>
      </c>
      <c r="O13" s="20" t="s">
        <v>86</v>
      </c>
      <c r="Q13" s="21"/>
    </row>
    <row r="14" spans="1:17">
      <c r="A14" s="8" t="s">
        <v>16</v>
      </c>
      <c r="B14" s="9" t="s">
        <v>263</v>
      </c>
      <c r="C14" s="10">
        <f ca="1">'CDS from CapitalIQ'!C54</f>
        <v>50.082000000000001</v>
      </c>
      <c r="D14" s="35">
        <f ca="1">'CDS from CapitalIQ'!T54</f>
        <v>1.2000000000000455E-2</v>
      </c>
      <c r="E14" s="35">
        <f ca="1">'CDS from CapitalIQ'!V54</f>
        <v>-1.3708999999999989</v>
      </c>
      <c r="F14" s="35">
        <f ca="1">'CDS from CapitalIQ'!W54</f>
        <v>-1.929000000000002</v>
      </c>
      <c r="G14" s="36">
        <f ca="1">'CDS from CapitalIQ'!X54</f>
        <v>1.1773000000000025</v>
      </c>
      <c r="H14" s="11" cm="1">
        <f t="array" aca="1" ref="H14" ca="1">(_xll.TR(N14,"TR.PriceClose")-_xll.TR(N14,"TR.PriceClose","SDate:"&amp;TEXT(WORKDAY(TODAY(),-5),"yyyy-mm-dd")))/_xll.TR(N14,"TR.PriceClose","SDate:"&amp;TEXT(WORKDAY(TODAY(),-5),"yyyy-mm-dd"))</f>
        <v>-3.0615416493990865E-2</v>
      </c>
      <c r="I14" s="11" cm="1">
        <f t="array" aca="1" ref="I14" ca="1">(_xll.TR(N14,"TR.PriceClose")-_xll.TR(N14,"TR.PriceClose","SDate:"&amp;TEXT(WORKDAY(TODAY(),-10),"yyyy-mm-dd")))/_xll.TR(N14,"TR.PriceClose","SDate:"&amp;TEXT(WORKDAY(TODAY(),-10),"yyyy-mm-dd"))</f>
        <v>2.4105421041353578E-3</v>
      </c>
      <c r="J14" s="11" cm="1">
        <f t="array" aca="1" ref="J14" ca="1">(_xll.TR(N14,"TR.PriceClose")-_xll.TR(N14,"TR.PriceClose","SDate:"&amp;EDATE(TODAY(),-3)))/_xll.TR(N14,"TR.PriceClose","SDate:"&amp;EDATE(TODAY(),-3))</f>
        <v>0.21552452094835992</v>
      </c>
      <c r="K14" s="11" cm="1">
        <f t="array" aca="1" ref="K14" ca="1">(_xll.TR(N14,"TR.PriceClose")-_xll.TR(N14,"TR.PriceClose","SDate:"&amp;EDATE(TODAY(),-12)))/_xll.TR(N14,"TR.PriceClose","SDate:"&amp;EDATE(TODAY(),-12))</f>
        <v>0.62045375822653259</v>
      </c>
      <c r="M14" s="14" t="s">
        <v>16</v>
      </c>
      <c r="N14" s="15" t="s">
        <v>56</v>
      </c>
      <c r="O14" t="s">
        <v>87</v>
      </c>
      <c r="Q14" s="21"/>
    </row>
    <row r="15" spans="1:17">
      <c r="A15" s="18" t="s">
        <v>17</v>
      </c>
      <c r="B15" s="5" t="s">
        <v>264</v>
      </c>
      <c r="C15" s="22"/>
      <c r="D15" s="37"/>
      <c r="E15" s="37"/>
      <c r="F15" s="37"/>
      <c r="G15" s="38"/>
      <c r="H15" s="17"/>
      <c r="I15" s="17"/>
      <c r="J15" s="17"/>
      <c r="K15" s="17"/>
      <c r="M15" s="16"/>
    </row>
    <row r="16" spans="1:17">
      <c r="A16" s="12" t="s">
        <v>18</v>
      </c>
      <c r="B16" s="72" t="s">
        <v>214</v>
      </c>
      <c r="C16" s="10">
        <f ca="1">'CDS from CapitalIQ'!C56</f>
        <v>40.601100000000002</v>
      </c>
      <c r="D16" s="35">
        <f ca="1">'CDS from CapitalIQ'!T56</f>
        <v>-0.29889999999999617</v>
      </c>
      <c r="E16" s="35">
        <f ca="1">'CDS from CapitalIQ'!V56</f>
        <v>-0.69829999999999615</v>
      </c>
      <c r="F16" s="35">
        <f ca="1">'CDS from CapitalIQ'!W56</f>
        <v>0.86570000000000391</v>
      </c>
      <c r="G16" s="36">
        <f ca="1">'CDS from CapitalIQ'!X56</f>
        <v>-0.82719999999999771</v>
      </c>
      <c r="H16" s="11" cm="1">
        <f t="array" aca="1" ref="H16" ca="1">(_xll.TR(N16,"TR.PriceClose")-_xll.TR(N16,"TR.PriceClose","SDate:"&amp;TEXT(WORKDAY(TODAY(),-5),"yyyy-mm-dd")))/_xll.TR(N16,"TR.PriceClose","SDate:"&amp;TEXT(WORKDAY(TODAY(),-5),"yyyy-mm-dd"))</f>
        <v>-3.9049847039769693E-2</v>
      </c>
      <c r="I16" s="11" cm="1">
        <f t="array" aca="1" ref="I16" ca="1">(_xll.TR(N16,"TR.PriceClose")-_xll.TR(N16,"TR.PriceClose","SDate:"&amp;TEXT(WORKDAY(TODAY(),-10),"yyyy-mm-dd")))/_xll.TR(N16,"TR.PriceClose","SDate:"&amp;TEXT(WORKDAY(TODAY(),-10),"yyyy-mm-dd"))</f>
        <v>-5.3191489361702128E-2</v>
      </c>
      <c r="J16" s="11" cm="1">
        <f t="array" aca="1" ref="J16" ca="1">(_xll.TR(N16,"TR.PriceClose")-_xll.TR(N16,"TR.PriceClose","SDate:"&amp;EDATE(TODAY(),-3)))/_xll.TR(N16,"TR.PriceClose","SDate:"&amp;EDATE(TODAY(),-3))</f>
        <v>0.18759034804848204</v>
      </c>
      <c r="K16" s="11" cm="1">
        <f t="array" aca="1" ref="K16" ca="1">(_xll.TR(N16,"TR.PriceClose")-_xll.TR(N16,"TR.PriceClose","SDate:"&amp;EDATE(TODAY(),-12)))/_xll.TR(N16,"TR.PriceClose","SDate:"&amp;EDATE(TODAY(),-12))</f>
        <v>0.28088270568481655</v>
      </c>
      <c r="M16" s="14" t="s">
        <v>18</v>
      </c>
      <c r="N16" s="15" t="s">
        <v>57</v>
      </c>
      <c r="O16" s="20" t="s">
        <v>88</v>
      </c>
    </row>
    <row r="17" spans="1:17">
      <c r="A17" s="8" t="s">
        <v>19</v>
      </c>
      <c r="B17" s="72" t="s">
        <v>214</v>
      </c>
      <c r="C17" s="10">
        <f ca="1">'CDS from CapitalIQ'!C57</f>
        <v>35.292499999999997</v>
      </c>
      <c r="D17" s="35">
        <f ca="1">'CDS from CapitalIQ'!T57</f>
        <v>-0.41750000000000398</v>
      </c>
      <c r="E17" s="35">
        <f ca="1">'CDS from CapitalIQ'!V57</f>
        <v>-7.5000000000002842E-3</v>
      </c>
      <c r="F17" s="35">
        <f ca="1">'CDS from CapitalIQ'!W57</f>
        <v>0.99959999999999383</v>
      </c>
      <c r="G17" s="36">
        <f ca="1">'CDS from CapitalIQ'!X57</f>
        <v>-2.8458000000000041</v>
      </c>
      <c r="H17" s="11" cm="1">
        <f t="array" aca="1" ref="H17" ca="1">(_xll.TR(N17,"TR.PriceClose")-_xll.TR(N17,"TR.PriceClose","SDate:"&amp;TEXT(WORKDAY(TODAY(),-5),"yyyy-mm-dd")))/_xll.TR(N17,"TR.PriceClose","SDate:"&amp;TEXT(WORKDAY(TODAY(),-5),"yyyy-mm-dd"))</f>
        <v>-4.9078226208271021E-2</v>
      </c>
      <c r="I17" s="11" cm="1">
        <f t="array" aca="1" ref="I17" ca="1">(_xll.TR(N17,"TR.PriceClose")-_xll.TR(N17,"TR.PriceClose","SDate:"&amp;TEXT(WORKDAY(TODAY(),-10),"yyyy-mm-dd")))/_xll.TR(N17,"TR.PriceClose","SDate:"&amp;TEXT(WORKDAY(TODAY(),-10),"yyyy-mm-dd"))</f>
        <v>-4.2398394380331106E-2</v>
      </c>
      <c r="J17" s="11" cm="1">
        <f t="array" aca="1" ref="J17" ca="1">(_xll.TR(N17,"TR.PriceClose")-_xll.TR(N17,"TR.PriceClose","SDate:"&amp;EDATE(TODAY(),-3)))/_xll.TR(N17,"TR.PriceClose","SDate:"&amp;EDATE(TODAY(),-3))</f>
        <v>0.10573580533024329</v>
      </c>
      <c r="K17" s="11" cm="1">
        <f t="array" aca="1" ref="K17" ca="1">(_xll.TR(N17,"TR.PriceClose")-_xll.TR(N17,"TR.PriceClose","SDate:"&amp;EDATE(TODAY(),-12)))/_xll.TR(N17,"TR.PriceClose","SDate:"&amp;EDATE(TODAY(),-12))</f>
        <v>0.11902667839343307</v>
      </c>
      <c r="M17" s="14" t="s">
        <v>19</v>
      </c>
      <c r="N17" s="15" t="s">
        <v>58</v>
      </c>
      <c r="O17" t="s">
        <v>89</v>
      </c>
      <c r="Q17" s="23"/>
    </row>
    <row r="18" spans="1:17">
      <c r="A18" s="12" t="s">
        <v>20</v>
      </c>
      <c r="B18" s="72" t="s">
        <v>214</v>
      </c>
      <c r="C18" s="10">
        <f ca="1">'CDS from CapitalIQ'!C58</f>
        <v>42.910899999999998</v>
      </c>
      <c r="D18" s="35">
        <f ca="1">'CDS from CapitalIQ'!T58</f>
        <v>-0.17240000000000322</v>
      </c>
      <c r="E18" s="35">
        <f ca="1">'CDS from CapitalIQ'!V58</f>
        <v>7.7599999999996783E-2</v>
      </c>
      <c r="F18" s="35">
        <f ca="1">'CDS from CapitalIQ'!W58</f>
        <v>0.16489999999999583</v>
      </c>
      <c r="G18" s="36">
        <f ca="1">'CDS from CapitalIQ'!X58</f>
        <v>-3.6373999999999995</v>
      </c>
      <c r="H18" s="11" cm="1">
        <f t="array" aca="1" ref="H18" ca="1">(_xll.TR(N18,"TR.PriceClose")-_xll.TR(N18,"TR.PriceClose","SDate:"&amp;TEXT(WORKDAY(TODAY(),-5),"yyyy-mm-dd")))/_xll.TR(N18,"TR.PriceClose","SDate:"&amp;TEXT(WORKDAY(TODAY(),-5),"yyyy-mm-dd"))</f>
        <v>-7.9133187241295352E-2</v>
      </c>
      <c r="I18" s="11" cm="1">
        <f t="array" aca="1" ref="I18" ca="1">(_xll.TR(N18,"TR.PriceClose")-_xll.TR(N18,"TR.PriceClose","SDate:"&amp;TEXT(WORKDAY(TODAY(),-10),"yyyy-mm-dd")))/_xll.TR(N18,"TR.PriceClose","SDate:"&amp;TEXT(WORKDAY(TODAY(),-10),"yyyy-mm-dd"))</f>
        <v>-9.9523809523809514E-2</v>
      </c>
      <c r="J18" s="11" cm="1">
        <f t="array" aca="1" ref="J18" ca="1">(_xll.TR(N18,"TR.PriceClose")-_xll.TR(N18,"TR.PriceClose","SDate:"&amp;EDATE(TODAY(),-3)))/_xll.TR(N18,"TR.PriceClose","SDate:"&amp;EDATE(TODAY(),-3))</f>
        <v>9.941860465116284E-2</v>
      </c>
      <c r="K18" s="11" cm="1">
        <f t="array" aca="1" ref="K18" ca="1">(_xll.TR(N18,"TR.PriceClose")-_xll.TR(N18,"TR.PriceClose","SDate:"&amp;EDATE(TODAY(),-12)))/_xll.TR(N18,"TR.PriceClose","SDate:"&amp;EDATE(TODAY(),-12))</f>
        <v>0.30774550484094043</v>
      </c>
      <c r="M18" s="14" t="s">
        <v>20</v>
      </c>
      <c r="N18" s="15" t="s">
        <v>59</v>
      </c>
      <c r="O18" t="s">
        <v>90</v>
      </c>
      <c r="Q18" s="23"/>
    </row>
    <row r="19" spans="1:17">
      <c r="A19" s="18" t="s">
        <v>21</v>
      </c>
      <c r="B19" s="19"/>
      <c r="C19" s="22"/>
      <c r="D19" s="37"/>
      <c r="E19" s="37"/>
      <c r="F19" s="37"/>
      <c r="G19" s="38"/>
      <c r="H19" s="17"/>
      <c r="I19" s="17"/>
      <c r="J19" s="17"/>
      <c r="K19" s="17"/>
      <c r="M19" s="14"/>
      <c r="N19" s="15"/>
      <c r="Q19" s="23"/>
    </row>
    <row r="20" spans="1:17">
      <c r="A20" s="8" t="s">
        <v>22</v>
      </c>
      <c r="B20" s="9" t="s">
        <v>266</v>
      </c>
      <c r="C20" s="10">
        <f ca="1">'CDS from CapitalIQ'!C60</f>
        <v>44.970100000000002</v>
      </c>
      <c r="D20" s="35">
        <f ca="1">'CDS from CapitalIQ'!T60</f>
        <v>0.23640000000000327</v>
      </c>
      <c r="E20" s="35">
        <f ca="1">'CDS from CapitalIQ'!V60</f>
        <v>-0.14789999999999992</v>
      </c>
      <c r="F20" s="35">
        <f ca="1">'CDS from CapitalIQ'!W60</f>
        <v>-7.2528000000000006</v>
      </c>
      <c r="G20" s="36">
        <f ca="1">'CDS from CapitalIQ'!X60</f>
        <v>-1.7996999999999943</v>
      </c>
      <c r="H20" s="11" cm="1">
        <f t="array" aca="1" ref="H20" ca="1">(_xll.TR(N20,"TR.PriceClose")-_xll.TR(N20,"TR.PriceClose","SDate:"&amp;TEXT(WORKDAY(TODAY(),-5),"yyyy-mm-dd")))/_xll.TR(N20,"TR.PriceClose","SDate:"&amp;TEXT(WORKDAY(TODAY(),-5),"yyyy-mm-dd"))</f>
        <v>-8.036739380022832E-3</v>
      </c>
      <c r="I20" s="11" cm="1">
        <f t="array" aca="1" ref="I20" ca="1">(_xll.TR(N20,"TR.PriceClose")-_xll.TR(N20,"TR.PriceClose","SDate:"&amp;TEXT(WORKDAY(TODAY(),-10),"yyyy-mm-dd")))/_xll.TR(N20,"TR.PriceClose","SDate:"&amp;TEXT(WORKDAY(TODAY(),-10),"yyyy-mm-dd"))</f>
        <v>-1.4373716632443429E-2</v>
      </c>
      <c r="J20" s="11" cm="1">
        <f t="array" aca="1" ref="J20" ca="1">(_xll.TR(N20,"TR.PriceClose")-_xll.TR(N20,"TR.PriceClose","SDate:"&amp;EDATE(TODAY(),-3)))/_xll.TR(N20,"TR.PriceClose","SDate:"&amp;EDATE(TODAY(),-3))</f>
        <v>0.1647344297654354</v>
      </c>
      <c r="K20" s="11" cm="1">
        <f t="array" aca="1" ref="K20" ca="1">(_xll.TR(N20,"TR.PriceClose")-_xll.TR(N20,"TR.PriceClose","SDate:"&amp;EDATE(TODAY(),-12)))/_xll.TR(N20,"TR.PriceClose","SDate:"&amp;EDATE(TODAY(),-12))</f>
        <v>0.33663366336633671</v>
      </c>
      <c r="M20" s="14" t="s">
        <v>22</v>
      </c>
      <c r="N20" s="15" t="s">
        <v>60</v>
      </c>
      <c r="O20" t="s">
        <v>91</v>
      </c>
    </row>
    <row r="21" spans="1:17">
      <c r="A21" s="18" t="s">
        <v>23</v>
      </c>
      <c r="B21" s="19"/>
      <c r="C21" s="22"/>
      <c r="D21" s="37"/>
      <c r="E21" s="37"/>
      <c r="F21" s="37"/>
      <c r="G21" s="38"/>
      <c r="H21" s="17"/>
      <c r="I21" s="17"/>
      <c r="J21" s="17"/>
      <c r="K21" s="17"/>
      <c r="M21" s="16"/>
      <c r="Q21" s="23"/>
    </row>
    <row r="22" spans="1:17">
      <c r="A22" s="8" t="s">
        <v>24</v>
      </c>
      <c r="B22" s="9" t="s">
        <v>214</v>
      </c>
      <c r="C22" s="10">
        <f ca="1">'CDS from CapitalIQ'!C63</f>
        <v>53.750599999999999</v>
      </c>
      <c r="D22" s="35">
        <f ca="1">'CDS from CapitalIQ'!T63</f>
        <v>-0.41980000000000217</v>
      </c>
      <c r="E22" s="35">
        <f ca="1">'CDS from CapitalIQ'!T63</f>
        <v>-0.41980000000000217</v>
      </c>
      <c r="F22" s="35">
        <f ca="1">'CDS from CapitalIQ'!V63</f>
        <v>-8.4999999999979536E-3</v>
      </c>
      <c r="G22" s="36">
        <f ca="1">'CDS from CapitalIQ'!X63</f>
        <v>-5.7137000000000029</v>
      </c>
      <c r="H22" s="11" cm="1">
        <f t="array" aca="1" ref="H22" ca="1">(_xll.TR(N22,"TR.PriceClose")-_xll.TR(N22,"TR.PriceClose","SDate:"&amp;TEXT(WORKDAY(TODAY(),-5),"yyyy-mm-dd")))/_xll.TR(N22,"TR.PriceClose","SDate:"&amp;TEXT(WORKDAY(TODAY(),-5),"yyyy-mm-dd"))</f>
        <v>-3.8901823826154355E-2</v>
      </c>
      <c r="I22" s="11" cm="1">
        <f t="array" aca="1" ref="I22" ca="1">(_xll.TR(N22,"TR.PriceClose")-_xll.TR(N22,"TR.PriceClose","SDate:"&amp;TEXT(WORKDAY(TODAY(),-10),"yyyy-mm-dd")))/_xll.TR(N22,"TR.PriceClose","SDate:"&amp;TEXT(WORKDAY(TODAY(),-10),"yyyy-mm-dd"))</f>
        <v>-4.3725868725868679E-2</v>
      </c>
      <c r="J22" s="11" cm="1">
        <f t="array" aca="1" ref="J22" ca="1">(_xll.TR(N22,"TR.PriceClose")-_xll.TR(N22,"TR.PriceClose","SDate:"&amp;EDATE(TODAY(),-3)))/_xll.TR(N22,"TR.PriceClose","SDate:"&amp;EDATE(TODAY(),-3))</f>
        <v>0.11114849708389414</v>
      </c>
      <c r="K22" s="11" cm="1">
        <f t="array" aca="1" ref="K22" ca="1">(_xll.TR(N22,"TR.PriceClose")-_xll.TR(N22,"TR.PriceClose","SDate:"&amp;EDATE(TODAY(),-12)))/_xll.TR(N22,"TR.PriceClose","SDate:"&amp;EDATE(TODAY(),-12))</f>
        <v>0.31584539779519205</v>
      </c>
      <c r="M22" s="14" t="s">
        <v>24</v>
      </c>
      <c r="N22" s="15" t="s">
        <v>61</v>
      </c>
      <c r="O22" t="s">
        <v>92</v>
      </c>
      <c r="Q22" s="23"/>
    </row>
    <row r="23" spans="1:17">
      <c r="A23" s="12" t="s">
        <v>25</v>
      </c>
      <c r="B23" s="9" t="s">
        <v>214</v>
      </c>
      <c r="C23" s="10">
        <f ca="1">'CDS from CapitalIQ'!C64</f>
        <v>36.032600000000002</v>
      </c>
      <c r="D23" s="35">
        <f ca="1">'CDS from CapitalIQ'!T64</f>
        <v>-0.41319999999999624</v>
      </c>
      <c r="E23" s="35">
        <f ca="1">'CDS from CapitalIQ'!T64</f>
        <v>-0.41319999999999624</v>
      </c>
      <c r="F23" s="35">
        <f ca="1">'CDS from CapitalIQ'!V64</f>
        <v>-0.68560000000000088</v>
      </c>
      <c r="G23" s="36">
        <f ca="1">'CDS from CapitalIQ'!X64</f>
        <v>-9.8071999999999946</v>
      </c>
      <c r="H23" s="11" cm="1">
        <f t="array" aca="1" ref="H23" ca="1">(_xll.TR(N23,"TR.PriceClose")-_xll.TR(N23,"TR.PriceClose","SDate:"&amp;TEXT(WORKDAY(TODAY(),-5),"yyyy-mm-dd")))/_xll.TR(N23,"TR.PriceClose","SDate:"&amp;TEXT(WORKDAY(TODAY(),-5),"yyyy-mm-dd"))</f>
        <v>-1.3063357282821686E-3</v>
      </c>
      <c r="I23" s="11" cm="1">
        <f t="array" aca="1" ref="I23" ca="1">(_xll.TR(N23,"TR.PriceClose")-_xll.TR(N23,"TR.PriceClose","SDate:"&amp;TEXT(WORKDAY(TODAY(),-10),"yyyy-mm-dd")))/_xll.TR(N23,"TR.PriceClose","SDate:"&amp;TEXT(WORKDAY(TODAY(),-10),"yyyy-mm-dd"))</f>
        <v>1.7033542976938607E-3</v>
      </c>
      <c r="J23" s="11" cm="1">
        <f t="array" aca="1" ref="J23" ca="1">(_xll.TR(N23,"TR.PriceClose")-_xll.TR(N23,"TR.PriceClose","SDate:"&amp;EDATE(TODAY(),-3)))/_xll.TR(N23,"TR.PriceClose","SDate:"&amp;EDATE(TODAY(),-3))</f>
        <v>0.11264735846310577</v>
      </c>
      <c r="K23" s="11" cm="1">
        <f t="array" aca="1" ref="K23" ca="1">(_xll.TR(N23,"TR.PriceClose")-_xll.TR(N23,"TR.PriceClose","SDate:"&amp;EDATE(TODAY(),-12)))/_xll.TR(N23,"TR.PriceClose","SDate:"&amp;EDATE(TODAY(),-12))</f>
        <v>0.58068851442158598</v>
      </c>
      <c r="M23" s="14" t="s">
        <v>25</v>
      </c>
      <c r="N23" s="15" t="s">
        <v>62</v>
      </c>
      <c r="O23" t="s">
        <v>94</v>
      </c>
      <c r="Q23" s="23"/>
    </row>
    <row r="24" spans="1:17">
      <c r="A24" s="8" t="s">
        <v>26</v>
      </c>
      <c r="B24" s="9" t="s">
        <v>214</v>
      </c>
      <c r="C24" s="10">
        <f ca="1">'CDS from CapitalIQ'!C65</f>
        <v>51.6509</v>
      </c>
      <c r="D24" s="35">
        <f ca="1">'CDS from CapitalIQ'!T65</f>
        <v>7.7199999999997715E-2</v>
      </c>
      <c r="E24" s="35">
        <f ca="1">'CDS from CapitalIQ'!T65</f>
        <v>7.7199999999997715E-2</v>
      </c>
      <c r="F24" s="35">
        <f ca="1">'CDS from CapitalIQ'!V65</f>
        <v>0.27049999999999841</v>
      </c>
      <c r="G24" s="36">
        <f ca="1">'CDS from CapitalIQ'!X65</f>
        <v>-0.95720000000000027</v>
      </c>
      <c r="H24" s="11" cm="1">
        <f t="array" aca="1" ref="H24" ca="1">(_xll.TR(N24,"TR.PriceClose")-_xll.TR(N24,"TR.PriceClose","SDate:"&amp;TEXT(WORKDAY(TODAY(),-5),"yyyy-mm-dd")))/_xll.TR(N24,"TR.PriceClose","SDate:"&amp;TEXT(WORKDAY(TODAY(),-5),"yyyy-mm-dd"))</f>
        <v>-2.8490832157969034E-2</v>
      </c>
      <c r="I24" s="11" cm="1">
        <f t="array" aca="1" ref="I24" ca="1">(_xll.TR(N24,"TR.PriceClose")-_xll.TR(N24,"TR.PriceClose","SDate:"&amp;TEXT(WORKDAY(TODAY(),-10),"yyyy-mm-dd")))/_xll.TR(N24,"TR.PriceClose","SDate:"&amp;TEXT(WORKDAY(TODAY(),-10),"yyyy-mm-dd"))</f>
        <v>-3.2312447316661982E-2</v>
      </c>
      <c r="J24" s="11" cm="1">
        <f t="array" aca="1" ref="J24" ca="1">(_xll.TR(N24,"TR.PriceClose")-_xll.TR(N24,"TR.PriceClose","SDate:"&amp;EDATE(TODAY(),-3)))/_xll.TR(N24,"TR.PriceClose","SDate:"&amp;EDATE(TODAY(),-3))</f>
        <v>0.17904827114002037</v>
      </c>
      <c r="K24" s="11" cm="1">
        <f t="array" aca="1" ref="K24" ca="1">(_xll.TR(N24,"TR.PriceClose")-_xll.TR(N24,"TR.PriceClose","SDate:"&amp;EDATE(TODAY(),-12)))/_xll.TR(N24,"TR.PriceClose","SDate:"&amp;EDATE(TODAY(),-12))</f>
        <v>0.22475106685632998</v>
      </c>
      <c r="M24" s="14" t="s">
        <v>26</v>
      </c>
      <c r="N24" s="15" t="s">
        <v>63</v>
      </c>
      <c r="O24" t="s">
        <v>95</v>
      </c>
    </row>
    <row r="25" spans="1:17">
      <c r="A25" s="12" t="s">
        <v>27</v>
      </c>
      <c r="B25" s="9" t="s">
        <v>214</v>
      </c>
      <c r="C25" s="10">
        <f ca="1">'CDS from CapitalIQ'!C66</f>
        <v>38.869799999999998</v>
      </c>
      <c r="D25" s="35">
        <f ca="1">'CDS from CapitalIQ'!T66</f>
        <v>-0.16669999999999874</v>
      </c>
      <c r="E25" s="35">
        <f ca="1">'CDS from CapitalIQ'!T66</f>
        <v>-0.16669999999999874</v>
      </c>
      <c r="F25" s="35">
        <f ca="1">'CDS from CapitalIQ'!V66</f>
        <v>-9.2300000000001603E-2</v>
      </c>
      <c r="G25" s="36">
        <f ca="1">'CDS from CapitalIQ'!X66</f>
        <v>-14.217600000000004</v>
      </c>
      <c r="H25" s="11" cm="1">
        <f t="array" aca="1" ref="H25" ca="1">(_xll.TR(N25,"TR.PriceClose")-_xll.TR(N25,"TR.PriceClose","SDate:"&amp;TEXT(WORKDAY(TODAY(),-5),"yyyy-mm-dd")))/_xll.TR(N25,"TR.PriceClose","SDate:"&amp;TEXT(WORKDAY(TODAY(),-5),"yyyy-mm-dd"))</f>
        <v>-1.7897091722595078E-2</v>
      </c>
      <c r="I25" s="11" cm="1">
        <f t="array" aca="1" ref="I25" ca="1">(_xll.TR(N25,"TR.PriceClose")-_xll.TR(N25,"TR.PriceClose","SDate:"&amp;TEXT(WORKDAY(TODAY(),-10),"yyyy-mm-dd")))/_xll.TR(N25,"TR.PriceClose","SDate:"&amp;TEXT(WORKDAY(TODAY(),-10),"yyyy-mm-dd"))</f>
        <v>-1.7457475380483437E-2</v>
      </c>
      <c r="J25" s="11" cm="1">
        <f t="array" aca="1" ref="J25" ca="1">(_xll.TR(N25,"TR.PriceClose")-_xll.TR(N25,"TR.PriceClose","SDate:"&amp;EDATE(TODAY(),-3)))/_xll.TR(N25,"TR.PriceClose","SDate:"&amp;EDATE(TODAY(),-3))</f>
        <v>0.12795477903391572</v>
      </c>
      <c r="K25" s="11" cm="1">
        <f t="array" aca="1" ref="K25" ca="1">(_xll.TR(N25,"TR.PriceClose")-_xll.TR(N25,"TR.PriceClose","SDate:"&amp;EDATE(TODAY(),-12)))/_xll.TR(N25,"TR.PriceClose","SDate:"&amp;EDATE(TODAY(),-12))</f>
        <v>0.54904728299223715</v>
      </c>
      <c r="M25" s="14" t="s">
        <v>27</v>
      </c>
      <c r="N25" s="15" t="s">
        <v>64</v>
      </c>
      <c r="O25" t="s">
        <v>93</v>
      </c>
      <c r="Q25" s="16"/>
    </row>
    <row r="26" spans="1:17">
      <c r="A26" s="18" t="s">
        <v>28</v>
      </c>
      <c r="B26" s="19"/>
      <c r="C26" s="22"/>
      <c r="D26" s="37"/>
      <c r="E26" s="37"/>
      <c r="F26" s="37"/>
      <c r="G26" s="38"/>
      <c r="H26" s="17"/>
      <c r="I26" s="17"/>
      <c r="J26" s="17"/>
      <c r="K26" s="17"/>
      <c r="Q26" s="23"/>
    </row>
    <row r="27" spans="1:17">
      <c r="A27" s="8" t="s">
        <v>29</v>
      </c>
      <c r="B27" s="9" t="s">
        <v>214</v>
      </c>
      <c r="C27" s="10">
        <f ca="1">'CDS from CapitalIQ'!C68</f>
        <v>44.085599999999999</v>
      </c>
      <c r="D27" s="35">
        <f ca="1">'CDS from CapitalIQ'!T68</f>
        <v>3.1500000000001194E-2</v>
      </c>
      <c r="E27" s="35">
        <f ca="1">'CDS from CapitalIQ'!V68</f>
        <v>3.3400000000000318E-2</v>
      </c>
      <c r="F27" s="35">
        <f ca="1">'CDS from CapitalIQ'!W68</f>
        <v>-10.681699999999999</v>
      </c>
      <c r="G27" s="36">
        <f ca="1">'CDS from CapitalIQ'!X68</f>
        <v>-7.8166000000000011</v>
      </c>
      <c r="H27" s="11" cm="1">
        <f t="array" aca="1" ref="H27" ca="1">(_xll.TR(N27,"TR.PriceClose")-_xll.TR(N27,"TR.PriceClose","SDate:"&amp;TEXT(WORKDAY(TODAY(),-5),"yyyy-mm-dd")))/_xll.TR(N27,"TR.PriceClose","SDate:"&amp;TEXT(WORKDAY(TODAY(),-5),"yyyy-mm-dd"))</f>
        <v>-3.024345985180103E-4</v>
      </c>
      <c r="I27" s="11" cm="1">
        <f t="array" aca="1" ref="I27" ca="1">(_xll.TR(N27,"TR.PriceClose")-_xll.TR(N27,"TR.PriceClose","SDate:"&amp;TEXT(WORKDAY(TODAY(),-10),"yyyy-mm-dd")))/_xll.TR(N27,"TR.PriceClose","SDate:"&amp;TEXT(WORKDAY(TODAY(),-10),"yyyy-mm-dd"))</f>
        <v>-5.2663256093890215E-3</v>
      </c>
      <c r="J27" s="11" cm="1">
        <f t="array" aca="1" ref="J27" ca="1">(_xll.TR(N27,"TR.PriceClose")-_xll.TR(N27,"TR.PriceClose","SDate:"&amp;EDATE(TODAY(),-3)))/_xll.TR(N27,"TR.PriceClose","SDate:"&amp;EDATE(TODAY(),-3))</f>
        <v>0.17361974081306589</v>
      </c>
      <c r="K27" s="11" cm="1">
        <f t="array" aca="1" ref="K27" ca="1">(_xll.TR(N27,"TR.PriceClose")-_xll.TR(N27,"TR.PriceClose","SDate:"&amp;EDATE(TODAY(),-12)))/_xll.TR(N27,"TR.PriceClose","SDate:"&amp;EDATE(TODAY(),-12))</f>
        <v>4.2744479495268155E-2</v>
      </c>
      <c r="M27" s="14" t="s">
        <v>29</v>
      </c>
      <c r="N27" s="15" t="s">
        <v>65</v>
      </c>
      <c r="O27" t="s">
        <v>96</v>
      </c>
      <c r="Q27" s="16"/>
    </row>
    <row r="28" spans="1:17">
      <c r="A28" s="12" t="s">
        <v>30</v>
      </c>
      <c r="B28" s="9" t="s">
        <v>214</v>
      </c>
      <c r="C28" s="10">
        <f ca="1">'CDS from CapitalIQ'!C69</f>
        <v>33.25</v>
      </c>
      <c r="D28" s="35">
        <f ca="1">'CDS from CapitalIQ'!T69</f>
        <v>-0.18410000000000082</v>
      </c>
      <c r="E28" s="35">
        <f ca="1">'CDS from CapitalIQ'!V69</f>
        <v>-1.1867000000000019</v>
      </c>
      <c r="F28" s="35">
        <f ca="1">'CDS from CapitalIQ'!W69</f>
        <v>-10.3703</v>
      </c>
      <c r="G28" s="36">
        <f ca="1">'CDS from CapitalIQ'!X69</f>
        <v>-8.5001999999999995</v>
      </c>
      <c r="H28" s="11" cm="1">
        <f t="array" aca="1" ref="H28" ca="1">(_xll.TR(N28,"TR.PriceClose")-_xll.TR(N28,"TR.PriceClose","SDate:"&amp;TEXT(WORKDAY(TODAY(),-5),"yyyy-mm-dd")))/_xll.TR(N28,"TR.PriceClose","SDate:"&amp;TEXT(WORKDAY(TODAY(),-5),"yyyy-mm-dd"))</f>
        <v>-1.5147689977279039E-3</v>
      </c>
      <c r="I28" s="11" cm="1">
        <f t="array" aca="1" ref="I28" ca="1">(_xll.TR(N28,"TR.PriceClose")-_xll.TR(N28,"TR.PriceClose","SDate:"&amp;TEXT(WORKDAY(TODAY(),-10),"yyyy-mm-dd")))/_xll.TR(N28,"TR.PriceClose","SDate:"&amp;TEXT(WORKDAY(TODAY(),-10),"yyyy-mm-dd"))</f>
        <v>1.1508951406649507E-2</v>
      </c>
      <c r="J28" s="11" cm="1">
        <f t="array" aca="1" ref="J28" ca="1">(_xll.TR(N28,"TR.PriceClose")-_xll.TR(N28,"TR.PriceClose","SDate:"&amp;EDATE(TODAY(),-3)))/_xll.TR(N28,"TR.PriceClose","SDate:"&amp;EDATE(TODAY(),-3))</f>
        <v>9.0132304299889637E-2</v>
      </c>
      <c r="K28" s="11" cm="1">
        <f t="array" aca="1" ref="K28" ca="1">(_xll.TR(N28,"TR.PriceClose")-_xll.TR(N28,"TR.PriceClose","SDate:"&amp;EDATE(TODAY(),-12)))/_xll.TR(N28,"TR.PriceClose","SDate:"&amp;EDATE(TODAY(),-12))</f>
        <v>8.4750411409764026E-2</v>
      </c>
      <c r="M28" s="14" t="s">
        <v>30</v>
      </c>
      <c r="N28" s="15" t="s">
        <v>66</v>
      </c>
      <c r="O28" t="s">
        <v>97</v>
      </c>
      <c r="Q28" s="23"/>
    </row>
    <row r="29" spans="1:17">
      <c r="A29" s="18" t="s">
        <v>31</v>
      </c>
      <c r="B29" s="19"/>
      <c r="C29" s="22"/>
      <c r="D29" s="37"/>
      <c r="E29" s="37"/>
      <c r="F29" s="37"/>
      <c r="G29" s="38"/>
      <c r="H29" s="17"/>
      <c r="I29" s="17"/>
      <c r="J29" s="17"/>
      <c r="K29" s="17"/>
      <c r="M29" s="13"/>
      <c r="Q29" s="23"/>
    </row>
    <row r="30" spans="1:17">
      <c r="A30" s="8" t="s">
        <v>32</v>
      </c>
      <c r="B30" s="9" t="s">
        <v>266</v>
      </c>
      <c r="C30" s="10">
        <f ca="1">'CDS from CapitalIQ'!C71</f>
        <v>23.601099999999999</v>
      </c>
      <c r="D30" s="35">
        <f ca="1">'CDS from CapitalIQ'!T71</f>
        <v>1.0999999999974364E-3</v>
      </c>
      <c r="E30" s="35">
        <f ca="1">'CDS from CapitalIQ'!V71</f>
        <v>-0.33559999999999945</v>
      </c>
      <c r="F30" s="35">
        <f ca="1">'CDS from CapitalIQ'!W71</f>
        <v>-3.4739000000000004</v>
      </c>
      <c r="G30" s="36">
        <f ca="1">'CDS from CapitalIQ'!X71</f>
        <v>-10.312100000000004</v>
      </c>
      <c r="H30" s="11" cm="1">
        <f t="array" aca="1" ref="H30" ca="1">(_xll.TR(N30,"TR.PriceClose")-_xll.TR(N30,"TR.PriceClose","SDate:"&amp;TEXT(WORKDAY(TODAY(),-5),"yyyy-mm-dd")))/_xll.TR(N30,"TR.PriceClose","SDate:"&amp;TEXT(WORKDAY(TODAY(),-5),"yyyy-mm-dd"))</f>
        <v>-1.0157711841753571E-2</v>
      </c>
      <c r="I30" s="11" cm="1">
        <f t="array" aca="1" ref="I30" ca="1">(_xll.TR(N30,"TR.PriceClose")-_xll.TR(N30,"TR.PriceClose","SDate:"&amp;TEXT(WORKDAY(TODAY(),-10),"yyyy-mm-dd")))/_xll.TR(N30,"TR.PriceClose","SDate:"&amp;TEXT(WORKDAY(TODAY(),-10),"yyyy-mm-dd"))</f>
        <v>-8.567603748326609E-3</v>
      </c>
      <c r="J30" s="11" cm="1">
        <f t="array" aca="1" ref="J30" ca="1">(_xll.TR(N30,"TR.PriceClose")-_xll.TR(N30,"TR.PriceClose","SDate:"&amp;EDATE(TODAY(),-3)))/_xll.TR(N30,"TR.PriceClose","SDate:"&amp;EDATE(TODAY(),-3))</f>
        <v>0.11368421052631582</v>
      </c>
      <c r="K30" s="11" cm="1">
        <f t="array" aca="1" ref="K30" ca="1">(_xll.TR(N30,"TR.PriceClose")-_xll.TR(N30,"TR.PriceClose","SDate:"&amp;EDATE(TODAY(),-12)))/_xll.TR(N30,"TR.PriceClose","SDate:"&amp;EDATE(TODAY(),-12))</f>
        <v>0.34410163339382943</v>
      </c>
      <c r="M30" t="s">
        <v>32</v>
      </c>
      <c r="N30" t="s">
        <v>67</v>
      </c>
      <c r="O30" t="s">
        <v>98</v>
      </c>
      <c r="Q30" s="24"/>
    </row>
    <row r="31" spans="1:17">
      <c r="A31" s="18" t="s">
        <v>33</v>
      </c>
      <c r="B31" s="18" t="s">
        <v>34</v>
      </c>
      <c r="C31" s="22"/>
      <c r="D31" s="37"/>
      <c r="E31" s="37"/>
      <c r="F31" s="37"/>
      <c r="G31" s="38"/>
      <c r="H31" s="17"/>
      <c r="I31" s="17"/>
      <c r="J31" s="17"/>
      <c r="K31" s="17"/>
      <c r="M31" s="14"/>
      <c r="N31" s="15"/>
    </row>
    <row r="32" spans="1:17">
      <c r="A32" s="12" t="s">
        <v>35</v>
      </c>
      <c r="B32" s="72" t="s">
        <v>265</v>
      </c>
      <c r="C32" s="10">
        <f ca="1">'CDS from CapitalIQ'!C73</f>
        <v>43.05</v>
      </c>
      <c r="D32" s="35">
        <f ca="1">'CDS from CapitalIQ'!T73</f>
        <v>-1.1936000000000035</v>
      </c>
      <c r="E32" s="35">
        <f ca="1">'CDS from CapitalIQ'!V73</f>
        <v>-0.56119999999999948</v>
      </c>
      <c r="F32" s="35">
        <f ca="1">'CDS from CapitalIQ'!W73</f>
        <v>1.7947999999999951</v>
      </c>
      <c r="G32" s="36">
        <f ca="1">'CDS from CapitalIQ'!X73</f>
        <v>8.6124999999999972</v>
      </c>
      <c r="H32" s="11" cm="1">
        <f t="array" aca="1" ref="H32" ca="1">(_xll.TR(N32,"TR.PriceClose")-_xll.TR(N32,"TR.PriceClose","SDate:"&amp;TEXT(WORKDAY(TODAY(),-5),"yyyy-mm-dd")))/_xll.TR(N32,"TR.PriceClose","SDate:"&amp;TEXT(WORKDAY(TODAY(),-5),"yyyy-mm-dd"))</f>
        <v>-4.6040010961907372E-2</v>
      </c>
      <c r="I32" s="11" cm="1">
        <f t="array" aca="1" ref="I32" ca="1">(_xll.TR(N32,"TR.PriceClose")-_xll.TR(N32,"TR.PriceClose","SDate:"&amp;TEXT(WORKDAY(TODAY(),-10),"yyyy-mm-dd")))/_xll.TR(N32,"TR.PriceClose","SDate:"&amp;TEXT(WORKDAY(TODAY(),-10),"yyyy-mm-dd"))</f>
        <v>-8.2621082621082628E-3</v>
      </c>
      <c r="J32" s="11" cm="1">
        <f t="array" aca="1" ref="J32" ca="1">(_xll.TR(N32,"TR.PriceClose")-_xll.TR(N32,"TR.PriceClose","SDate:"&amp;EDATE(TODAY(),-3)))/_xll.TR(N32,"TR.PriceClose","SDate:"&amp;EDATE(TODAY(),-3))</f>
        <v>0.12617275962471691</v>
      </c>
      <c r="K32" s="11" cm="1">
        <f t="array" aca="1" ref="K32" ca="1">(_xll.TR(N32,"TR.PriceClose")-_xll.TR(N32,"TR.PriceClose","SDate:"&amp;EDATE(TODAY(),-12)))/_xll.TR(N32,"TR.PriceClose","SDate:"&amp;EDATE(TODAY(),-12))</f>
        <v>0.5194238323876037</v>
      </c>
      <c r="M32" s="14" t="s">
        <v>68</v>
      </c>
      <c r="N32" s="15" t="s">
        <v>69</v>
      </c>
      <c r="O32" t="s">
        <v>99</v>
      </c>
      <c r="Q32" s="16"/>
    </row>
    <row r="33" spans="1:17">
      <c r="A33" s="8" t="s">
        <v>36</v>
      </c>
      <c r="B33" s="72" t="s">
        <v>265</v>
      </c>
      <c r="C33" s="10">
        <f ca="1">'CDS from CapitalIQ'!C74</f>
        <v>41.041699999999999</v>
      </c>
      <c r="D33" s="35">
        <f ca="1">'CDS from CapitalIQ'!T74</f>
        <v>8.6300000000001376E-2</v>
      </c>
      <c r="E33" s="35">
        <f ca="1">'CDS from CapitalIQ'!V74</f>
        <v>-2.0977999999999994</v>
      </c>
      <c r="F33" s="35">
        <f ca="1">'CDS from CapitalIQ'!W74</f>
        <v>-0.21350000000000335</v>
      </c>
      <c r="G33" s="36">
        <f ca="1">'CDS from CapitalIQ'!X74</f>
        <v>12.053899999999999</v>
      </c>
      <c r="H33" s="11" cm="1">
        <f t="array" aca="1" ref="H33" ca="1">(_xll.TR(N33,"TR.PriceClose")-_xll.TR(N33,"TR.PriceClose","SDate:"&amp;TEXT(WORKDAY(TODAY(),-5),"yyyy-mm-dd")))/_xll.TR(N33,"TR.PriceClose","SDate:"&amp;TEXT(WORKDAY(TODAY(),-5),"yyyy-mm-dd"))</f>
        <v>-4.6978895634576467E-2</v>
      </c>
      <c r="I33" s="11" cm="1">
        <f t="array" aca="1" ref="I33" ca="1">(_xll.TR(N33,"TR.PriceClose")-_xll.TR(N33,"TR.PriceClose","SDate:"&amp;TEXT(WORKDAY(TODAY(),-10),"yyyy-mm-dd")))/_xll.TR(N33,"TR.PriceClose","SDate:"&amp;TEXT(WORKDAY(TODAY(),-10),"yyyy-mm-dd"))</f>
        <v>-5.430683360989591E-3</v>
      </c>
      <c r="J33" s="11" cm="1">
        <f t="array" aca="1" ref="J33" ca="1">(_xll.TR(N33,"TR.PriceClose")-_xll.TR(N33,"TR.PriceClose","SDate:"&amp;EDATE(TODAY(),-3)))/_xll.TR(N33,"TR.PriceClose","SDate:"&amp;EDATE(TODAY(),-3))</f>
        <v>9.7735597735597729E-2</v>
      </c>
      <c r="K33" s="11" cm="1">
        <f t="array" aca="1" ref="K33" ca="1">(_xll.TR(N33,"TR.PriceClose")-_xll.TR(N33,"TR.PriceClose","SDate:"&amp;EDATE(TODAY(),-12)))/_xll.TR(N33,"TR.PriceClose","SDate:"&amp;EDATE(TODAY(),-12))</f>
        <v>0.59752847104434215</v>
      </c>
      <c r="M33" s="14" t="s">
        <v>36</v>
      </c>
      <c r="N33" s="15" t="s">
        <v>70</v>
      </c>
      <c r="O33" t="s">
        <v>100</v>
      </c>
      <c r="Q33" s="23"/>
    </row>
    <row r="34" spans="1:17">
      <c r="A34" s="12" t="s">
        <v>37</v>
      </c>
      <c r="B34" s="72" t="s">
        <v>265</v>
      </c>
      <c r="C34" s="10">
        <f ca="1">'CDS from CapitalIQ'!C75</f>
        <v>40.492899999999999</v>
      </c>
      <c r="D34" s="35">
        <f ca="1">'CDS from CapitalIQ'!T75</f>
        <v>-3.410000000000224E-2</v>
      </c>
      <c r="E34" s="35">
        <f ca="1">'CDS from CapitalIQ'!V75</f>
        <v>-6.3800000000000523E-2</v>
      </c>
      <c r="F34" s="35">
        <f ca="1">'CDS from CapitalIQ'!W75</f>
        <v>-4.3124000000000038</v>
      </c>
      <c r="G34" s="36">
        <f ca="1">'CDS from CapitalIQ'!X75</f>
        <v>-18.043100000000003</v>
      </c>
      <c r="H34" s="11" cm="1">
        <f t="array" aca="1" ref="H34" ca="1">(_xll.TR(N34,"TR.PriceClose")-_xll.TR(N34,"TR.PriceClose","SDate:"&amp;TEXT(WORKDAY(TODAY(),-5),"yyyy-mm-dd")))/_xll.TR(N34,"TR.PriceClose","SDate:"&amp;TEXT(WORKDAY(TODAY(),-5),"yyyy-mm-dd"))</f>
        <v>-4.947245017584994E-2</v>
      </c>
      <c r="I34" s="11" cm="1">
        <f t="array" aca="1" ref="I34" ca="1">(_xll.TR(N34,"TR.PriceClose")-_xll.TR(N34,"TR.PriceClose","SDate:"&amp;TEXT(WORKDAY(TODAY(),-10),"yyyy-mm-dd")))/_xll.TR(N34,"TR.PriceClose","SDate:"&amp;TEXT(WORKDAY(TODAY(),-10),"yyyy-mm-dd"))</f>
        <v>-1.6496846191169336E-2</v>
      </c>
      <c r="J34" s="11" cm="1">
        <f t="array" aca="1" ref="J34" ca="1">(_xll.TR(N34,"TR.PriceClose")-_xll.TR(N34,"TR.PriceClose","SDate:"&amp;EDATE(TODAY(),-3)))/_xll.TR(N34,"TR.PriceClose","SDate:"&amp;EDATE(TODAY(),-3))</f>
        <v>8.7300522998524879E-2</v>
      </c>
      <c r="K34" s="11" cm="1">
        <f t="array" aca="1" ref="K34" ca="1">(_xll.TR(N34,"TR.PriceClose")-_xll.TR(N34,"TR.PriceClose","SDate:"&amp;EDATE(TODAY(),-12)))/_xll.TR(N34,"TR.PriceClose","SDate:"&amp;EDATE(TODAY(),-12))</f>
        <v>0.68320531451110644</v>
      </c>
      <c r="M34" s="14" t="s">
        <v>37</v>
      </c>
      <c r="N34" s="15" t="s">
        <v>71</v>
      </c>
      <c r="O34" t="s">
        <v>101</v>
      </c>
      <c r="Q34" s="23"/>
    </row>
    <row r="35" spans="1:17">
      <c r="A35" s="8" t="s">
        <v>38</v>
      </c>
      <c r="B35" s="72" t="s">
        <v>265</v>
      </c>
      <c r="C35" s="10">
        <f ca="1">'CDS from CapitalIQ'!C76</f>
        <v>63.469099999999997</v>
      </c>
      <c r="D35" s="35">
        <f ca="1">'CDS from CapitalIQ'!T76</f>
        <v>0.46049999999999613</v>
      </c>
      <c r="E35" s="35">
        <f ca="1">'CDS from CapitalIQ'!V76</f>
        <v>0.636099999999999</v>
      </c>
      <c r="F35" s="35">
        <f ca="1">'CDS from CapitalIQ'!W76</f>
        <v>-7.1394000000000091</v>
      </c>
      <c r="G35" s="36">
        <f ca="1">'CDS from CapitalIQ'!X76</f>
        <v>-5.5056000000000012</v>
      </c>
      <c r="H35" s="11" cm="1">
        <f t="array" aca="1" ref="H35" ca="1">(_xll.TR(N35,"TR.PriceClose")-_xll.TR(N35,"TR.PriceClose","SDate:"&amp;TEXT(WORKDAY(TODAY(),-5),"yyyy-mm-dd")))/_xll.TR(N35,"TR.PriceClose","SDate:"&amp;TEXT(WORKDAY(TODAY(),-5),"yyyy-mm-dd"))</f>
        <v>4.4981726173741916E-3</v>
      </c>
      <c r="I35" s="11" cm="1">
        <f t="array" aca="1" ref="I35" ca="1">(_xll.TR(N35,"TR.PriceClose")-_xll.TR(N35,"TR.PriceClose","SDate:"&amp;TEXT(WORKDAY(TODAY(),-10),"yyyy-mm-dd")))/_xll.TR(N35,"TR.PriceClose","SDate:"&amp;TEXT(WORKDAY(TODAY(),-10),"yyyy-mm-dd"))</f>
        <v>-1.1182555213866368E-3</v>
      </c>
      <c r="J35" s="11" cm="1">
        <f t="array" aca="1" ref="J35" ca="1">(_xll.TR(N35,"TR.PriceClose")-_xll.TR(N35,"TR.PriceClose","SDate:"&amp;EDATE(TODAY(),-3)))/_xll.TR(N35,"TR.PriceClose","SDate:"&amp;EDATE(TODAY(),-3))</f>
        <v>0.19899328859060403</v>
      </c>
      <c r="K35" s="11" cm="1">
        <f t="array" aca="1" ref="K35" ca="1">(_xll.TR(N35,"TR.PriceClose")-_xll.TR(N35,"TR.PriceClose","SDate:"&amp;EDATE(TODAY(),-12)))/_xll.TR(N35,"TR.PriceClose","SDate:"&amp;EDATE(TODAY(),-12))</f>
        <v>0.54341252699784015</v>
      </c>
      <c r="M35" s="14" t="s">
        <v>38</v>
      </c>
      <c r="N35" s="15" t="s">
        <v>72</v>
      </c>
      <c r="O35" t="s">
        <v>102</v>
      </c>
    </row>
    <row r="36" spans="1:17">
      <c r="A36" s="12" t="s">
        <v>39</v>
      </c>
      <c r="B36" s="72" t="s">
        <v>265</v>
      </c>
      <c r="C36" s="10">
        <f ca="1">'CDS from CapitalIQ'!C77</f>
        <v>75.5441</v>
      </c>
      <c r="D36" s="35">
        <f ca="1">'CDS from CapitalIQ'!T77</f>
        <v>-5.2000000000020918E-3</v>
      </c>
      <c r="E36" s="35">
        <f ca="1">'CDS from CapitalIQ'!V77</f>
        <v>-4.199999999997317E-3</v>
      </c>
      <c r="F36" s="35">
        <f ca="1">'CDS from CapitalIQ'!W77</f>
        <v>0.76619999999999777</v>
      </c>
      <c r="G36" s="36">
        <f ca="1">'CDS from CapitalIQ'!X77</f>
        <v>-6.1899999999994293E-2</v>
      </c>
      <c r="H36" s="11" cm="1">
        <f t="array" aca="1" ref="H36" ca="1">(_xll.TR(N36,"TR.PriceClose")-_xll.TR(N36,"TR.PriceClose","SDate:"&amp;TEXT(WORKDAY(TODAY(),-5),"yyyy-mm-dd")))/_xll.TR(N36,"TR.PriceClose","SDate:"&amp;TEXT(WORKDAY(TODAY(),-5),"yyyy-mm-dd"))</f>
        <v>-1.2828736369467608E-2</v>
      </c>
      <c r="I36" s="11" cm="1">
        <f t="array" aca="1" ref="I36" ca="1">(_xll.TR(N36,"TR.PriceClose")-_xll.TR(N36,"TR.PriceClose","SDate:"&amp;TEXT(WORKDAY(TODAY(),-10),"yyyy-mm-dd")))/_xll.TR(N36,"TR.PriceClose","SDate:"&amp;TEXT(WORKDAY(TODAY(),-10),"yyyy-mm-dd"))</f>
        <v>-7.0967741935483875E-3</v>
      </c>
      <c r="J36" s="11" cm="1">
        <f t="array" aca="1" ref="J36" ca="1">(_xll.TR(N36,"TR.PriceClose")-_xll.TR(N36,"TR.PriceClose","SDate:"&amp;TEXT(WORKDAY(TODAY(),-65),"yyyy-mm-dd")))/_xll.TR(N36,"TR.PriceClose","SDate:"&amp;TEXT(WORKDAY(TODAY(),-65),"yyyy-mm-dd"))</f>
        <v>0.20895522388059701</v>
      </c>
      <c r="K36" s="11" cm="1">
        <f t="array" aca="1" ref="K36" ca="1">(_xll.TR(N36,"TR.PriceClose")-_xll.TR(N36,"TR.PriceClose","SDate:"&amp;EDATE(TODAY(),-12)))/_xll.TR(N36,"TR.PriceClose","SDate:"&amp;EDATE(TODAY(),-12))</f>
        <v>0.44168618266978921</v>
      </c>
      <c r="M36" s="14" t="s">
        <v>39</v>
      </c>
      <c r="N36" s="15" t="s">
        <v>73</v>
      </c>
      <c r="O36" t="s">
        <v>103</v>
      </c>
      <c r="Q36" s="16"/>
    </row>
    <row r="37" spans="1:17">
      <c r="A37" s="18" t="s">
        <v>40</v>
      </c>
      <c r="B37" s="18" t="s">
        <v>41</v>
      </c>
      <c r="C37" s="22"/>
      <c r="D37" s="37"/>
      <c r="E37" s="37"/>
      <c r="F37" s="37"/>
      <c r="G37" s="38"/>
      <c r="H37" s="17"/>
      <c r="I37" s="17"/>
      <c r="J37" s="17"/>
      <c r="K37" s="17"/>
      <c r="M37" s="13"/>
      <c r="N37" s="13"/>
      <c r="Q37" s="23"/>
    </row>
    <row r="38" spans="1:17">
      <c r="A38" s="8" t="s">
        <v>42</v>
      </c>
      <c r="B38" s="9" t="s">
        <v>263</v>
      </c>
      <c r="C38" s="10">
        <f ca="1">'CDS from CapitalIQ'!C79</f>
        <v>60</v>
      </c>
      <c r="D38" s="35">
        <f ca="1">'CDS from CapitalIQ'!T79</f>
        <v>0</v>
      </c>
      <c r="E38" s="35">
        <f ca="1">'CDS from CapitalIQ'!V79</f>
        <v>-0.66669999999999874</v>
      </c>
      <c r="F38" s="35">
        <f ca="1">'CDS from CapitalIQ'!W79</f>
        <v>-4.25</v>
      </c>
      <c r="G38" s="36">
        <f ca="1">'CDS from CapitalIQ'!X79</f>
        <v>17.8857</v>
      </c>
      <c r="H38" s="11" cm="1">
        <f t="array" aca="1" ref="H38" ca="1">(_xll.TR(N38,"TR.PriceClose")-_xll.TR(N38,"TR.PriceClose","SDate:"&amp;TEXT(WORKDAY(TODAY(),-5),"yyyy-mm-dd")))/_xll.TR(N38,"TR.PriceClose","SDate:"&amp;TEXT(WORKDAY(TODAY(),-5),"yyyy-mm-dd"))</f>
        <v>-4.8382004735595972E-2</v>
      </c>
      <c r="I38" s="11" cm="1">
        <f t="array" aca="1" ref="I38" ca="1">(_xll.TR(N38,"TR.PriceClose")-_xll.TR(N38,"TR.PriceClose","SDate:"&amp;TEXT(WORKDAY(TODAY(),-10),"yyyy-mm-dd")))/_xll.TR(N38,"TR.PriceClose","SDate:"&amp;TEXT(WORKDAY(TODAY(),-10),"yyyy-mm-dd"))</f>
        <v>-2.4119789558883074E-2</v>
      </c>
      <c r="J38" s="11" cm="1">
        <f t="array" aca="1" ref="J38" ca="1">(_xll.TR(N38,"TR.PriceClose")-_xll.TR(N38,"TR.PriceClose","SDate:"&amp;TEXT(WORKDAY(TODAY(),-65),"yyyy-mm-dd")))/_xll.TR(N38,"TR.PriceClose","SDate:"&amp;TEXT(WORKDAY(TODAY(),-65),"yyyy-mm-dd"))</f>
        <v>8.6411966120021527E-2</v>
      </c>
      <c r="K38" s="11" cm="1">
        <f t="array" aca="1" ref="K38" ca="1">(_xll.TR(N38,"TR.PriceClose")-_xll.TR(N38,"TR.PriceClose","SDate:"&amp;EDATE(TODAY(),-12)))/_xll.TR(N38,"TR.PriceClose","SDate:"&amp;EDATE(TODAY(),-12))</f>
        <v>0.51279799247176905</v>
      </c>
      <c r="M38" s="14" t="s">
        <v>42</v>
      </c>
      <c r="N38" s="15" t="s">
        <v>74</v>
      </c>
      <c r="O38" t="s">
        <v>104</v>
      </c>
      <c r="Q38" s="23"/>
    </row>
    <row r="39" spans="1:17">
      <c r="A39" s="12" t="s">
        <v>43</v>
      </c>
      <c r="B39" s="9" t="s">
        <v>263</v>
      </c>
      <c r="C39" s="10">
        <f ca="1">'CDS from CapitalIQ'!C80</f>
        <v>56.8185</v>
      </c>
      <c r="D39" s="35">
        <f ca="1">'CDS from CapitalIQ'!T80</f>
        <v>-0.66769999999999641</v>
      </c>
      <c r="E39" s="35">
        <f ca="1">'CDS from CapitalIQ'!V80</f>
        <v>-1.0056000000000012</v>
      </c>
      <c r="F39" s="35">
        <f ca="1">'CDS from CapitalIQ'!W80</f>
        <v>1.3185000000000002</v>
      </c>
      <c r="G39" s="36">
        <f ca="1">'CDS from CapitalIQ'!X80</f>
        <v>11.7121</v>
      </c>
      <c r="H39" s="11" cm="1">
        <f t="array" aca="1" ref="H39" ca="1">(_xll.TR(N39,"TR.PriceClose")-_xll.TR(N39,"TR.PriceClose","SDate:"&amp;TEXT(WORKDAY(TODAY(),-5),"yyyy-mm-dd")))/_xll.TR(N39,"TR.PriceClose","SDate:"&amp;TEXT(WORKDAY(TODAY(),-5),"yyyy-mm-dd"))</f>
        <v>-6.535693444855091E-2</v>
      </c>
      <c r="I39" s="11" cm="1">
        <f t="array" aca="1" ref="I39" ca="1">(_xll.TR(N39,"TR.PriceClose")-_xll.TR(N39,"TR.PriceClose","SDate:"&amp;TEXT(WORKDAY(TODAY(),-10),"yyyy-mm-dd")))/_xll.TR(N39,"TR.PriceClose","SDate:"&amp;TEXT(WORKDAY(TODAY(),-10),"yyyy-mm-dd"))</f>
        <v>-5.2156073697084464E-2</v>
      </c>
      <c r="J39" s="11" cm="1">
        <f t="array" aca="1" ref="J39" ca="1">(_xll.TR(N39,"TR.PriceClose")-_xll.TR(N39,"TR.PriceClose","SDate:"&amp;TEXT(WORKDAY(TODAY(),-65),"yyyy-mm-dd")))/_xll.TR(N39,"TR.PriceClose","SDate:"&amp;TEXT(WORKDAY(TODAY(),-65),"yyyy-mm-dd"))</f>
        <v>7.0012915868703507E-2</v>
      </c>
      <c r="K39" s="11" cm="1">
        <f t="array" aca="1" ref="K39" ca="1">(_xll.TR(N39,"TR.PriceClose")-_xll.TR(N39,"TR.PriceClose","SDate:"&amp;EDATE(TODAY(),-12)))/_xll.TR(N39,"TR.PriceClose","SDate:"&amp;EDATE(TODAY(),-12))</f>
        <v>0.5140534408873203</v>
      </c>
      <c r="M39" s="14" t="s">
        <v>43</v>
      </c>
      <c r="N39" s="15" t="s">
        <v>75</v>
      </c>
      <c r="O39" t="s">
        <v>108</v>
      </c>
      <c r="Q39" s="23"/>
    </row>
    <row r="40" spans="1:17">
      <c r="A40" s="8" t="s">
        <v>44</v>
      </c>
      <c r="B40" s="9" t="s">
        <v>263</v>
      </c>
      <c r="C40" s="10">
        <f ca="1">'CDS from CapitalIQ'!C81</f>
        <v>60.630200000000002</v>
      </c>
      <c r="D40" s="35">
        <f ca="1">'CDS from CapitalIQ'!T81</f>
        <v>2.8000000000005798E-3</v>
      </c>
      <c r="E40" s="35">
        <f ca="1">'CDS from CapitalIQ'!V81</f>
        <v>-0.20779999999999887</v>
      </c>
      <c r="F40" s="35">
        <f ca="1">'CDS from CapitalIQ'!W81</f>
        <v>-1.9061999999999983</v>
      </c>
      <c r="G40" s="36">
        <f ca="1">'CDS from CapitalIQ'!X81</f>
        <v>15.414700000000003</v>
      </c>
      <c r="H40" s="11" cm="1">
        <f t="array" aca="1" ref="H40" ca="1">(_xll.TR(N40,"TR.PriceClose")-_xll.TR(N40,"TR.PriceClose","SDate:"&amp;TEXT(WORKDAY(TODAY(),-5),"yyyy-mm-dd")))/_xll.TR(N40,"TR.PriceClose","SDate:"&amp;TEXT(WORKDAY(TODAY(),-5),"yyyy-mm-dd"))</f>
        <v>-6.4425770308123367E-2</v>
      </c>
      <c r="I40" s="11" cm="1">
        <f t="array" aca="1" ref="I40" ca="1">(_xll.TR(N40,"TR.PriceClose")-_xll.TR(N40,"TR.PriceClose","SDate:"&amp;TEXT(WORKDAY(TODAY(),-10),"yyyy-mm-dd")))/_xll.TR(N40,"TR.PriceClose","SDate:"&amp;TEXT(WORKDAY(TODAY(),-10),"yyyy-mm-dd"))</f>
        <v>-3.6075036075036079E-2</v>
      </c>
      <c r="J40" s="11" cm="1">
        <f t="array" aca="1" ref="J40" ca="1">(_xll.TR(N40,"TR.PriceClose")-_xll.TR(N40,"TR.PriceClose","SDate:"&amp;TEXT(WORKDAY(TODAY(),-65),"yyyy-mm-dd")))/_xll.TR(N40,"TR.PriceClose","SDate:"&amp;TEXT(WORKDAY(TODAY(),-65),"yyyy-mm-dd"))</f>
        <v>-2.7369992535456441E-3</v>
      </c>
      <c r="K40" s="11" cm="1">
        <f t="array" aca="1" ref="K40" ca="1">(_xll.TR(N40,"TR.PriceClose")-_xll.TR(N40,"TR.PriceClose","SDate:"&amp;EDATE(TODAY(),-12)))/_xll.TR(N40,"TR.PriceClose","SDate:"&amp;EDATE(TODAY(),-12))</f>
        <v>0.58387670420865434</v>
      </c>
      <c r="M40" s="14" t="s">
        <v>44</v>
      </c>
      <c r="N40" s="15" t="s">
        <v>76</v>
      </c>
      <c r="O40" t="s">
        <v>105</v>
      </c>
      <c r="Q40" s="23"/>
    </row>
    <row r="41" spans="1:17">
      <c r="A41" s="12" t="s">
        <v>45</v>
      </c>
      <c r="B41" s="9" t="s">
        <v>263</v>
      </c>
      <c r="C41" s="10">
        <f ca="1">'CDS from CapitalIQ'!C82</f>
        <v>55.985199999999999</v>
      </c>
      <c r="D41" s="35">
        <f ca="1">'CDS from CapitalIQ'!T82</f>
        <v>-2.1100000000004115E-2</v>
      </c>
      <c r="E41" s="35">
        <f ca="1">'CDS from CapitalIQ'!V82</f>
        <v>-0.32970000000000255</v>
      </c>
      <c r="F41" s="35">
        <f ca="1">'CDS from CapitalIQ'!W82</f>
        <v>0.48519999999999897</v>
      </c>
      <c r="G41" s="36">
        <f ca="1">'CDS from CapitalIQ'!X82</f>
        <v>10.016599999999997</v>
      </c>
      <c r="H41" s="11" cm="1">
        <f t="array" aca="1" ref="H41" ca="1">(_xll.TR(N41,"TR.PriceClose")-_xll.TR(N41,"TR.PriceClose","SDate:"&amp;TEXT(WORKDAY(TODAY(),-5),"yyyy-mm-dd")))/_xll.TR(N41,"TR.PriceClose","SDate:"&amp;TEXT(WORKDAY(TODAY(),-5),"yyyy-mm-dd"))</f>
        <v>-6.538372362624624E-2</v>
      </c>
      <c r="I41" s="11" cm="1">
        <f t="array" aca="1" ref="I41" ca="1">(_xll.TR(N41,"TR.PriceClose")-_xll.TR(N41,"TR.PriceClose","SDate:"&amp;TEXT(WORKDAY(TODAY(),-10),"yyyy-mm-dd")))/_xll.TR(N41,"TR.PriceClose","SDate:"&amp;TEXT(WORKDAY(TODAY(),-10),"yyyy-mm-dd"))</f>
        <v>-4.4956465083219821E-2</v>
      </c>
      <c r="J41" s="11" cm="1">
        <f t="array" aca="1" ref="J41" ca="1">(_xll.TR(N41,"TR.PriceClose")-_xll.TR(N41,"TR.PriceClose","SDate:"&amp;TEXT(WORKDAY(TODAY(),-65),"yyyy-mm-dd")))/_xll.TR(N41,"TR.PriceClose","SDate:"&amp;TEXT(WORKDAY(TODAY(),-65),"yyyy-mm-dd"))</f>
        <v>2.9892692897291816E-2</v>
      </c>
      <c r="K41" s="11" cm="1">
        <f t="array" aca="1" ref="K41" ca="1">(_xll.TR(N41,"TR.PriceClose")-_xll.TR(N41,"TR.PriceClose","SDate:"&amp;EDATE(TODAY(),-12)))/_xll.TR(N41,"TR.PriceClose","SDate:"&amp;EDATE(TODAY(),-12))</f>
        <v>0.56726283048211523</v>
      </c>
      <c r="M41" s="14" t="s">
        <v>45</v>
      </c>
      <c r="N41" s="15" t="s">
        <v>77</v>
      </c>
      <c r="O41" t="s">
        <v>109</v>
      </c>
      <c r="Q41" s="23"/>
    </row>
    <row r="42" spans="1:17">
      <c r="A42" s="8" t="s">
        <v>46</v>
      </c>
      <c r="B42" s="9" t="s">
        <v>263</v>
      </c>
      <c r="C42" s="10">
        <f ca="1">'CDS from CapitalIQ'!C83</f>
        <v>60.424599999999998</v>
      </c>
      <c r="D42" s="35" cm="1">
        <f t="array" ref="D42">_xll.TR(O42,"MID_SPREAD")*_xll.TR(O42,"PCTCHG_1W")/(100+_xll.TR(O42,"PCTCHG_1W"))</f>
        <v>-2.872580112652947E-2</v>
      </c>
      <c r="E42" s="35">
        <f ca="1">'CDS from CapitalIQ'!V83</f>
        <v>-0.60130000000000194</v>
      </c>
      <c r="F42" s="35">
        <f ca="1">'CDS from CapitalIQ'!W83</f>
        <v>1.5559000000000012</v>
      </c>
      <c r="G42" s="36">
        <f ca="1">'CDS from CapitalIQ'!X83</f>
        <v>8.611699999999999</v>
      </c>
      <c r="H42" s="11" cm="1">
        <f t="array" aca="1" ref="H42" ca="1">(_xll.TR(N42,"TR.PriceClose")-_xll.TR(N42,"TR.PriceClose","SDate:"&amp;TEXT(WORKDAY(TODAY(),-5),"yyyy-mm-dd")))/_xll.TR(N42,"TR.PriceClose","SDate:"&amp;TEXT(WORKDAY(TODAY(),-5),"yyyy-mm-dd"))</f>
        <v>-5.9048951981072254E-2</v>
      </c>
      <c r="I42" s="11" cm="1">
        <f t="array" aca="1" ref="I42" ca="1">(_xll.TR(N42,"TR.PriceClose")-_xll.TR(N42,"TR.PriceClose","SDate:"&amp;TEXT(WORKDAY(TODAY(),-10),"yyyy-mm-dd")))/_xll.TR(N42,"TR.PriceClose","SDate:"&amp;TEXT(WORKDAY(TODAY(),-10),"yyyy-mm-dd"))</f>
        <v>-3.9851746064129931E-2</v>
      </c>
      <c r="J42" s="11" cm="1">
        <f t="array" aca="1" ref="J42" ca="1">(_xll.TR(N42,"TR.PriceClose")-_xll.TR(N42,"TR.PriceClose","SDate:"&amp;TEXT(WORKDAY(TODAY(),-65),"yyyy-mm-dd")))/_xll.TR(N42,"TR.PriceClose","SDate:"&amp;TEXT(WORKDAY(TODAY(),-65),"yyyy-mm-dd"))</f>
        <v>6.8975960628430921E-2</v>
      </c>
      <c r="K42" s="11" cm="1">
        <f t="array" aca="1" ref="K42" ca="1">(_xll.TR(N42,"TR.PriceClose")-_xll.TR(N42,"TR.PriceClose","SDate:"&amp;EDATE(TODAY(),-12)))/_xll.TR(N42,"TR.PriceClose","SDate:"&amp;EDATE(TODAY(),-12))</f>
        <v>0.48109100445843167</v>
      </c>
      <c r="M42" s="14" t="s">
        <v>46</v>
      </c>
      <c r="N42" s="15" t="s">
        <v>78</v>
      </c>
      <c r="O42" t="s">
        <v>106</v>
      </c>
      <c r="Q42" s="23"/>
    </row>
    <row r="43" spans="1:17">
      <c r="A43" s="12" t="s">
        <v>47</v>
      </c>
      <c r="B43" s="9" t="s">
        <v>263</v>
      </c>
      <c r="C43" s="10">
        <f ca="1">'CDS from CapitalIQ'!C84</f>
        <v>59.430999999999997</v>
      </c>
      <c r="D43" s="35">
        <f ca="1">'CDS from CapitalIQ'!T84</f>
        <v>-0.12290000000000134</v>
      </c>
      <c r="E43" s="35">
        <f ca="1">'CDS from CapitalIQ'!V84</f>
        <v>-0.5304000000000002</v>
      </c>
      <c r="F43" s="35">
        <f ca="1">'CDS from CapitalIQ'!W84</f>
        <v>4.1700999999999979</v>
      </c>
      <c r="G43" s="36">
        <f ca="1">'CDS from CapitalIQ'!X84</f>
        <v>9.1890999999999963</v>
      </c>
      <c r="H43" s="11" cm="1">
        <f t="array" aca="1" ref="H43" ca="1">(_xll.TR(N43,"TR.PriceClose")-_xll.TR(N43,"TR.PriceClose","SDate:"&amp;TEXT(WORKDAY(TODAY(),-5),"yyyy-mm-dd")))/_xll.TR(N43,"TR.PriceClose","SDate:"&amp;TEXT(WORKDAY(TODAY(),-5),"yyyy-mm-dd"))</f>
        <v>-5.7660768234786303E-2</v>
      </c>
      <c r="I43" s="11" cm="1">
        <f t="array" aca="1" ref="I43" ca="1">(_xll.TR(N43,"TR.PriceClose")-_xll.TR(N43,"TR.PriceClose","SDate:"&amp;TEXT(WORKDAY(TODAY(),-10),"yyyy-mm-dd")))/_xll.TR(N43,"TR.PriceClose","SDate:"&amp;TEXT(WORKDAY(TODAY(),-10),"yyyy-mm-dd"))</f>
        <v>-3.397929386779934E-2</v>
      </c>
      <c r="J43" s="11" cm="1">
        <f t="array" aca="1" ref="J43" ca="1">(_xll.TR(N43,"TR.PriceClose")-_xll.TR(N43,"TR.PriceClose","SDate:"&amp;TEXT(WORKDAY(TODAY(),-65),"yyyy-mm-dd")))/_xll.TR(N43,"TR.PriceClose","SDate:"&amp;TEXT(WORKDAY(TODAY(),-65),"yyyy-mm-dd"))</f>
        <v>2.324491517480555E-2</v>
      </c>
      <c r="K43" s="11" cm="1">
        <f t="array" aca="1" ref="K43" ca="1">(_xll.TR(N43,"TR.PriceClose")-_xll.TR(N43,"TR.PriceClose","SDate:"&amp;EDATE(TODAY(),-12)))/_xll.TR(N43,"TR.PriceClose","SDate:"&amp;EDATE(TODAY(),-12))</f>
        <v>0.44071263609369837</v>
      </c>
      <c r="M43" s="14" t="s">
        <v>47</v>
      </c>
      <c r="N43" s="15" t="s">
        <v>79</v>
      </c>
      <c r="O43" t="s">
        <v>107</v>
      </c>
    </row>
    <row r="44" spans="1:17">
      <c r="A44" s="8" t="s">
        <v>48</v>
      </c>
      <c r="B44" s="9" t="s">
        <v>263</v>
      </c>
      <c r="C44" s="10" t="str" cm="1">
        <f t="array" ref="C44">_xll.TR(O44,"MID_SPREAD")</f>
        <v>The record could not be found (Error code: 0)</v>
      </c>
      <c r="D44" s="35" t="e" cm="1">
        <f t="array" ref="D44">_xll.TR(O44,"MID_SPREAD")*_xll.TR(O44,"PCTCHG_1W")/(100+_xll.TR(O44,"PCTCHG_1W"))</f>
        <v>#VALUE!</v>
      </c>
      <c r="E44" s="35">
        <f>'CDS from CapitalIQ'!V85</f>
        <v>0</v>
      </c>
      <c r="F44" s="35">
        <f>'CDS from CapitalIQ'!W85</f>
        <v>0</v>
      </c>
      <c r="G44" s="36">
        <f>'CDS from CapitalIQ'!X85</f>
        <v>0</v>
      </c>
      <c r="H44" s="11" cm="1">
        <f t="array" aca="1" ref="H44" ca="1">(_xll.TR(N44,"TR.PriceClose")-_xll.TR(N44,"TR.PriceClose","SDate:"&amp;TEXT(WORKDAY(TODAY(),-5),"yyyy-mm-dd")))/_xll.TR(N44,"TR.PriceClose","SDate:"&amp;TEXT(WORKDAY(TODAY(),-5),"yyyy-mm-dd"))</f>
        <v>3.228209585299117E-3</v>
      </c>
      <c r="I44" s="11" cm="1">
        <f t="array" aca="1" ref="I44" ca="1">(_xll.TR(N44,"TR.PriceClose")-_xll.TR(N44,"TR.PriceClose","SDate:"&amp;TEXT(WORKDAY(TODAY(),-10),"yyyy-mm-dd")))/_xll.TR(N44,"TR.PriceClose","SDate:"&amp;TEXT(WORKDAY(TODAY(),-10),"yyyy-mm-dd"))</f>
        <v>3.976143141152997E-3</v>
      </c>
      <c r="J44" s="11" cm="1">
        <f t="array" aca="1" ref="J44" ca="1">(_xll.TR(N44,"TR.PriceClose")-_xll.TR(N44,"TR.PriceClose","SDate:"&amp;TEXT(WORKDAY(TODAY(),-65),"yyyy-mm-dd")))/_xll.TR(N44,"TR.PriceClose","SDate:"&amp;TEXT(WORKDAY(TODAY(),-65),"yyyy-mm-dd"))</f>
        <v>7.4312608372556694E-4</v>
      </c>
      <c r="K44" s="11" cm="1">
        <f t="array" aca="1" ref="K44" ca="1">(_xll.TR(N44,"TR.PriceClose")-_xll.TR(N44,"TR.PriceClose","SDate:"&amp;EDATE(TODAY(),-12)))/_xll.TR(N44,"TR.PriceClose","SDate:"&amp;EDATE(TODAY(),-12))</f>
        <v>0.31126257708536192</v>
      </c>
      <c r="M44" s="14" t="s">
        <v>48</v>
      </c>
      <c r="N44" s="15" t="s">
        <v>80</v>
      </c>
      <c r="O44" t="s">
        <v>110</v>
      </c>
      <c r="Q44" s="16"/>
    </row>
    <row r="45" spans="1:17">
      <c r="Q45" s="23"/>
    </row>
    <row r="46" spans="1:17">
      <c r="A46" t="s">
        <v>237</v>
      </c>
      <c r="F46" s="24"/>
      <c r="H46" s="52">
        <f ca="1">_xlfn.PERCENTILE.INC(H$8:H$44,0.2)</f>
        <v>-5.1153841611725058E-2</v>
      </c>
      <c r="I46" s="52">
        <f ca="1">_xlfn.PERCENTILE.INC(I$8:I$44,0.2)</f>
        <v>-4.2117704470216066E-2</v>
      </c>
      <c r="J46" s="53">
        <f ca="1">_xlfn.PERCENTILE.INC(J$8:J$44,0.2)</f>
        <v>6.2898536363771781E-2</v>
      </c>
      <c r="K46" s="53">
        <f ca="1">_xlfn.PERCENTILE.INC(K$8:K$44,0.2)</f>
        <v>0.24236330957175106</v>
      </c>
      <c r="M46" s="16"/>
      <c r="Q46" s="23"/>
    </row>
    <row r="47" spans="1:17">
      <c r="H47" s="51">
        <f ca="1">_xlfn.PERCENTILE.INC(H$8:H$44,0.8)</f>
        <v>-9.7335173494074168E-3</v>
      </c>
      <c r="I47" s="51">
        <f ca="1">_xlfn.PERCENTILE.INC(I$8:I$44,0.8)</f>
        <v>-4.4218585068687751E-3</v>
      </c>
      <c r="J47" s="54">
        <f ca="1">_xlfn.PERCENTILE.INC(J$8:J$44,0.8)</f>
        <v>0.17470544687845679</v>
      </c>
      <c r="K47" s="54">
        <f ca="1">_xlfn.PERCENTILE.INC(K$8:K$44,0.8)</f>
        <v>0.55269039249021279</v>
      </c>
      <c r="Q47" s="23"/>
    </row>
    <row r="48" spans="1:17">
      <c r="C48" s="41"/>
      <c r="D48" s="41"/>
      <c r="M48" s="13"/>
      <c r="N48" s="13"/>
      <c r="Q48" s="23"/>
    </row>
    <row r="49" spans="4:17">
      <c r="M49" s="14"/>
      <c r="N49" s="15"/>
      <c r="Q49" s="23"/>
    </row>
    <row r="50" spans="4:17">
      <c r="D50" s="41"/>
      <c r="M50" s="14"/>
      <c r="N50" s="15"/>
      <c r="Q50" s="23"/>
    </row>
    <row r="51" spans="4:17">
      <c r="M51" s="14"/>
      <c r="N51" s="15"/>
      <c r="Q51" s="23"/>
    </row>
    <row r="52" spans="4:17">
      <c r="M52" s="14"/>
      <c r="N52" s="15"/>
      <c r="Q52" s="23"/>
    </row>
    <row r="53" spans="4:17">
      <c r="M53" s="14"/>
      <c r="N53" s="15"/>
    </row>
    <row r="55" spans="4:17">
      <c r="M55" s="16"/>
    </row>
    <row r="57" spans="4:17">
      <c r="M57" s="13"/>
      <c r="N57" s="13"/>
    </row>
    <row r="58" spans="4:17">
      <c r="M58" s="14"/>
      <c r="N58" s="15"/>
    </row>
    <row r="59" spans="4:17">
      <c r="M59" s="14"/>
      <c r="N59" s="15"/>
    </row>
    <row r="60" spans="4:17">
      <c r="M60" s="14"/>
      <c r="N60" s="15"/>
    </row>
    <row r="61" spans="4:17">
      <c r="M61" s="14"/>
      <c r="N61" s="15"/>
    </row>
    <row r="62" spans="4:17">
      <c r="M62" s="14"/>
      <c r="N62" s="15"/>
    </row>
    <row r="63" spans="4:17">
      <c r="M63" s="14"/>
      <c r="N63" s="15"/>
    </row>
    <row r="64" spans="4:17">
      <c r="M64" s="14"/>
      <c r="N64" s="15"/>
    </row>
  </sheetData>
  <mergeCells count="4">
    <mergeCell ref="C1:G1"/>
    <mergeCell ref="C5:G5"/>
    <mergeCell ref="H1:K1"/>
    <mergeCell ref="H5:K5"/>
  </mergeCells>
  <conditionalFormatting sqref="D8:D43">
    <cfRule type="expression" dxfId="23" priority="15" stopIfTrue="1">
      <formula>D8&lt;=-3</formula>
    </cfRule>
    <cfRule type="expression" dxfId="22" priority="16" stopIfTrue="1">
      <formula>D8&gt;3</formula>
    </cfRule>
  </conditionalFormatting>
  <conditionalFormatting sqref="E8:E44">
    <cfRule type="expression" dxfId="21" priority="13" stopIfTrue="1">
      <formula>E8&lt;=-3</formula>
    </cfRule>
    <cfRule type="expression" dxfId="20" priority="14" stopIfTrue="1">
      <formula>E8&gt;3</formula>
    </cfRule>
  </conditionalFormatting>
  <conditionalFormatting sqref="F8:G44">
    <cfRule type="expression" dxfId="19" priority="9" stopIfTrue="1">
      <formula>F8&lt;=-20</formula>
    </cfRule>
    <cfRule type="expression" dxfId="18" priority="10" stopIfTrue="1">
      <formula>F8&gt;20</formula>
    </cfRule>
  </conditionalFormatting>
  <conditionalFormatting sqref="H8:H44 H46">
    <cfRule type="expression" dxfId="17" priority="7" stopIfTrue="1">
      <formula>H8&gt;=0.02</formula>
    </cfRule>
    <cfRule type="expression" dxfId="16" priority="8" stopIfTrue="1">
      <formula>H8&lt;=-0.03</formula>
    </cfRule>
  </conditionalFormatting>
  <conditionalFormatting sqref="I8:I44 I46">
    <cfRule type="expression" dxfId="15" priority="5" stopIfTrue="1">
      <formula>I8&gt;=0.1</formula>
    </cfRule>
    <cfRule type="expression" dxfId="14" priority="6" stopIfTrue="1">
      <formula>I8&lt;=-0.03</formula>
    </cfRule>
  </conditionalFormatting>
  <conditionalFormatting sqref="J8:J44">
    <cfRule type="expression" dxfId="13" priority="3" stopIfTrue="1">
      <formula>J8&gt;=0.3</formula>
    </cfRule>
    <cfRule type="expression" dxfId="12" priority="4" stopIfTrue="1">
      <formula>J8&lt;=-0.13</formula>
    </cfRule>
  </conditionalFormatting>
  <conditionalFormatting sqref="K8:K44">
    <cfRule type="expression" dxfId="11" priority="1" stopIfTrue="1">
      <formula>K8&gt;=0.7</formula>
    </cfRule>
    <cfRule type="expression" dxfId="10" priority="2" stopIfTrue="1">
      <formula>K8&lt;=-0.3</formula>
    </cfRule>
  </conditionalFormatting>
  <pageMargins left="0.7" right="0.7" top="0.75" bottom="0.75" header="0.3" footer="0.3"/>
  <pageSetup orientation="portrait" r:id="rId1"/>
  <headerFooter>
    <oddHeader>&amp;R&amp;"Aptos"&amp;10&amp;K000000 Category/Catégorie: Non-Sensitive/Non-Délicat&amp;1#_x000D_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D83A-8344-46DF-9263-3D6EDECA8BF0}">
  <dimension ref="A1:K44"/>
  <sheetViews>
    <sheetView zoomScale="98" zoomScaleNormal="98" workbookViewId="0">
      <selection activeCell="F16" sqref="F16"/>
    </sheetView>
  </sheetViews>
  <sheetFormatPr defaultRowHeight="14"/>
  <cols>
    <col min="1" max="1" width="27.26953125" style="55" customWidth="1"/>
    <col min="2" max="3" width="15.26953125" style="55" customWidth="1"/>
    <col min="4" max="4" width="21.81640625" style="55" customWidth="1"/>
    <col min="5" max="5" width="19.6328125" style="55" customWidth="1"/>
    <col min="6" max="6" width="21.81640625" style="55" customWidth="1"/>
    <col min="7" max="7" width="20.7265625" style="55" customWidth="1"/>
    <col min="8" max="8" width="16.36328125" style="55" customWidth="1"/>
    <col min="9" max="9" width="8.7265625" style="55"/>
    <col min="10" max="10" width="19.6328125" style="55" customWidth="1"/>
    <col min="11" max="11" width="24" style="55" customWidth="1"/>
    <col min="12" max="16384" width="8.7265625" style="55"/>
  </cols>
  <sheetData>
    <row r="1" spans="1:11" ht="18" customHeight="1">
      <c r="A1" s="80" t="s">
        <v>262</v>
      </c>
      <c r="B1" s="80"/>
      <c r="C1" s="80"/>
      <c r="D1" s="80"/>
      <c r="E1" s="80"/>
      <c r="F1" s="80"/>
      <c r="G1" s="80"/>
      <c r="H1" s="80"/>
      <c r="J1" s="81" t="s">
        <v>261</v>
      </c>
      <c r="K1" s="81"/>
    </row>
    <row r="2" spans="1:11">
      <c r="J2" s="70" t="s">
        <v>260</v>
      </c>
      <c r="K2" s="71">
        <v>0.6</v>
      </c>
    </row>
    <row r="3" spans="1:11">
      <c r="J3" s="70" t="s">
        <v>259</v>
      </c>
      <c r="K3" s="71">
        <v>0.4</v>
      </c>
    </row>
    <row r="4" spans="1:11">
      <c r="J4" s="70" t="s">
        <v>258</v>
      </c>
      <c r="K4" s="69" t="s">
        <v>257</v>
      </c>
    </row>
    <row r="5" spans="1:11">
      <c r="J5" s="70" t="s">
        <v>256</v>
      </c>
      <c r="K5" s="69" t="s">
        <v>255</v>
      </c>
    </row>
    <row r="7" spans="1:11" ht="34.5" customHeight="1">
      <c r="A7" s="68" t="s">
        <v>2</v>
      </c>
      <c r="B7" s="68" t="s">
        <v>254</v>
      </c>
      <c r="C7" s="68" t="s">
        <v>253</v>
      </c>
      <c r="D7" s="68" t="s">
        <v>252</v>
      </c>
      <c r="E7" s="68" t="s">
        <v>251</v>
      </c>
      <c r="F7" s="68" t="s">
        <v>250</v>
      </c>
      <c r="G7" s="68" t="s">
        <v>249</v>
      </c>
      <c r="H7" s="68" t="s">
        <v>247</v>
      </c>
    </row>
    <row r="8" spans="1:11">
      <c r="A8" s="60" t="s">
        <v>10</v>
      </c>
      <c r="B8" s="60" t="s">
        <v>238</v>
      </c>
      <c r="C8" s="59">
        <f ca="1">Report!$C$8</f>
        <v>51.605200000000004</v>
      </c>
      <c r="D8" s="58">
        <f ca="1">Report!$I$8</f>
        <v>-2.640141990829754E-2</v>
      </c>
      <c r="E8" s="62">
        <f ca="1">_xlfn.PERCENTRANK.INC($C$8:$C$14,C8)*100</f>
        <v>50</v>
      </c>
      <c r="F8" s="62">
        <f ca="1">(1-_xlfn.PERCENTRANK.INC($D$8:$D$14,D8))*100</f>
        <v>66.7</v>
      </c>
      <c r="G8" s="62">
        <f t="shared" ref="G8:G14" ca="1" si="0">IF(OR(E8="",F8=""),"",$K$2*E8+$K$3*F8)</f>
        <v>56.680000000000007</v>
      </c>
      <c r="H8" s="61" t="str">
        <f t="shared" ref="H8:H14" ca="1" si="1">IF(G8="","",IF(G8&lt;=25,"Low",IF(G8&lt;=50,"Moderate",IF(G8&lt;=75,"Elevated","High"))))</f>
        <v>Elevated</v>
      </c>
      <c r="J8" s="67" t="s">
        <v>248</v>
      </c>
      <c r="K8" s="67" t="s">
        <v>247</v>
      </c>
    </row>
    <row r="9" spans="1:11">
      <c r="A9" s="60" t="s">
        <v>11</v>
      </c>
      <c r="B9" s="60" t="s">
        <v>238</v>
      </c>
      <c r="C9" s="59">
        <f ca="1">Report!$C$9</f>
        <v>53.616999999999997</v>
      </c>
      <c r="D9" s="58">
        <f ca="1">Report!$I$9</f>
        <v>-3.3980582524271871E-2</v>
      </c>
      <c r="E9" s="62">
        <f t="shared" ref="E9:E14" ca="1" si="2">_xlfn.PERCENTRANK.INC($C$8:$C$14,C9)*100</f>
        <v>66.600000000000009</v>
      </c>
      <c r="F9" s="62">
        <f t="shared" ref="F9:F14" ca="1" si="3">(1-_xlfn.PERCENTRANK.INC($D$8:$D$14,D9))*100</f>
        <v>83.399999999999991</v>
      </c>
      <c r="G9" s="62">
        <f t="shared" ca="1" si="0"/>
        <v>73.319999999999993</v>
      </c>
      <c r="H9" s="61" t="str">
        <f t="shared" ca="1" si="1"/>
        <v>Elevated</v>
      </c>
      <c r="J9" s="66" t="s">
        <v>246</v>
      </c>
      <c r="K9" s="66" t="s">
        <v>245</v>
      </c>
    </row>
    <row r="10" spans="1:11">
      <c r="A10" s="60" t="s">
        <v>12</v>
      </c>
      <c r="B10" s="60" t="s">
        <v>238</v>
      </c>
      <c r="C10" s="59">
        <f ca="1">Report!$C$10</f>
        <v>38.324199999999998</v>
      </c>
      <c r="D10" s="58">
        <f ca="1">Report!$I$10</f>
        <v>-2.2818866561049599E-2</v>
      </c>
      <c r="E10" s="62">
        <f t="shared" ca="1" si="2"/>
        <v>0</v>
      </c>
      <c r="F10" s="62">
        <f t="shared" ca="1" si="3"/>
        <v>50</v>
      </c>
      <c r="G10" s="62">
        <f t="shared" ca="1" si="0"/>
        <v>20</v>
      </c>
      <c r="H10" s="61" t="str">
        <f t="shared" ca="1" si="1"/>
        <v>Low</v>
      </c>
      <c r="J10" s="65" t="s">
        <v>244</v>
      </c>
      <c r="K10" s="65" t="s">
        <v>243</v>
      </c>
    </row>
    <row r="11" spans="1:11">
      <c r="A11" s="60" t="s">
        <v>13</v>
      </c>
      <c r="B11" s="60" t="s">
        <v>238</v>
      </c>
      <c r="C11" s="59">
        <f ca="1">Report!$C$11</f>
        <v>54.0991</v>
      </c>
      <c r="D11" s="58">
        <f ca="1">Report!$I$11</f>
        <v>4.6108785801973707E-3</v>
      </c>
      <c r="E11" s="62">
        <f t="shared" ca="1" si="2"/>
        <v>83.3</v>
      </c>
      <c r="F11" s="62">
        <f t="shared" ca="1" si="3"/>
        <v>0</v>
      </c>
      <c r="G11" s="62">
        <f t="shared" ca="1" si="0"/>
        <v>49.98</v>
      </c>
      <c r="H11" s="61" t="str">
        <f t="shared" ca="1" si="1"/>
        <v>Moderate</v>
      </c>
      <c r="J11" s="64" t="s">
        <v>242</v>
      </c>
      <c r="K11" s="64" t="s">
        <v>241</v>
      </c>
    </row>
    <row r="12" spans="1:11">
      <c r="A12" s="60" t="s">
        <v>14</v>
      </c>
      <c r="B12" s="60" t="s">
        <v>238</v>
      </c>
      <c r="C12" s="59">
        <f ca="1">Report!$C$12</f>
        <v>56.321899999999999</v>
      </c>
      <c r="D12" s="58">
        <f ca="1">Report!$I$12</f>
        <v>-5.2477592532393248E-3</v>
      </c>
      <c r="E12" s="62">
        <f t="shared" ca="1" si="2"/>
        <v>100</v>
      </c>
      <c r="F12" s="62">
        <f t="shared" ca="1" si="3"/>
        <v>33.4</v>
      </c>
      <c r="G12" s="62">
        <f t="shared" ca="1" si="0"/>
        <v>73.36</v>
      </c>
      <c r="H12" s="61" t="str">
        <f t="shared" ca="1" si="1"/>
        <v>Elevated</v>
      </c>
      <c r="J12" s="63" t="s">
        <v>240</v>
      </c>
      <c r="K12" s="63" t="s">
        <v>239</v>
      </c>
    </row>
    <row r="13" spans="1:11">
      <c r="A13" s="60" t="s">
        <v>15</v>
      </c>
      <c r="B13" s="60" t="s">
        <v>238</v>
      </c>
      <c r="C13" s="59">
        <f ca="1">Report!$C$13</f>
        <v>47.158299999999997</v>
      </c>
      <c r="D13" s="58">
        <f ca="1">Report!$I$13</f>
        <v>-4.2047531992687306E-2</v>
      </c>
      <c r="E13" s="62">
        <f t="shared" ca="1" si="2"/>
        <v>16.600000000000001</v>
      </c>
      <c r="F13" s="62">
        <f t="shared" ca="1" si="3"/>
        <v>100</v>
      </c>
      <c r="G13" s="62">
        <f t="shared" ca="1" si="0"/>
        <v>49.96</v>
      </c>
      <c r="H13" s="61" t="str">
        <f t="shared" ca="1" si="1"/>
        <v>Moderate</v>
      </c>
    </row>
    <row r="14" spans="1:11">
      <c r="A14" s="60" t="s">
        <v>16</v>
      </c>
      <c r="B14" s="60" t="s">
        <v>238</v>
      </c>
      <c r="C14" s="59">
        <f ca="1">Report!$C$14</f>
        <v>50.082000000000001</v>
      </c>
      <c r="D14" s="58">
        <f ca="1">Report!$I$14</f>
        <v>2.4105421041353578E-3</v>
      </c>
      <c r="E14" s="62">
        <f t="shared" ca="1" si="2"/>
        <v>33.300000000000004</v>
      </c>
      <c r="F14" s="62">
        <f t="shared" ca="1" si="3"/>
        <v>16.700000000000003</v>
      </c>
      <c r="G14" s="62">
        <f t="shared" ca="1" si="0"/>
        <v>26.660000000000004</v>
      </c>
      <c r="H14" s="61" t="str">
        <f t="shared" ca="1" si="1"/>
        <v>Moderate</v>
      </c>
    </row>
    <row r="15" spans="1:11" ht="14.65" customHeight="1">
      <c r="A15" s="77" t="s">
        <v>17</v>
      </c>
      <c r="B15" s="77"/>
      <c r="C15" s="78"/>
      <c r="D15" s="79"/>
      <c r="E15" s="78"/>
      <c r="F15" s="78"/>
      <c r="G15" s="78"/>
      <c r="H15" s="77"/>
    </row>
    <row r="16" spans="1:11">
      <c r="A16" s="60" t="s">
        <v>18</v>
      </c>
      <c r="B16" s="60" t="s">
        <v>17</v>
      </c>
      <c r="C16" s="59">
        <f ca="1">Report!$C$16</f>
        <v>40.601100000000002</v>
      </c>
      <c r="D16" s="58">
        <f ca="1">Report!$I$16</f>
        <v>-5.3191489361702128E-2</v>
      </c>
      <c r="E16" s="62">
        <f ca="1">_xlfn.PERCENTRANK.INC($C$16:$C$18,C16)*100</f>
        <v>50</v>
      </c>
      <c r="F16" s="62">
        <f ca="1">(1-_xlfn.PERCENTRANK.INC($D$16:$D$18,D16))*100</f>
        <v>50</v>
      </c>
      <c r="G16" s="62" t="e">
        <f ca="1">IF(OR(#REF!="",F16=""),"",$K$2*#REF!+$K$3*F16)</f>
        <v>#REF!</v>
      </c>
      <c r="H16" s="61" t="e">
        <f ca="1">IF(G16="","",IF(G16&lt;=25,"Low",IF(G16&lt;=50,"Moderate",IF(G16&lt;=75,"Elevated","High"))))</f>
        <v>#REF!</v>
      </c>
    </row>
    <row r="17" spans="1:8">
      <c r="A17" s="60" t="s">
        <v>19</v>
      </c>
      <c r="B17" s="60" t="s">
        <v>17</v>
      </c>
      <c r="C17" s="59">
        <f ca="1">Report!$C$17</f>
        <v>35.292499999999997</v>
      </c>
      <c r="D17" s="58">
        <f ca="1">Report!$I$17</f>
        <v>-4.2398394380331106E-2</v>
      </c>
      <c r="E17" s="62">
        <f t="shared" ref="E17:E18" ca="1" si="4">_xlfn.PERCENTRANK.INC($C$16:$C$18,C17)*100</f>
        <v>0</v>
      </c>
      <c r="F17" s="62">
        <f t="shared" ref="F17:F18" ca="1" si="5">(1-_xlfn.PERCENTRANK.INC($D$16:$D$18,D17))*100</f>
        <v>0</v>
      </c>
      <c r="G17" s="62">
        <f ca="1">IF(OR(E16="",F17=""),"",$K$2*E16+$K$3*F17)</f>
        <v>30</v>
      </c>
      <c r="H17" s="61" t="str">
        <f ca="1">IF(G17="","",IF(G17&lt;=25,"Low",IF(G17&lt;=50,"Moderate",IF(G17&lt;=75,"Elevated","High"))))</f>
        <v>Moderate</v>
      </c>
    </row>
    <row r="18" spans="1:8">
      <c r="A18" s="60" t="s">
        <v>20</v>
      </c>
      <c r="B18" s="60" t="s">
        <v>17</v>
      </c>
      <c r="C18" s="59">
        <f ca="1">Report!$C$18</f>
        <v>42.910899999999998</v>
      </c>
      <c r="D18" s="58">
        <f ca="1">Report!$I$18</f>
        <v>-9.9523809523809514E-2</v>
      </c>
      <c r="E18" s="62">
        <f t="shared" ca="1" si="4"/>
        <v>100</v>
      </c>
      <c r="F18" s="62">
        <f t="shared" ca="1" si="5"/>
        <v>100</v>
      </c>
      <c r="G18" s="62">
        <f ca="1">IF(OR(E18="",F18=""),"",$K$2*E18+$K$3*F18)</f>
        <v>100</v>
      </c>
      <c r="H18" s="61" t="str">
        <f ca="1">IF(G18="","",IF(G18&lt;=25,"Low",IF(G18&lt;=50,"Moderate",IF(G18&lt;=75,"Elevated","High"))))</f>
        <v>High</v>
      </c>
    </row>
    <row r="19" spans="1:8" ht="14.65" customHeight="1">
      <c r="A19" s="77" t="s">
        <v>21</v>
      </c>
      <c r="B19" s="77"/>
      <c r="C19" s="78"/>
      <c r="D19" s="79"/>
      <c r="E19" s="78"/>
      <c r="F19" s="78"/>
      <c r="G19" s="78"/>
      <c r="H19" s="77"/>
    </row>
    <row r="20" spans="1:8">
      <c r="A20" s="60" t="s">
        <v>22</v>
      </c>
      <c r="B20" s="60" t="s">
        <v>21</v>
      </c>
      <c r="C20" s="59">
        <f ca="1">Report!$C$20</f>
        <v>44.970100000000002</v>
      </c>
      <c r="D20" s="58">
        <f ca="1">Report!$I$20</f>
        <v>-1.4373716632443429E-2</v>
      </c>
      <c r="E20" s="62" t="str">
        <f ca="1">IF(OR(C20="",COUNTIFS($B$8:$B$44,B20,$C$8:$C$44,"&lt;&gt;")&lt;2),"",100*(COUNTIFS($B$8:$B$44,B20,$C$8:$C$44,"&lt;"&amp;C20)+0.5*(COUNTIFS($B$8:$B$44,B20,$C$8:$C$44,"="&amp;C20)-1))/(COUNTIFS($B$8:$B$44,B20,$C$8:$C$44,"&lt;&gt;")-1))</f>
        <v/>
      </c>
      <c r="F20" s="62" t="str">
        <f ca="1">IF(OR(D20="",COUNTIFS($B$8:$B$44,B20,$D$8:$D$44,"&lt;&gt;")&lt;2),"",100*(COUNTIFS($B$8:$B$44,B20,$D$8:$D$44,"&gt;"&amp;D20)+0.5*(COUNTIFS($B$8:$B$44,B20,$D$8:$D$44,"="&amp;D20)-1))/(COUNTIFS($B$8:$B$44,B20,$D$8:$D$44,"&lt;&gt;")-1))</f>
        <v/>
      </c>
      <c r="G20" s="62" t="str">
        <f ca="1">IF(OR(E20="",F20=""),"",$K$2*E20+$K$3*F20)</f>
        <v/>
      </c>
      <c r="H20" s="61" t="str">
        <f ca="1">IF(G20="","",IF(G20&lt;=25,"Low",IF(G20&lt;=50,"Moderate",IF(G20&lt;=75,"Elevated","High"))))</f>
        <v/>
      </c>
    </row>
    <row r="21" spans="1:8" ht="14.65" customHeight="1">
      <c r="A21" s="77" t="s">
        <v>23</v>
      </c>
      <c r="B21" s="77"/>
      <c r="C21" s="78"/>
      <c r="D21" s="79"/>
      <c r="E21" s="78"/>
      <c r="F21" s="78"/>
      <c r="G21" s="78"/>
      <c r="H21" s="77"/>
    </row>
    <row r="22" spans="1:8">
      <c r="A22" s="60" t="s">
        <v>24</v>
      </c>
      <c r="B22" s="60" t="s">
        <v>23</v>
      </c>
      <c r="C22" s="59">
        <f ca="1">Report!$C$22</f>
        <v>53.750599999999999</v>
      </c>
      <c r="D22" s="58">
        <f ca="1">Report!$I$22</f>
        <v>-4.3725868725868679E-2</v>
      </c>
      <c r="E22" s="62">
        <f ca="1">_xlfn.PERCENTRANK.INC($C$22:$C$25,C22)*100</f>
        <v>100</v>
      </c>
      <c r="F22" s="62">
        <f ca="1">(1-_xlfn.PERCENTRANK.INC($D$22:$D$25,D22))*100</f>
        <v>100</v>
      </c>
      <c r="G22" s="62">
        <f ca="1">IF(OR(E22="",F22=""),"",$K$2*E22+$K$3*F22)</f>
        <v>100</v>
      </c>
      <c r="H22" s="61" t="str">
        <f ca="1">IF(G22="","",IF(G22&lt;=25,"Low",IF(G22&lt;=50,"Moderate",IF(G22&lt;=75,"Elevated","High"))))</f>
        <v>High</v>
      </c>
    </row>
    <row r="23" spans="1:8">
      <c r="A23" s="60" t="s">
        <v>25</v>
      </c>
      <c r="B23" s="60" t="s">
        <v>23</v>
      </c>
      <c r="C23" s="59">
        <f ca="1">Report!$C$23</f>
        <v>36.032600000000002</v>
      </c>
      <c r="D23" s="58">
        <f ca="1">Report!$I$23</f>
        <v>1.7033542976938607E-3</v>
      </c>
      <c r="E23" s="62">
        <f t="shared" ref="E23:E25" ca="1" si="6">_xlfn.PERCENTRANK.INC($C$22:$C$25,C23)*100</f>
        <v>0</v>
      </c>
      <c r="F23" s="62">
        <f t="shared" ref="F23:F25" ca="1" si="7">(1-_xlfn.PERCENTRANK.INC($D$22:$D$25,D23))*100</f>
        <v>0</v>
      </c>
      <c r="G23" s="62">
        <f ca="1">IF(OR(E23="",F23=""),"",$K$2*E23+$K$3*F23)</f>
        <v>0</v>
      </c>
      <c r="H23" s="61" t="str">
        <f ca="1">IF(G23="","",IF(G23&lt;=25,"Low",IF(G23&lt;=50,"Moderate",IF(G23&lt;=75,"Elevated","High"))))</f>
        <v>Low</v>
      </c>
    </row>
    <row r="24" spans="1:8">
      <c r="A24" s="60" t="s">
        <v>26</v>
      </c>
      <c r="B24" s="60" t="s">
        <v>23</v>
      </c>
      <c r="C24" s="59">
        <f ca="1">Report!$C$24</f>
        <v>51.6509</v>
      </c>
      <c r="D24" s="58">
        <f ca="1">Report!$I$24</f>
        <v>-3.2312447316661982E-2</v>
      </c>
      <c r="E24" s="62">
        <f t="shared" ca="1" si="6"/>
        <v>66.600000000000009</v>
      </c>
      <c r="F24" s="62">
        <f t="shared" ca="1" si="7"/>
        <v>66.7</v>
      </c>
      <c r="G24" s="62">
        <f ca="1">IF(OR(E24="",F24=""),"",$K$2*E24+$K$3*F24)</f>
        <v>66.64</v>
      </c>
      <c r="H24" s="61" t="str">
        <f ca="1">IF(G24="","",IF(G24&lt;=25,"Low",IF(G24&lt;=50,"Moderate",IF(G24&lt;=75,"Elevated","High"))))</f>
        <v>Elevated</v>
      </c>
    </row>
    <row r="25" spans="1:8">
      <c r="A25" s="60" t="s">
        <v>27</v>
      </c>
      <c r="B25" s="60" t="s">
        <v>23</v>
      </c>
      <c r="C25" s="59">
        <f ca="1">Report!$C$25</f>
        <v>38.869799999999998</v>
      </c>
      <c r="D25" s="58">
        <f ca="1">Report!$I$25</f>
        <v>-1.7457475380483437E-2</v>
      </c>
      <c r="E25" s="62">
        <f t="shared" ca="1" si="6"/>
        <v>33.300000000000004</v>
      </c>
      <c r="F25" s="62">
        <f t="shared" ca="1" si="7"/>
        <v>33.4</v>
      </c>
      <c r="G25" s="62">
        <f ca="1">IF(OR(E25="",F25=""),"",$K$2*E25+$K$3*F25)</f>
        <v>33.340000000000003</v>
      </c>
      <c r="H25" s="61" t="str">
        <f ca="1">IF(G25="","",IF(G25&lt;=25,"Low",IF(G25&lt;=50,"Moderate",IF(G25&lt;=75,"Elevated","High"))))</f>
        <v>Moderate</v>
      </c>
    </row>
    <row r="26" spans="1:8" ht="14.65" customHeight="1">
      <c r="A26" s="77" t="s">
        <v>28</v>
      </c>
      <c r="B26" s="77"/>
      <c r="C26" s="78"/>
      <c r="D26" s="79"/>
      <c r="E26" s="78"/>
      <c r="F26" s="78"/>
      <c r="G26" s="78"/>
      <c r="H26" s="77"/>
    </row>
    <row r="27" spans="1:8">
      <c r="A27" s="60" t="s">
        <v>29</v>
      </c>
      <c r="B27" s="60" t="s">
        <v>28</v>
      </c>
      <c r="C27" s="59">
        <f ca="1">Report!$C$27</f>
        <v>44.085599999999999</v>
      </c>
      <c r="D27" s="58">
        <f ca="1">Report!$I$27</f>
        <v>-5.2663256093890215E-3</v>
      </c>
      <c r="E27" s="62">
        <f ca="1">_xlfn.PERCENTRANK.INC($C$27:$C$28,C27)*100</f>
        <v>100</v>
      </c>
      <c r="F27" s="62">
        <f ca="1">(1-_xlfn.PERCENTRANK.INC($D$27:$D$28,D27))*100</f>
        <v>100</v>
      </c>
      <c r="G27" s="62">
        <f ca="1">IF(OR(E27="",F27=""),"",$K$2*E27+$K$3*F27)</f>
        <v>100</v>
      </c>
      <c r="H27" s="61" t="str">
        <f ca="1">IF(G27="","",IF(G27&lt;=25,"Low",IF(G27&lt;=50,"Moderate",IF(G27&lt;=75,"Elevated","High"))))</f>
        <v>High</v>
      </c>
    </row>
    <row r="28" spans="1:8">
      <c r="A28" s="60" t="s">
        <v>30</v>
      </c>
      <c r="B28" s="60" t="s">
        <v>28</v>
      </c>
      <c r="C28" s="59">
        <f ca="1">Report!$C$28</f>
        <v>33.25</v>
      </c>
      <c r="D28" s="58">
        <f ca="1">Report!$I$28</f>
        <v>1.1508951406649507E-2</v>
      </c>
      <c r="E28" s="62">
        <f ca="1">_xlfn.PERCENTRANK.INC($C$27:$C$28,C28)*100</f>
        <v>0</v>
      </c>
      <c r="F28" s="62">
        <f ca="1">(1-_xlfn.PERCENTRANK.INC($D$27:$D$28,D28))*100</f>
        <v>0</v>
      </c>
      <c r="G28" s="62">
        <f ca="1">IF(OR(E28="",F28=""),"",$K$2*E28+$K$3*F28)</f>
        <v>0</v>
      </c>
      <c r="H28" s="61" t="str">
        <f ca="1">IF(G28="","",IF(G28&lt;=25,"Low",IF(G28&lt;=50,"Moderate",IF(G28&lt;=75,"Elevated","High"))))</f>
        <v>Low</v>
      </c>
    </row>
    <row r="29" spans="1:8" ht="14.65" customHeight="1">
      <c r="A29" s="77" t="s">
        <v>31</v>
      </c>
      <c r="B29" s="77"/>
      <c r="C29" s="78"/>
      <c r="D29" s="79"/>
      <c r="E29" s="78"/>
      <c r="F29" s="78"/>
      <c r="G29" s="78"/>
      <c r="H29" s="77"/>
    </row>
    <row r="30" spans="1:8">
      <c r="A30" s="60" t="s">
        <v>32</v>
      </c>
      <c r="B30" s="60" t="s">
        <v>31</v>
      </c>
      <c r="C30" s="59">
        <f ca="1">Report!$C$30</f>
        <v>23.601099999999999</v>
      </c>
      <c r="D30" s="58">
        <f ca="1">Report!$I$30</f>
        <v>-8.567603748326609E-3</v>
      </c>
      <c r="E30" s="62" t="str">
        <f ca="1">IF(OR(C30="",COUNTIFS($B$8:$B$44,B30,$C$8:$C$44,"&lt;&gt;")&lt;2),"",100*(COUNTIFS($B$8:$B$44,B30,$C$8:$C$44,"&lt;"&amp;C30)+0.5*(COUNTIFS($B$8:$B$44,B30,$C$8:$C$44,"="&amp;C30)-1))/(COUNTIFS($B$8:$B$44,B30,$C$8:$C$44,"&lt;&gt;")-1))</f>
        <v/>
      </c>
      <c r="F30" s="62" t="str">
        <f ca="1">IF(OR(D30="",COUNTIFS($B$8:$B$44,B30,$D$8:$D$44,"&lt;&gt;")&lt;2),"",100*(COUNTIFS($B$8:$B$44,B30,$D$8:$D$44,"&gt;"&amp;D30)+0.5*(COUNTIFS($B$8:$B$44,B30,$D$8:$D$44,"="&amp;D30)-1))/(COUNTIFS($B$8:$B$44,B30,$D$8:$D$44,"&lt;&gt;")-1))</f>
        <v/>
      </c>
      <c r="G30" s="62" t="str">
        <f ca="1">IF(OR(E30="",F30=""),"",$K$2*E30+$K$3*F30)</f>
        <v/>
      </c>
      <c r="H30" s="61" t="str">
        <f ca="1">IF(G30="","",IF(G30&lt;=25,"Low",IF(G30&lt;=50,"Moderate",IF(G30&lt;=75,"Elevated","High"))))</f>
        <v/>
      </c>
    </row>
    <row r="31" spans="1:8" ht="14.65" customHeight="1">
      <c r="A31" s="77" t="s">
        <v>33</v>
      </c>
      <c r="B31" s="77"/>
      <c r="C31" s="78"/>
      <c r="D31" s="79"/>
      <c r="E31" s="78"/>
      <c r="F31" s="78"/>
      <c r="G31" s="78"/>
      <c r="H31" s="77"/>
    </row>
    <row r="32" spans="1:8">
      <c r="A32" s="60" t="s">
        <v>35</v>
      </c>
      <c r="B32" s="60" t="s">
        <v>33</v>
      </c>
      <c r="C32" s="59">
        <f ca="1">Report!$C$32</f>
        <v>43.05</v>
      </c>
      <c r="D32" s="58">
        <f ca="1">Report!$I$32</f>
        <v>-8.2621082621082628E-3</v>
      </c>
      <c r="E32" s="62">
        <f ca="1">_xlfn.PERCENTRANK.INC($C$32:$C$36,C32)*100</f>
        <v>50</v>
      </c>
      <c r="F32" s="62">
        <f ca="1">(1-_xlfn.PERCENTRANK.INC($D$32:$D$36,D32))*100</f>
        <v>75</v>
      </c>
      <c r="G32" s="62">
        <f ca="1">IF(OR(E32="",F32=""),"",$K$2*E32+$K$3*F32)</f>
        <v>60</v>
      </c>
      <c r="H32" s="61" t="str">
        <f ca="1">IF(G32="","",IF(G32&lt;=25,"Low",IF(G32&lt;=50,"Moderate",IF(G32&lt;=75,"Elevated","High"))))</f>
        <v>Elevated</v>
      </c>
    </row>
    <row r="33" spans="1:8">
      <c r="A33" s="60" t="s">
        <v>36</v>
      </c>
      <c r="B33" s="60" t="s">
        <v>33</v>
      </c>
      <c r="C33" s="59">
        <f ca="1">Report!$C$33</f>
        <v>41.041699999999999</v>
      </c>
      <c r="D33" s="58">
        <f ca="1">Report!$I$33</f>
        <v>-5.430683360989591E-3</v>
      </c>
      <c r="E33" s="62">
        <f t="shared" ref="E33:E36" ca="1" si="8">_xlfn.PERCENTRANK.INC($C$32:$C$36,C33)*100</f>
        <v>25</v>
      </c>
      <c r="F33" s="62">
        <f t="shared" ref="F33:F36" ca="1" si="9">(1-_xlfn.PERCENTRANK.INC($D$32:$D$36,D33))*100</f>
        <v>25</v>
      </c>
      <c r="G33" s="62">
        <f ca="1">IF(OR(E33="",F33=""),"",$K$2*E33+$K$3*F33)</f>
        <v>25</v>
      </c>
      <c r="H33" s="61" t="str">
        <f ca="1">IF(G33="","",IF(G33&lt;=25,"Low",IF(G33&lt;=50,"Moderate",IF(G33&lt;=75,"Elevated","High"))))</f>
        <v>Low</v>
      </c>
    </row>
    <row r="34" spans="1:8">
      <c r="A34" s="60" t="s">
        <v>37</v>
      </c>
      <c r="B34" s="60" t="s">
        <v>33</v>
      </c>
      <c r="C34" s="59">
        <f ca="1">Report!$C$34</f>
        <v>40.492899999999999</v>
      </c>
      <c r="D34" s="58">
        <f ca="1">Report!$I$34</f>
        <v>-1.6496846191169336E-2</v>
      </c>
      <c r="E34" s="62">
        <f t="shared" ca="1" si="8"/>
        <v>0</v>
      </c>
      <c r="F34" s="62">
        <f t="shared" ca="1" si="9"/>
        <v>100</v>
      </c>
      <c r="G34" s="62">
        <f ca="1">IF(OR(E34="",F34=""),"",$K$2*E34+$K$3*F34)</f>
        <v>40</v>
      </c>
      <c r="H34" s="61" t="str">
        <f ca="1">IF(G34="","",IF(G34&lt;=25,"Low",IF(G34&lt;=50,"Moderate",IF(G34&lt;=75,"Elevated","High"))))</f>
        <v>Moderate</v>
      </c>
    </row>
    <row r="35" spans="1:8">
      <c r="A35" s="60" t="s">
        <v>38</v>
      </c>
      <c r="B35" s="60" t="s">
        <v>33</v>
      </c>
      <c r="C35" s="59">
        <f ca="1">Report!$C$35</f>
        <v>63.469099999999997</v>
      </c>
      <c r="D35" s="58">
        <f ca="1">Report!$I$35</f>
        <v>-1.1182555213866368E-3</v>
      </c>
      <c r="E35" s="62">
        <f t="shared" ca="1" si="8"/>
        <v>75</v>
      </c>
      <c r="F35" s="62">
        <f t="shared" ca="1" si="9"/>
        <v>0</v>
      </c>
      <c r="G35" s="62">
        <f ca="1">IF(OR(E35="",F35=""),"",$K$2*E35+$K$3*F35)</f>
        <v>45</v>
      </c>
      <c r="H35" s="61" t="str">
        <f ca="1">IF(G35="","",IF(G35&lt;=25,"Low",IF(G35&lt;=50,"Moderate",IF(G35&lt;=75,"Elevated","High"))))</f>
        <v>Moderate</v>
      </c>
    </row>
    <row r="36" spans="1:8">
      <c r="A36" s="60" t="s">
        <v>39</v>
      </c>
      <c r="B36" s="60" t="s">
        <v>33</v>
      </c>
      <c r="C36" s="59">
        <f ca="1">Report!$C$36</f>
        <v>75.5441</v>
      </c>
      <c r="D36" s="58">
        <f ca="1">Report!$I$36</f>
        <v>-7.0967741935483875E-3</v>
      </c>
      <c r="E36" s="62">
        <f t="shared" ca="1" si="8"/>
        <v>100</v>
      </c>
      <c r="F36" s="62">
        <f t="shared" ca="1" si="9"/>
        <v>50</v>
      </c>
      <c r="G36" s="62">
        <f ca="1">IF(OR(E36="",F36=""),"",$K$2*E36+$K$3*F36)</f>
        <v>80</v>
      </c>
      <c r="H36" s="61" t="str">
        <f ca="1">IF(G36="","",IF(G36&lt;=25,"Low",IF(G36&lt;=50,"Moderate",IF(G36&lt;=75,"Elevated","High"))))</f>
        <v>High</v>
      </c>
    </row>
    <row r="37" spans="1:8" ht="14.65" customHeight="1">
      <c r="A37" s="77" t="s">
        <v>40</v>
      </c>
      <c r="B37" s="77"/>
      <c r="C37" s="78"/>
      <c r="D37" s="79"/>
      <c r="E37" s="78"/>
      <c r="F37" s="78"/>
      <c r="G37" s="78"/>
      <c r="H37" s="77"/>
    </row>
    <row r="38" spans="1:8">
      <c r="A38" s="60" t="s">
        <v>42</v>
      </c>
      <c r="B38" s="60" t="s">
        <v>40</v>
      </c>
      <c r="C38" s="59">
        <f ca="1">Report!$C$38</f>
        <v>60</v>
      </c>
      <c r="D38" s="58">
        <f ca="1">Report!$I$38</f>
        <v>-2.4119789558883074E-2</v>
      </c>
      <c r="E38" s="62">
        <f ca="1">_xlfn.PERCENTRANK.INC($C$38:$C$43,C38)*100</f>
        <v>60</v>
      </c>
      <c r="F38" s="62">
        <f ca="1">(1-_xlfn.PERCENTRANK.INC($D$38:$D$43,D38))*100</f>
        <v>0</v>
      </c>
      <c r="G38" s="62">
        <f t="shared" ref="G38:G44" ca="1" si="10">IF(OR(E38="",F38=""),"",$K$2*E38+$K$3*F38)</f>
        <v>36</v>
      </c>
      <c r="H38" s="61" t="str">
        <f t="shared" ref="H38:H44" ca="1" si="11">IF(G38="","",IF(G38&lt;=25,"Low",IF(G38&lt;=50,"Moderate",IF(G38&lt;=75,"Elevated","High"))))</f>
        <v>Moderate</v>
      </c>
    </row>
    <row r="39" spans="1:8">
      <c r="A39" s="60" t="s">
        <v>43</v>
      </c>
      <c r="B39" s="60" t="s">
        <v>40</v>
      </c>
      <c r="C39" s="59">
        <f ca="1">Report!$C$39</f>
        <v>56.8185</v>
      </c>
      <c r="D39" s="58">
        <f ca="1">Report!$I$39</f>
        <v>-5.2156073697084464E-2</v>
      </c>
      <c r="E39" s="62">
        <f t="shared" ref="E39:E43" ca="1" si="12">_xlfn.PERCENTRANK.INC($C$38:$C$43,C39)*100</f>
        <v>20</v>
      </c>
      <c r="F39" s="62">
        <f t="shared" ref="F39:F42" ca="1" si="13">(1-_xlfn.PERCENTRANK.INC($D$38:$D$43,D39))*100</f>
        <v>100</v>
      </c>
      <c r="G39" s="62">
        <f t="shared" ca="1" si="10"/>
        <v>52</v>
      </c>
      <c r="H39" s="61" t="str">
        <f t="shared" ca="1" si="11"/>
        <v>Elevated</v>
      </c>
    </row>
    <row r="40" spans="1:8">
      <c r="A40" s="60" t="s">
        <v>44</v>
      </c>
      <c r="B40" s="60" t="s">
        <v>40</v>
      </c>
      <c r="C40" s="59">
        <f ca="1">Report!$C$40</f>
        <v>60.630200000000002</v>
      </c>
      <c r="D40" s="58">
        <f ca="1">Report!$I$40</f>
        <v>-3.6075036075036079E-2</v>
      </c>
      <c r="E40" s="62">
        <f t="shared" ca="1" si="12"/>
        <v>100</v>
      </c>
      <c r="F40" s="62">
        <f t="shared" ca="1" si="13"/>
        <v>40</v>
      </c>
      <c r="G40" s="57">
        <f t="shared" ca="1" si="10"/>
        <v>76</v>
      </c>
      <c r="H40" s="56" t="str">
        <f t="shared" ca="1" si="11"/>
        <v>High</v>
      </c>
    </row>
    <row r="41" spans="1:8">
      <c r="A41" s="60" t="s">
        <v>45</v>
      </c>
      <c r="B41" s="60" t="s">
        <v>40</v>
      </c>
      <c r="C41" s="59">
        <f ca="1">Report!$C$41</f>
        <v>55.985199999999999</v>
      </c>
      <c r="D41" s="58">
        <f ca="1">Report!$I$41</f>
        <v>-4.4956465083219821E-2</v>
      </c>
      <c r="E41" s="62">
        <f t="shared" ca="1" si="12"/>
        <v>0</v>
      </c>
      <c r="F41" s="62">
        <f t="shared" ca="1" si="13"/>
        <v>80</v>
      </c>
      <c r="G41" s="57">
        <f t="shared" ca="1" si="10"/>
        <v>32</v>
      </c>
      <c r="H41" s="56" t="str">
        <f t="shared" ca="1" si="11"/>
        <v>Moderate</v>
      </c>
    </row>
    <row r="42" spans="1:8">
      <c r="A42" s="60" t="s">
        <v>46</v>
      </c>
      <c r="B42" s="60" t="s">
        <v>40</v>
      </c>
      <c r="C42" s="59">
        <f ca="1">Report!$C$42</f>
        <v>60.424599999999998</v>
      </c>
      <c r="D42" s="58">
        <f ca="1">Report!$I$42</f>
        <v>-3.9851746064129931E-2</v>
      </c>
      <c r="E42" s="62">
        <f t="shared" ca="1" si="12"/>
        <v>80</v>
      </c>
      <c r="F42" s="62">
        <f t="shared" ca="1" si="13"/>
        <v>60</v>
      </c>
      <c r="G42" s="57">
        <f t="shared" ca="1" si="10"/>
        <v>72</v>
      </c>
      <c r="H42" s="56" t="str">
        <f t="shared" ca="1" si="11"/>
        <v>Elevated</v>
      </c>
    </row>
    <row r="43" spans="1:8">
      <c r="A43" s="60" t="s">
        <v>47</v>
      </c>
      <c r="B43" s="60" t="s">
        <v>40</v>
      </c>
      <c r="C43" s="59">
        <f ca="1">Report!$C$43</f>
        <v>59.430999999999997</v>
      </c>
      <c r="D43" s="58">
        <f ca="1">Report!$I$43</f>
        <v>-3.397929386779934E-2</v>
      </c>
      <c r="E43" s="62">
        <f t="shared" ca="1" si="12"/>
        <v>40</v>
      </c>
      <c r="F43" s="57">
        <f t="shared" ref="F43" ca="1" si="14">IF(OR(D43="",COUNTIFS($B$8:$B$44,B43,$D$8:$D$44,"&lt;&gt;")&lt;2),"",100*(COUNTIFS($B$8:$B$44,B43,$D$8:$D$44,"&gt;"&amp;D43)+0.5*(COUNTIFS($B$8:$B$44,B43,$D$8:$D$44,"="&amp;D43)-1))/(COUNTIFS($B$8:$B$44,B43,$D$8:$D$44,"&lt;&gt;")-1))</f>
        <v>20</v>
      </c>
      <c r="G43" s="57">
        <f t="shared" ca="1" si="10"/>
        <v>32</v>
      </c>
      <c r="H43" s="56" t="str">
        <f t="shared" ca="1" si="11"/>
        <v>Moderate</v>
      </c>
    </row>
    <row r="44" spans="1:8">
      <c r="A44" s="60" t="s">
        <v>48</v>
      </c>
      <c r="B44" s="60" t="s">
        <v>40</v>
      </c>
      <c r="C44" s="59"/>
      <c r="D44" s="58"/>
      <c r="E44" s="57" t="str">
        <f t="shared" ref="E44" ca="1" si="15">IF(OR(C44="",COUNTIFS($B$8:$B$44,B44,$C$8:$C$44,"&lt;&gt;")&lt;2),"",100*(COUNTIFS($B$8:$B$44,B44,$C$8:$C$44,"&lt;"&amp;C44)+0.5*(COUNTIFS($B$8:$B$44,B44,$C$8:$C$44,"="&amp;C44)-1))/(COUNTIFS($B$8:$B$44,B44,$C$8:$C$44,"&lt;&gt;")-1))</f>
        <v/>
      </c>
      <c r="F44" s="57"/>
      <c r="G44" s="57" t="str">
        <f t="shared" ca="1" si="10"/>
        <v/>
      </c>
      <c r="H44" s="56" t="str">
        <f t="shared" ca="1" si="11"/>
        <v/>
      </c>
    </row>
  </sheetData>
  <mergeCells count="9">
    <mergeCell ref="A29:H29"/>
    <mergeCell ref="A31:H31"/>
    <mergeCell ref="A37:H37"/>
    <mergeCell ref="A1:H1"/>
    <mergeCell ref="J1:K1"/>
    <mergeCell ref="A15:H15"/>
    <mergeCell ref="A19:H19"/>
    <mergeCell ref="A21:H21"/>
    <mergeCell ref="A26:H26"/>
  </mergeCells>
  <conditionalFormatting sqref="G8:G3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:G4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H39">
    <cfRule type="expression" dxfId="9" priority="2">
      <formula>H8="Low"</formula>
    </cfRule>
    <cfRule type="expression" dxfId="8" priority="3">
      <formula>H8="Moderate"</formula>
    </cfRule>
    <cfRule type="expression" dxfId="7" priority="4">
      <formula>H8="Elevated"</formula>
    </cfRule>
    <cfRule type="expression" dxfId="6" priority="5">
      <formula>H8="High"</formula>
    </cfRule>
  </conditionalFormatting>
  <conditionalFormatting sqref="H8:H44">
    <cfRule type="expression" dxfId="5" priority="7">
      <formula>H8="Low"</formula>
    </cfRule>
    <cfRule type="expression" dxfId="4" priority="8">
      <formula>H8="Moderate"</formula>
    </cfRule>
    <cfRule type="expression" dxfId="3" priority="9">
      <formula>H8="Elevated"</formula>
    </cfRule>
    <cfRule type="expression" dxfId="2" priority="10">
      <formula>H8="High"</formula>
    </cfRule>
  </conditionalFormatting>
  <dataValidations count="1">
    <dataValidation type="list" sqref="B8:B39" xr:uid="{00000000-0002-0000-0000-000000000000}">
      <formula1>"US,Canada,Europe,UK,Japan,Other"</formula1>
    </dataValidation>
  </dataValidations>
  <pageMargins left="0.7" right="0.7" top="0.75" bottom="0.75" header="0.3" footer="0.3"/>
  <headerFooter>
    <oddHeader>&amp;R&amp;"Aptos"&amp;10&amp;K000000 Category/Catégorie: Non-Sensitive/Non-Délicat&amp;1#_x000D_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6BCC-4358-41B8-AA3B-EAD66D71F3CC}">
  <dimension ref="A1:Z85"/>
  <sheetViews>
    <sheetView workbookViewId="0">
      <selection activeCell="B80" sqref="B80"/>
    </sheetView>
  </sheetViews>
  <sheetFormatPr defaultColWidth="9.1796875" defaultRowHeight="14.5"/>
  <cols>
    <col min="1" max="1" width="27.54296875" customWidth="1"/>
    <col min="2" max="2" width="13.81640625" customWidth="1"/>
    <col min="3" max="3" width="14.54296875" customWidth="1"/>
    <col min="4" max="8" width="10.54296875" customWidth="1"/>
    <col min="9" max="9" width="10.81640625" customWidth="1"/>
    <col min="10" max="10" width="11.453125" customWidth="1"/>
    <col min="11" max="11" width="10.54296875" customWidth="1"/>
    <col min="12" max="12" width="11.453125" customWidth="1"/>
    <col min="13" max="13" width="13.453125" customWidth="1"/>
    <col min="14" max="14" width="11.453125" customWidth="1"/>
    <col min="15" max="17" width="10.54296875" bestFit="1" customWidth="1"/>
    <col min="18" max="18" width="10.54296875" customWidth="1"/>
    <col min="19" max="19" width="10.54296875" bestFit="1" customWidth="1"/>
  </cols>
  <sheetData>
    <row r="1" spans="1:26">
      <c r="A1" s="16" t="s">
        <v>232</v>
      </c>
      <c r="B1" s="16" t="s">
        <v>231</v>
      </c>
    </row>
    <row r="2" spans="1:26">
      <c r="A2" s="16" t="s">
        <v>230</v>
      </c>
      <c r="C2" s="30">
        <f ca="1">TODAY()</f>
        <v>46258</v>
      </c>
      <c r="D2" s="30">
        <f ca="1">TODAY() - 1</f>
        <v>46257</v>
      </c>
      <c r="E2" s="30">
        <f ca="1">TODAY() - 2</f>
        <v>46256</v>
      </c>
      <c r="F2" s="30">
        <f ca="1">TODAY() - 3</f>
        <v>46255</v>
      </c>
      <c r="G2" s="30">
        <f ca="1">TODAY() - 4</f>
        <v>46254</v>
      </c>
      <c r="H2" s="30">
        <f ca="1">TODAY() - 5</f>
        <v>46253</v>
      </c>
      <c r="I2" s="30">
        <f ca="1">TODAY() - 6</f>
        <v>46252</v>
      </c>
      <c r="J2" s="30">
        <f ca="1">TODAY() - 7</f>
        <v>46251</v>
      </c>
      <c r="K2" s="30">
        <f ca="1">TODAY() - 8</f>
        <v>46250</v>
      </c>
      <c r="L2" s="30">
        <f ca="1">TODAY() - 9</f>
        <v>46249</v>
      </c>
      <c r="M2" s="30">
        <f ca="1">TODAY() - 10</f>
        <v>46248</v>
      </c>
      <c r="N2" s="30">
        <f ca="1">TODAY() - 11</f>
        <v>46247</v>
      </c>
      <c r="O2" s="30">
        <f ca="1">TODAY() - 12</f>
        <v>46246</v>
      </c>
      <c r="P2" s="30">
        <f ca="1">TODAY() - 13</f>
        <v>46245</v>
      </c>
      <c r="Q2" s="30">
        <f ca="1">TODAY() - 14</f>
        <v>46244</v>
      </c>
      <c r="R2" s="30">
        <f ca="1">EDATE(TODAY(), -3)</f>
        <v>46166</v>
      </c>
      <c r="S2" s="30">
        <f ca="1">EDATE(TODAY(), -12)</f>
        <v>45893</v>
      </c>
      <c r="T2" t="s">
        <v>229</v>
      </c>
      <c r="U2" t="s">
        <v>228</v>
      </c>
      <c r="V2" t="s">
        <v>227</v>
      </c>
      <c r="W2" t="s">
        <v>226</v>
      </c>
      <c r="X2" t="s">
        <v>225</v>
      </c>
      <c r="Y2" t="s">
        <v>224</v>
      </c>
    </row>
    <row r="3" spans="1:26">
      <c r="A3" t="s">
        <v>223</v>
      </c>
      <c r="B3" s="25" t="s">
        <v>222</v>
      </c>
      <c r="C3">
        <f ca="1">_xll.ciqfunctions.udf.CIQ($B3,"IQ_CDS_mid",C$2)</f>
        <v>123.86279999999999</v>
      </c>
      <c r="D3">
        <f ca="1">_xll.ciqfunctions.udf.CIQ($B3,"IQ_CDS_mid",D$2)</f>
        <v>123.86279999999999</v>
      </c>
      <c r="E3">
        <f ca="1">_xll.ciqfunctions.udf.CIQ($B3,"IQ_CDS_mid",E$2)</f>
        <v>123.86279999999999</v>
      </c>
      <c r="F3">
        <f ca="1">_xll.ciqfunctions.udf.CIQ($B3,"IQ_CDS_mid",F$2)</f>
        <v>123.86279999999999</v>
      </c>
      <c r="G3">
        <f ca="1">_xll.ciqfunctions.udf.CIQ($B3,"IQ_CDS_mid",G$2)</f>
        <v>125.393</v>
      </c>
      <c r="H3">
        <f ca="1">_xll.ciqfunctions.udf.CIQ($B3,"IQ_CDS_mid",H$2)</f>
        <v>125.1982</v>
      </c>
      <c r="I3">
        <f ca="1">_xll.ciqfunctions.udf.CIQ($B3,"IQ_CDS_mid",I$2)</f>
        <v>127.035</v>
      </c>
      <c r="J3">
        <f ca="1">_xll.ciqfunctions.udf.CIQ($B3,"IQ_CDS_mid",J$2)</f>
        <v>126.6891</v>
      </c>
      <c r="K3">
        <f ca="1">_xll.ciqfunctions.udf.CIQ($B3,"IQ_CDS_mid",K$2)</f>
        <v>125.41370000000001</v>
      </c>
      <c r="L3">
        <f ca="1">_xll.ciqfunctions.udf.CIQ($B3,"IQ_CDS_mid",L$2)</f>
        <v>125.41370000000001</v>
      </c>
      <c r="M3">
        <f ca="1">_xll.ciqfunctions.udf.CIQ($B3,"IQ_CDS_mid",M$2)</f>
        <v>125.41370000000001</v>
      </c>
      <c r="N3">
        <f ca="1">_xll.ciqfunctions.udf.CIQ($B3,"IQ_CDS_mid",N$2)</f>
        <v>124.1931</v>
      </c>
      <c r="O3">
        <f ca="1">_xll.ciqfunctions.udf.CIQ($B3,"IQ_CDS_mid",O$2)</f>
        <v>124.9208</v>
      </c>
      <c r="P3">
        <f ca="1">_xll.ciqfunctions.udf.CIQ($B3,"IQ_CDS_mid",P$2)</f>
        <v>123.92189999999999</v>
      </c>
      <c r="Q3">
        <f ca="1">_xll.ciqfunctions.udf.CIQ($B3,"IQ_CDS_mid",Q$2)</f>
        <v>122.69880000000001</v>
      </c>
      <c r="R3">
        <f ca="1">_xll.ciqfunctions.udf.CIQ($B3,"IQ_CDS_mid",R$2)</f>
        <v>120.364</v>
      </c>
      <c r="S3">
        <f ca="1">_xll.ciqfunctions.udf.CIQ($B3,"IQ_CDS_mid",S$2)</f>
        <v>139.529</v>
      </c>
      <c r="T3">
        <f ca="1">C3-H3</f>
        <v>-1.335400000000007</v>
      </c>
      <c r="U3">
        <f ca="1">C3-M3</f>
        <v>-1.5509000000000128</v>
      </c>
      <c r="V3">
        <f ca="1">C3-Q3</f>
        <v>1.1639999999999873</v>
      </c>
      <c r="W3">
        <f ca="1">C3-R3</f>
        <v>3.4987999999999886</v>
      </c>
      <c r="X3">
        <f t="shared" ref="X3:X40" ca="1" si="0">C3-S3</f>
        <v>-15.666200000000003</v>
      </c>
      <c r="Y3" t="s">
        <v>221</v>
      </c>
      <c r="Z3" t="s">
        <v>220</v>
      </c>
    </row>
    <row r="4" spans="1:26">
      <c r="A4" t="s">
        <v>40</v>
      </c>
      <c r="B4" s="25" t="s">
        <v>219</v>
      </c>
      <c r="C4">
        <f ca="1">_xll.ciqfunctions.udf.CIQ($B4,"IQ_CDS_mid",C$2)</f>
        <v>10.8087</v>
      </c>
      <c r="D4">
        <f ca="1">_xll.ciqfunctions.udf.CIQ($B4,"IQ_CDS_mid",D$2)</f>
        <v>10.8087</v>
      </c>
      <c r="E4">
        <f ca="1">_xll.ciqfunctions.udf.CIQ($B4,"IQ_CDS_mid",E$2)</f>
        <v>10.8087</v>
      </c>
      <c r="F4">
        <f ca="1">_xll.ciqfunctions.udf.CIQ($B4,"IQ_CDS_mid",F$2)</f>
        <v>10.8087</v>
      </c>
      <c r="G4">
        <f ca="1">_xll.ciqfunctions.udf.CIQ($B4,"IQ_CDS_mid",G$2)</f>
        <v>10.814399999999999</v>
      </c>
      <c r="H4">
        <f ca="1">_xll.ciqfunctions.udf.CIQ($B4,"IQ_CDS_mid",H$2)</f>
        <v>10.870799999999999</v>
      </c>
      <c r="I4">
        <f ca="1">_xll.ciqfunctions.udf.CIQ($B4,"IQ_CDS_mid",I$2)</f>
        <v>10.8635</v>
      </c>
      <c r="J4">
        <f ca="1">_xll.ciqfunctions.udf.CIQ($B4,"IQ_CDS_mid",J$2)</f>
        <v>10.8842</v>
      </c>
      <c r="K4">
        <f ca="1">_xll.ciqfunctions.udf.CIQ($B4,"IQ_CDS_mid",K$2)</f>
        <v>10.8719</v>
      </c>
      <c r="L4">
        <f ca="1">_xll.ciqfunctions.udf.CIQ($B4,"IQ_CDS_mid",L$2)</f>
        <v>10.8719</v>
      </c>
      <c r="M4">
        <f ca="1">_xll.ciqfunctions.udf.CIQ($B4,"IQ_CDS_mid",M$2)</f>
        <v>10.8719</v>
      </c>
      <c r="N4">
        <f ca="1">_xll.ciqfunctions.udf.CIQ($B4,"IQ_CDS_mid",N$2)</f>
        <v>10.9381</v>
      </c>
      <c r="O4">
        <f ca="1">_xll.ciqfunctions.udf.CIQ($B4,"IQ_CDS_mid",O$2)</f>
        <v>10.8834</v>
      </c>
      <c r="P4">
        <f ca="1">_xll.ciqfunctions.udf.CIQ($B4,"IQ_CDS_mid",P$2)</f>
        <v>10.9214</v>
      </c>
      <c r="Q4">
        <f ca="1">_xll.ciqfunctions.udf.CIQ($B4,"IQ_CDS_mid",Q$2)</f>
        <v>10.8599</v>
      </c>
      <c r="R4">
        <f ca="1">_xll.ciqfunctions.udf.CIQ($B4,"IQ_CDS_mid",R$2)</f>
        <v>12.006600000000001</v>
      </c>
      <c r="S4">
        <f ca="1">_xll.ciqfunctions.udf.CIQ($B4,"IQ_CDS_mid",S$2)</f>
        <v>16.140799999999999</v>
      </c>
      <c r="T4">
        <f ca="1">C4-H4</f>
        <v>-6.2099999999999156E-2</v>
      </c>
      <c r="U4">
        <f ca="1">C4-M4</f>
        <v>-6.3200000000000145E-2</v>
      </c>
      <c r="V4">
        <f ca="1">C4-Q4</f>
        <v>-5.119999999999969E-2</v>
      </c>
      <c r="W4">
        <f ca="1">C4-R4</f>
        <v>-1.1979000000000006</v>
      </c>
      <c r="X4">
        <f t="shared" ca="1" si="0"/>
        <v>-5.3320999999999987</v>
      </c>
      <c r="Y4">
        <v>150</v>
      </c>
      <c r="Z4">
        <v>10</v>
      </c>
    </row>
    <row r="5" spans="1:26">
      <c r="A5" t="s">
        <v>218</v>
      </c>
      <c r="B5" s="25" t="s">
        <v>217</v>
      </c>
      <c r="C5">
        <f ca="1">_xll.ciqfunctions.udf.CIQ($B5,"IQ_CDS_mid",C$2)</f>
        <v>80.124300000000005</v>
      </c>
      <c r="D5">
        <f ca="1">_xll.ciqfunctions.udf.CIQ($B5,"IQ_CDS_mid",D$2)</f>
        <v>80.124300000000005</v>
      </c>
      <c r="E5">
        <f ca="1">_xll.ciqfunctions.udf.CIQ($B5,"IQ_CDS_mid",E$2)</f>
        <v>80.124300000000005</v>
      </c>
      <c r="F5">
        <f ca="1">_xll.ciqfunctions.udf.CIQ($B5,"IQ_CDS_mid",F$2)</f>
        <v>80.124300000000005</v>
      </c>
      <c r="G5">
        <f ca="1">_xll.ciqfunctions.udf.CIQ($B5,"IQ_CDS_mid",G$2)</f>
        <v>81.152000000000001</v>
      </c>
      <c r="H5">
        <f ca="1">_xll.ciqfunctions.udf.CIQ($B5,"IQ_CDS_mid",H$2)</f>
        <v>80.695300000000003</v>
      </c>
      <c r="I5">
        <f ca="1">_xll.ciqfunctions.udf.CIQ($B5,"IQ_CDS_mid",I$2)</f>
        <v>82.062600000000003</v>
      </c>
      <c r="J5">
        <f ca="1">_xll.ciqfunctions.udf.CIQ($B5,"IQ_CDS_mid",J$2)</f>
        <v>81.586399999999998</v>
      </c>
      <c r="K5">
        <f ca="1">_xll.ciqfunctions.udf.CIQ($B5,"IQ_CDS_mid",K$2)</f>
        <v>79.619699999999995</v>
      </c>
      <c r="L5">
        <f ca="1">_xll.ciqfunctions.udf.CIQ($B5,"IQ_CDS_mid",L$2)</f>
        <v>79.619699999999995</v>
      </c>
      <c r="M5">
        <f ca="1">_xll.ciqfunctions.udf.CIQ($B5,"IQ_CDS_mid",M$2)</f>
        <v>79.619699999999995</v>
      </c>
      <c r="N5">
        <f ca="1">_xll.ciqfunctions.udf.CIQ($B5,"IQ_CDS_mid",N$2)</f>
        <v>80.172899999999998</v>
      </c>
      <c r="O5">
        <f ca="1">_xll.ciqfunctions.udf.CIQ($B5,"IQ_CDS_mid",O$2)</f>
        <v>81.5</v>
      </c>
      <c r="P5">
        <f ca="1">_xll.ciqfunctions.udf.CIQ($B5,"IQ_CDS_mid",P$2)</f>
        <v>82.166700000000006</v>
      </c>
      <c r="Q5">
        <f ca="1">_xll.ciqfunctions.udf.CIQ($B5,"IQ_CDS_mid",Q$2)</f>
        <v>82.340299999999999</v>
      </c>
      <c r="R5">
        <f ca="1">_xll.ciqfunctions.udf.CIQ($B5,"IQ_CDS_mid",R$2)</f>
        <v>87.385999999999996</v>
      </c>
      <c r="S5">
        <f ca="1">_xll.ciqfunctions.udf.CIQ($B5,"IQ_CDS_mid",S$2)</f>
        <v>95.266800000000003</v>
      </c>
      <c r="T5">
        <f ca="1">C5-H5</f>
        <v>-0.57099999999999795</v>
      </c>
      <c r="U5">
        <f ca="1">C5-M5</f>
        <v>0.5046000000000106</v>
      </c>
      <c r="V5">
        <f ca="1">C5-Q5</f>
        <v>-2.215999999999994</v>
      </c>
      <c r="W5">
        <f ca="1">C5-R5</f>
        <v>-7.2616999999999905</v>
      </c>
      <c r="X5">
        <f t="shared" ca="1" si="0"/>
        <v>-15.142499999999998</v>
      </c>
    </row>
    <row r="6" spans="1:26">
      <c r="A6" t="s">
        <v>216</v>
      </c>
      <c r="B6" s="25" t="s">
        <v>215</v>
      </c>
      <c r="C6">
        <f ca="1">_xll.ciqfunctions.udf.CIQ($B6,"IQ_CDS_mid",C$2)</f>
        <v>37.5</v>
      </c>
      <c r="D6">
        <f ca="1">_xll.ciqfunctions.udf.CIQ($B6,"IQ_CDS_mid",D$2)</f>
        <v>37.5</v>
      </c>
      <c r="E6">
        <f ca="1">_xll.ciqfunctions.udf.CIQ($B6,"IQ_CDS_mid",E$2)</f>
        <v>37.5</v>
      </c>
      <c r="F6">
        <f ca="1">_xll.ciqfunctions.udf.CIQ($B6,"IQ_CDS_mid",F$2)</f>
        <v>37.5</v>
      </c>
      <c r="G6">
        <f ca="1">_xll.ciqfunctions.udf.CIQ($B6,"IQ_CDS_mid",G$2)</f>
        <v>37.430799999999998</v>
      </c>
      <c r="H6">
        <f ca="1">_xll.ciqfunctions.udf.CIQ($B6,"IQ_CDS_mid",H$2)</f>
        <v>37.333300000000001</v>
      </c>
      <c r="I6">
        <f ca="1">_xll.ciqfunctions.udf.CIQ($B6,"IQ_CDS_mid",I$2)</f>
        <v>37.377899999999997</v>
      </c>
      <c r="J6">
        <f ca="1">_xll.ciqfunctions.udf.CIQ($B6,"IQ_CDS_mid",J$2)</f>
        <v>37</v>
      </c>
      <c r="K6">
        <f ca="1">_xll.ciqfunctions.udf.CIQ($B6,"IQ_CDS_mid",K$2)</f>
        <v>36.916699999999999</v>
      </c>
      <c r="L6">
        <f ca="1">_xll.ciqfunctions.udf.CIQ($B6,"IQ_CDS_mid",L$2)</f>
        <v>36.916699999999999</v>
      </c>
      <c r="M6">
        <f ca="1">_xll.ciqfunctions.udf.CIQ($B6,"IQ_CDS_mid",M$2)</f>
        <v>36.916699999999999</v>
      </c>
      <c r="N6">
        <f ca="1">_xll.ciqfunctions.udf.CIQ($B6,"IQ_CDS_mid",N$2)</f>
        <v>36.833300000000001</v>
      </c>
      <c r="O6">
        <f ca="1">_xll.ciqfunctions.udf.CIQ($B6,"IQ_CDS_mid",O$2)</f>
        <v>37.005099999999999</v>
      </c>
      <c r="P6">
        <f ca="1">_xll.ciqfunctions.udf.CIQ($B6,"IQ_CDS_mid",P$2)</f>
        <v>36.942700000000002</v>
      </c>
      <c r="Q6">
        <f ca="1">_xll.ciqfunctions.udf.CIQ($B6,"IQ_CDS_mid",Q$2)</f>
        <v>37.204799999999999</v>
      </c>
      <c r="R6">
        <f ca="1">_xll.ciqfunctions.udf.CIQ($B6,"IQ_CDS_mid",R$2)</f>
        <v>42</v>
      </c>
      <c r="S6">
        <f ca="1">_xll.ciqfunctions.udf.CIQ($B6,"IQ_CDS_mid",S$2)</f>
        <v>40.025700000000001</v>
      </c>
      <c r="T6">
        <f ca="1">C6-H6</f>
        <v>0.16669999999999874</v>
      </c>
      <c r="U6">
        <f ca="1">C6-M6</f>
        <v>0.58330000000000126</v>
      </c>
      <c r="V6">
        <f ca="1">C6-Q6</f>
        <v>0.29520000000000124</v>
      </c>
      <c r="W6">
        <f ca="1">C6-R6</f>
        <v>-4.5</v>
      </c>
      <c r="X6">
        <f t="shared" ca="1" si="0"/>
        <v>-2.5257000000000005</v>
      </c>
    </row>
    <row r="7" spans="1:26">
      <c r="A7" s="16" t="s">
        <v>214</v>
      </c>
      <c r="X7">
        <f t="shared" si="0"/>
        <v>0</v>
      </c>
    </row>
    <row r="8" spans="1:26">
      <c r="A8" t="s">
        <v>213</v>
      </c>
      <c r="B8" s="25" t="s">
        <v>212</v>
      </c>
      <c r="C8">
        <f ca="1">_xll.ciqfunctions.udf.CIQ($B8,"IQ_CDS_mid",C$2)</f>
        <v>11.0436</v>
      </c>
      <c r="D8">
        <f ca="1">_xll.ciqfunctions.udf.CIQ($B8,"IQ_CDS_mid",D$2)</f>
        <v>11.0436</v>
      </c>
      <c r="E8">
        <f ca="1">_xll.ciqfunctions.udf.CIQ($B8,"IQ_CDS_mid",E$2)</f>
        <v>11.0436</v>
      </c>
      <c r="F8">
        <f ca="1">_xll.ciqfunctions.udf.CIQ($B8,"IQ_CDS_mid",F$2)</f>
        <v>11.0436</v>
      </c>
      <c r="G8">
        <f ca="1">_xll.ciqfunctions.udf.CIQ($B8,"IQ_CDS_mid",G$2)</f>
        <v>11.0928</v>
      </c>
      <c r="H8">
        <f ca="1">_xll.ciqfunctions.udf.CIQ($B8,"IQ_CDS_mid",H$2)</f>
        <v>11.088800000000001</v>
      </c>
      <c r="I8">
        <f ca="1">_xll.ciqfunctions.udf.CIQ($B8,"IQ_CDS_mid",I$2)</f>
        <v>11.069000000000001</v>
      </c>
      <c r="J8">
        <f ca="1">_xll.ciqfunctions.udf.CIQ($B8,"IQ_CDS_mid",J$2)</f>
        <v>10.969799999999999</v>
      </c>
      <c r="K8">
        <f ca="1">_xll.ciqfunctions.udf.CIQ($B8,"IQ_CDS_mid",K$2)</f>
        <v>10.974</v>
      </c>
      <c r="L8">
        <f ca="1">_xll.ciqfunctions.udf.CIQ($B8,"IQ_CDS_mid",L$2)</f>
        <v>10.974</v>
      </c>
      <c r="M8">
        <f ca="1">_xll.ciqfunctions.udf.CIQ($B8,"IQ_CDS_mid",M$2)</f>
        <v>10.974</v>
      </c>
      <c r="N8">
        <f ca="1">_xll.ciqfunctions.udf.CIQ($B8,"IQ_CDS_mid",N$2)</f>
        <v>10.9688</v>
      </c>
      <c r="O8">
        <f ca="1">_xll.ciqfunctions.udf.CIQ($B8,"IQ_CDS_mid",O$2)</f>
        <v>10.9688</v>
      </c>
      <c r="P8">
        <f ca="1">_xll.ciqfunctions.udf.CIQ($B8,"IQ_CDS_mid",P$2)</f>
        <v>11</v>
      </c>
      <c r="Q8">
        <f ca="1">_xll.ciqfunctions.udf.CIQ($B8,"IQ_CDS_mid",Q$2)</f>
        <v>11</v>
      </c>
      <c r="R8">
        <f ca="1">_xll.ciqfunctions.udf.CIQ($B8,"IQ_CDS_mid",R$2)</f>
        <v>11.8681</v>
      </c>
      <c r="S8">
        <f ca="1">_xll.ciqfunctions.udf.CIQ($B8,"IQ_CDS_mid",S$2)</f>
        <v>14.999700000000001</v>
      </c>
      <c r="T8">
        <f t="shared" ref="T8:T20" ca="1" si="1">C8-H8</f>
        <v>-4.5200000000001239E-2</v>
      </c>
      <c r="U8">
        <f t="shared" ref="U8:U20" ca="1" si="2">C8-M8</f>
        <v>6.959999999999944E-2</v>
      </c>
      <c r="V8">
        <f t="shared" ref="V8:V20" ca="1" si="3">C8-Q8</f>
        <v>4.3599999999999639E-2</v>
      </c>
      <c r="W8">
        <f t="shared" ref="W8:W20" ca="1" si="4">C8-R8</f>
        <v>-0.82450000000000045</v>
      </c>
      <c r="X8">
        <f t="shared" ca="1" si="0"/>
        <v>-3.9561000000000011</v>
      </c>
    </row>
    <row r="9" spans="1:26">
      <c r="A9" t="s">
        <v>211</v>
      </c>
      <c r="B9" s="25" t="s">
        <v>210</v>
      </c>
      <c r="C9">
        <f ca="1">_xll.ciqfunctions.udf.CIQ($B9,"IQ_CDS_mid",C$2)</f>
        <v>17.281300000000002</v>
      </c>
      <c r="D9">
        <f ca="1">_xll.ciqfunctions.udf.CIQ($B9,"IQ_CDS_mid",D$2)</f>
        <v>17.281300000000002</v>
      </c>
      <c r="E9">
        <f ca="1">_xll.ciqfunctions.udf.CIQ($B9,"IQ_CDS_mid",E$2)</f>
        <v>17.281300000000002</v>
      </c>
      <c r="F9">
        <f ca="1">_xll.ciqfunctions.udf.CIQ($B9,"IQ_CDS_mid",F$2)</f>
        <v>17.281300000000002</v>
      </c>
      <c r="G9">
        <f ca="1">_xll.ciqfunctions.udf.CIQ($B9,"IQ_CDS_mid",G$2)</f>
        <v>17.425000000000001</v>
      </c>
      <c r="H9">
        <f ca="1">_xll.ciqfunctions.udf.CIQ($B9,"IQ_CDS_mid",H$2)</f>
        <v>17.420100000000001</v>
      </c>
      <c r="I9">
        <f ca="1">_xll.ciqfunctions.udf.CIQ($B9,"IQ_CDS_mid",I$2)</f>
        <v>17.225000000000001</v>
      </c>
      <c r="J9">
        <f ca="1">_xll.ciqfunctions.udf.CIQ($B9,"IQ_CDS_mid",J$2)</f>
        <v>17.281300000000002</v>
      </c>
      <c r="K9">
        <f ca="1">_xll.ciqfunctions.udf.CIQ($B9,"IQ_CDS_mid",K$2)</f>
        <v>17.375</v>
      </c>
      <c r="L9">
        <f ca="1">_xll.ciqfunctions.udf.CIQ($B9,"IQ_CDS_mid",L$2)</f>
        <v>17.375</v>
      </c>
      <c r="M9">
        <f ca="1">_xll.ciqfunctions.udf.CIQ($B9,"IQ_CDS_mid",M$2)</f>
        <v>17.375</v>
      </c>
      <c r="N9">
        <f ca="1">_xll.ciqfunctions.udf.CIQ($B9,"IQ_CDS_mid",N$2)</f>
        <v>17.281300000000002</v>
      </c>
      <c r="O9">
        <f ca="1">_xll.ciqfunctions.udf.CIQ($B9,"IQ_CDS_mid",O$2)</f>
        <v>17.25</v>
      </c>
      <c r="P9">
        <f ca="1">_xll.ciqfunctions.udf.CIQ($B9,"IQ_CDS_mid",P$2)</f>
        <v>17.375</v>
      </c>
      <c r="Q9">
        <f ca="1">_xll.ciqfunctions.udf.CIQ($B9,"IQ_CDS_mid",Q$2)</f>
        <v>17.25</v>
      </c>
      <c r="R9">
        <f ca="1">_xll.ciqfunctions.udf.CIQ($B9,"IQ_CDS_mid",R$2)</f>
        <v>18.333300000000001</v>
      </c>
      <c r="S9">
        <f ca="1">_xll.ciqfunctions.udf.CIQ($B9,"IQ_CDS_mid",S$2)</f>
        <v>22.75</v>
      </c>
      <c r="T9">
        <f t="shared" ca="1" si="1"/>
        <v>-0.13879999999999981</v>
      </c>
      <c r="U9">
        <f t="shared" ca="1" si="2"/>
        <v>-9.369999999999834E-2</v>
      </c>
      <c r="V9">
        <f t="shared" ca="1" si="3"/>
        <v>3.130000000000166E-2</v>
      </c>
      <c r="W9">
        <f t="shared" ca="1" si="4"/>
        <v>-1.0519999999999996</v>
      </c>
      <c r="X9">
        <f t="shared" ca="1" si="0"/>
        <v>-5.4686999999999983</v>
      </c>
    </row>
    <row r="10" spans="1:26">
      <c r="A10" t="s">
        <v>209</v>
      </c>
      <c r="B10" s="25" t="s">
        <v>208</v>
      </c>
      <c r="C10">
        <f ca="1">_xll.ciqfunctions.udf.CIQ($B10,"IQ_CDS_mid",C$2)</f>
        <v>10.666700000000001</v>
      </c>
      <c r="D10">
        <f ca="1">_xll.ciqfunctions.udf.CIQ($B10,"IQ_CDS_mid",D$2)</f>
        <v>10.666700000000001</v>
      </c>
      <c r="E10">
        <f ca="1">_xll.ciqfunctions.udf.CIQ($B10,"IQ_CDS_mid",E$2)</f>
        <v>10.666700000000001</v>
      </c>
      <c r="F10">
        <f ca="1">_xll.ciqfunctions.udf.CIQ($B10,"IQ_CDS_mid",F$2)</f>
        <v>10.666700000000001</v>
      </c>
      <c r="G10">
        <f ca="1">_xll.ciqfunctions.udf.CIQ($B10,"IQ_CDS_mid",G$2)</f>
        <v>10.666700000000001</v>
      </c>
      <c r="H10">
        <f ca="1">_xll.ciqfunctions.udf.CIQ($B10,"IQ_CDS_mid",H$2)</f>
        <v>10.666700000000001</v>
      </c>
      <c r="I10">
        <f ca="1">_xll.ciqfunctions.udf.CIQ($B10,"IQ_CDS_mid",I$2)</f>
        <v>10.666700000000001</v>
      </c>
      <c r="J10">
        <f ca="1">_xll.ciqfunctions.udf.CIQ($B10,"IQ_CDS_mid",J$2)</f>
        <v>10.666700000000001</v>
      </c>
      <c r="K10">
        <f ca="1">_xll.ciqfunctions.udf.CIQ($B10,"IQ_CDS_mid",K$2)</f>
        <v>10.666700000000001</v>
      </c>
      <c r="L10">
        <f ca="1">_xll.ciqfunctions.udf.CIQ($B10,"IQ_CDS_mid",L$2)</f>
        <v>10.666700000000001</v>
      </c>
      <c r="M10">
        <f ca="1">_xll.ciqfunctions.udf.CIQ($B10,"IQ_CDS_mid",M$2)</f>
        <v>10.666700000000001</v>
      </c>
      <c r="N10">
        <f ca="1">_xll.ciqfunctions.udf.CIQ($B10,"IQ_CDS_mid",N$2)</f>
        <v>10.666700000000001</v>
      </c>
      <c r="O10">
        <f ca="1">_xll.ciqfunctions.udf.CIQ($B10,"IQ_CDS_mid",O$2)</f>
        <v>11.1053</v>
      </c>
      <c r="P10">
        <f ca="1">_xll.ciqfunctions.udf.CIQ($B10,"IQ_CDS_mid",P$2)</f>
        <v>11.095000000000001</v>
      </c>
      <c r="Q10">
        <f ca="1">_xll.ciqfunctions.udf.CIQ($B10,"IQ_CDS_mid",Q$2)</f>
        <v>10.666700000000001</v>
      </c>
      <c r="R10">
        <f ca="1">_xll.ciqfunctions.udf.CIQ($B10,"IQ_CDS_mid",R$2)</f>
        <v>11.604200000000001</v>
      </c>
      <c r="S10">
        <f ca="1">_xll.ciqfunctions.udf.CIQ($B10,"IQ_CDS_mid",S$2)</f>
        <v>14.083299999999999</v>
      </c>
      <c r="T10">
        <f t="shared" ca="1" si="1"/>
        <v>0</v>
      </c>
      <c r="U10">
        <f t="shared" ca="1" si="2"/>
        <v>0</v>
      </c>
      <c r="V10">
        <f t="shared" ca="1" si="3"/>
        <v>0</v>
      </c>
      <c r="W10">
        <f t="shared" ca="1" si="4"/>
        <v>-0.9375</v>
      </c>
      <c r="X10">
        <f t="shared" ca="1" si="0"/>
        <v>-3.416599999999999</v>
      </c>
    </row>
    <row r="11" spans="1:26">
      <c r="A11" t="s">
        <v>17</v>
      </c>
      <c r="B11" s="25" t="s">
        <v>207</v>
      </c>
      <c r="C11">
        <f ca="1">_xll.ciqfunctions.udf.CIQ($B11,"IQ_CDS_mid",C$2)</f>
        <v>32.909799999999997</v>
      </c>
      <c r="D11">
        <f ca="1">_xll.ciqfunctions.udf.CIQ($B11,"IQ_CDS_mid",D$2)</f>
        <v>32.909799999999997</v>
      </c>
      <c r="E11">
        <f ca="1">_xll.ciqfunctions.udf.CIQ($B11,"IQ_CDS_mid",E$2)</f>
        <v>32.909799999999997</v>
      </c>
      <c r="F11">
        <f ca="1">_xll.ciqfunctions.udf.CIQ($B11,"IQ_CDS_mid",F$2)</f>
        <v>32.909799999999997</v>
      </c>
      <c r="G11">
        <f ca="1">_xll.ciqfunctions.udf.CIQ($B11,"IQ_CDS_mid",G$2)</f>
        <v>32.625599999999999</v>
      </c>
      <c r="H11">
        <f ca="1">_xll.ciqfunctions.udf.CIQ($B11,"IQ_CDS_mid",H$2)</f>
        <v>32.333300000000001</v>
      </c>
      <c r="I11">
        <f ca="1">_xll.ciqfunctions.udf.CIQ($B11,"IQ_CDS_mid",I$2)</f>
        <v>32.391300000000001</v>
      </c>
      <c r="J11">
        <f ca="1">_xll.ciqfunctions.udf.CIQ($B11,"IQ_CDS_mid",J$2)</f>
        <v>31.75</v>
      </c>
      <c r="K11">
        <f ca="1">_xll.ciqfunctions.udf.CIQ($B11,"IQ_CDS_mid",K$2)</f>
        <v>31.267499999999998</v>
      </c>
      <c r="L11">
        <f ca="1">_xll.ciqfunctions.udf.CIQ($B11,"IQ_CDS_mid",L$2)</f>
        <v>31.267499999999998</v>
      </c>
      <c r="M11">
        <f ca="1">_xll.ciqfunctions.udf.CIQ($B11,"IQ_CDS_mid",M$2)</f>
        <v>31.267499999999998</v>
      </c>
      <c r="N11">
        <f ca="1">_xll.ciqfunctions.udf.CIQ($B11,"IQ_CDS_mid",N$2)</f>
        <v>31.166699999999999</v>
      </c>
      <c r="O11">
        <f ca="1">_xll.ciqfunctions.udf.CIQ($B11,"IQ_CDS_mid",O$2)</f>
        <v>31.098800000000001</v>
      </c>
      <c r="P11">
        <f ca="1">_xll.ciqfunctions.udf.CIQ($B11,"IQ_CDS_mid",P$2)</f>
        <v>31.245100000000001</v>
      </c>
      <c r="Q11">
        <f ca="1">_xll.ciqfunctions.udf.CIQ($B11,"IQ_CDS_mid",Q$2)</f>
        <v>30.931899999999999</v>
      </c>
      <c r="R11">
        <f ca="1">_xll.ciqfunctions.udf.CIQ($B11,"IQ_CDS_mid",R$2)</f>
        <v>28.126799999999999</v>
      </c>
      <c r="S11">
        <f ca="1">_xll.ciqfunctions.udf.CIQ($B11,"IQ_CDS_mid",S$2)</f>
        <v>33.033200000000001</v>
      </c>
      <c r="T11">
        <f t="shared" ca="1" si="1"/>
        <v>0.57649999999999579</v>
      </c>
      <c r="U11">
        <f t="shared" ca="1" si="2"/>
        <v>1.6422999999999988</v>
      </c>
      <c r="V11">
        <f t="shared" ca="1" si="3"/>
        <v>1.9778999999999982</v>
      </c>
      <c r="W11">
        <f t="shared" ca="1" si="4"/>
        <v>4.7829999999999977</v>
      </c>
      <c r="X11">
        <f t="shared" ca="1" si="0"/>
        <v>-0.12340000000000373</v>
      </c>
    </row>
    <row r="12" spans="1:26">
      <c r="A12" t="s">
        <v>28</v>
      </c>
      <c r="B12" s="25" t="s">
        <v>206</v>
      </c>
      <c r="C12">
        <f ca="1">_xll.ciqfunctions.udf.CIQ($B12,"IQ_CDS_mid",C$2)</f>
        <v>6.9968000000000004</v>
      </c>
      <c r="D12">
        <f ca="1">_xll.ciqfunctions.udf.CIQ($B12,"IQ_CDS_mid",D$2)</f>
        <v>6.9968000000000004</v>
      </c>
      <c r="E12">
        <f ca="1">_xll.ciqfunctions.udf.CIQ($B12,"IQ_CDS_mid",E$2)</f>
        <v>6.9968000000000004</v>
      </c>
      <c r="F12">
        <f ca="1">_xll.ciqfunctions.udf.CIQ($B12,"IQ_CDS_mid",F$2)</f>
        <v>6.9968000000000004</v>
      </c>
      <c r="G12">
        <f ca="1">_xll.ciqfunctions.udf.CIQ($B12,"IQ_CDS_mid",G$2)</f>
        <v>7</v>
      </c>
      <c r="H12">
        <f ca="1">_xll.ciqfunctions.udf.CIQ($B12,"IQ_CDS_mid",H$2)</f>
        <v>6.9999000000000002</v>
      </c>
      <c r="I12">
        <f ca="1">_xll.ciqfunctions.udf.CIQ($B12,"IQ_CDS_mid",I$2)</f>
        <v>6.9996999999999998</v>
      </c>
      <c r="J12">
        <f ca="1">_xll.ciqfunctions.udf.CIQ($B12,"IQ_CDS_mid",J$2)</f>
        <v>6.9987000000000004</v>
      </c>
      <c r="K12">
        <f ca="1">_xll.ciqfunctions.udf.CIQ($B12,"IQ_CDS_mid",K$2)</f>
        <v>7.0099</v>
      </c>
      <c r="L12">
        <f ca="1">_xll.ciqfunctions.udf.CIQ($B12,"IQ_CDS_mid",L$2)</f>
        <v>7.0099</v>
      </c>
      <c r="M12">
        <f ca="1">_xll.ciqfunctions.udf.CIQ($B12,"IQ_CDS_mid",M$2)</f>
        <v>7.0099</v>
      </c>
      <c r="N12">
        <f ca="1">_xll.ciqfunctions.udf.CIQ($B12,"IQ_CDS_mid",N$2)</f>
        <v>7.0393999999999997</v>
      </c>
      <c r="O12">
        <f ca="1">_xll.ciqfunctions.udf.CIQ($B12,"IQ_CDS_mid",O$2)</f>
        <v>7.1576000000000004</v>
      </c>
      <c r="P12">
        <f ca="1">_xll.ciqfunctions.udf.CIQ($B12,"IQ_CDS_mid",P$2)</f>
        <v>7.1302000000000003</v>
      </c>
      <c r="Q12">
        <f ca="1">_xll.ciqfunctions.udf.CIQ($B12,"IQ_CDS_mid",Q$2)</f>
        <v>7.0209000000000001</v>
      </c>
      <c r="R12">
        <f ca="1">_xll.ciqfunctions.udf.CIQ($B12,"IQ_CDS_mid",R$2)</f>
        <v>8.0001999999999995</v>
      </c>
      <c r="S12">
        <f ca="1">_xll.ciqfunctions.udf.CIQ($B12,"IQ_CDS_mid",S$2)</f>
        <v>8</v>
      </c>
      <c r="T12">
        <f t="shared" ca="1" si="1"/>
        <v>-3.0999999999998806E-3</v>
      </c>
      <c r="U12">
        <f t="shared" ca="1" si="2"/>
        <v>-1.3099999999999667E-2</v>
      </c>
      <c r="V12">
        <f t="shared" ca="1" si="3"/>
        <v>-2.4099999999999788E-2</v>
      </c>
      <c r="W12">
        <f t="shared" ca="1" si="4"/>
        <v>-1.0033999999999992</v>
      </c>
      <c r="X12">
        <f t="shared" ca="1" si="0"/>
        <v>-1.0031999999999996</v>
      </c>
    </row>
    <row r="13" spans="1:26">
      <c r="A13" t="s">
        <v>205</v>
      </c>
      <c r="B13" s="25" t="s">
        <v>204</v>
      </c>
      <c r="C13">
        <f ca="1">_xll.ciqfunctions.udf.CIQ($B13,"IQ_CDS_mid",C$2)</f>
        <v>29.1875</v>
      </c>
      <c r="D13">
        <f ca="1">_xll.ciqfunctions.udf.CIQ($B13,"IQ_CDS_mid",D$2)</f>
        <v>29.1875</v>
      </c>
      <c r="E13">
        <f ca="1">_xll.ciqfunctions.udf.CIQ($B13,"IQ_CDS_mid",E$2)</f>
        <v>29.1875</v>
      </c>
      <c r="F13">
        <f ca="1">_xll.ciqfunctions.udf.CIQ($B13,"IQ_CDS_mid",F$2)</f>
        <v>29.1875</v>
      </c>
      <c r="G13">
        <f ca="1">_xll.ciqfunctions.udf.CIQ($B13,"IQ_CDS_mid",G$2)</f>
        <v>29.291699999999999</v>
      </c>
      <c r="H13">
        <f ca="1">_xll.ciqfunctions.udf.CIQ($B13,"IQ_CDS_mid",H$2)</f>
        <v>29.6234</v>
      </c>
      <c r="I13">
        <f ca="1">_xll.ciqfunctions.udf.CIQ($B13,"IQ_CDS_mid",I$2)</f>
        <v>29.208300000000001</v>
      </c>
      <c r="J13">
        <f ca="1">_xll.ciqfunctions.udf.CIQ($B13,"IQ_CDS_mid",J$2)</f>
        <v>29.15</v>
      </c>
      <c r="K13">
        <f ca="1">_xll.ciqfunctions.udf.CIQ($B13,"IQ_CDS_mid",K$2)</f>
        <v>29.15</v>
      </c>
      <c r="L13">
        <f ca="1">_xll.ciqfunctions.udf.CIQ($B13,"IQ_CDS_mid",L$2)</f>
        <v>29.15</v>
      </c>
      <c r="M13">
        <f ca="1">_xll.ciqfunctions.udf.CIQ($B13,"IQ_CDS_mid",M$2)</f>
        <v>29.15</v>
      </c>
      <c r="N13">
        <f ca="1">_xll.ciqfunctions.udf.CIQ($B13,"IQ_CDS_mid",N$2)</f>
        <v>29.05</v>
      </c>
      <c r="O13">
        <f ca="1">_xll.ciqfunctions.udf.CIQ($B13,"IQ_CDS_mid",O$2)</f>
        <v>28.951599999999999</v>
      </c>
      <c r="P13">
        <f ca="1">_xll.ciqfunctions.udf.CIQ($B13,"IQ_CDS_mid",P$2)</f>
        <v>29.166699999999999</v>
      </c>
      <c r="Q13">
        <f ca="1">_xll.ciqfunctions.udf.CIQ($B13,"IQ_CDS_mid",Q$2)</f>
        <v>29.25</v>
      </c>
      <c r="R13">
        <f ca="1">_xll.ciqfunctions.udf.CIQ($B13,"IQ_CDS_mid",R$2)</f>
        <v>29.166699999999999</v>
      </c>
      <c r="S13">
        <f ca="1">_xll.ciqfunctions.udf.CIQ($B13,"IQ_CDS_mid",S$2)</f>
        <v>41.789400000000001</v>
      </c>
      <c r="T13">
        <f t="shared" ca="1" si="1"/>
        <v>-0.43590000000000018</v>
      </c>
      <c r="U13">
        <f t="shared" ca="1" si="2"/>
        <v>3.7500000000001421E-2</v>
      </c>
      <c r="V13">
        <f t="shared" ca="1" si="3"/>
        <v>-6.25E-2</v>
      </c>
      <c r="W13">
        <f t="shared" ca="1" si="4"/>
        <v>2.0800000000001262E-2</v>
      </c>
      <c r="X13">
        <f t="shared" ca="1" si="0"/>
        <v>-12.601900000000001</v>
      </c>
    </row>
    <row r="14" spans="1:26">
      <c r="A14" t="s">
        <v>203</v>
      </c>
      <c r="B14" s="25" t="s">
        <v>202</v>
      </c>
      <c r="C14">
        <f ca="1">_xll.ciqfunctions.udf.CIQ($B14,"IQ_CDS_mid",C$2)</f>
        <v>14.208299999999999</v>
      </c>
      <c r="D14">
        <f ca="1">_xll.ciqfunctions.udf.CIQ($B14,"IQ_CDS_mid",D$2)</f>
        <v>14.208299999999999</v>
      </c>
      <c r="E14">
        <f ca="1">_xll.ciqfunctions.udf.CIQ($B14,"IQ_CDS_mid",E$2)</f>
        <v>14.208299999999999</v>
      </c>
      <c r="F14">
        <f ca="1">_xll.ciqfunctions.udf.CIQ($B14,"IQ_CDS_mid",F$2)</f>
        <v>14.208299999999999</v>
      </c>
      <c r="G14">
        <f ca="1">_xll.ciqfunctions.udf.CIQ($B14,"IQ_CDS_mid",G$2)</f>
        <v>14.208299999999999</v>
      </c>
      <c r="H14">
        <f ca="1">_xll.ciqfunctions.udf.CIQ($B14,"IQ_CDS_mid",H$2)</f>
        <v>14.208299999999999</v>
      </c>
      <c r="I14">
        <f ca="1">_xll.ciqfunctions.udf.CIQ($B14,"IQ_CDS_mid",I$2)</f>
        <v>14.208299999999999</v>
      </c>
      <c r="J14">
        <f ca="1">_xll.ciqfunctions.udf.CIQ($B14,"IQ_CDS_mid",J$2)</f>
        <v>14.208299999999999</v>
      </c>
      <c r="K14">
        <f ca="1">_xll.ciqfunctions.udf.CIQ($B14,"IQ_CDS_mid",K$2)</f>
        <v>14.208299999999999</v>
      </c>
      <c r="L14">
        <f ca="1">_xll.ciqfunctions.udf.CIQ($B14,"IQ_CDS_mid",L$2)</f>
        <v>14.208299999999999</v>
      </c>
      <c r="M14">
        <f ca="1">_xll.ciqfunctions.udf.CIQ($B14,"IQ_CDS_mid",M$2)</f>
        <v>14.208299999999999</v>
      </c>
      <c r="N14">
        <f ca="1">_xll.ciqfunctions.udf.CIQ($B14,"IQ_CDS_mid",N$2)</f>
        <v>14.208299999999999</v>
      </c>
      <c r="O14">
        <f ca="1">_xll.ciqfunctions.udf.CIQ($B14,"IQ_CDS_mid",O$2)</f>
        <v>14.440300000000001</v>
      </c>
      <c r="P14">
        <f ca="1">_xll.ciqfunctions.udf.CIQ($B14,"IQ_CDS_mid",P$2)</f>
        <v>14.4366</v>
      </c>
      <c r="Q14">
        <f ca="1">_xll.ciqfunctions.udf.CIQ($B14,"IQ_CDS_mid",Q$2)</f>
        <v>14.3551</v>
      </c>
      <c r="R14">
        <f ca="1">_xll.ciqfunctions.udf.CIQ($B14,"IQ_CDS_mid",R$2)</f>
        <v>14.333299999999999</v>
      </c>
      <c r="S14">
        <f ca="1">_xll.ciqfunctions.udf.CIQ($B14,"IQ_CDS_mid",S$2)</f>
        <v>17.1675</v>
      </c>
      <c r="T14">
        <f t="shared" ca="1" si="1"/>
        <v>0</v>
      </c>
      <c r="U14">
        <f t="shared" ca="1" si="2"/>
        <v>0</v>
      </c>
      <c r="V14">
        <f t="shared" ca="1" si="3"/>
        <v>-0.14680000000000071</v>
      </c>
      <c r="W14">
        <f t="shared" ca="1" si="4"/>
        <v>-0.125</v>
      </c>
      <c r="X14">
        <f t="shared" ca="1" si="0"/>
        <v>-2.9592000000000009</v>
      </c>
    </row>
    <row r="15" spans="1:26">
      <c r="A15" t="s">
        <v>201</v>
      </c>
      <c r="B15" s="25" t="s">
        <v>200</v>
      </c>
      <c r="C15">
        <f ca="1">_xll.ciqfunctions.udf.CIQ($B15,"IQ_CDS_mid",C$2)</f>
        <v>30.650200000000002</v>
      </c>
      <c r="D15">
        <f ca="1">_xll.ciqfunctions.udf.CIQ($B15,"IQ_CDS_mid",D$2)</f>
        <v>30.650200000000002</v>
      </c>
      <c r="E15">
        <f ca="1">_xll.ciqfunctions.udf.CIQ($B15,"IQ_CDS_mid",E$2)</f>
        <v>30.650200000000002</v>
      </c>
      <c r="F15">
        <f ca="1">_xll.ciqfunctions.udf.CIQ($B15,"IQ_CDS_mid",F$2)</f>
        <v>30.650200000000002</v>
      </c>
      <c r="G15">
        <f ca="1">_xll.ciqfunctions.udf.CIQ($B15,"IQ_CDS_mid",G$2)</f>
        <v>30.508500000000002</v>
      </c>
      <c r="H15">
        <f ca="1">_xll.ciqfunctions.udf.CIQ($B15,"IQ_CDS_mid",H$2)</f>
        <v>30.1081</v>
      </c>
      <c r="I15">
        <f ca="1">_xll.ciqfunctions.udf.CIQ($B15,"IQ_CDS_mid",I$2)</f>
        <v>30.05</v>
      </c>
      <c r="J15">
        <f ca="1">_xll.ciqfunctions.udf.CIQ($B15,"IQ_CDS_mid",J$2)</f>
        <v>29.083300000000001</v>
      </c>
      <c r="K15">
        <f ca="1">_xll.ciqfunctions.udf.CIQ($B15,"IQ_CDS_mid",K$2)</f>
        <v>29.128599999999999</v>
      </c>
      <c r="L15">
        <f ca="1">_xll.ciqfunctions.udf.CIQ($B15,"IQ_CDS_mid",L$2)</f>
        <v>29.128599999999999</v>
      </c>
      <c r="M15">
        <f ca="1">_xll.ciqfunctions.udf.CIQ($B15,"IQ_CDS_mid",M$2)</f>
        <v>29.128599999999999</v>
      </c>
      <c r="N15">
        <f ca="1">_xll.ciqfunctions.udf.CIQ($B15,"IQ_CDS_mid",N$2)</f>
        <v>29.218800000000002</v>
      </c>
      <c r="O15">
        <f ca="1">_xll.ciqfunctions.udf.CIQ($B15,"IQ_CDS_mid",O$2)</f>
        <v>29.343800000000002</v>
      </c>
      <c r="P15">
        <f ca="1">_xll.ciqfunctions.udf.CIQ($B15,"IQ_CDS_mid",P$2)</f>
        <v>29.6</v>
      </c>
      <c r="Q15">
        <f ca="1">_xll.ciqfunctions.udf.CIQ($B15,"IQ_CDS_mid",Q$2)</f>
        <v>29.5</v>
      </c>
      <c r="R15">
        <f ca="1">_xll.ciqfunctions.udf.CIQ($B15,"IQ_CDS_mid",R$2)</f>
        <v>28.861999999999998</v>
      </c>
      <c r="S15">
        <f ca="1">_xll.ciqfunctions.udf.CIQ($B15,"IQ_CDS_mid",S$2)</f>
        <v>39.452300000000001</v>
      </c>
      <c r="T15">
        <f t="shared" ca="1" si="1"/>
        <v>0.54210000000000136</v>
      </c>
      <c r="U15">
        <f t="shared" ca="1" si="2"/>
        <v>1.521600000000003</v>
      </c>
      <c r="V15">
        <f t="shared" ca="1" si="3"/>
        <v>1.1502000000000017</v>
      </c>
      <c r="W15">
        <f t="shared" ca="1" si="4"/>
        <v>1.7882000000000033</v>
      </c>
      <c r="X15">
        <f t="shared" ca="1" si="0"/>
        <v>-8.8020999999999994</v>
      </c>
    </row>
    <row r="16" spans="1:26">
      <c r="A16" t="s">
        <v>199</v>
      </c>
      <c r="B16" s="25" t="s">
        <v>198</v>
      </c>
      <c r="C16">
        <f ca="1">_xll.ciqfunctions.udf.CIQ($B16,"IQ_CDS_mid",C$2)</f>
        <v>9.8344000000000005</v>
      </c>
      <c r="D16">
        <f ca="1">_xll.ciqfunctions.udf.CIQ($B16,"IQ_CDS_mid",D$2)</f>
        <v>9.8344000000000005</v>
      </c>
      <c r="E16">
        <f ca="1">_xll.ciqfunctions.udf.CIQ($B16,"IQ_CDS_mid",E$2)</f>
        <v>9.8344000000000005</v>
      </c>
      <c r="F16">
        <f ca="1">_xll.ciqfunctions.udf.CIQ($B16,"IQ_CDS_mid",F$2)</f>
        <v>9.8344000000000005</v>
      </c>
      <c r="G16">
        <f ca="1">_xll.ciqfunctions.udf.CIQ($B16,"IQ_CDS_mid",G$2)</f>
        <v>9.8524999999999991</v>
      </c>
      <c r="H16">
        <f ca="1">_xll.ciqfunctions.udf.CIQ($B16,"IQ_CDS_mid",H$2)</f>
        <v>9.7561999999999998</v>
      </c>
      <c r="I16">
        <f ca="1">_xll.ciqfunctions.udf.CIQ($B16,"IQ_CDS_mid",I$2)</f>
        <v>9.9412000000000003</v>
      </c>
      <c r="J16">
        <f ca="1">_xll.ciqfunctions.udf.CIQ($B16,"IQ_CDS_mid",J$2)</f>
        <v>10.303599999999999</v>
      </c>
      <c r="K16">
        <f ca="1">_xll.ciqfunctions.udf.CIQ($B16,"IQ_CDS_mid",K$2)</f>
        <v>9.8002000000000002</v>
      </c>
      <c r="L16">
        <f ca="1">_xll.ciqfunctions.udf.CIQ($B16,"IQ_CDS_mid",L$2)</f>
        <v>9.8002000000000002</v>
      </c>
      <c r="M16">
        <f ca="1">_xll.ciqfunctions.udf.CIQ($B16,"IQ_CDS_mid",M$2)</f>
        <v>9.8002000000000002</v>
      </c>
      <c r="N16">
        <f ca="1">_xll.ciqfunctions.udf.CIQ($B16,"IQ_CDS_mid",N$2)</f>
        <v>9.8232999999999997</v>
      </c>
      <c r="O16">
        <f ca="1">_xll.ciqfunctions.udf.CIQ($B16,"IQ_CDS_mid",O$2)</f>
        <v>9.7314000000000007</v>
      </c>
      <c r="P16">
        <f ca="1">_xll.ciqfunctions.udf.CIQ($B16,"IQ_CDS_mid",P$2)</f>
        <v>9.782</v>
      </c>
      <c r="Q16">
        <f ca="1">_xll.ciqfunctions.udf.CIQ($B16,"IQ_CDS_mid",Q$2)</f>
        <v>9.8856000000000002</v>
      </c>
      <c r="R16">
        <f ca="1">_xll.ciqfunctions.udf.CIQ($B16,"IQ_CDS_mid",R$2)</f>
        <v>9.6113</v>
      </c>
      <c r="S16">
        <f ca="1">_xll.ciqfunctions.udf.CIQ($B16,"IQ_CDS_mid",S$2)</f>
        <v>12.617599999999999</v>
      </c>
      <c r="T16">
        <f t="shared" ca="1" si="1"/>
        <v>7.8200000000000713E-2</v>
      </c>
      <c r="U16">
        <f t="shared" ca="1" si="2"/>
        <v>3.420000000000023E-2</v>
      </c>
      <c r="V16">
        <f t="shared" ca="1" si="3"/>
        <v>-5.119999999999969E-2</v>
      </c>
      <c r="W16">
        <f t="shared" ca="1" si="4"/>
        <v>0.22310000000000052</v>
      </c>
      <c r="X16">
        <f t="shared" ca="1" si="0"/>
        <v>-2.783199999999999</v>
      </c>
    </row>
    <row r="17" spans="1:24">
      <c r="A17" t="s">
        <v>197</v>
      </c>
      <c r="B17" s="25" t="s">
        <v>196</v>
      </c>
      <c r="C17">
        <f ca="1">_xll.ciqfunctions.udf.CIQ($B17,"IQ_CDS_mid",C$2)</f>
        <v>7.6718999999999999</v>
      </c>
      <c r="D17">
        <f ca="1">_xll.ciqfunctions.udf.CIQ($B17,"IQ_CDS_mid",D$2)</f>
        <v>7.6718999999999999</v>
      </c>
      <c r="E17">
        <f ca="1">_xll.ciqfunctions.udf.CIQ($B17,"IQ_CDS_mid",E$2)</f>
        <v>7.6718999999999999</v>
      </c>
      <c r="F17">
        <f ca="1">_xll.ciqfunctions.udf.CIQ($B17,"IQ_CDS_mid",F$2)</f>
        <v>7.6718999999999999</v>
      </c>
      <c r="G17">
        <f ca="1">_xll.ciqfunctions.udf.CIQ($B17,"IQ_CDS_mid",G$2)</f>
        <v>7.8333000000000004</v>
      </c>
      <c r="H17">
        <f ca="1">_xll.ciqfunctions.udf.CIQ($B17,"IQ_CDS_mid",H$2)</f>
        <v>7.8333000000000004</v>
      </c>
      <c r="I17">
        <f ca="1">_xll.ciqfunctions.udf.CIQ($B17,"IQ_CDS_mid",I$2)</f>
        <v>7.8333000000000004</v>
      </c>
      <c r="J17">
        <f ca="1">_xll.ciqfunctions.udf.CIQ($B17,"IQ_CDS_mid",J$2)</f>
        <v>7.8333000000000004</v>
      </c>
      <c r="K17">
        <f ca="1">_xll.ciqfunctions.udf.CIQ($B17,"IQ_CDS_mid",K$2)</f>
        <v>7.8333000000000004</v>
      </c>
      <c r="L17">
        <f ca="1">_xll.ciqfunctions.udf.CIQ($B17,"IQ_CDS_mid",L$2)</f>
        <v>7.8333000000000004</v>
      </c>
      <c r="M17">
        <f ca="1">_xll.ciqfunctions.udf.CIQ($B17,"IQ_CDS_mid",M$2)</f>
        <v>7.8333000000000004</v>
      </c>
      <c r="N17">
        <f ca="1">_xll.ciqfunctions.udf.CIQ($B17,"IQ_CDS_mid",N$2)</f>
        <v>7.8333000000000004</v>
      </c>
      <c r="O17">
        <f ca="1">_xll.ciqfunctions.udf.CIQ($B17,"IQ_CDS_mid",O$2)</f>
        <v>7.8685</v>
      </c>
      <c r="P17">
        <f ca="1">_xll.ciqfunctions.udf.CIQ($B17,"IQ_CDS_mid",P$2)</f>
        <v>7.8396999999999997</v>
      </c>
      <c r="Q17">
        <f ca="1">_xll.ciqfunctions.udf.CIQ($B17,"IQ_CDS_mid",Q$2)</f>
        <v>7.8333000000000004</v>
      </c>
      <c r="R17">
        <f ca="1">_xll.ciqfunctions.udf.CIQ($B17,"IQ_CDS_mid",R$2)</f>
        <v>8.3332999999999995</v>
      </c>
      <c r="S17">
        <f ca="1">_xll.ciqfunctions.udf.CIQ($B17,"IQ_CDS_mid",S$2)</f>
        <v>10.4727</v>
      </c>
      <c r="T17">
        <f t="shared" ca="1" si="1"/>
        <v>-0.16140000000000043</v>
      </c>
      <c r="U17">
        <f t="shared" ca="1" si="2"/>
        <v>-0.16140000000000043</v>
      </c>
      <c r="V17">
        <f t="shared" ca="1" si="3"/>
        <v>-0.16140000000000043</v>
      </c>
      <c r="W17">
        <f t="shared" ca="1" si="4"/>
        <v>-0.66139999999999954</v>
      </c>
      <c r="X17">
        <f t="shared" ca="1" si="0"/>
        <v>-2.8007999999999997</v>
      </c>
    </row>
    <row r="18" spans="1:24">
      <c r="A18" t="s">
        <v>195</v>
      </c>
      <c r="B18" s="25" t="s">
        <v>194</v>
      </c>
      <c r="C18">
        <f ca="1">_xll.ciqfunctions.udf.CIQ($B18,"IQ_CDS_mid",C$2)</f>
        <v>14.275</v>
      </c>
      <c r="D18">
        <f ca="1">_xll.ciqfunctions.udf.CIQ($B18,"IQ_CDS_mid",D$2)</f>
        <v>14.275</v>
      </c>
      <c r="E18">
        <f ca="1">_xll.ciqfunctions.udf.CIQ($B18,"IQ_CDS_mid",E$2)</f>
        <v>14.275</v>
      </c>
      <c r="F18">
        <f ca="1">_xll.ciqfunctions.udf.CIQ($B18,"IQ_CDS_mid",F$2)</f>
        <v>14.275</v>
      </c>
      <c r="G18">
        <f ca="1">_xll.ciqfunctions.udf.CIQ($B18,"IQ_CDS_mid",G$2)</f>
        <v>14.333299999999999</v>
      </c>
      <c r="H18">
        <f ca="1">_xll.ciqfunctions.udf.CIQ($B18,"IQ_CDS_mid",H$2)</f>
        <v>14.333299999999999</v>
      </c>
      <c r="I18">
        <f ca="1">_xll.ciqfunctions.udf.CIQ($B18,"IQ_CDS_mid",I$2)</f>
        <v>14.333299999999999</v>
      </c>
      <c r="J18">
        <f ca="1">_xll.ciqfunctions.udf.CIQ($B18,"IQ_CDS_mid",J$2)</f>
        <v>14.3125</v>
      </c>
      <c r="K18">
        <f ca="1">_xll.ciqfunctions.udf.CIQ($B18,"IQ_CDS_mid",K$2)</f>
        <v>14.225</v>
      </c>
      <c r="L18">
        <f ca="1">_xll.ciqfunctions.udf.CIQ($B18,"IQ_CDS_mid",L$2)</f>
        <v>14.225</v>
      </c>
      <c r="M18">
        <f ca="1">_xll.ciqfunctions.udf.CIQ($B18,"IQ_CDS_mid",M$2)</f>
        <v>14.225</v>
      </c>
      <c r="N18">
        <f ca="1">_xll.ciqfunctions.udf.CIQ($B18,"IQ_CDS_mid",N$2)</f>
        <v>14.175000000000001</v>
      </c>
      <c r="O18">
        <f ca="1">_xll.ciqfunctions.udf.CIQ($B18,"IQ_CDS_mid",O$2)</f>
        <v>14.0938</v>
      </c>
      <c r="P18">
        <f ca="1">_xll.ciqfunctions.udf.CIQ($B18,"IQ_CDS_mid",P$2)</f>
        <v>14.166700000000001</v>
      </c>
      <c r="Q18">
        <f ca="1">_xll.ciqfunctions.udf.CIQ($B18,"IQ_CDS_mid",Q$2)</f>
        <v>14.32</v>
      </c>
      <c r="R18">
        <f ca="1">_xll.ciqfunctions.udf.CIQ($B18,"IQ_CDS_mid",R$2)</f>
        <v>15</v>
      </c>
      <c r="S18">
        <f ca="1">_xll.ciqfunctions.udf.CIQ($B18,"IQ_CDS_mid",S$2)</f>
        <v>22.666699999999999</v>
      </c>
      <c r="T18">
        <f t="shared" ca="1" si="1"/>
        <v>-5.829999999999913E-2</v>
      </c>
      <c r="U18">
        <f t="shared" ca="1" si="2"/>
        <v>5.0000000000000711E-2</v>
      </c>
      <c r="V18">
        <f t="shared" ca="1" si="3"/>
        <v>-4.4999999999999929E-2</v>
      </c>
      <c r="W18">
        <f t="shared" ca="1" si="4"/>
        <v>-0.72499999999999964</v>
      </c>
      <c r="X18">
        <f t="shared" ca="1" si="0"/>
        <v>-8.3916999999999984</v>
      </c>
    </row>
    <row r="19" spans="1:24">
      <c r="A19" t="s">
        <v>193</v>
      </c>
      <c r="B19" s="25" t="s">
        <v>192</v>
      </c>
      <c r="C19">
        <f ca="1">_xll.ciqfunctions.udf.CIQ($B19,"IQ_CDS_mid",C$2)</f>
        <v>35.9544</v>
      </c>
      <c r="D19">
        <f ca="1">_xll.ciqfunctions.udf.CIQ($B19,"IQ_CDS_mid",D$2)</f>
        <v>35.9544</v>
      </c>
      <c r="E19">
        <f ca="1">_xll.ciqfunctions.udf.CIQ($B19,"IQ_CDS_mid",E$2)</f>
        <v>35.9544</v>
      </c>
      <c r="F19">
        <f ca="1">_xll.ciqfunctions.udf.CIQ($B19,"IQ_CDS_mid",F$2)</f>
        <v>35.9544</v>
      </c>
      <c r="G19">
        <f ca="1">_xll.ciqfunctions.udf.CIQ($B19,"IQ_CDS_mid",G$2)</f>
        <v>36.485700000000001</v>
      </c>
      <c r="H19">
        <f ca="1">_xll.ciqfunctions.udf.CIQ($B19,"IQ_CDS_mid",H$2)</f>
        <v>36.391399999999997</v>
      </c>
      <c r="I19">
        <f ca="1">_xll.ciqfunctions.udf.CIQ($B19,"IQ_CDS_mid",I$2)</f>
        <v>35.992600000000003</v>
      </c>
      <c r="J19">
        <f ca="1">_xll.ciqfunctions.udf.CIQ($B19,"IQ_CDS_mid",J$2)</f>
        <v>36.375700000000002</v>
      </c>
      <c r="K19">
        <f ca="1">_xll.ciqfunctions.udf.CIQ($B19,"IQ_CDS_mid",K$2)</f>
        <v>36.746499999999997</v>
      </c>
      <c r="L19">
        <f ca="1">_xll.ciqfunctions.udf.CIQ($B19,"IQ_CDS_mid",L$2)</f>
        <v>36.746499999999997</v>
      </c>
      <c r="M19">
        <f ca="1">_xll.ciqfunctions.udf.CIQ($B19,"IQ_CDS_mid",M$2)</f>
        <v>36.746499999999997</v>
      </c>
      <c r="N19">
        <f ca="1">_xll.ciqfunctions.udf.CIQ($B19,"IQ_CDS_mid",N$2)</f>
        <v>37.530799999999999</v>
      </c>
      <c r="O19">
        <f ca="1">_xll.ciqfunctions.udf.CIQ($B19,"IQ_CDS_mid",O$2)</f>
        <v>37.781700000000001</v>
      </c>
      <c r="P19">
        <f ca="1">_xll.ciqfunctions.udf.CIQ($B19,"IQ_CDS_mid",P$2)</f>
        <v>37.349800000000002</v>
      </c>
      <c r="Q19">
        <f ca="1">_xll.ciqfunctions.udf.CIQ($B19,"IQ_CDS_mid",Q$2)</f>
        <v>36.849600000000002</v>
      </c>
      <c r="R19">
        <f ca="1">_xll.ciqfunctions.udf.CIQ($B19,"IQ_CDS_mid",R$2)</f>
        <v>39.787700000000001</v>
      </c>
      <c r="S19">
        <f ca="1">_xll.ciqfunctions.udf.CIQ($B19,"IQ_CDS_mid",S$2)</f>
        <v>32.974899999999998</v>
      </c>
      <c r="T19">
        <f t="shared" ca="1" si="1"/>
        <v>-0.43699999999999761</v>
      </c>
      <c r="U19">
        <f t="shared" ca="1" si="2"/>
        <v>-0.79209999999999781</v>
      </c>
      <c r="V19">
        <f t="shared" ca="1" si="3"/>
        <v>-0.89520000000000266</v>
      </c>
      <c r="W19">
        <f t="shared" ca="1" si="4"/>
        <v>-3.8333000000000013</v>
      </c>
      <c r="X19">
        <f t="shared" ca="1" si="0"/>
        <v>2.9795000000000016</v>
      </c>
    </row>
    <row r="20" spans="1:24">
      <c r="A20" t="s">
        <v>191</v>
      </c>
      <c r="B20" s="25" t="s">
        <v>190</v>
      </c>
      <c r="C20">
        <f ca="1">_xll.ciqfunctions.udf.CIQ($B20,"IQ_CDS_mid",C$2)</f>
        <v>15.5</v>
      </c>
      <c r="D20">
        <f ca="1">_xll.ciqfunctions.udf.CIQ($B20,"IQ_CDS_mid",D$2)</f>
        <v>15.5</v>
      </c>
      <c r="E20">
        <f ca="1">_xll.ciqfunctions.udf.CIQ($B20,"IQ_CDS_mid",E$2)</f>
        <v>15.5</v>
      </c>
      <c r="F20">
        <f ca="1">_xll.ciqfunctions.udf.CIQ($B20,"IQ_CDS_mid",F$2)</f>
        <v>15.5</v>
      </c>
      <c r="G20">
        <f ca="1">_xll.ciqfunctions.udf.CIQ($B20,"IQ_CDS_mid",G$2)</f>
        <v>15.4375</v>
      </c>
      <c r="H20">
        <f ca="1">_xll.ciqfunctions.udf.CIQ($B20,"IQ_CDS_mid",H$2)</f>
        <v>15.333299999999999</v>
      </c>
      <c r="I20">
        <f ca="1">_xll.ciqfunctions.udf.CIQ($B20,"IQ_CDS_mid",I$2)</f>
        <v>15.4375</v>
      </c>
      <c r="J20">
        <f ca="1">_xll.ciqfunctions.udf.CIQ($B20,"IQ_CDS_mid",J$2)</f>
        <v>15.4375</v>
      </c>
      <c r="K20">
        <f ca="1">_xll.ciqfunctions.udf.CIQ($B20,"IQ_CDS_mid",K$2)</f>
        <v>15.666700000000001</v>
      </c>
      <c r="L20">
        <f ca="1">_xll.ciqfunctions.udf.CIQ($B20,"IQ_CDS_mid",L$2)</f>
        <v>15.666700000000001</v>
      </c>
      <c r="M20">
        <f ca="1">_xll.ciqfunctions.udf.CIQ($B20,"IQ_CDS_mid",M$2)</f>
        <v>15.666700000000001</v>
      </c>
      <c r="N20">
        <f ca="1">_xll.ciqfunctions.udf.CIQ($B20,"IQ_CDS_mid",N$2)</f>
        <v>15.666700000000001</v>
      </c>
      <c r="O20">
        <f ca="1">_xll.ciqfunctions.udf.CIQ($B20,"IQ_CDS_mid",O$2)</f>
        <v>15.833299999999999</v>
      </c>
      <c r="P20">
        <f ca="1">_xll.ciqfunctions.udf.CIQ($B20,"IQ_CDS_mid",P$2)</f>
        <v>15.833299999999999</v>
      </c>
      <c r="Q20">
        <f ca="1">_xll.ciqfunctions.udf.CIQ($B20,"IQ_CDS_mid",Q$2)</f>
        <v>15.833299999999999</v>
      </c>
      <c r="R20">
        <f ca="1">_xll.ciqfunctions.udf.CIQ($B20,"IQ_CDS_mid",R$2)</f>
        <v>16.333300000000001</v>
      </c>
      <c r="S20">
        <f ca="1">_xll.ciqfunctions.udf.CIQ($B20,"IQ_CDS_mid",S$2)</f>
        <v>26.097899999999999</v>
      </c>
      <c r="T20">
        <f t="shared" ca="1" si="1"/>
        <v>0.16670000000000051</v>
      </c>
      <c r="U20">
        <f t="shared" ca="1" si="2"/>
        <v>-0.16670000000000051</v>
      </c>
      <c r="V20">
        <f t="shared" ca="1" si="3"/>
        <v>-0.33329999999999949</v>
      </c>
      <c r="W20">
        <f t="shared" ca="1" si="4"/>
        <v>-0.83330000000000126</v>
      </c>
      <c r="X20">
        <f t="shared" ca="1" si="0"/>
        <v>-10.597899999999999</v>
      </c>
    </row>
    <row r="21" spans="1:24">
      <c r="A21" s="16" t="s">
        <v>189</v>
      </c>
      <c r="X21">
        <f t="shared" si="0"/>
        <v>0</v>
      </c>
    </row>
    <row r="22" spans="1:24">
      <c r="A22" t="s">
        <v>188</v>
      </c>
      <c r="B22" s="25" t="s">
        <v>187</v>
      </c>
      <c r="C22">
        <f ca="1">_xll.ciqfunctions.udf.CIQ($B22,"IQ_CDS_mid",C$2)</f>
        <v>17.824999999999999</v>
      </c>
      <c r="D22">
        <f ca="1">_xll.ciqfunctions.udf.CIQ($B22,"IQ_CDS_mid",D$2)</f>
        <v>17.824999999999999</v>
      </c>
      <c r="E22">
        <f ca="1">_xll.ciqfunctions.udf.CIQ($B22,"IQ_CDS_mid",E$2)</f>
        <v>17.824999999999999</v>
      </c>
      <c r="F22">
        <f ca="1">_xll.ciqfunctions.udf.CIQ($B22,"IQ_CDS_mid",F$2)</f>
        <v>17.824999999999999</v>
      </c>
      <c r="G22">
        <f ca="1">_xll.ciqfunctions.udf.CIQ($B22,"IQ_CDS_mid",G$2)</f>
        <v>17.824999999999999</v>
      </c>
      <c r="H22">
        <f ca="1">_xll.ciqfunctions.udf.CIQ($B22,"IQ_CDS_mid",H$2)</f>
        <v>17.920100000000001</v>
      </c>
      <c r="I22">
        <f ca="1">_xll.ciqfunctions.udf.CIQ($B22,"IQ_CDS_mid",I$2)</f>
        <v>17.925000000000001</v>
      </c>
      <c r="J22">
        <f ca="1">_xll.ciqfunctions.udf.CIQ($B22,"IQ_CDS_mid",J$2)</f>
        <v>17.875</v>
      </c>
      <c r="K22">
        <f ca="1">_xll.ciqfunctions.udf.CIQ($B22,"IQ_CDS_mid",K$2)</f>
        <v>18</v>
      </c>
      <c r="L22">
        <f ca="1">_xll.ciqfunctions.udf.CIQ($B22,"IQ_CDS_mid",L$2)</f>
        <v>18</v>
      </c>
      <c r="M22">
        <f ca="1">_xll.ciqfunctions.udf.CIQ($B22,"IQ_CDS_mid",M$2)</f>
        <v>18</v>
      </c>
      <c r="N22">
        <f ca="1">_xll.ciqfunctions.udf.CIQ($B22,"IQ_CDS_mid",N$2)</f>
        <v>17.824999999999999</v>
      </c>
      <c r="O22">
        <f ca="1">_xll.ciqfunctions.udf.CIQ($B22,"IQ_CDS_mid",O$2)</f>
        <v>18.083300000000001</v>
      </c>
      <c r="P22">
        <f ca="1">_xll.ciqfunctions.udf.CIQ($B22,"IQ_CDS_mid",P$2)</f>
        <v>18.0625</v>
      </c>
      <c r="Q22">
        <f ca="1">_xll.ciqfunctions.udf.CIQ($B22,"IQ_CDS_mid",Q$2)</f>
        <v>17.95</v>
      </c>
      <c r="R22">
        <f ca="1">_xll.ciqfunctions.udf.CIQ($B22,"IQ_CDS_mid",R$2)</f>
        <v>19.5</v>
      </c>
      <c r="S22">
        <f ca="1">_xll.ciqfunctions.udf.CIQ($B22,"IQ_CDS_mid",S$2)</f>
        <v>16.875</v>
      </c>
      <c r="T22">
        <f t="shared" ref="T22:T29" ca="1" si="5">C22-H22</f>
        <v>-9.5100000000002183E-2</v>
      </c>
      <c r="U22">
        <f t="shared" ref="U22:U29" ca="1" si="6">C22-M22</f>
        <v>-0.17500000000000071</v>
      </c>
      <c r="V22">
        <f t="shared" ref="V22:V29" ca="1" si="7">C22-Q22</f>
        <v>-0.125</v>
      </c>
      <c r="W22">
        <f t="shared" ref="W22:W29" ca="1" si="8">C22-R22</f>
        <v>-1.6750000000000007</v>
      </c>
      <c r="X22">
        <f t="shared" ca="1" si="0"/>
        <v>0.94999999999999929</v>
      </c>
    </row>
    <row r="23" spans="1:24">
      <c r="A23" t="s">
        <v>186</v>
      </c>
      <c r="B23" s="25" t="s">
        <v>185</v>
      </c>
      <c r="C23">
        <f ca="1">_xll.ciqfunctions.udf.CIQ($B23,"IQ_CDS_mid",C$2)</f>
        <v>20.7897</v>
      </c>
      <c r="D23">
        <f ca="1">_xll.ciqfunctions.udf.CIQ($B23,"IQ_CDS_mid",D$2)</f>
        <v>20.7897</v>
      </c>
      <c r="E23">
        <f ca="1">_xll.ciqfunctions.udf.CIQ($B23,"IQ_CDS_mid",E$2)</f>
        <v>20.7897</v>
      </c>
      <c r="F23">
        <f ca="1">_xll.ciqfunctions.udf.CIQ($B23,"IQ_CDS_mid",F$2)</f>
        <v>20.7897</v>
      </c>
      <c r="G23">
        <f ca="1">_xll.ciqfunctions.udf.CIQ($B23,"IQ_CDS_mid",G$2)</f>
        <v>21.258500000000002</v>
      </c>
      <c r="H23">
        <f ca="1">_xll.ciqfunctions.udf.CIQ($B23,"IQ_CDS_mid",H$2)</f>
        <v>21.869900000000001</v>
      </c>
      <c r="I23">
        <f ca="1">_xll.ciqfunctions.udf.CIQ($B23,"IQ_CDS_mid",I$2)</f>
        <v>22.6038</v>
      </c>
      <c r="J23">
        <f ca="1">_xll.ciqfunctions.udf.CIQ($B23,"IQ_CDS_mid",J$2)</f>
        <v>23.736499999999999</v>
      </c>
      <c r="K23">
        <f ca="1">_xll.ciqfunctions.udf.CIQ($B23,"IQ_CDS_mid",K$2)</f>
        <v>25.4057</v>
      </c>
      <c r="L23">
        <f ca="1">_xll.ciqfunctions.udf.CIQ($B23,"IQ_CDS_mid",L$2)</f>
        <v>25.4057</v>
      </c>
      <c r="M23">
        <f ca="1">_xll.ciqfunctions.udf.CIQ($B23,"IQ_CDS_mid",M$2)</f>
        <v>25.4057</v>
      </c>
      <c r="N23">
        <f ca="1">_xll.ciqfunctions.udf.CIQ($B23,"IQ_CDS_mid",N$2)</f>
        <v>27.319500000000001</v>
      </c>
      <c r="O23">
        <f ca="1">_xll.ciqfunctions.udf.CIQ($B23,"IQ_CDS_mid",O$2)</f>
        <v>27.528600000000001</v>
      </c>
      <c r="P23">
        <f ca="1">_xll.ciqfunctions.udf.CIQ($B23,"IQ_CDS_mid",P$2)</f>
        <v>27.689499999999999</v>
      </c>
      <c r="Q23">
        <f ca="1">_xll.ciqfunctions.udf.CIQ($B23,"IQ_CDS_mid",Q$2)</f>
        <v>27.982600000000001</v>
      </c>
      <c r="R23">
        <f ca="1">_xll.ciqfunctions.udf.CIQ($B23,"IQ_CDS_mid",R$2)</f>
        <v>29.4529</v>
      </c>
      <c r="S23">
        <f ca="1">_xll.ciqfunctions.udf.CIQ($B23,"IQ_CDS_mid",S$2)</f>
        <v>24.2362</v>
      </c>
      <c r="T23">
        <f t="shared" ca="1" si="5"/>
        <v>-1.0802000000000014</v>
      </c>
      <c r="U23">
        <f t="shared" ca="1" si="6"/>
        <v>-4.6159999999999997</v>
      </c>
      <c r="V23">
        <f t="shared" ca="1" si="7"/>
        <v>-7.1929000000000016</v>
      </c>
      <c r="W23">
        <f t="shared" ca="1" si="8"/>
        <v>-8.6631999999999998</v>
      </c>
      <c r="X23">
        <f t="shared" ca="1" si="0"/>
        <v>-3.4465000000000003</v>
      </c>
    </row>
    <row r="24" spans="1:24">
      <c r="A24" t="s">
        <v>31</v>
      </c>
      <c r="B24" s="25" t="s">
        <v>184</v>
      </c>
      <c r="C24">
        <f ca="1">_xll.ciqfunctions.udf.CIQ($B24,"IQ_CDS_mid",C$2)</f>
        <v>8.0357000000000003</v>
      </c>
      <c r="D24">
        <f ca="1">_xll.ciqfunctions.udf.CIQ($B24,"IQ_CDS_mid",D$2)</f>
        <v>8.0357000000000003</v>
      </c>
      <c r="E24">
        <f ca="1">_xll.ciqfunctions.udf.CIQ($B24,"IQ_CDS_mid",E$2)</f>
        <v>8.0357000000000003</v>
      </c>
      <c r="F24">
        <f ca="1">_xll.ciqfunctions.udf.CIQ($B24,"IQ_CDS_mid",F$2)</f>
        <v>8.0357000000000003</v>
      </c>
      <c r="G24">
        <f ca="1">_xll.ciqfunctions.udf.CIQ($B24,"IQ_CDS_mid",G$2)</f>
        <v>8.125</v>
      </c>
      <c r="H24">
        <f ca="1">_xll.ciqfunctions.udf.CIQ($B24,"IQ_CDS_mid",H$2)</f>
        <v>8.125</v>
      </c>
      <c r="I24">
        <f ca="1">_xll.ciqfunctions.udf.CIQ($B24,"IQ_CDS_mid",I$2)</f>
        <v>8.125</v>
      </c>
      <c r="J24">
        <f ca="1">_xll.ciqfunctions.udf.CIQ($B24,"IQ_CDS_mid",J$2)</f>
        <v>8.125</v>
      </c>
      <c r="K24">
        <f ca="1">_xll.ciqfunctions.udf.CIQ($B24,"IQ_CDS_mid",K$2)</f>
        <v>7.6666999999999996</v>
      </c>
      <c r="L24">
        <f ca="1">_xll.ciqfunctions.udf.CIQ($B24,"IQ_CDS_mid",L$2)</f>
        <v>7.6666999999999996</v>
      </c>
      <c r="M24">
        <f ca="1">_xll.ciqfunctions.udf.CIQ($B24,"IQ_CDS_mid",M$2)</f>
        <v>7.6666999999999996</v>
      </c>
      <c r="N24">
        <f ca="1">_xll.ciqfunctions.udf.CIQ($B24,"IQ_CDS_mid",N$2)</f>
        <v>8.125</v>
      </c>
      <c r="O24">
        <f ca="1">_xll.ciqfunctions.udf.CIQ($B24,"IQ_CDS_mid",O$2)</f>
        <v>8.125</v>
      </c>
      <c r="P24">
        <f ca="1">_xll.ciqfunctions.udf.CIQ($B24,"IQ_CDS_mid",P$2)</f>
        <v>8.125</v>
      </c>
      <c r="Q24">
        <f ca="1">_xll.ciqfunctions.udf.CIQ($B24,"IQ_CDS_mid",Q$2)</f>
        <v>7.6666999999999996</v>
      </c>
      <c r="R24">
        <f ca="1">_xll.ciqfunctions.udf.CIQ($B24,"IQ_CDS_mid",R$2)</f>
        <v>8.4548000000000005</v>
      </c>
      <c r="S24">
        <f ca="1">_xll.ciqfunctions.udf.CIQ($B24,"IQ_CDS_mid",S$2)</f>
        <v>9.4314999999999998</v>
      </c>
      <c r="T24">
        <f t="shared" ca="1" si="5"/>
        <v>-8.9299999999999713E-2</v>
      </c>
      <c r="U24">
        <f t="shared" ca="1" si="6"/>
        <v>0.36900000000000066</v>
      </c>
      <c r="V24">
        <f t="shared" ca="1" si="7"/>
        <v>0.36900000000000066</v>
      </c>
      <c r="W24">
        <f t="shared" ca="1" si="8"/>
        <v>-0.41910000000000025</v>
      </c>
      <c r="X24">
        <f t="shared" ca="1" si="0"/>
        <v>-1.3957999999999995</v>
      </c>
    </row>
    <row r="25" spans="1:24">
      <c r="A25" t="s">
        <v>183</v>
      </c>
      <c r="B25" s="25" t="s">
        <v>182</v>
      </c>
      <c r="C25">
        <f ca="1">_xll.ciqfunctions.udf.CIQ($B25,"IQ_CDS_mid",C$2)</f>
        <v>4.5583999999999998</v>
      </c>
      <c r="D25">
        <f ca="1">_xll.ciqfunctions.udf.CIQ($B25,"IQ_CDS_mid",D$2)</f>
        <v>4.5583999999999998</v>
      </c>
      <c r="E25">
        <f ca="1">_xll.ciqfunctions.udf.CIQ($B25,"IQ_CDS_mid",E$2)</f>
        <v>4.5583999999999998</v>
      </c>
      <c r="F25">
        <f ca="1">_xll.ciqfunctions.udf.CIQ($B25,"IQ_CDS_mid",F$2)</f>
        <v>4.5583999999999998</v>
      </c>
      <c r="G25">
        <f ca="1">_xll.ciqfunctions.udf.CIQ($B25,"IQ_CDS_mid",G$2)</f>
        <v>4.6135999999999999</v>
      </c>
      <c r="H25">
        <f ca="1">_xll.ciqfunctions.udf.CIQ($B25,"IQ_CDS_mid",H$2)</f>
        <v>4.6219999999999999</v>
      </c>
      <c r="I25">
        <f ca="1">_xll.ciqfunctions.udf.CIQ($B25,"IQ_CDS_mid",I$2)</f>
        <v>4.6241000000000003</v>
      </c>
      <c r="J25">
        <f ca="1">_xll.ciqfunctions.udf.CIQ($B25,"IQ_CDS_mid",J$2)</f>
        <v>4.6341000000000001</v>
      </c>
      <c r="K25">
        <f ca="1">_xll.ciqfunctions.udf.CIQ($B25,"IQ_CDS_mid",K$2)</f>
        <v>4.6344000000000003</v>
      </c>
      <c r="L25">
        <f ca="1">_xll.ciqfunctions.udf.CIQ($B25,"IQ_CDS_mid",L$2)</f>
        <v>4.6344000000000003</v>
      </c>
      <c r="M25">
        <f ca="1">_xll.ciqfunctions.udf.CIQ($B25,"IQ_CDS_mid",M$2)</f>
        <v>4.6344000000000003</v>
      </c>
      <c r="N25">
        <f ca="1">_xll.ciqfunctions.udf.CIQ($B25,"IQ_CDS_mid",N$2)</f>
        <v>4.7302999999999997</v>
      </c>
      <c r="O25">
        <f ca="1">_xll.ciqfunctions.udf.CIQ($B25,"IQ_CDS_mid",O$2)</f>
        <v>4.8353999999999999</v>
      </c>
      <c r="P25">
        <f ca="1">_xll.ciqfunctions.udf.CIQ($B25,"IQ_CDS_mid",P$2)</f>
        <v>4.7473999999999998</v>
      </c>
      <c r="Q25">
        <f ca="1">_xll.ciqfunctions.udf.CIQ($B25,"IQ_CDS_mid",Q$2)</f>
        <v>4.6153000000000004</v>
      </c>
      <c r="R25">
        <f ca="1">_xll.ciqfunctions.udf.CIQ($B25,"IQ_CDS_mid",R$2)</f>
        <v>4.8781999999999996</v>
      </c>
      <c r="S25">
        <f ca="1">_xll.ciqfunctions.udf.CIQ($B25,"IQ_CDS_mid",S$2)</f>
        <v>7.8562000000000003</v>
      </c>
      <c r="T25">
        <f t="shared" ca="1" si="5"/>
        <v>-6.3600000000000101E-2</v>
      </c>
      <c r="U25">
        <f t="shared" ca="1" si="6"/>
        <v>-7.6000000000000512E-2</v>
      </c>
      <c r="V25">
        <f t="shared" ca="1" si="7"/>
        <v>-5.6900000000000617E-2</v>
      </c>
      <c r="W25">
        <f t="shared" ca="1" si="8"/>
        <v>-0.31979999999999986</v>
      </c>
      <c r="X25">
        <f t="shared" ca="1" si="0"/>
        <v>-3.2978000000000005</v>
      </c>
    </row>
    <row r="26" spans="1:24">
      <c r="A26" t="s">
        <v>181</v>
      </c>
      <c r="B26" s="25" t="s">
        <v>180</v>
      </c>
      <c r="C26">
        <f ca="1">_xll.ciqfunctions.udf.CIQ($B26,"IQ_CDS_mid",C$2)</f>
        <v>50</v>
      </c>
      <c r="D26">
        <f ca="1">_xll.ciqfunctions.udf.CIQ($B26,"IQ_CDS_mid",D$2)</f>
        <v>50</v>
      </c>
      <c r="E26">
        <f ca="1">_xll.ciqfunctions.udf.CIQ($B26,"IQ_CDS_mid",E$2)</f>
        <v>50</v>
      </c>
      <c r="F26">
        <f ca="1">_xll.ciqfunctions.udf.CIQ($B26,"IQ_CDS_mid",F$2)</f>
        <v>50</v>
      </c>
      <c r="G26">
        <f ca="1">_xll.ciqfunctions.udf.CIQ($B26,"IQ_CDS_mid",G$2)</f>
        <v>50</v>
      </c>
      <c r="H26">
        <f ca="1">_xll.ciqfunctions.udf.CIQ($B26,"IQ_CDS_mid",H$2)</f>
        <v>49.994900000000001</v>
      </c>
      <c r="I26">
        <f ca="1">_xll.ciqfunctions.udf.CIQ($B26,"IQ_CDS_mid",I$2)</f>
        <v>50</v>
      </c>
      <c r="J26">
        <f ca="1">_xll.ciqfunctions.udf.CIQ($B26,"IQ_CDS_mid",J$2)</f>
        <v>49.6372</v>
      </c>
      <c r="K26">
        <f ca="1">_xll.ciqfunctions.udf.CIQ($B26,"IQ_CDS_mid",K$2)</f>
        <v>49.343299999999999</v>
      </c>
      <c r="L26">
        <f ca="1">_xll.ciqfunctions.udf.CIQ($B26,"IQ_CDS_mid",L$2)</f>
        <v>49.343299999999999</v>
      </c>
      <c r="M26">
        <f ca="1">_xll.ciqfunctions.udf.CIQ($B26,"IQ_CDS_mid",M$2)</f>
        <v>49.343299999999999</v>
      </c>
      <c r="N26">
        <f ca="1">_xll.ciqfunctions.udf.CIQ($B26,"IQ_CDS_mid",N$2)</f>
        <v>49.837000000000003</v>
      </c>
      <c r="O26">
        <f ca="1">_xll.ciqfunctions.udf.CIQ($B26,"IQ_CDS_mid",O$2)</f>
        <v>49.709699999999998</v>
      </c>
      <c r="P26">
        <f ca="1">_xll.ciqfunctions.udf.CIQ($B26,"IQ_CDS_mid",P$2)</f>
        <v>50.8842</v>
      </c>
      <c r="Q26">
        <f ca="1">_xll.ciqfunctions.udf.CIQ($B26,"IQ_CDS_mid",Q$2)</f>
        <v>50.666699999999999</v>
      </c>
      <c r="R26">
        <f ca="1">_xll.ciqfunctions.udf.CIQ($B26,"IQ_CDS_mid",R$2)</f>
        <v>51.6708</v>
      </c>
      <c r="S26">
        <f ca="1">_xll.ciqfunctions.udf.CIQ($B26,"IQ_CDS_mid",S$2)</f>
        <v>60.49</v>
      </c>
      <c r="T26">
        <f t="shared" ca="1" si="5"/>
        <v>5.0999999999987722E-3</v>
      </c>
      <c r="U26">
        <f t="shared" ca="1" si="6"/>
        <v>0.65670000000000073</v>
      </c>
      <c r="V26">
        <f t="shared" ca="1" si="7"/>
        <v>-0.66669999999999874</v>
      </c>
      <c r="W26">
        <f t="shared" ca="1" si="8"/>
        <v>-1.6707999999999998</v>
      </c>
      <c r="X26">
        <f t="shared" ca="1" si="0"/>
        <v>-10.490000000000002</v>
      </c>
    </row>
    <row r="27" spans="1:24">
      <c r="A27" t="s">
        <v>179</v>
      </c>
      <c r="B27" s="25" t="s">
        <v>178</v>
      </c>
      <c r="C27">
        <f ca="1">_xll.ciqfunctions.udf.CIQ($B27,"IQ_CDS_mid",C$2)</f>
        <v>5.6158999999999999</v>
      </c>
      <c r="D27">
        <f ca="1">_xll.ciqfunctions.udf.CIQ($B27,"IQ_CDS_mid",D$2)</f>
        <v>5.6158999999999999</v>
      </c>
      <c r="E27">
        <f ca="1">_xll.ciqfunctions.udf.CIQ($B27,"IQ_CDS_mid",E$2)</f>
        <v>5.6158999999999999</v>
      </c>
      <c r="F27">
        <f ca="1">_xll.ciqfunctions.udf.CIQ($B27,"IQ_CDS_mid",F$2)</f>
        <v>5.6158999999999999</v>
      </c>
      <c r="G27">
        <f ca="1">_xll.ciqfunctions.udf.CIQ($B27,"IQ_CDS_mid",G$2)</f>
        <v>5.8269000000000002</v>
      </c>
      <c r="H27">
        <f ca="1">_xll.ciqfunctions.udf.CIQ($B27,"IQ_CDS_mid",H$2)</f>
        <v>5.8331999999999997</v>
      </c>
      <c r="I27">
        <f ca="1">_xll.ciqfunctions.udf.CIQ($B27,"IQ_CDS_mid",I$2)</f>
        <v>5.8323999999999998</v>
      </c>
      <c r="J27">
        <f ca="1">_xll.ciqfunctions.udf.CIQ($B27,"IQ_CDS_mid",J$2)</f>
        <v>5.8322000000000003</v>
      </c>
      <c r="K27">
        <f ca="1">_xll.ciqfunctions.udf.CIQ($B27,"IQ_CDS_mid",K$2)</f>
        <v>5.8329000000000004</v>
      </c>
      <c r="L27">
        <f ca="1">_xll.ciqfunctions.udf.CIQ($B27,"IQ_CDS_mid",L$2)</f>
        <v>5.8329000000000004</v>
      </c>
      <c r="M27">
        <f ca="1">_xll.ciqfunctions.udf.CIQ($B27,"IQ_CDS_mid",M$2)</f>
        <v>5.8329000000000004</v>
      </c>
      <c r="N27">
        <f ca="1">_xll.ciqfunctions.udf.CIQ($B27,"IQ_CDS_mid",N$2)</f>
        <v>5.8404999999999996</v>
      </c>
      <c r="O27">
        <f ca="1">_xll.ciqfunctions.udf.CIQ($B27,"IQ_CDS_mid",O$2)</f>
        <v>5.8406000000000002</v>
      </c>
      <c r="P27">
        <f ca="1">_xll.ciqfunctions.udf.CIQ($B27,"IQ_CDS_mid",P$2)</f>
        <v>5.8507999999999996</v>
      </c>
      <c r="Q27">
        <f ca="1">_xll.ciqfunctions.udf.CIQ($B27,"IQ_CDS_mid",Q$2)</f>
        <v>5.8555999999999999</v>
      </c>
      <c r="R27">
        <f ca="1">_xll.ciqfunctions.udf.CIQ($B27,"IQ_CDS_mid",R$2)</f>
        <v>7.875</v>
      </c>
      <c r="S27">
        <f ca="1">_xll.ciqfunctions.udf.CIQ($B27,"IQ_CDS_mid",S$2)</f>
        <v>9.2454999999999998</v>
      </c>
      <c r="T27">
        <f t="shared" ca="1" si="5"/>
        <v>-0.21729999999999983</v>
      </c>
      <c r="U27">
        <f t="shared" ca="1" si="6"/>
        <v>-0.21700000000000053</v>
      </c>
      <c r="V27">
        <f t="shared" ca="1" si="7"/>
        <v>-0.23970000000000002</v>
      </c>
      <c r="W27">
        <f t="shared" ca="1" si="8"/>
        <v>-2.2591000000000001</v>
      </c>
      <c r="X27">
        <f t="shared" ca="1" si="0"/>
        <v>-3.6295999999999999</v>
      </c>
    </row>
    <row r="28" spans="1:24">
      <c r="A28" t="s">
        <v>21</v>
      </c>
      <c r="B28" s="25" t="s">
        <v>177</v>
      </c>
      <c r="C28">
        <f ca="1">_xll.ciqfunctions.udf.CIQ($B28,"IQ_CDS_mid",C$2)</f>
        <v>7.1593</v>
      </c>
      <c r="D28">
        <f ca="1">_xll.ciqfunctions.udf.CIQ($B28,"IQ_CDS_mid",D$2)</f>
        <v>7.1593</v>
      </c>
      <c r="E28">
        <f ca="1">_xll.ciqfunctions.udf.CIQ($B28,"IQ_CDS_mid",E$2)</f>
        <v>7.1593</v>
      </c>
      <c r="F28">
        <f ca="1">_xll.ciqfunctions.udf.CIQ($B28,"IQ_CDS_mid",F$2)</f>
        <v>7.1593</v>
      </c>
      <c r="G28">
        <f ca="1">_xll.ciqfunctions.udf.CIQ($B28,"IQ_CDS_mid",G$2)</f>
        <v>7.1608999999999998</v>
      </c>
      <c r="H28">
        <f ca="1">_xll.ciqfunctions.udf.CIQ($B28,"IQ_CDS_mid",H$2)</f>
        <v>7.1654</v>
      </c>
      <c r="I28">
        <f ca="1">_xll.ciqfunctions.udf.CIQ($B28,"IQ_CDS_mid",I$2)</f>
        <v>7.1645000000000003</v>
      </c>
      <c r="J28">
        <f ca="1">_xll.ciqfunctions.udf.CIQ($B28,"IQ_CDS_mid",J$2)</f>
        <v>7.1639999999999997</v>
      </c>
      <c r="K28">
        <f ca="1">_xll.ciqfunctions.udf.CIQ($B28,"IQ_CDS_mid",K$2)</f>
        <v>7.1635999999999997</v>
      </c>
      <c r="L28">
        <f ca="1">_xll.ciqfunctions.udf.CIQ($B28,"IQ_CDS_mid",L$2)</f>
        <v>7.1635999999999997</v>
      </c>
      <c r="M28">
        <f ca="1">_xll.ciqfunctions.udf.CIQ($B28,"IQ_CDS_mid",M$2)</f>
        <v>7.1635999999999997</v>
      </c>
      <c r="N28">
        <f ca="1">_xll.ciqfunctions.udf.CIQ($B28,"IQ_CDS_mid",N$2)</f>
        <v>7.1696</v>
      </c>
      <c r="O28">
        <f ca="1">_xll.ciqfunctions.udf.CIQ($B28,"IQ_CDS_mid",O$2)</f>
        <v>7.1658999999999997</v>
      </c>
      <c r="P28">
        <f ca="1">_xll.ciqfunctions.udf.CIQ($B28,"IQ_CDS_mid",P$2)</f>
        <v>7.1677</v>
      </c>
      <c r="Q28">
        <f ca="1">_xll.ciqfunctions.udf.CIQ($B28,"IQ_CDS_mid",Q$2)</f>
        <v>7.1661999999999999</v>
      </c>
      <c r="R28">
        <f ca="1">_xll.ciqfunctions.udf.CIQ($B28,"IQ_CDS_mid",R$2)</f>
        <v>7.0942999999999996</v>
      </c>
      <c r="S28">
        <f ca="1">_xll.ciqfunctions.udf.CIQ($B28,"IQ_CDS_mid",S$2)</f>
        <v>7.9973999999999998</v>
      </c>
      <c r="T28">
        <f t="shared" ca="1" si="5"/>
        <v>-6.0999999999999943E-3</v>
      </c>
      <c r="U28">
        <f t="shared" ca="1" si="6"/>
        <v>-4.2999999999997485E-3</v>
      </c>
      <c r="V28">
        <f t="shared" ca="1" si="7"/>
        <v>-6.8999999999999062E-3</v>
      </c>
      <c r="W28">
        <f t="shared" ca="1" si="8"/>
        <v>6.5000000000000391E-2</v>
      </c>
      <c r="X28">
        <f t="shared" ca="1" si="0"/>
        <v>-0.83809999999999985</v>
      </c>
    </row>
    <row r="29" spans="1:24">
      <c r="A29" t="s">
        <v>176</v>
      </c>
      <c r="B29" s="25" t="s">
        <v>175</v>
      </c>
      <c r="C29">
        <f ca="1">_xll.ciqfunctions.udf.CIQ($B29,"IQ_CDS_mid",C$2)</f>
        <v>765.58019999999999</v>
      </c>
      <c r="D29">
        <f ca="1">_xll.ciqfunctions.udf.CIQ($B29,"IQ_CDS_mid",D$2)</f>
        <v>765.58019999999999</v>
      </c>
      <c r="E29">
        <f ca="1">_xll.ciqfunctions.udf.CIQ($B29,"IQ_CDS_mid",E$2)</f>
        <v>765.58019999999999</v>
      </c>
      <c r="F29">
        <f ca="1">_xll.ciqfunctions.udf.CIQ($B29,"IQ_CDS_mid",F$2)</f>
        <v>765.58019999999999</v>
      </c>
      <c r="G29">
        <f ca="1">_xll.ciqfunctions.udf.CIQ($B29,"IQ_CDS_mid",G$2)</f>
        <v>765.21180000000004</v>
      </c>
      <c r="H29">
        <f ca="1">_xll.ciqfunctions.udf.CIQ($B29,"IQ_CDS_mid",H$2)</f>
        <v>765.42610000000002</v>
      </c>
      <c r="I29">
        <f ca="1">_xll.ciqfunctions.udf.CIQ($B29,"IQ_CDS_mid",I$2)</f>
        <v>765.44719999999995</v>
      </c>
      <c r="J29">
        <f ca="1">_xll.ciqfunctions.udf.CIQ($B29,"IQ_CDS_mid",J$2)</f>
        <v>765.11950000000002</v>
      </c>
      <c r="K29">
        <f ca="1">_xll.ciqfunctions.udf.CIQ($B29,"IQ_CDS_mid",K$2)</f>
        <v>764.33259999999996</v>
      </c>
      <c r="L29">
        <f ca="1">_xll.ciqfunctions.udf.CIQ($B29,"IQ_CDS_mid",L$2)</f>
        <v>764.33259999999996</v>
      </c>
      <c r="M29">
        <f ca="1">_xll.ciqfunctions.udf.CIQ($B29,"IQ_CDS_mid",M$2)</f>
        <v>764.33259999999996</v>
      </c>
      <c r="N29">
        <f ca="1">_xll.ciqfunctions.udf.CIQ($B29,"IQ_CDS_mid",N$2)</f>
        <v>765.05949999999996</v>
      </c>
      <c r="O29">
        <f ca="1">_xll.ciqfunctions.udf.CIQ($B29,"IQ_CDS_mid",O$2)</f>
        <v>764.91099999999994</v>
      </c>
      <c r="P29">
        <f ca="1">_xll.ciqfunctions.udf.CIQ($B29,"IQ_CDS_mid",P$2)</f>
        <v>765.00660000000005</v>
      </c>
      <c r="Q29">
        <f ca="1">_xll.ciqfunctions.udf.CIQ($B29,"IQ_CDS_mid",Q$2)</f>
        <v>764.10159999999996</v>
      </c>
      <c r="R29">
        <f ca="1">_xll.ciqfunctions.udf.CIQ($B29,"IQ_CDS_mid",R$2)</f>
        <v>753.22479999999996</v>
      </c>
      <c r="S29">
        <f ca="1">_xll.ciqfunctions.udf.CIQ($B29,"IQ_CDS_mid",S$2)</f>
        <v>14787.329299999999</v>
      </c>
      <c r="T29">
        <f t="shared" ca="1" si="5"/>
        <v>0.15409999999997126</v>
      </c>
      <c r="U29">
        <f t="shared" ca="1" si="6"/>
        <v>1.247600000000034</v>
      </c>
      <c r="V29">
        <f t="shared" ca="1" si="7"/>
        <v>1.4786000000000286</v>
      </c>
      <c r="W29">
        <f t="shared" ca="1" si="8"/>
        <v>12.355400000000031</v>
      </c>
      <c r="X29">
        <f t="shared" ca="1" si="0"/>
        <v>-14021.749099999999</v>
      </c>
    </row>
    <row r="30" spans="1:24">
      <c r="A30" s="16" t="s">
        <v>174</v>
      </c>
      <c r="X30">
        <f t="shared" si="0"/>
        <v>0</v>
      </c>
    </row>
    <row r="31" spans="1:24">
      <c r="A31" t="s">
        <v>173</v>
      </c>
      <c r="B31" s="25" t="s">
        <v>172</v>
      </c>
      <c r="C31">
        <f ca="1">_xll.ciqfunctions.udf.CIQ($B31,"IQ_CDS_mid",C$2)</f>
        <v>14.8222</v>
      </c>
      <c r="D31">
        <f ca="1">_xll.ciqfunctions.udf.CIQ($B31,"IQ_CDS_mid",D$2)</f>
        <v>14.8222</v>
      </c>
      <c r="E31">
        <f ca="1">_xll.ciqfunctions.udf.CIQ($B31,"IQ_CDS_mid",E$2)</f>
        <v>14.8222</v>
      </c>
      <c r="F31">
        <f ca="1">_xll.ciqfunctions.udf.CIQ($B31,"IQ_CDS_mid",F$2)</f>
        <v>14.8222</v>
      </c>
      <c r="G31">
        <f ca="1">_xll.ciqfunctions.udf.CIQ($B31,"IQ_CDS_mid",G$2)</f>
        <v>14.694599999999999</v>
      </c>
      <c r="H31">
        <f ca="1">_xll.ciqfunctions.udf.CIQ($B31,"IQ_CDS_mid",H$2)</f>
        <v>15.2378</v>
      </c>
      <c r="I31">
        <f ca="1">_xll.ciqfunctions.udf.CIQ($B31,"IQ_CDS_mid",I$2)</f>
        <v>14.8536</v>
      </c>
      <c r="J31">
        <f ca="1">_xll.ciqfunctions.udf.CIQ($B31,"IQ_CDS_mid",J$2)</f>
        <v>15.180899999999999</v>
      </c>
      <c r="K31">
        <f ca="1">_xll.ciqfunctions.udf.CIQ($B31,"IQ_CDS_mid",K$2)</f>
        <v>14.968299999999999</v>
      </c>
      <c r="L31">
        <f ca="1">_xll.ciqfunctions.udf.CIQ($B31,"IQ_CDS_mid",L$2)</f>
        <v>14.968299999999999</v>
      </c>
      <c r="M31">
        <f ca="1">_xll.ciqfunctions.udf.CIQ($B31,"IQ_CDS_mid",M$2)</f>
        <v>14.968299999999999</v>
      </c>
      <c r="N31">
        <f ca="1">_xll.ciqfunctions.udf.CIQ($B31,"IQ_CDS_mid",N$2)</f>
        <v>15.333399999999999</v>
      </c>
      <c r="O31">
        <f ca="1">_xll.ciqfunctions.udf.CIQ($B31,"IQ_CDS_mid",O$2)</f>
        <v>14.9503</v>
      </c>
      <c r="P31">
        <f ca="1">_xll.ciqfunctions.udf.CIQ($B31,"IQ_CDS_mid",P$2)</f>
        <v>15.249700000000001</v>
      </c>
      <c r="Q31">
        <f ca="1">_xll.ciqfunctions.udf.CIQ($B31,"IQ_CDS_mid",Q$2)</f>
        <v>14.81</v>
      </c>
      <c r="R31">
        <f ca="1">_xll.ciqfunctions.udf.CIQ($B31,"IQ_CDS_mid",R$2)</f>
        <v>14.1351</v>
      </c>
      <c r="S31">
        <f ca="1">_xll.ciqfunctions.udf.CIQ($B31,"IQ_CDS_mid",S$2)</f>
        <v>10.8149</v>
      </c>
      <c r="T31">
        <f t="shared" ref="T31:T40" ca="1" si="9">C31-H31</f>
        <v>-0.41559999999999953</v>
      </c>
      <c r="U31">
        <f t="shared" ref="U31:U40" ca="1" si="10">C31-M31</f>
        <v>-0.14609999999999879</v>
      </c>
      <c r="V31">
        <f t="shared" ref="V31:V40" ca="1" si="11">C31-Q31</f>
        <v>1.2199999999999989E-2</v>
      </c>
      <c r="W31">
        <f t="shared" ref="W31:W40" ca="1" si="12">C31-R31</f>
        <v>0.68710000000000093</v>
      </c>
      <c r="X31">
        <f t="shared" ca="1" si="0"/>
        <v>4.0073000000000008</v>
      </c>
    </row>
    <row r="32" spans="1:24">
      <c r="A32" t="s">
        <v>171</v>
      </c>
      <c r="B32" s="25" t="s">
        <v>170</v>
      </c>
      <c r="C32">
        <f ca="1">_xll.ciqfunctions.udf.CIQ($B32,"IQ_CDS_mid",C$2)</f>
        <v>35.345999999999997</v>
      </c>
      <c r="D32">
        <f ca="1">_xll.ciqfunctions.udf.CIQ($B32,"IQ_CDS_mid",D$2)</f>
        <v>35.345999999999997</v>
      </c>
      <c r="E32">
        <f ca="1">_xll.ciqfunctions.udf.CIQ($B32,"IQ_CDS_mid",E$2)</f>
        <v>35.345999999999997</v>
      </c>
      <c r="F32">
        <f ca="1">_xll.ciqfunctions.udf.CIQ($B32,"IQ_CDS_mid",F$2)</f>
        <v>35.345999999999997</v>
      </c>
      <c r="G32">
        <f ca="1">_xll.ciqfunctions.udf.CIQ($B32,"IQ_CDS_mid",G$2)</f>
        <v>35.310699999999997</v>
      </c>
      <c r="H32">
        <f ca="1">_xll.ciqfunctions.udf.CIQ($B32,"IQ_CDS_mid",H$2)</f>
        <v>36.212699999999998</v>
      </c>
      <c r="I32">
        <f ca="1">_xll.ciqfunctions.udf.CIQ($B32,"IQ_CDS_mid",I$2)</f>
        <v>36.389099999999999</v>
      </c>
      <c r="J32">
        <f ca="1">_xll.ciqfunctions.udf.CIQ($B32,"IQ_CDS_mid",J$2)</f>
        <v>36.346899999999998</v>
      </c>
      <c r="K32">
        <f ca="1">_xll.ciqfunctions.udf.CIQ($B32,"IQ_CDS_mid",K$2)</f>
        <v>36.303199999999997</v>
      </c>
      <c r="L32">
        <f ca="1">_xll.ciqfunctions.udf.CIQ($B32,"IQ_CDS_mid",L$2)</f>
        <v>36.303199999999997</v>
      </c>
      <c r="M32">
        <f ca="1">_xll.ciqfunctions.udf.CIQ($B32,"IQ_CDS_mid",M$2)</f>
        <v>36.303199999999997</v>
      </c>
      <c r="N32">
        <f ca="1">_xll.ciqfunctions.udf.CIQ($B32,"IQ_CDS_mid",N$2)</f>
        <v>36.535299999999999</v>
      </c>
      <c r="O32">
        <f ca="1">_xll.ciqfunctions.udf.CIQ($B32,"IQ_CDS_mid",O$2)</f>
        <v>37.0321</v>
      </c>
      <c r="P32">
        <f ca="1">_xll.ciqfunctions.udf.CIQ($B32,"IQ_CDS_mid",P$2)</f>
        <v>37.216900000000003</v>
      </c>
      <c r="Q32">
        <f ca="1">_xll.ciqfunctions.udf.CIQ($B32,"IQ_CDS_mid",Q$2)</f>
        <v>37.2468</v>
      </c>
      <c r="R32">
        <f ca="1">_xll.ciqfunctions.udf.CIQ($B32,"IQ_CDS_mid",R$2)</f>
        <v>40.610500000000002</v>
      </c>
      <c r="S32">
        <f ca="1">_xll.ciqfunctions.udf.CIQ($B32,"IQ_CDS_mid",S$2)</f>
        <v>41.833300000000001</v>
      </c>
      <c r="T32">
        <f t="shared" ca="1" si="9"/>
        <v>-0.86670000000000158</v>
      </c>
      <c r="U32">
        <f t="shared" ca="1" si="10"/>
        <v>-0.95720000000000027</v>
      </c>
      <c r="V32">
        <f t="shared" ca="1" si="11"/>
        <v>-1.9008000000000038</v>
      </c>
      <c r="W32">
        <f t="shared" ca="1" si="12"/>
        <v>-5.2645000000000053</v>
      </c>
      <c r="X32">
        <f t="shared" ca="1" si="0"/>
        <v>-6.4873000000000047</v>
      </c>
    </row>
    <row r="33" spans="1:24">
      <c r="A33" t="s">
        <v>169</v>
      </c>
      <c r="B33" s="25" t="s">
        <v>168</v>
      </c>
      <c r="C33">
        <f ca="1">_xll.ciqfunctions.udf.CIQ($B33,"IQ_CDS_mid",C$2)</f>
        <v>24.930900000000001</v>
      </c>
      <c r="D33">
        <f ca="1">_xll.ciqfunctions.udf.CIQ($B33,"IQ_CDS_mid",D$2)</f>
        <v>24.930900000000001</v>
      </c>
      <c r="E33">
        <f ca="1">_xll.ciqfunctions.udf.CIQ($B33,"IQ_CDS_mid",E$2)</f>
        <v>24.930900000000001</v>
      </c>
      <c r="F33">
        <f ca="1">_xll.ciqfunctions.udf.CIQ($B33,"IQ_CDS_mid",F$2)</f>
        <v>24.930900000000001</v>
      </c>
      <c r="G33">
        <f ca="1">_xll.ciqfunctions.udf.CIQ($B33,"IQ_CDS_mid",G$2)</f>
        <v>24.9663</v>
      </c>
      <c r="H33">
        <f ca="1">_xll.ciqfunctions.udf.CIQ($B33,"IQ_CDS_mid",H$2)</f>
        <v>24.9131</v>
      </c>
      <c r="I33">
        <f ca="1">_xll.ciqfunctions.udf.CIQ($B33,"IQ_CDS_mid",I$2)</f>
        <v>24.9391</v>
      </c>
      <c r="J33">
        <f ca="1">_xll.ciqfunctions.udf.CIQ($B33,"IQ_CDS_mid",J$2)</f>
        <v>24.966699999999999</v>
      </c>
      <c r="K33">
        <f ca="1">_xll.ciqfunctions.udf.CIQ($B33,"IQ_CDS_mid",K$2)</f>
        <v>24.971399999999999</v>
      </c>
      <c r="L33">
        <f ca="1">_xll.ciqfunctions.udf.CIQ($B33,"IQ_CDS_mid",L$2)</f>
        <v>24.971399999999999</v>
      </c>
      <c r="M33">
        <f ca="1">_xll.ciqfunctions.udf.CIQ($B33,"IQ_CDS_mid",M$2)</f>
        <v>24.971399999999999</v>
      </c>
      <c r="N33">
        <f ca="1">_xll.ciqfunctions.udf.CIQ($B33,"IQ_CDS_mid",N$2)</f>
        <v>24.9146</v>
      </c>
      <c r="O33">
        <f ca="1">_xll.ciqfunctions.udf.CIQ($B33,"IQ_CDS_mid",O$2)</f>
        <v>24.912500000000001</v>
      </c>
      <c r="P33">
        <f ca="1">_xll.ciqfunctions.udf.CIQ($B33,"IQ_CDS_mid",P$2)</f>
        <v>24.86</v>
      </c>
      <c r="Q33">
        <f ca="1">_xll.ciqfunctions.udf.CIQ($B33,"IQ_CDS_mid",Q$2)</f>
        <v>24.900200000000002</v>
      </c>
      <c r="R33">
        <f ca="1">_xll.ciqfunctions.udf.CIQ($B33,"IQ_CDS_mid",R$2)</f>
        <v>25.006599999999999</v>
      </c>
      <c r="S33">
        <f ca="1">_xll.ciqfunctions.udf.CIQ($B33,"IQ_CDS_mid",S$2)</f>
        <v>32.989600000000003</v>
      </c>
      <c r="T33">
        <f t="shared" ca="1" si="9"/>
        <v>1.7800000000001148E-2</v>
      </c>
      <c r="U33">
        <f t="shared" ca="1" si="10"/>
        <v>-4.0499999999997982E-2</v>
      </c>
      <c r="V33">
        <f t="shared" ca="1" si="11"/>
        <v>3.0699999999999505E-2</v>
      </c>
      <c r="W33">
        <f t="shared" ca="1" si="12"/>
        <v>-7.5699999999997658E-2</v>
      </c>
      <c r="X33">
        <f t="shared" ca="1" si="0"/>
        <v>-8.0587000000000018</v>
      </c>
    </row>
    <row r="34" spans="1:24">
      <c r="A34" t="s">
        <v>167</v>
      </c>
      <c r="B34" s="25" t="s">
        <v>166</v>
      </c>
      <c r="C34">
        <f ca="1">_xll.ciqfunctions.udf.CIQ($B34,"IQ_CDS_mid",C$2)</f>
        <v>0</v>
      </c>
      <c r="D34">
        <f ca="1">_xll.ciqfunctions.udf.CIQ($B34,"IQ_CDS_mid",D$2)</f>
        <v>0</v>
      </c>
      <c r="E34">
        <f ca="1">_xll.ciqfunctions.udf.CIQ($B34,"IQ_CDS_mid",E$2)</f>
        <v>0</v>
      </c>
      <c r="F34">
        <f ca="1">_xll.ciqfunctions.udf.CIQ($B34,"IQ_CDS_mid",F$2)</f>
        <v>0</v>
      </c>
      <c r="G34">
        <f ca="1">_xll.ciqfunctions.udf.CIQ($B34,"IQ_CDS_mid",G$2)</f>
        <v>0</v>
      </c>
      <c r="H34">
        <f ca="1">_xll.ciqfunctions.udf.CIQ($B34,"IQ_CDS_mid",H$2)</f>
        <v>0</v>
      </c>
      <c r="I34">
        <f ca="1">_xll.ciqfunctions.udf.CIQ($B34,"IQ_CDS_mid",I$2)</f>
        <v>0</v>
      </c>
      <c r="J34">
        <f ca="1">_xll.ciqfunctions.udf.CIQ($B34,"IQ_CDS_mid",J$2)</f>
        <v>0</v>
      </c>
      <c r="K34">
        <f ca="1">_xll.ciqfunctions.udf.CIQ($B34,"IQ_CDS_mid",K$2)</f>
        <v>0</v>
      </c>
      <c r="L34">
        <f ca="1">_xll.ciqfunctions.udf.CIQ($B34,"IQ_CDS_mid",L$2)</f>
        <v>0</v>
      </c>
      <c r="M34">
        <f ca="1">_xll.ciqfunctions.udf.CIQ($B34,"IQ_CDS_mid",M$2)</f>
        <v>0</v>
      </c>
      <c r="N34">
        <f ca="1">_xll.ciqfunctions.udf.CIQ($B34,"IQ_CDS_mid",N$2)</f>
        <v>0</v>
      </c>
      <c r="O34">
        <f ca="1">_xll.ciqfunctions.udf.CIQ($B34,"IQ_CDS_mid",O$2)</f>
        <v>0</v>
      </c>
      <c r="P34">
        <f ca="1">_xll.ciqfunctions.udf.CIQ($B34,"IQ_CDS_mid",P$2)</f>
        <v>0</v>
      </c>
      <c r="Q34">
        <f ca="1">_xll.ciqfunctions.udf.CIQ($B34,"IQ_CDS_mid",Q$2)</f>
        <v>0</v>
      </c>
      <c r="R34">
        <f ca="1">_xll.ciqfunctions.udf.CIQ($B34,"IQ_CDS_mid",R$2)</f>
        <v>0</v>
      </c>
      <c r="S34">
        <f ca="1">_xll.ciqfunctions.udf.CIQ($B34,"IQ_CDS_mid",S$2)</f>
        <v>46.486499999999999</v>
      </c>
      <c r="T34">
        <f t="shared" ca="1" si="9"/>
        <v>0</v>
      </c>
      <c r="U34">
        <f t="shared" ca="1" si="10"/>
        <v>0</v>
      </c>
      <c r="V34">
        <f t="shared" ca="1" si="11"/>
        <v>0</v>
      </c>
      <c r="W34">
        <f t="shared" ca="1" si="12"/>
        <v>0</v>
      </c>
      <c r="X34">
        <f t="shared" ca="1" si="0"/>
        <v>-46.486499999999999</v>
      </c>
    </row>
    <row r="35" spans="1:24">
      <c r="A35" t="s">
        <v>33</v>
      </c>
      <c r="B35" s="25" t="s">
        <v>165</v>
      </c>
      <c r="C35">
        <f ca="1">_xll.ciqfunctions.udf.CIQ($B35,"IQ_CDS_mid",C$2)</f>
        <v>25.875900000000001</v>
      </c>
      <c r="D35">
        <f ca="1">_xll.ciqfunctions.udf.CIQ($B35,"IQ_CDS_mid",D$2)</f>
        <v>25.875900000000001</v>
      </c>
      <c r="E35">
        <f ca="1">_xll.ciqfunctions.udf.CIQ($B35,"IQ_CDS_mid",E$2)</f>
        <v>25.875900000000001</v>
      </c>
      <c r="F35">
        <f ca="1">_xll.ciqfunctions.udf.CIQ($B35,"IQ_CDS_mid",F$2)</f>
        <v>25.875900000000001</v>
      </c>
      <c r="G35">
        <f ca="1">_xll.ciqfunctions.udf.CIQ($B35,"IQ_CDS_mid",G$2)</f>
        <v>26.267900000000001</v>
      </c>
      <c r="H35">
        <f ca="1">_xll.ciqfunctions.udf.CIQ($B35,"IQ_CDS_mid",H$2)</f>
        <v>26.1858</v>
      </c>
      <c r="I35">
        <f ca="1">_xll.ciqfunctions.udf.CIQ($B35,"IQ_CDS_mid",I$2)</f>
        <v>26.3523</v>
      </c>
      <c r="J35">
        <f ca="1">_xll.ciqfunctions.udf.CIQ($B35,"IQ_CDS_mid",J$2)</f>
        <v>26.230499999999999</v>
      </c>
      <c r="K35">
        <f ca="1">_xll.ciqfunctions.udf.CIQ($B35,"IQ_CDS_mid",K$2)</f>
        <v>26.352399999999999</v>
      </c>
      <c r="L35">
        <f ca="1">_xll.ciqfunctions.udf.CIQ($B35,"IQ_CDS_mid",L$2)</f>
        <v>26.352399999999999</v>
      </c>
      <c r="M35">
        <f ca="1">_xll.ciqfunctions.udf.CIQ($B35,"IQ_CDS_mid",M$2)</f>
        <v>26.352399999999999</v>
      </c>
      <c r="N35">
        <f ca="1">_xll.ciqfunctions.udf.CIQ($B35,"IQ_CDS_mid",N$2)</f>
        <v>26.379799999999999</v>
      </c>
      <c r="O35">
        <f ca="1">_xll.ciqfunctions.udf.CIQ($B35,"IQ_CDS_mid",O$2)</f>
        <v>26.352499999999999</v>
      </c>
      <c r="P35">
        <f ca="1">_xll.ciqfunctions.udf.CIQ($B35,"IQ_CDS_mid",P$2)</f>
        <v>26.302700000000002</v>
      </c>
      <c r="Q35">
        <f ca="1">_xll.ciqfunctions.udf.CIQ($B35,"IQ_CDS_mid",Q$2)</f>
        <v>26.6404</v>
      </c>
      <c r="R35">
        <f ca="1">_xll.ciqfunctions.udf.CIQ($B35,"IQ_CDS_mid",R$2)</f>
        <v>27.186</v>
      </c>
      <c r="S35">
        <f ca="1">_xll.ciqfunctions.udf.CIQ($B35,"IQ_CDS_mid",S$2)</f>
        <v>20.122699999999998</v>
      </c>
      <c r="T35">
        <f t="shared" ca="1" si="9"/>
        <v>-0.30989999999999895</v>
      </c>
      <c r="U35">
        <f t="shared" ca="1" si="10"/>
        <v>-0.47649999999999793</v>
      </c>
      <c r="V35">
        <f t="shared" ca="1" si="11"/>
        <v>-0.76449999999999818</v>
      </c>
      <c r="W35">
        <f t="shared" ca="1" si="12"/>
        <v>-1.3100999999999985</v>
      </c>
      <c r="X35">
        <f t="shared" ca="1" si="0"/>
        <v>5.7532000000000032</v>
      </c>
    </row>
    <row r="36" spans="1:24">
      <c r="A36" t="s">
        <v>164</v>
      </c>
      <c r="B36" s="25" t="s">
        <v>163</v>
      </c>
      <c r="C36">
        <f ca="1">_xll.ciqfunctions.udf.CIQ($B36,"IQ_CDS_mid",C$2)</f>
        <v>33.531599999999997</v>
      </c>
      <c r="D36">
        <f ca="1">_xll.ciqfunctions.udf.CIQ($B36,"IQ_CDS_mid",D$2)</f>
        <v>33.531599999999997</v>
      </c>
      <c r="E36">
        <f ca="1">_xll.ciqfunctions.udf.CIQ($B36,"IQ_CDS_mid",E$2)</f>
        <v>33.531599999999997</v>
      </c>
      <c r="F36">
        <f ca="1">_xll.ciqfunctions.udf.CIQ($B36,"IQ_CDS_mid",F$2)</f>
        <v>33.531599999999997</v>
      </c>
      <c r="G36">
        <f ca="1">_xll.ciqfunctions.udf.CIQ($B36,"IQ_CDS_mid",G$2)</f>
        <v>33.634700000000002</v>
      </c>
      <c r="H36">
        <f ca="1">_xll.ciqfunctions.udf.CIQ($B36,"IQ_CDS_mid",H$2)</f>
        <v>34.19</v>
      </c>
      <c r="I36">
        <f ca="1">_xll.ciqfunctions.udf.CIQ($B36,"IQ_CDS_mid",I$2)</f>
        <v>34.450000000000003</v>
      </c>
      <c r="J36">
        <f ca="1">_xll.ciqfunctions.udf.CIQ($B36,"IQ_CDS_mid",J$2)</f>
        <v>34.07</v>
      </c>
      <c r="K36">
        <f ca="1">_xll.ciqfunctions.udf.CIQ($B36,"IQ_CDS_mid",K$2)</f>
        <v>34.116300000000003</v>
      </c>
      <c r="L36">
        <f ca="1">_xll.ciqfunctions.udf.CIQ($B36,"IQ_CDS_mid",L$2)</f>
        <v>34.116300000000003</v>
      </c>
      <c r="M36">
        <f ca="1">_xll.ciqfunctions.udf.CIQ($B36,"IQ_CDS_mid",M$2)</f>
        <v>34.116300000000003</v>
      </c>
      <c r="N36">
        <f ca="1">_xll.ciqfunctions.udf.CIQ($B36,"IQ_CDS_mid",N$2)</f>
        <v>34.414700000000003</v>
      </c>
      <c r="O36">
        <f ca="1">_xll.ciqfunctions.udf.CIQ($B36,"IQ_CDS_mid",O$2)</f>
        <v>35.087499999999999</v>
      </c>
      <c r="P36">
        <f ca="1">_xll.ciqfunctions.udf.CIQ($B36,"IQ_CDS_mid",P$2)</f>
        <v>34.975000000000001</v>
      </c>
      <c r="Q36">
        <f ca="1">_xll.ciqfunctions.udf.CIQ($B36,"IQ_CDS_mid",Q$2)</f>
        <v>34.799999999999997</v>
      </c>
      <c r="R36">
        <f ca="1">_xll.ciqfunctions.udf.CIQ($B36,"IQ_CDS_mid",R$2)</f>
        <v>34.072899999999997</v>
      </c>
      <c r="S36">
        <f ca="1">_xll.ciqfunctions.udf.CIQ($B36,"IQ_CDS_mid",S$2)</f>
        <v>38.667499999999997</v>
      </c>
      <c r="T36">
        <f t="shared" ca="1" si="9"/>
        <v>-0.65840000000000032</v>
      </c>
      <c r="U36">
        <f t="shared" ca="1" si="10"/>
        <v>-0.5847000000000051</v>
      </c>
      <c r="V36">
        <f t="shared" ca="1" si="11"/>
        <v>-1.2683999999999997</v>
      </c>
      <c r="W36">
        <f t="shared" ca="1" si="12"/>
        <v>-0.54129999999999967</v>
      </c>
      <c r="X36">
        <f t="shared" ca="1" si="0"/>
        <v>-5.1358999999999995</v>
      </c>
    </row>
    <row r="37" spans="1:24">
      <c r="A37" t="s">
        <v>162</v>
      </c>
      <c r="B37" s="25" t="s">
        <v>161</v>
      </c>
      <c r="C37">
        <f ca="1">_xll.ciqfunctions.udf.CIQ($B37,"IQ_CDS_mid",C$2)</f>
        <v>15.3475</v>
      </c>
      <c r="D37">
        <f ca="1">_xll.ciqfunctions.udf.CIQ($B37,"IQ_CDS_mid",D$2)</f>
        <v>15.3475</v>
      </c>
      <c r="E37">
        <f ca="1">_xll.ciqfunctions.udf.CIQ($B37,"IQ_CDS_mid",E$2)</f>
        <v>15.3475</v>
      </c>
      <c r="F37">
        <f ca="1">_xll.ciqfunctions.udf.CIQ($B37,"IQ_CDS_mid",F$2)</f>
        <v>15.3475</v>
      </c>
      <c r="G37">
        <f ca="1">_xll.ciqfunctions.udf.CIQ($B37,"IQ_CDS_mid",G$2)</f>
        <v>15.619</v>
      </c>
      <c r="H37">
        <f ca="1">_xll.ciqfunctions.udf.CIQ($B37,"IQ_CDS_mid",H$2)</f>
        <v>15.427</v>
      </c>
      <c r="I37">
        <f ca="1">_xll.ciqfunctions.udf.CIQ($B37,"IQ_CDS_mid",I$2)</f>
        <v>15.5905</v>
      </c>
      <c r="J37">
        <f ca="1">_xll.ciqfunctions.udf.CIQ($B37,"IQ_CDS_mid",J$2)</f>
        <v>15.484</v>
      </c>
      <c r="K37">
        <f ca="1">_xll.ciqfunctions.udf.CIQ($B37,"IQ_CDS_mid",K$2)</f>
        <v>15.666499999999999</v>
      </c>
      <c r="L37">
        <f ca="1">_xll.ciqfunctions.udf.CIQ($B37,"IQ_CDS_mid",L$2)</f>
        <v>15.666499999999999</v>
      </c>
      <c r="M37">
        <f ca="1">_xll.ciqfunctions.udf.CIQ($B37,"IQ_CDS_mid",M$2)</f>
        <v>15.666499999999999</v>
      </c>
      <c r="N37">
        <f ca="1">_xll.ciqfunctions.udf.CIQ($B37,"IQ_CDS_mid",N$2)</f>
        <v>15.475</v>
      </c>
      <c r="O37">
        <f ca="1">_xll.ciqfunctions.udf.CIQ($B37,"IQ_CDS_mid",O$2)</f>
        <v>15.625</v>
      </c>
      <c r="P37">
        <f ca="1">_xll.ciqfunctions.udf.CIQ($B37,"IQ_CDS_mid",P$2)</f>
        <v>15.404999999999999</v>
      </c>
      <c r="Q37">
        <f ca="1">_xll.ciqfunctions.udf.CIQ($B37,"IQ_CDS_mid",Q$2)</f>
        <v>15.4375</v>
      </c>
      <c r="R37">
        <f ca="1">_xll.ciqfunctions.udf.CIQ($B37,"IQ_CDS_mid",R$2)</f>
        <v>15.579499999999999</v>
      </c>
      <c r="S37">
        <f ca="1">_xll.ciqfunctions.udf.CIQ($B37,"IQ_CDS_mid",S$2)</f>
        <v>13.75</v>
      </c>
      <c r="T37">
        <f t="shared" ca="1" si="9"/>
        <v>-7.949999999999946E-2</v>
      </c>
      <c r="U37">
        <f t="shared" ca="1" si="10"/>
        <v>-0.31899999999999906</v>
      </c>
      <c r="V37">
        <f t="shared" ca="1" si="11"/>
        <v>-8.9999999999999858E-2</v>
      </c>
      <c r="W37">
        <f t="shared" ca="1" si="12"/>
        <v>-0.23199999999999932</v>
      </c>
      <c r="X37">
        <f t="shared" ca="1" si="0"/>
        <v>1.5975000000000001</v>
      </c>
    </row>
    <row r="38" spans="1:24">
      <c r="A38" t="s">
        <v>160</v>
      </c>
      <c r="B38" s="25" t="s">
        <v>159</v>
      </c>
      <c r="C38">
        <f ca="1">_xll.ciqfunctions.udf.CIQ($B38,"IQ_CDS_mid",C$2)</f>
        <v>0</v>
      </c>
      <c r="D38">
        <f ca="1">_xll.ciqfunctions.udf.CIQ($B38,"IQ_CDS_mid",D$2)</f>
        <v>0</v>
      </c>
      <c r="E38">
        <f ca="1">_xll.ciqfunctions.udf.CIQ($B38,"IQ_CDS_mid",E$2)</f>
        <v>0</v>
      </c>
      <c r="F38">
        <f ca="1">_xll.ciqfunctions.udf.CIQ($B38,"IQ_CDS_mid",F$2)</f>
        <v>0</v>
      </c>
      <c r="G38">
        <f ca="1">_xll.ciqfunctions.udf.CIQ($B38,"IQ_CDS_mid",G$2)</f>
        <v>0</v>
      </c>
      <c r="H38">
        <f ca="1">_xll.ciqfunctions.udf.CIQ($B38,"IQ_CDS_mid",H$2)</f>
        <v>0</v>
      </c>
      <c r="I38">
        <f ca="1">_xll.ciqfunctions.udf.CIQ($B38,"IQ_CDS_mid",I$2)</f>
        <v>0</v>
      </c>
      <c r="J38">
        <f ca="1">_xll.ciqfunctions.udf.CIQ($B38,"IQ_CDS_mid",J$2)</f>
        <v>0</v>
      </c>
      <c r="K38">
        <f ca="1">_xll.ciqfunctions.udf.CIQ($B38,"IQ_CDS_mid",K$2)</f>
        <v>0</v>
      </c>
      <c r="L38">
        <f ca="1">_xll.ciqfunctions.udf.CIQ($B38,"IQ_CDS_mid",L$2)</f>
        <v>0</v>
      </c>
      <c r="M38">
        <f ca="1">_xll.ciqfunctions.udf.CIQ($B38,"IQ_CDS_mid",M$2)</f>
        <v>0</v>
      </c>
      <c r="N38">
        <f ca="1">_xll.ciqfunctions.udf.CIQ($B38,"IQ_CDS_mid",N$2)</f>
        <v>0</v>
      </c>
      <c r="O38">
        <f ca="1">_xll.ciqfunctions.udf.CIQ($B38,"IQ_CDS_mid",O$2)</f>
        <v>0</v>
      </c>
      <c r="P38">
        <f ca="1">_xll.ciqfunctions.udf.CIQ($B38,"IQ_CDS_mid",P$2)</f>
        <v>0</v>
      </c>
      <c r="Q38">
        <f ca="1">_xll.ciqfunctions.udf.CIQ($B38,"IQ_CDS_mid",Q$2)</f>
        <v>0</v>
      </c>
      <c r="R38">
        <f ca="1">_xll.ciqfunctions.udf.CIQ($B38,"IQ_CDS_mid",R$2)</f>
        <v>0</v>
      </c>
      <c r="S38">
        <f ca="1">_xll.ciqfunctions.udf.CIQ($B38,"IQ_CDS_mid",S$2)</f>
        <v>0</v>
      </c>
      <c r="T38">
        <f t="shared" ca="1" si="9"/>
        <v>0</v>
      </c>
      <c r="U38">
        <f t="shared" ca="1" si="10"/>
        <v>0</v>
      </c>
      <c r="V38">
        <f t="shared" ca="1" si="11"/>
        <v>0</v>
      </c>
      <c r="W38">
        <f t="shared" ca="1" si="12"/>
        <v>0</v>
      </c>
      <c r="X38">
        <f t="shared" ca="1" si="0"/>
        <v>0</v>
      </c>
    </row>
    <row r="39" spans="1:24">
      <c r="A39" t="s">
        <v>158</v>
      </c>
      <c r="B39" s="25" t="s">
        <v>157</v>
      </c>
      <c r="C39">
        <f ca="1">_xll.ciqfunctions.udf.CIQ($B39,"IQ_CDS_mid",C$2)</f>
        <v>2.2938999999999998</v>
      </c>
      <c r="D39">
        <f ca="1">_xll.ciqfunctions.udf.CIQ($B39,"IQ_CDS_mid",D$2)</f>
        <v>2.2938999999999998</v>
      </c>
      <c r="E39">
        <f ca="1">_xll.ciqfunctions.udf.CIQ($B39,"IQ_CDS_mid",E$2)</f>
        <v>2.2938999999999998</v>
      </c>
      <c r="F39">
        <f ca="1">_xll.ciqfunctions.udf.CIQ($B39,"IQ_CDS_mid",F$2)</f>
        <v>2.2938999999999998</v>
      </c>
      <c r="G39">
        <f ca="1">_xll.ciqfunctions.udf.CIQ($B39,"IQ_CDS_mid",G$2)</f>
        <v>2.2938999999999998</v>
      </c>
      <c r="H39">
        <f ca="1">_xll.ciqfunctions.udf.CIQ($B39,"IQ_CDS_mid",H$2)</f>
        <v>2.2938999999999998</v>
      </c>
      <c r="I39">
        <f ca="1">_xll.ciqfunctions.udf.CIQ($B39,"IQ_CDS_mid",I$2)</f>
        <v>2.2938999999999998</v>
      </c>
      <c r="J39">
        <f ca="1">_xll.ciqfunctions.udf.CIQ($B39,"IQ_CDS_mid",J$2)</f>
        <v>2.2938999999999998</v>
      </c>
      <c r="K39">
        <f ca="1">_xll.ciqfunctions.udf.CIQ($B39,"IQ_CDS_mid",K$2)</f>
        <v>2.2938999999999998</v>
      </c>
      <c r="L39">
        <f ca="1">_xll.ciqfunctions.udf.CIQ($B39,"IQ_CDS_mid",L$2)</f>
        <v>2.2938999999999998</v>
      </c>
      <c r="M39">
        <f ca="1">_xll.ciqfunctions.udf.CIQ($B39,"IQ_CDS_mid",M$2)</f>
        <v>2.2938999999999998</v>
      </c>
      <c r="N39">
        <f ca="1">_xll.ciqfunctions.udf.CIQ($B39,"IQ_CDS_mid",N$2)</f>
        <v>2.2938999999999998</v>
      </c>
      <c r="O39">
        <f ca="1">_xll.ciqfunctions.udf.CIQ($B39,"IQ_CDS_mid",O$2)</f>
        <v>2.2938999999999998</v>
      </c>
      <c r="P39">
        <f ca="1">_xll.ciqfunctions.udf.CIQ($B39,"IQ_CDS_mid",P$2)</f>
        <v>2.2938999999999998</v>
      </c>
      <c r="Q39">
        <f ca="1">_xll.ciqfunctions.udf.CIQ($B39,"IQ_CDS_mid",Q$2)</f>
        <v>2.2938999999999998</v>
      </c>
      <c r="R39">
        <f ca="1">_xll.ciqfunctions.udf.CIQ($B39,"IQ_CDS_mid",R$2)</f>
        <v>2.3334000000000001</v>
      </c>
      <c r="S39">
        <f ca="1">_xll.ciqfunctions.udf.CIQ($B39,"IQ_CDS_mid",S$2)</f>
        <v>3.2726000000000002</v>
      </c>
      <c r="T39">
        <f t="shared" ca="1" si="9"/>
        <v>0</v>
      </c>
      <c r="U39">
        <f t="shared" ca="1" si="10"/>
        <v>0</v>
      </c>
      <c r="V39">
        <f t="shared" ca="1" si="11"/>
        <v>0</v>
      </c>
      <c r="W39">
        <f t="shared" ca="1" si="12"/>
        <v>-3.9500000000000313E-2</v>
      </c>
      <c r="X39">
        <f t="shared" ca="1" si="0"/>
        <v>-0.97870000000000035</v>
      </c>
    </row>
    <row r="40" spans="1:24">
      <c r="A40" t="s">
        <v>156</v>
      </c>
      <c r="B40" s="25" t="s">
        <v>155</v>
      </c>
      <c r="C40">
        <f ca="1">_xll.ciqfunctions.udf.CIQ($B40,"IQ_CDS_mid",C$2)</f>
        <v>22.1</v>
      </c>
      <c r="D40">
        <f ca="1">_xll.ciqfunctions.udf.CIQ($B40,"IQ_CDS_mid",D$2)</f>
        <v>22.1</v>
      </c>
      <c r="E40">
        <f ca="1">_xll.ciqfunctions.udf.CIQ($B40,"IQ_CDS_mid",E$2)</f>
        <v>22.1</v>
      </c>
      <c r="F40">
        <f ca="1">_xll.ciqfunctions.udf.CIQ($B40,"IQ_CDS_mid",F$2)</f>
        <v>22.1</v>
      </c>
      <c r="G40">
        <f ca="1">_xll.ciqfunctions.udf.CIQ($B40,"IQ_CDS_mid",G$2)</f>
        <v>21.968800000000002</v>
      </c>
      <c r="H40">
        <f ca="1">_xll.ciqfunctions.udf.CIQ($B40,"IQ_CDS_mid",H$2)</f>
        <v>22.275500000000001</v>
      </c>
      <c r="I40">
        <f ca="1">_xll.ciqfunctions.udf.CIQ($B40,"IQ_CDS_mid",I$2)</f>
        <v>22.281300000000002</v>
      </c>
      <c r="J40">
        <f ca="1">_xll.ciqfunctions.udf.CIQ($B40,"IQ_CDS_mid",J$2)</f>
        <v>22.074400000000001</v>
      </c>
      <c r="K40">
        <f ca="1">_xll.ciqfunctions.udf.CIQ($B40,"IQ_CDS_mid",K$2)</f>
        <v>22.042200000000001</v>
      </c>
      <c r="L40">
        <f ca="1">_xll.ciqfunctions.udf.CIQ($B40,"IQ_CDS_mid",L$2)</f>
        <v>22.042200000000001</v>
      </c>
      <c r="M40">
        <f ca="1">_xll.ciqfunctions.udf.CIQ($B40,"IQ_CDS_mid",M$2)</f>
        <v>22.042200000000001</v>
      </c>
      <c r="N40">
        <f ca="1">_xll.ciqfunctions.udf.CIQ($B40,"IQ_CDS_mid",N$2)</f>
        <v>22.21</v>
      </c>
      <c r="O40">
        <f ca="1">_xll.ciqfunctions.udf.CIQ($B40,"IQ_CDS_mid",O$2)</f>
        <v>22.375</v>
      </c>
      <c r="P40">
        <f ca="1">_xll.ciqfunctions.udf.CIQ($B40,"IQ_CDS_mid",P$2)</f>
        <v>22.541699999999999</v>
      </c>
      <c r="Q40">
        <f ca="1">_xll.ciqfunctions.udf.CIQ($B40,"IQ_CDS_mid",Q$2)</f>
        <v>22.625</v>
      </c>
      <c r="R40">
        <f ca="1">_xll.ciqfunctions.udf.CIQ($B40,"IQ_CDS_mid",R$2)</f>
        <v>22.416699999999999</v>
      </c>
      <c r="S40">
        <f ca="1">_xll.ciqfunctions.udf.CIQ($B40,"IQ_CDS_mid",S$2)</f>
        <v>19.5</v>
      </c>
      <c r="T40">
        <f t="shared" ca="1" si="9"/>
        <v>-0.17549999999999955</v>
      </c>
      <c r="U40">
        <f t="shared" ca="1" si="10"/>
        <v>5.7800000000000296E-2</v>
      </c>
      <c r="V40">
        <f t="shared" ca="1" si="11"/>
        <v>-0.52499999999999858</v>
      </c>
      <c r="W40">
        <f t="shared" ca="1" si="12"/>
        <v>-0.31669999999999732</v>
      </c>
      <c r="X40">
        <f t="shared" ca="1" si="0"/>
        <v>2.6000000000000014</v>
      </c>
    </row>
    <row r="41" spans="1:24">
      <c r="A41" t="s">
        <v>154</v>
      </c>
      <c r="B41" s="25"/>
    </row>
    <row r="42" spans="1:24">
      <c r="A42" t="s">
        <v>153</v>
      </c>
      <c r="B42" s="25" t="s">
        <v>152</v>
      </c>
      <c r="C42">
        <f ca="1">_xll.ciqfunctions.udf.CIQ($B42,"IQ_CDS_mid",C$2)</f>
        <v>40.526899999999998</v>
      </c>
      <c r="D42">
        <f ca="1">_xll.ciqfunctions.udf.CIQ($B42,"IQ_CDS_mid",D$2)</f>
        <v>40.526899999999998</v>
      </c>
      <c r="E42">
        <f ca="1">_xll.ciqfunctions.udf.CIQ($B42,"IQ_CDS_mid",E$2)</f>
        <v>40.526899999999998</v>
      </c>
      <c r="F42">
        <f ca="1">_xll.ciqfunctions.udf.CIQ($B42,"IQ_CDS_mid",F$2)</f>
        <v>40.526899999999998</v>
      </c>
      <c r="G42">
        <f ca="1">_xll.ciqfunctions.udf.CIQ($B42,"IQ_CDS_mid",G$2)</f>
        <v>40.4176</v>
      </c>
      <c r="H42">
        <f ca="1">_xll.ciqfunctions.udf.CIQ($B42,"IQ_CDS_mid",H$2)</f>
        <v>41.081499999999998</v>
      </c>
      <c r="I42">
        <f ca="1">_xll.ciqfunctions.udf.CIQ($B42,"IQ_CDS_mid",I$2)</f>
        <v>40.957799999999999</v>
      </c>
      <c r="J42">
        <f ca="1">_xll.ciqfunctions.udf.CIQ($B42,"IQ_CDS_mid",J$2)</f>
        <v>40.3125</v>
      </c>
      <c r="K42">
        <f ca="1">_xll.ciqfunctions.udf.CIQ($B42,"IQ_CDS_mid",K$2)</f>
        <v>40.599899999999998</v>
      </c>
      <c r="L42">
        <f ca="1">_xll.ciqfunctions.udf.CIQ($B42,"IQ_CDS_mid",L$2)</f>
        <v>40.599899999999998</v>
      </c>
      <c r="M42">
        <f ca="1">_xll.ciqfunctions.udf.CIQ($B42,"IQ_CDS_mid",M$2)</f>
        <v>40.599899999999998</v>
      </c>
      <c r="N42">
        <f ca="1">_xll.ciqfunctions.udf.CIQ($B42,"IQ_CDS_mid",N$2)</f>
        <v>40.833300000000001</v>
      </c>
      <c r="O42">
        <f ca="1">_xll.ciqfunctions.udf.CIQ($B42,"IQ_CDS_mid",O$2)</f>
        <v>41.447800000000001</v>
      </c>
      <c r="P42">
        <f ca="1">_xll.ciqfunctions.udf.CIQ($B42,"IQ_CDS_mid",P$2)</f>
        <v>41.767000000000003</v>
      </c>
      <c r="Q42">
        <f ca="1">_xll.ciqfunctions.udf.CIQ($B42,"IQ_CDS_mid",Q$2)</f>
        <v>41.250100000000003</v>
      </c>
      <c r="R42">
        <f ca="1">_xll.ciqfunctions.udf.CIQ($B42,"IQ_CDS_mid",R$2)</f>
        <v>50.495899999999999</v>
      </c>
      <c r="S42">
        <f ca="1">_xll.ciqfunctions.udf.CIQ($B42,"IQ_CDS_mid",S$2)</f>
        <v>38.354199999999999</v>
      </c>
      <c r="T42">
        <f ca="1">C42-H42</f>
        <v>-0.55460000000000065</v>
      </c>
      <c r="U42">
        <f ca="1">C42-M42</f>
        <v>-7.3000000000000398E-2</v>
      </c>
      <c r="V42">
        <f ca="1">C42-Q42</f>
        <v>-0.72320000000000562</v>
      </c>
      <c r="W42">
        <f ca="1">C42-R42</f>
        <v>-9.9690000000000012</v>
      </c>
      <c r="X42">
        <f t="shared" ref="X42:X84" ca="1" si="13">C42-S42</f>
        <v>2.172699999999999</v>
      </c>
    </row>
    <row r="43" spans="1:24">
      <c r="A43" s="16" t="s">
        <v>151</v>
      </c>
      <c r="X43">
        <f t="shared" si="13"/>
        <v>0</v>
      </c>
    </row>
    <row r="44" spans="1:24">
      <c r="A44" t="s">
        <v>150</v>
      </c>
      <c r="B44" t="s">
        <v>149</v>
      </c>
      <c r="C44">
        <f ca="1">_xll.ciqfunctions.udf.CIQ($B44,"IQ_CDS_mid",C$2)</f>
        <v>120.0311</v>
      </c>
      <c r="D44">
        <f ca="1">_xll.ciqfunctions.udf.CIQ($B44,"IQ_CDS_mid",D$2)</f>
        <v>120.0311</v>
      </c>
      <c r="E44">
        <f ca="1">_xll.ciqfunctions.udf.CIQ($B44,"IQ_CDS_mid",E$2)</f>
        <v>120.0311</v>
      </c>
      <c r="F44">
        <f ca="1">_xll.ciqfunctions.udf.CIQ($B44,"IQ_CDS_mid",F$2)</f>
        <v>120.0311</v>
      </c>
      <c r="G44">
        <f ca="1">_xll.ciqfunctions.udf.CIQ($B44,"IQ_CDS_mid",G$2)</f>
        <v>120.401</v>
      </c>
      <c r="H44">
        <f ca="1">_xll.ciqfunctions.udf.CIQ($B44,"IQ_CDS_mid",H$2)</f>
        <v>119.6236</v>
      </c>
      <c r="I44">
        <f ca="1">_xll.ciqfunctions.udf.CIQ($B44,"IQ_CDS_mid",I$2)</f>
        <v>121.2244</v>
      </c>
      <c r="J44">
        <f ca="1">_xll.ciqfunctions.udf.CIQ($B44,"IQ_CDS_mid",J$2)</f>
        <v>118.2908</v>
      </c>
      <c r="K44">
        <f ca="1">_xll.ciqfunctions.udf.CIQ($B44,"IQ_CDS_mid",K$2)</f>
        <v>118.5408</v>
      </c>
      <c r="L44">
        <f ca="1">_xll.ciqfunctions.udf.CIQ($B44,"IQ_CDS_mid",L$2)</f>
        <v>118.5408</v>
      </c>
      <c r="M44">
        <f ca="1">_xll.ciqfunctions.udf.CIQ($B44,"IQ_CDS_mid",M$2)</f>
        <v>118.5408</v>
      </c>
      <c r="N44">
        <f ca="1">_xll.ciqfunctions.udf.CIQ($B44,"IQ_CDS_mid",N$2)</f>
        <v>119.6234</v>
      </c>
      <c r="O44">
        <f ca="1">_xll.ciqfunctions.udf.CIQ($B44,"IQ_CDS_mid",O$2)</f>
        <v>121.7088</v>
      </c>
      <c r="P44">
        <f ca="1">_xll.ciqfunctions.udf.CIQ($B44,"IQ_CDS_mid",P$2)</f>
        <v>122.3755</v>
      </c>
      <c r="Q44">
        <f ca="1">_xll.ciqfunctions.udf.CIQ($B44,"IQ_CDS_mid",Q$2)</f>
        <v>121.2813</v>
      </c>
      <c r="R44">
        <f ca="1">_xll.ciqfunctions.udf.CIQ($B44,"IQ_CDS_mid",R$2)</f>
        <v>142.38380000000001</v>
      </c>
      <c r="S44">
        <f ca="1">_xll.ciqfunctions.udf.CIQ($B44,"IQ_CDS_mid",S$2)</f>
        <v>173.66669999999999</v>
      </c>
      <c r="T44">
        <f ca="1">C44-H44</f>
        <v>0.40749999999999886</v>
      </c>
      <c r="U44">
        <f ca="1">C44-M44</f>
        <v>1.4902999999999906</v>
      </c>
      <c r="V44">
        <f ca="1">C44-Q44</f>
        <v>-1.2502000000000066</v>
      </c>
      <c r="W44">
        <f ca="1">C44-R44</f>
        <v>-22.352700000000013</v>
      </c>
      <c r="X44">
        <f t="shared" ca="1" si="13"/>
        <v>-53.635599999999997</v>
      </c>
    </row>
    <row r="45" spans="1:24">
      <c r="X45">
        <f t="shared" si="13"/>
        <v>0</v>
      </c>
    </row>
    <row r="46" spans="1:24">
      <c r="X46">
        <f t="shared" si="13"/>
        <v>0</v>
      </c>
    </row>
    <row r="47" spans="1:24" ht="15.5">
      <c r="A47" s="28" t="s">
        <v>8</v>
      </c>
      <c r="X47">
        <f t="shared" si="13"/>
        <v>0</v>
      </c>
    </row>
    <row r="48" spans="1:24" ht="15.5">
      <c r="A48" s="27" t="s">
        <v>10</v>
      </c>
      <c r="B48" s="25" t="s">
        <v>148</v>
      </c>
      <c r="C48">
        <f ca="1">_xll.ciqfunctions.udf.CIQ($B48,"IQ_CDS_mid",C$2)</f>
        <v>51.605200000000004</v>
      </c>
      <c r="D48">
        <f ca="1">_xll.ciqfunctions.udf.CIQ($B48,"IQ_CDS_mid",D$2)</f>
        <v>51.605200000000004</v>
      </c>
      <c r="E48">
        <f ca="1">_xll.ciqfunctions.udf.CIQ($B48,"IQ_CDS_mid",E$2)</f>
        <v>51.605200000000004</v>
      </c>
      <c r="F48">
        <f ca="1">_xll.ciqfunctions.udf.CIQ($B48,"IQ_CDS_mid",F$2)</f>
        <v>51.605200000000004</v>
      </c>
      <c r="G48">
        <f ca="1">_xll.ciqfunctions.udf.CIQ($B48,"IQ_CDS_mid",G$2)</f>
        <v>52.4754</v>
      </c>
      <c r="H48">
        <f ca="1">_xll.ciqfunctions.udf.CIQ($B48,"IQ_CDS_mid",H$2)</f>
        <v>52.098799999999997</v>
      </c>
      <c r="I48">
        <f ca="1">_xll.ciqfunctions.udf.CIQ($B48,"IQ_CDS_mid",I$2)</f>
        <v>52.584899999999998</v>
      </c>
      <c r="J48">
        <f ca="1">_xll.ciqfunctions.udf.CIQ($B48,"IQ_CDS_mid",J$2)</f>
        <v>51.781399999999998</v>
      </c>
      <c r="K48">
        <f ca="1">_xll.ciqfunctions.udf.CIQ($B48,"IQ_CDS_mid",K$2)</f>
        <v>51.2318</v>
      </c>
      <c r="L48">
        <f ca="1">_xll.ciqfunctions.udf.CIQ($B48,"IQ_CDS_mid",L$2)</f>
        <v>51.2318</v>
      </c>
      <c r="M48">
        <f ca="1">_xll.ciqfunctions.udf.CIQ($B48,"IQ_CDS_mid",M$2)</f>
        <v>51.2318</v>
      </c>
      <c r="N48">
        <f ca="1">_xll.ciqfunctions.udf.CIQ($B48,"IQ_CDS_mid",N$2)</f>
        <v>51.319000000000003</v>
      </c>
      <c r="O48">
        <f ca="1">_xll.ciqfunctions.udf.CIQ($B48,"IQ_CDS_mid",O$2)</f>
        <v>51.913400000000003</v>
      </c>
      <c r="P48">
        <f ca="1">_xll.ciqfunctions.udf.CIQ($B48,"IQ_CDS_mid",P$2)</f>
        <v>52.817100000000003</v>
      </c>
      <c r="Q48">
        <f ca="1">_xll.ciqfunctions.udf.CIQ($B48,"IQ_CDS_mid",Q$2)</f>
        <v>52.520099999999999</v>
      </c>
      <c r="R48">
        <f ca="1">_xll.ciqfunctions.udf.CIQ($B48,"IQ_CDS_mid",R$2)</f>
        <v>55.0154</v>
      </c>
      <c r="S48">
        <f ca="1">_xll.ciqfunctions.udf.CIQ($B48,"IQ_CDS_mid",S$2)</f>
        <v>51.161799999999999</v>
      </c>
      <c r="T48">
        <f t="shared" ref="T48:T54" ca="1" si="14">C48-H48</f>
        <v>-0.4935999999999936</v>
      </c>
      <c r="U48">
        <f t="shared" ref="U48:U54" ca="1" si="15">C48-M48</f>
        <v>0.37340000000000373</v>
      </c>
      <c r="V48">
        <f t="shared" ref="V48:V54" ca="1" si="16">C48-Q48</f>
        <v>-0.91489999999999583</v>
      </c>
      <c r="W48">
        <f t="shared" ref="W48:W54" ca="1" si="17">C48-R48</f>
        <v>-3.4101999999999961</v>
      </c>
      <c r="X48">
        <f t="shared" ca="1" si="13"/>
        <v>0.44340000000000401</v>
      </c>
    </row>
    <row r="49" spans="1:24" ht="15.5">
      <c r="A49" s="27" t="s">
        <v>11</v>
      </c>
      <c r="B49" s="25" t="s">
        <v>147</v>
      </c>
      <c r="C49">
        <f ca="1">_xll.ciqfunctions.udf.CIQ($B49,"IQ_CDS_mid",C$2)</f>
        <v>53.616999999999997</v>
      </c>
      <c r="D49">
        <f ca="1">_xll.ciqfunctions.udf.CIQ($B49,"IQ_CDS_mid",D$2)</f>
        <v>53.616999999999997</v>
      </c>
      <c r="E49">
        <f ca="1">_xll.ciqfunctions.udf.CIQ($B49,"IQ_CDS_mid",E$2)</f>
        <v>53.616999999999997</v>
      </c>
      <c r="F49">
        <f ca="1">_xll.ciqfunctions.udf.CIQ($B49,"IQ_CDS_mid",F$2)</f>
        <v>53.616999999999997</v>
      </c>
      <c r="G49">
        <f ca="1">_xll.ciqfunctions.udf.CIQ($B49,"IQ_CDS_mid",G$2)</f>
        <v>54.2196</v>
      </c>
      <c r="H49">
        <f ca="1">_xll.ciqfunctions.udf.CIQ($B49,"IQ_CDS_mid",H$2)</f>
        <v>54.334800000000001</v>
      </c>
      <c r="I49">
        <f ca="1">_xll.ciqfunctions.udf.CIQ($B49,"IQ_CDS_mid",I$2)</f>
        <v>54.952800000000003</v>
      </c>
      <c r="J49">
        <f ca="1">_xll.ciqfunctions.udf.CIQ($B49,"IQ_CDS_mid",J$2)</f>
        <v>53.741599999999998</v>
      </c>
      <c r="K49">
        <f ca="1">_xll.ciqfunctions.udf.CIQ($B49,"IQ_CDS_mid",K$2)</f>
        <v>53.191000000000003</v>
      </c>
      <c r="L49">
        <f ca="1">_xll.ciqfunctions.udf.CIQ($B49,"IQ_CDS_mid",L$2)</f>
        <v>53.191000000000003</v>
      </c>
      <c r="M49">
        <f ca="1">_xll.ciqfunctions.udf.CIQ($B49,"IQ_CDS_mid",M$2)</f>
        <v>53.191000000000003</v>
      </c>
      <c r="N49">
        <f ca="1">_xll.ciqfunctions.udf.CIQ($B49,"IQ_CDS_mid",N$2)</f>
        <v>53.349699999999999</v>
      </c>
      <c r="O49">
        <f ca="1">_xll.ciqfunctions.udf.CIQ($B49,"IQ_CDS_mid",O$2)</f>
        <v>53.556399999999996</v>
      </c>
      <c r="P49">
        <f ca="1">_xll.ciqfunctions.udf.CIQ($B49,"IQ_CDS_mid",P$2)</f>
        <v>54.625100000000003</v>
      </c>
      <c r="Q49">
        <f ca="1">_xll.ciqfunctions.udf.CIQ($B49,"IQ_CDS_mid",Q$2)</f>
        <v>54.016800000000003</v>
      </c>
      <c r="R49">
        <f ca="1">_xll.ciqfunctions.udf.CIQ($B49,"IQ_CDS_mid",R$2)</f>
        <v>56.627600000000001</v>
      </c>
      <c r="S49">
        <f ca="1">_xll.ciqfunctions.udf.CIQ($B49,"IQ_CDS_mid",S$2)</f>
        <v>51.298900000000003</v>
      </c>
      <c r="T49">
        <f t="shared" ca="1" si="14"/>
        <v>-0.71780000000000399</v>
      </c>
      <c r="U49">
        <f t="shared" ca="1" si="15"/>
        <v>0.42599999999999483</v>
      </c>
      <c r="V49">
        <f t="shared" ca="1" si="16"/>
        <v>-0.39980000000000615</v>
      </c>
      <c r="W49">
        <f t="shared" ca="1" si="17"/>
        <v>-3.0106000000000037</v>
      </c>
      <c r="X49">
        <f t="shared" ca="1" si="13"/>
        <v>2.3180999999999941</v>
      </c>
    </row>
    <row r="50" spans="1:24" ht="15.5">
      <c r="A50" s="27" t="s">
        <v>146</v>
      </c>
      <c r="B50" s="25" t="s">
        <v>145</v>
      </c>
      <c r="C50">
        <f ca="1">_xll.ciqfunctions.udf.CIQ($B50,"IQ_CDS_mid",C$2)</f>
        <v>38.324199999999998</v>
      </c>
      <c r="D50">
        <f ca="1">_xll.ciqfunctions.udf.CIQ($B50,"IQ_CDS_mid",D$2)</f>
        <v>38.324199999999998</v>
      </c>
      <c r="E50">
        <f ca="1">_xll.ciqfunctions.udf.CIQ($B50,"IQ_CDS_mid",E$2)</f>
        <v>38.324199999999998</v>
      </c>
      <c r="F50">
        <f ca="1">_xll.ciqfunctions.udf.CIQ($B50,"IQ_CDS_mid",F$2)</f>
        <v>38.324199999999998</v>
      </c>
      <c r="G50">
        <f ca="1">_xll.ciqfunctions.udf.CIQ($B50,"IQ_CDS_mid",G$2)</f>
        <v>38.985700000000001</v>
      </c>
      <c r="H50">
        <f ca="1">_xll.ciqfunctions.udf.CIQ($B50,"IQ_CDS_mid",H$2)</f>
        <v>39.178800000000003</v>
      </c>
      <c r="I50">
        <f ca="1">_xll.ciqfunctions.udf.CIQ($B50,"IQ_CDS_mid",I$2)</f>
        <v>39.334499999999998</v>
      </c>
      <c r="J50">
        <f ca="1">_xll.ciqfunctions.udf.CIQ($B50,"IQ_CDS_mid",J$2)</f>
        <v>38.4148</v>
      </c>
      <c r="K50">
        <f ca="1">_xll.ciqfunctions.udf.CIQ($B50,"IQ_CDS_mid",K$2)</f>
        <v>38.137300000000003</v>
      </c>
      <c r="L50">
        <f ca="1">_xll.ciqfunctions.udf.CIQ($B50,"IQ_CDS_mid",L$2)</f>
        <v>38.137300000000003</v>
      </c>
      <c r="M50">
        <f ca="1">_xll.ciqfunctions.udf.CIQ($B50,"IQ_CDS_mid",M$2)</f>
        <v>38.137300000000003</v>
      </c>
      <c r="N50">
        <f ca="1">_xll.ciqfunctions.udf.CIQ($B50,"IQ_CDS_mid",N$2)</f>
        <v>38.085900000000002</v>
      </c>
      <c r="O50">
        <f ca="1">_xll.ciqfunctions.udf.CIQ($B50,"IQ_CDS_mid",O$2)</f>
        <v>38.488100000000003</v>
      </c>
      <c r="P50">
        <f ca="1">_xll.ciqfunctions.udf.CIQ($B50,"IQ_CDS_mid",P$2)</f>
        <v>39.257899999999999</v>
      </c>
      <c r="Q50">
        <f ca="1">_xll.ciqfunctions.udf.CIQ($B50,"IQ_CDS_mid",Q$2)</f>
        <v>39.130200000000002</v>
      </c>
      <c r="R50">
        <f ca="1">_xll.ciqfunctions.udf.CIQ($B50,"IQ_CDS_mid",R$2)</f>
        <v>42.465800000000002</v>
      </c>
      <c r="S50">
        <f ca="1">_xll.ciqfunctions.udf.CIQ($B50,"IQ_CDS_mid",S$2)</f>
        <v>37.302700000000002</v>
      </c>
      <c r="T50">
        <f t="shared" ca="1" si="14"/>
        <v>-0.85460000000000491</v>
      </c>
      <c r="U50">
        <f t="shared" ca="1" si="15"/>
        <v>0.18689999999999429</v>
      </c>
      <c r="V50">
        <f t="shared" ca="1" si="16"/>
        <v>-0.80600000000000449</v>
      </c>
      <c r="W50">
        <f t="shared" ca="1" si="17"/>
        <v>-4.1416000000000039</v>
      </c>
      <c r="X50">
        <f t="shared" ca="1" si="13"/>
        <v>1.0214999999999961</v>
      </c>
    </row>
    <row r="51" spans="1:24" ht="15.5">
      <c r="A51" s="27" t="s">
        <v>144</v>
      </c>
      <c r="B51" s="25" t="s">
        <v>143</v>
      </c>
      <c r="C51">
        <f ca="1">_xll.ciqfunctions.udf.CIQ($B51,"IQ_CDS_mid",C$2)</f>
        <v>54.0991</v>
      </c>
      <c r="D51">
        <f ca="1">_xll.ciqfunctions.udf.CIQ($B51,"IQ_CDS_mid",D$2)</f>
        <v>54.0991</v>
      </c>
      <c r="E51">
        <f ca="1">_xll.ciqfunctions.udf.CIQ($B51,"IQ_CDS_mid",E$2)</f>
        <v>54.0991</v>
      </c>
      <c r="F51">
        <f ca="1">_xll.ciqfunctions.udf.CIQ($B51,"IQ_CDS_mid",F$2)</f>
        <v>54.0991</v>
      </c>
      <c r="G51">
        <f ca="1">_xll.ciqfunctions.udf.CIQ($B51,"IQ_CDS_mid",G$2)</f>
        <v>54.226399999999998</v>
      </c>
      <c r="H51">
        <f ca="1">_xll.ciqfunctions.udf.CIQ($B51,"IQ_CDS_mid",H$2)</f>
        <v>54.368899999999996</v>
      </c>
      <c r="I51">
        <f ca="1">_xll.ciqfunctions.udf.CIQ($B51,"IQ_CDS_mid",I$2)</f>
        <v>55.417400000000001</v>
      </c>
      <c r="J51">
        <f ca="1">_xll.ciqfunctions.udf.CIQ($B51,"IQ_CDS_mid",J$2)</f>
        <v>54.310600000000001</v>
      </c>
      <c r="K51">
        <f ca="1">_xll.ciqfunctions.udf.CIQ($B51,"IQ_CDS_mid",K$2)</f>
        <v>53.763300000000001</v>
      </c>
      <c r="L51">
        <f ca="1">_xll.ciqfunctions.udf.CIQ($B51,"IQ_CDS_mid",L$2)</f>
        <v>53.763300000000001</v>
      </c>
      <c r="M51">
        <f ca="1">_xll.ciqfunctions.udf.CIQ($B51,"IQ_CDS_mid",M$2)</f>
        <v>53.763300000000001</v>
      </c>
      <c r="N51">
        <f ca="1">_xll.ciqfunctions.udf.CIQ($B51,"IQ_CDS_mid",N$2)</f>
        <v>53.342700000000001</v>
      </c>
      <c r="O51">
        <f ca="1">_xll.ciqfunctions.udf.CIQ($B51,"IQ_CDS_mid",O$2)</f>
        <v>53.713799999999999</v>
      </c>
      <c r="P51">
        <f ca="1">_xll.ciqfunctions.udf.CIQ($B51,"IQ_CDS_mid",P$2)</f>
        <v>54.285699999999999</v>
      </c>
      <c r="Q51">
        <f ca="1">_xll.ciqfunctions.udf.CIQ($B51,"IQ_CDS_mid",Q$2)</f>
        <v>53.898499999999999</v>
      </c>
      <c r="R51">
        <f ca="1">_xll.ciqfunctions.udf.CIQ($B51,"IQ_CDS_mid",R$2)</f>
        <v>56.5</v>
      </c>
      <c r="S51">
        <f ca="1">_xll.ciqfunctions.udf.CIQ($B51,"IQ_CDS_mid",S$2)</f>
        <v>54.1111</v>
      </c>
      <c r="T51">
        <f t="shared" ca="1" si="14"/>
        <v>-0.26979999999999649</v>
      </c>
      <c r="U51">
        <f t="shared" ca="1" si="15"/>
        <v>0.33579999999999899</v>
      </c>
      <c r="V51">
        <f t="shared" ca="1" si="16"/>
        <v>0.20060000000000144</v>
      </c>
      <c r="W51">
        <f t="shared" ca="1" si="17"/>
        <v>-2.4009</v>
      </c>
      <c r="X51">
        <f t="shared" ca="1" si="13"/>
        <v>-1.2000000000000455E-2</v>
      </c>
    </row>
    <row r="52" spans="1:24" ht="15.5">
      <c r="A52" s="27" t="s">
        <v>14</v>
      </c>
      <c r="B52" s="25" t="s">
        <v>142</v>
      </c>
      <c r="C52">
        <f ca="1">_xll.ciqfunctions.udf.CIQ($B52,"IQ_CDS_mid",C$2)</f>
        <v>56.321899999999999</v>
      </c>
      <c r="D52">
        <f ca="1">_xll.ciqfunctions.udf.CIQ($B52,"IQ_CDS_mid",D$2)</f>
        <v>56.321899999999999</v>
      </c>
      <c r="E52">
        <f ca="1">_xll.ciqfunctions.udf.CIQ($B52,"IQ_CDS_mid",E$2)</f>
        <v>56.321899999999999</v>
      </c>
      <c r="F52">
        <f ca="1">_xll.ciqfunctions.udf.CIQ($B52,"IQ_CDS_mid",F$2)</f>
        <v>56.321899999999999</v>
      </c>
      <c r="G52">
        <f ca="1">_xll.ciqfunctions.udf.CIQ($B52,"IQ_CDS_mid",G$2)</f>
        <v>56.578499999999998</v>
      </c>
      <c r="H52">
        <f ca="1">_xll.ciqfunctions.udf.CIQ($B52,"IQ_CDS_mid",H$2)</f>
        <v>56.780900000000003</v>
      </c>
      <c r="I52">
        <f ca="1">_xll.ciqfunctions.udf.CIQ($B52,"IQ_CDS_mid",I$2)</f>
        <v>58.277099999999997</v>
      </c>
      <c r="J52">
        <f ca="1">_xll.ciqfunctions.udf.CIQ($B52,"IQ_CDS_mid",J$2)</f>
        <v>56.987200000000001</v>
      </c>
      <c r="K52">
        <f ca="1">_xll.ciqfunctions.udf.CIQ($B52,"IQ_CDS_mid",K$2)</f>
        <v>56.751800000000003</v>
      </c>
      <c r="L52">
        <f ca="1">_xll.ciqfunctions.udf.CIQ($B52,"IQ_CDS_mid",L$2)</f>
        <v>56.751800000000003</v>
      </c>
      <c r="M52">
        <f ca="1">_xll.ciqfunctions.udf.CIQ($B52,"IQ_CDS_mid",M$2)</f>
        <v>56.751800000000003</v>
      </c>
      <c r="N52">
        <f ca="1">_xll.ciqfunctions.udf.CIQ($B52,"IQ_CDS_mid",N$2)</f>
        <v>56.589500000000001</v>
      </c>
      <c r="O52">
        <f ca="1">_xll.ciqfunctions.udf.CIQ($B52,"IQ_CDS_mid",O$2)</f>
        <v>57.738399999999999</v>
      </c>
      <c r="P52">
        <f ca="1">_xll.ciqfunctions.udf.CIQ($B52,"IQ_CDS_mid",P$2)</f>
        <v>58.715600000000002</v>
      </c>
      <c r="Q52">
        <f ca="1">_xll.ciqfunctions.udf.CIQ($B52,"IQ_CDS_mid",Q$2)</f>
        <v>58.259700000000002</v>
      </c>
      <c r="R52">
        <f ca="1">_xll.ciqfunctions.udf.CIQ($B52,"IQ_CDS_mid",R$2)</f>
        <v>58.191299999999998</v>
      </c>
      <c r="S52">
        <f ca="1">_xll.ciqfunctions.udf.CIQ($B52,"IQ_CDS_mid",S$2)</f>
        <v>50.016500000000001</v>
      </c>
      <c r="T52">
        <f t="shared" ca="1" si="14"/>
        <v>-0.45900000000000318</v>
      </c>
      <c r="U52">
        <f t="shared" ca="1" si="15"/>
        <v>-0.4299000000000035</v>
      </c>
      <c r="V52">
        <f t="shared" ca="1" si="16"/>
        <v>-1.9378000000000029</v>
      </c>
      <c r="W52">
        <f t="shared" ca="1" si="17"/>
        <v>-1.8693999999999988</v>
      </c>
      <c r="X52">
        <f t="shared" ca="1" si="13"/>
        <v>6.3053999999999988</v>
      </c>
    </row>
    <row r="53" spans="1:24" ht="15.5">
      <c r="A53" s="27" t="s">
        <v>15</v>
      </c>
      <c r="B53" s="25" t="s">
        <v>141</v>
      </c>
      <c r="C53">
        <f ca="1">_xll.ciqfunctions.udf.CIQ($B53,"IQ_CDS_mid",C$2)</f>
        <v>47.158299999999997</v>
      </c>
      <c r="D53">
        <f ca="1">_xll.ciqfunctions.udf.CIQ($B53,"IQ_CDS_mid",D$2)</f>
        <v>47.158299999999997</v>
      </c>
      <c r="E53">
        <f ca="1">_xll.ciqfunctions.udf.CIQ($B53,"IQ_CDS_mid",E$2)</f>
        <v>47.158299999999997</v>
      </c>
      <c r="F53">
        <f ca="1">_xll.ciqfunctions.udf.CIQ($B53,"IQ_CDS_mid",F$2)</f>
        <v>47.158299999999997</v>
      </c>
      <c r="G53">
        <f ca="1">_xll.ciqfunctions.udf.CIQ($B53,"IQ_CDS_mid",G$2)</f>
        <v>47.196199999999997</v>
      </c>
      <c r="H53">
        <f ca="1">_xll.ciqfunctions.udf.CIQ($B53,"IQ_CDS_mid",H$2)</f>
        <v>47.569000000000003</v>
      </c>
      <c r="I53">
        <f ca="1">_xll.ciqfunctions.udf.CIQ($B53,"IQ_CDS_mid",I$2)</f>
        <v>47.846699999999998</v>
      </c>
      <c r="J53">
        <f ca="1">_xll.ciqfunctions.udf.CIQ($B53,"IQ_CDS_mid",J$2)</f>
        <v>46.937399999999997</v>
      </c>
      <c r="K53">
        <f ca="1">_xll.ciqfunctions.udf.CIQ($B53,"IQ_CDS_mid",K$2)</f>
        <v>46.340400000000002</v>
      </c>
      <c r="L53">
        <f ca="1">_xll.ciqfunctions.udf.CIQ($B53,"IQ_CDS_mid",L$2)</f>
        <v>46.340400000000002</v>
      </c>
      <c r="M53">
        <f ca="1">_xll.ciqfunctions.udf.CIQ($B53,"IQ_CDS_mid",M$2)</f>
        <v>46.340400000000002</v>
      </c>
      <c r="N53">
        <f ca="1">_xll.ciqfunctions.udf.CIQ($B53,"IQ_CDS_mid",N$2)</f>
        <v>46.523299999999999</v>
      </c>
      <c r="O53">
        <f ca="1">_xll.ciqfunctions.udf.CIQ($B53,"IQ_CDS_mid",O$2)</f>
        <v>47.158000000000001</v>
      </c>
      <c r="P53">
        <f ca="1">_xll.ciqfunctions.udf.CIQ($B53,"IQ_CDS_mid",P$2)</f>
        <v>48.200299999999999</v>
      </c>
      <c r="Q53">
        <f ca="1">_xll.ciqfunctions.udf.CIQ($B53,"IQ_CDS_mid",Q$2)</f>
        <v>48.145200000000003</v>
      </c>
      <c r="R53">
        <f ca="1">_xll.ciqfunctions.udf.CIQ($B53,"IQ_CDS_mid",R$2)</f>
        <v>52.110100000000003</v>
      </c>
      <c r="S53">
        <f ca="1">_xll.ciqfunctions.udf.CIQ($B53,"IQ_CDS_mid",S$2)</f>
        <v>44.836199999999998</v>
      </c>
      <c r="T53">
        <f t="shared" ca="1" si="14"/>
        <v>-0.41070000000000562</v>
      </c>
      <c r="U53">
        <f t="shared" ca="1" si="15"/>
        <v>0.81789999999999452</v>
      </c>
      <c r="V53">
        <f t="shared" ca="1" si="16"/>
        <v>-0.98690000000000566</v>
      </c>
      <c r="W53">
        <f t="shared" ca="1" si="17"/>
        <v>-4.9518000000000058</v>
      </c>
      <c r="X53">
        <f t="shared" ca="1" si="13"/>
        <v>2.3220999999999989</v>
      </c>
    </row>
    <row r="54" spans="1:24" ht="15.5">
      <c r="A54" s="27" t="s">
        <v>140</v>
      </c>
      <c r="B54" s="25" t="s">
        <v>139</v>
      </c>
      <c r="C54">
        <f ca="1">_xll.ciqfunctions.udf.CIQ($B54,"IQ_CDS_mid",C$2)</f>
        <v>50.082000000000001</v>
      </c>
      <c r="D54">
        <f ca="1">_xll.ciqfunctions.udf.CIQ($B54,"IQ_CDS_mid",D$2)</f>
        <v>50.082000000000001</v>
      </c>
      <c r="E54">
        <f ca="1">_xll.ciqfunctions.udf.CIQ($B54,"IQ_CDS_mid",E$2)</f>
        <v>50.082000000000001</v>
      </c>
      <c r="F54">
        <f ca="1">_xll.ciqfunctions.udf.CIQ($B54,"IQ_CDS_mid",F$2)</f>
        <v>50.082000000000001</v>
      </c>
      <c r="G54">
        <f ca="1">_xll.ciqfunctions.udf.CIQ($B54,"IQ_CDS_mid",G$2)</f>
        <v>50.275500000000001</v>
      </c>
      <c r="H54">
        <f ca="1">_xll.ciqfunctions.udf.CIQ($B54,"IQ_CDS_mid",H$2)</f>
        <v>50.07</v>
      </c>
      <c r="I54">
        <f ca="1">_xll.ciqfunctions.udf.CIQ($B54,"IQ_CDS_mid",I$2)</f>
        <v>51.518000000000001</v>
      </c>
      <c r="J54">
        <f ca="1">_xll.ciqfunctions.udf.CIQ($B54,"IQ_CDS_mid",J$2)</f>
        <v>51.418700000000001</v>
      </c>
      <c r="K54">
        <f ca="1">_xll.ciqfunctions.udf.CIQ($B54,"IQ_CDS_mid",K$2)</f>
        <v>50.8063</v>
      </c>
      <c r="L54">
        <f ca="1">_xll.ciqfunctions.udf.CIQ($B54,"IQ_CDS_mid",L$2)</f>
        <v>50.8063</v>
      </c>
      <c r="M54">
        <f ca="1">_xll.ciqfunctions.udf.CIQ($B54,"IQ_CDS_mid",M$2)</f>
        <v>50.8063</v>
      </c>
      <c r="N54">
        <f ca="1">_xll.ciqfunctions.udf.CIQ($B54,"IQ_CDS_mid",N$2)</f>
        <v>50.197600000000001</v>
      </c>
      <c r="O54">
        <f ca="1">_xll.ciqfunctions.udf.CIQ($B54,"IQ_CDS_mid",O$2)</f>
        <v>50.677599999999998</v>
      </c>
      <c r="P54">
        <f ca="1">_xll.ciqfunctions.udf.CIQ($B54,"IQ_CDS_mid",P$2)</f>
        <v>51.550400000000003</v>
      </c>
      <c r="Q54">
        <f ca="1">_xll.ciqfunctions.udf.CIQ($B54,"IQ_CDS_mid",Q$2)</f>
        <v>51.4529</v>
      </c>
      <c r="R54">
        <f ca="1">_xll.ciqfunctions.udf.CIQ($B54,"IQ_CDS_mid",R$2)</f>
        <v>52.011000000000003</v>
      </c>
      <c r="S54">
        <f ca="1">_xll.ciqfunctions.udf.CIQ($B54,"IQ_CDS_mid",S$2)</f>
        <v>48.904699999999998</v>
      </c>
      <c r="T54">
        <f t="shared" ca="1" si="14"/>
        <v>1.2000000000000455E-2</v>
      </c>
      <c r="U54">
        <f t="shared" ca="1" si="15"/>
        <v>-0.7242999999999995</v>
      </c>
      <c r="V54">
        <f t="shared" ca="1" si="16"/>
        <v>-1.3708999999999989</v>
      </c>
      <c r="W54">
        <f t="shared" ca="1" si="17"/>
        <v>-1.929000000000002</v>
      </c>
      <c r="X54">
        <f t="shared" ca="1" si="13"/>
        <v>1.1773000000000025</v>
      </c>
    </row>
    <row r="55" spans="1:24" ht="15.5">
      <c r="A55" s="28" t="s">
        <v>17</v>
      </c>
      <c r="X55">
        <f t="shared" si="13"/>
        <v>0</v>
      </c>
    </row>
    <row r="56" spans="1:24" ht="15.5">
      <c r="A56" s="27" t="s">
        <v>18</v>
      </c>
      <c r="B56" s="25" t="s">
        <v>138</v>
      </c>
      <c r="C56">
        <f ca="1">_xll.ciqfunctions.udf.CIQ($B56,"IQ_CDS_mid",C$2)</f>
        <v>40.601100000000002</v>
      </c>
      <c r="D56">
        <f ca="1">_xll.ciqfunctions.udf.CIQ($B56,"IQ_CDS_mid",D$2)</f>
        <v>40.601100000000002</v>
      </c>
      <c r="E56">
        <f ca="1">_xll.ciqfunctions.udf.CIQ($B56,"IQ_CDS_mid",E$2)</f>
        <v>40.601100000000002</v>
      </c>
      <c r="F56">
        <f ca="1">_xll.ciqfunctions.udf.CIQ($B56,"IQ_CDS_mid",F$2)</f>
        <v>40.601100000000002</v>
      </c>
      <c r="G56">
        <f ca="1">_xll.ciqfunctions.udf.CIQ($B56,"IQ_CDS_mid",G$2)</f>
        <v>40.799999999999997</v>
      </c>
      <c r="H56">
        <f ca="1">_xll.ciqfunctions.udf.CIQ($B56,"IQ_CDS_mid",H$2)</f>
        <v>40.9</v>
      </c>
      <c r="I56">
        <f ca="1">_xll.ciqfunctions.udf.CIQ($B56,"IQ_CDS_mid",I$2)</f>
        <v>41.107100000000003</v>
      </c>
      <c r="J56">
        <f ca="1">_xll.ciqfunctions.udf.CIQ($B56,"IQ_CDS_mid",J$2)</f>
        <v>40.817</v>
      </c>
      <c r="K56">
        <f ca="1">_xll.ciqfunctions.udf.CIQ($B56,"IQ_CDS_mid",K$2)</f>
        <v>40.6616</v>
      </c>
      <c r="L56">
        <f ca="1">_xll.ciqfunctions.udf.CIQ($B56,"IQ_CDS_mid",L$2)</f>
        <v>40.6616</v>
      </c>
      <c r="M56">
        <f ca="1">_xll.ciqfunctions.udf.CIQ($B56,"IQ_CDS_mid",M$2)</f>
        <v>40.6616</v>
      </c>
      <c r="N56">
        <f ca="1">_xll.ciqfunctions.udf.CIQ($B56,"IQ_CDS_mid",N$2)</f>
        <v>40.871899999999997</v>
      </c>
      <c r="O56">
        <f ca="1">_xll.ciqfunctions.udf.CIQ($B56,"IQ_CDS_mid",O$2)</f>
        <v>41.291699999999999</v>
      </c>
      <c r="P56">
        <f ca="1">_xll.ciqfunctions.udf.CIQ($B56,"IQ_CDS_mid",P$2)</f>
        <v>41.183999999999997</v>
      </c>
      <c r="Q56">
        <f ca="1">_xll.ciqfunctions.udf.CIQ($B56,"IQ_CDS_mid",Q$2)</f>
        <v>41.299399999999999</v>
      </c>
      <c r="R56">
        <f ca="1">_xll.ciqfunctions.udf.CIQ($B56,"IQ_CDS_mid",R$2)</f>
        <v>39.735399999999998</v>
      </c>
      <c r="S56">
        <f ca="1">_xll.ciqfunctions.udf.CIQ($B56,"IQ_CDS_mid",S$2)</f>
        <v>41.4283</v>
      </c>
      <c r="T56">
        <f ca="1">C56-H56</f>
        <v>-0.29889999999999617</v>
      </c>
      <c r="U56">
        <f ca="1">C56-M56</f>
        <v>-6.0499999999997556E-2</v>
      </c>
      <c r="V56">
        <f ca="1">C56-Q56</f>
        <v>-0.69829999999999615</v>
      </c>
      <c r="W56">
        <f ca="1">C56-R56</f>
        <v>0.86570000000000391</v>
      </c>
      <c r="X56">
        <f t="shared" ca="1" si="13"/>
        <v>-0.82719999999999771</v>
      </c>
    </row>
    <row r="57" spans="1:24" ht="15.5">
      <c r="A57" s="27" t="s">
        <v>19</v>
      </c>
      <c r="B57" s="25" t="s">
        <v>137</v>
      </c>
      <c r="C57">
        <f ca="1">_xll.ciqfunctions.udf.CIQ($B57,"IQ_CDS_mid",C$2)</f>
        <v>35.292499999999997</v>
      </c>
      <c r="D57">
        <f ca="1">_xll.ciqfunctions.udf.CIQ($B57,"IQ_CDS_mid",D$2)</f>
        <v>35.292499999999997</v>
      </c>
      <c r="E57">
        <f ca="1">_xll.ciqfunctions.udf.CIQ($B57,"IQ_CDS_mid",E$2)</f>
        <v>35.292499999999997</v>
      </c>
      <c r="F57">
        <f ca="1">_xll.ciqfunctions.udf.CIQ($B57,"IQ_CDS_mid",F$2)</f>
        <v>35.292499999999997</v>
      </c>
      <c r="G57">
        <f ca="1">_xll.ciqfunctions.udf.CIQ($B57,"IQ_CDS_mid",G$2)</f>
        <v>35.35</v>
      </c>
      <c r="H57">
        <f ca="1">_xll.ciqfunctions.udf.CIQ($B57,"IQ_CDS_mid",H$2)</f>
        <v>35.71</v>
      </c>
      <c r="I57">
        <f ca="1">_xll.ciqfunctions.udf.CIQ($B57,"IQ_CDS_mid",I$2)</f>
        <v>35.375</v>
      </c>
      <c r="J57">
        <f ca="1">_xll.ciqfunctions.udf.CIQ($B57,"IQ_CDS_mid",J$2)</f>
        <v>35.5</v>
      </c>
      <c r="K57">
        <f ca="1">_xll.ciqfunctions.udf.CIQ($B57,"IQ_CDS_mid",K$2)</f>
        <v>35.3277</v>
      </c>
      <c r="L57">
        <f ca="1">_xll.ciqfunctions.udf.CIQ($B57,"IQ_CDS_mid",L$2)</f>
        <v>35.3277</v>
      </c>
      <c r="M57">
        <f ca="1">_xll.ciqfunctions.udf.CIQ($B57,"IQ_CDS_mid",M$2)</f>
        <v>35.3277</v>
      </c>
      <c r="N57">
        <f ca="1">_xll.ciqfunctions.udf.CIQ($B57,"IQ_CDS_mid",N$2)</f>
        <v>35.5</v>
      </c>
      <c r="O57">
        <f ca="1">_xll.ciqfunctions.udf.CIQ($B57,"IQ_CDS_mid",O$2)</f>
        <v>35.458300000000001</v>
      </c>
      <c r="P57">
        <f ca="1">_xll.ciqfunctions.udf.CIQ($B57,"IQ_CDS_mid",P$2)</f>
        <v>35.466700000000003</v>
      </c>
      <c r="Q57">
        <f ca="1">_xll.ciqfunctions.udf.CIQ($B57,"IQ_CDS_mid",Q$2)</f>
        <v>35.299999999999997</v>
      </c>
      <c r="R57">
        <f ca="1">_xll.ciqfunctions.udf.CIQ($B57,"IQ_CDS_mid",R$2)</f>
        <v>34.292900000000003</v>
      </c>
      <c r="S57">
        <f ca="1">_xll.ciqfunctions.udf.CIQ($B57,"IQ_CDS_mid",S$2)</f>
        <v>38.138300000000001</v>
      </c>
      <c r="T57">
        <f ca="1">C57-H57</f>
        <v>-0.41750000000000398</v>
      </c>
      <c r="U57">
        <f ca="1">C57-M57</f>
        <v>-3.5200000000003229E-2</v>
      </c>
      <c r="V57">
        <f ca="1">C57-Q57</f>
        <v>-7.5000000000002842E-3</v>
      </c>
      <c r="W57">
        <f ca="1">C57-R57</f>
        <v>0.99959999999999383</v>
      </c>
      <c r="X57">
        <f t="shared" ca="1" si="13"/>
        <v>-2.8458000000000041</v>
      </c>
    </row>
    <row r="58" spans="1:24" ht="15.5">
      <c r="A58" s="27" t="s">
        <v>136</v>
      </c>
      <c r="B58" s="25" t="s">
        <v>135</v>
      </c>
      <c r="C58">
        <f ca="1">_xll.ciqfunctions.udf.CIQ($B58,"IQ_CDS_mid",C$2)</f>
        <v>42.910899999999998</v>
      </c>
      <c r="D58">
        <f ca="1">_xll.ciqfunctions.udf.CIQ($B58,"IQ_CDS_mid",D$2)</f>
        <v>42.910899999999998</v>
      </c>
      <c r="E58">
        <f ca="1">_xll.ciqfunctions.udf.CIQ($B58,"IQ_CDS_mid",E$2)</f>
        <v>42.910899999999998</v>
      </c>
      <c r="F58">
        <f ca="1">_xll.ciqfunctions.udf.CIQ($B58,"IQ_CDS_mid",F$2)</f>
        <v>42.910899999999998</v>
      </c>
      <c r="G58">
        <f ca="1">_xll.ciqfunctions.udf.CIQ($B58,"IQ_CDS_mid",G$2)</f>
        <v>43.217700000000001</v>
      </c>
      <c r="H58">
        <f ca="1">_xll.ciqfunctions.udf.CIQ($B58,"IQ_CDS_mid",H$2)</f>
        <v>43.083300000000001</v>
      </c>
      <c r="I58">
        <f ca="1">_xll.ciqfunctions.udf.CIQ($B58,"IQ_CDS_mid",I$2)</f>
        <v>43.107100000000003</v>
      </c>
      <c r="J58">
        <f ca="1">_xll.ciqfunctions.udf.CIQ($B58,"IQ_CDS_mid",J$2)</f>
        <v>42.900700000000001</v>
      </c>
      <c r="K58">
        <f ca="1">_xll.ciqfunctions.udf.CIQ($B58,"IQ_CDS_mid",K$2)</f>
        <v>42.71</v>
      </c>
      <c r="L58">
        <f ca="1">_xll.ciqfunctions.udf.CIQ($B58,"IQ_CDS_mid",L$2)</f>
        <v>42.71</v>
      </c>
      <c r="M58">
        <f ca="1">_xll.ciqfunctions.udf.CIQ($B58,"IQ_CDS_mid",M$2)</f>
        <v>42.71</v>
      </c>
      <c r="N58">
        <f ca="1">_xll.ciqfunctions.udf.CIQ($B58,"IQ_CDS_mid",N$2)</f>
        <v>42.678600000000003</v>
      </c>
      <c r="O58">
        <f ca="1">_xll.ciqfunctions.udf.CIQ($B58,"IQ_CDS_mid",O$2)</f>
        <v>42.928600000000003</v>
      </c>
      <c r="P58">
        <f ca="1">_xll.ciqfunctions.udf.CIQ($B58,"IQ_CDS_mid",P$2)</f>
        <v>42.833300000000001</v>
      </c>
      <c r="Q58">
        <f ca="1">_xll.ciqfunctions.udf.CIQ($B58,"IQ_CDS_mid",Q$2)</f>
        <v>42.833300000000001</v>
      </c>
      <c r="R58">
        <f ca="1">_xll.ciqfunctions.udf.CIQ($B58,"IQ_CDS_mid",R$2)</f>
        <v>42.746000000000002</v>
      </c>
      <c r="S58">
        <f ca="1">_xll.ciqfunctions.udf.CIQ($B58,"IQ_CDS_mid",S$2)</f>
        <v>46.548299999999998</v>
      </c>
      <c r="T58">
        <f ca="1">C58-H58</f>
        <v>-0.17240000000000322</v>
      </c>
      <c r="U58">
        <f ca="1">C58-M58</f>
        <v>0.20089999999999719</v>
      </c>
      <c r="V58">
        <f ca="1">C58-Q58</f>
        <v>7.7599999999996783E-2</v>
      </c>
      <c r="W58">
        <f ca="1">C58-R58</f>
        <v>0.16489999999999583</v>
      </c>
      <c r="X58">
        <f t="shared" ca="1" si="13"/>
        <v>-3.6373999999999995</v>
      </c>
    </row>
    <row r="59" spans="1:24" ht="15.5">
      <c r="A59" s="28" t="s">
        <v>21</v>
      </c>
      <c r="X59">
        <f t="shared" si="13"/>
        <v>0</v>
      </c>
    </row>
    <row r="60" spans="1:24" ht="15.5">
      <c r="A60" s="27" t="s">
        <v>134</v>
      </c>
      <c r="B60" s="25" t="s">
        <v>133</v>
      </c>
      <c r="C60">
        <f ca="1">_xll.ciqfunctions.udf.CIQ($B60,"IQ_CDS_mid",C$2)</f>
        <v>44.970100000000002</v>
      </c>
      <c r="D60">
        <f ca="1">_xll.ciqfunctions.udf.CIQ($B60,"IQ_CDS_mid",D$2)</f>
        <v>44.970100000000002</v>
      </c>
      <c r="E60">
        <f ca="1">_xll.ciqfunctions.udf.CIQ($B60,"IQ_CDS_mid",E$2)</f>
        <v>44.970100000000002</v>
      </c>
      <c r="F60">
        <f ca="1">_xll.ciqfunctions.udf.CIQ($B60,"IQ_CDS_mid",F$2)</f>
        <v>44.970100000000002</v>
      </c>
      <c r="G60">
        <f ca="1">_xll.ciqfunctions.udf.CIQ($B60,"IQ_CDS_mid",G$2)</f>
        <v>44.950200000000002</v>
      </c>
      <c r="H60">
        <f ca="1">_xll.ciqfunctions.udf.CIQ($B60,"IQ_CDS_mid",H$2)</f>
        <v>44.733699999999999</v>
      </c>
      <c r="I60">
        <f ca="1">_xll.ciqfunctions.udf.CIQ($B60,"IQ_CDS_mid",I$2)</f>
        <v>44.841099999999997</v>
      </c>
      <c r="J60">
        <f ca="1">_xll.ciqfunctions.udf.CIQ($B60,"IQ_CDS_mid",J$2)</f>
        <v>44.5</v>
      </c>
      <c r="K60">
        <f ca="1">_xll.ciqfunctions.udf.CIQ($B60,"IQ_CDS_mid",K$2)</f>
        <v>44.346299999999999</v>
      </c>
      <c r="L60">
        <f ca="1">_xll.ciqfunctions.udf.CIQ($B60,"IQ_CDS_mid",L$2)</f>
        <v>44.346299999999999</v>
      </c>
      <c r="M60">
        <f ca="1">_xll.ciqfunctions.udf.CIQ($B60,"IQ_CDS_mid",M$2)</f>
        <v>44.346299999999999</v>
      </c>
      <c r="N60">
        <f ca="1">_xll.ciqfunctions.udf.CIQ($B60,"IQ_CDS_mid",N$2)</f>
        <v>44.36</v>
      </c>
      <c r="O60">
        <f ca="1">_xll.ciqfunctions.udf.CIQ($B60,"IQ_CDS_mid",O$2)</f>
        <v>44.892000000000003</v>
      </c>
      <c r="P60">
        <f ca="1">_xll.ciqfunctions.udf.CIQ($B60,"IQ_CDS_mid",P$2)</f>
        <v>44.949199999999998</v>
      </c>
      <c r="Q60">
        <f ca="1">_xll.ciqfunctions.udf.CIQ($B60,"IQ_CDS_mid",Q$2)</f>
        <v>45.118000000000002</v>
      </c>
      <c r="R60">
        <f ca="1">_xll.ciqfunctions.udf.CIQ($B60,"IQ_CDS_mid",R$2)</f>
        <v>52.222900000000003</v>
      </c>
      <c r="S60">
        <f ca="1">_xll.ciqfunctions.udf.CIQ($B60,"IQ_CDS_mid",S$2)</f>
        <v>46.769799999999996</v>
      </c>
      <c r="T60">
        <f ca="1">C60-H60</f>
        <v>0.23640000000000327</v>
      </c>
      <c r="U60">
        <f ca="1">C60-M60</f>
        <v>0.6238000000000028</v>
      </c>
      <c r="V60">
        <f ca="1">C60-Q60</f>
        <v>-0.14789999999999992</v>
      </c>
      <c r="W60">
        <f ca="1">C60-R60</f>
        <v>-7.2528000000000006</v>
      </c>
      <c r="X60">
        <f t="shared" ca="1" si="13"/>
        <v>-1.7996999999999943</v>
      </c>
    </row>
    <row r="61" spans="1:24" ht="15.5">
      <c r="A61" s="27" t="s">
        <v>132</v>
      </c>
      <c r="B61" s="25" t="s">
        <v>131</v>
      </c>
      <c r="C61">
        <f ca="1">_xll.ciqfunctions.udf.CIQ($B61,"IQ_CDS_mid",C$2)</f>
        <v>0</v>
      </c>
      <c r="D61">
        <f ca="1">_xll.ciqfunctions.udf.CIQ($B61,"IQ_CDS_mid",D$2)</f>
        <v>0</v>
      </c>
      <c r="E61">
        <f ca="1">_xll.ciqfunctions.udf.CIQ($B61,"IQ_CDS_mid",E$2)</f>
        <v>0</v>
      </c>
      <c r="F61">
        <f ca="1">_xll.ciqfunctions.udf.CIQ($B61,"IQ_CDS_mid",F$2)</f>
        <v>0</v>
      </c>
      <c r="G61">
        <f ca="1">_xll.ciqfunctions.udf.CIQ($B61,"IQ_CDS_mid",G$2)</f>
        <v>0</v>
      </c>
      <c r="H61">
        <f ca="1">_xll.ciqfunctions.udf.CIQ($B61,"IQ_CDS_mid",H$2)</f>
        <v>0</v>
      </c>
      <c r="I61">
        <f ca="1">_xll.ciqfunctions.udf.CIQ($B61,"IQ_CDS_mid",I$2)</f>
        <v>0</v>
      </c>
      <c r="J61">
        <f ca="1">_xll.ciqfunctions.udf.CIQ($B61,"IQ_CDS_mid",J$2)</f>
        <v>0</v>
      </c>
      <c r="K61">
        <f ca="1">_xll.ciqfunctions.udf.CIQ($B61,"IQ_CDS_mid",K$2)</f>
        <v>0</v>
      </c>
      <c r="L61">
        <f ca="1">_xll.ciqfunctions.udf.CIQ($B61,"IQ_CDS_mid",L$2)</f>
        <v>0</v>
      </c>
      <c r="M61">
        <f ca="1">_xll.ciqfunctions.udf.CIQ($B61,"IQ_CDS_mid",M$2)</f>
        <v>0</v>
      </c>
      <c r="N61">
        <f ca="1">_xll.ciqfunctions.udf.CIQ($B61,"IQ_CDS_mid",N$2)</f>
        <v>0</v>
      </c>
      <c r="O61">
        <f ca="1">_xll.ciqfunctions.udf.CIQ($B61,"IQ_CDS_mid",O$2)</f>
        <v>0</v>
      </c>
      <c r="P61">
        <f ca="1">_xll.ciqfunctions.udf.CIQ($B61,"IQ_CDS_mid",P$2)</f>
        <v>0</v>
      </c>
      <c r="Q61">
        <f ca="1">_xll.ciqfunctions.udf.CIQ($B61,"IQ_CDS_mid",Q$2)</f>
        <v>0</v>
      </c>
      <c r="R61">
        <f ca="1">_xll.ciqfunctions.udf.CIQ($B61,"IQ_CDS_mid",R$2)</f>
        <v>0</v>
      </c>
      <c r="S61">
        <f ca="1">_xll.ciqfunctions.udf.CIQ($B61,"IQ_CDS_mid",S$2)</f>
        <v>0</v>
      </c>
      <c r="T61">
        <f ca="1">C61-H61</f>
        <v>0</v>
      </c>
      <c r="U61">
        <f ca="1">C61-M61</f>
        <v>0</v>
      </c>
      <c r="V61">
        <f ca="1">C61-Q61</f>
        <v>0</v>
      </c>
      <c r="W61">
        <f ca="1">C61-R61</f>
        <v>0</v>
      </c>
      <c r="X61">
        <f t="shared" ca="1" si="13"/>
        <v>0</v>
      </c>
    </row>
    <row r="62" spans="1:24" ht="15.5">
      <c r="A62" s="28" t="s">
        <v>23</v>
      </c>
      <c r="X62">
        <f t="shared" si="13"/>
        <v>0</v>
      </c>
    </row>
    <row r="63" spans="1:24" ht="15.5">
      <c r="A63" s="27" t="s">
        <v>24</v>
      </c>
      <c r="B63" s="25" t="s">
        <v>130</v>
      </c>
      <c r="C63">
        <f ca="1">_xll.ciqfunctions.udf.CIQ($B63,"IQ_CDS_mid",C$2)</f>
        <v>53.750599999999999</v>
      </c>
      <c r="D63">
        <f ca="1">_xll.ciqfunctions.udf.CIQ($B63,"IQ_CDS_mid",D$2)</f>
        <v>53.750599999999999</v>
      </c>
      <c r="E63">
        <f ca="1">_xll.ciqfunctions.udf.CIQ($B63,"IQ_CDS_mid",E$2)</f>
        <v>53.750599999999999</v>
      </c>
      <c r="F63">
        <f ca="1">_xll.ciqfunctions.udf.CIQ($B63,"IQ_CDS_mid",F$2)</f>
        <v>53.750599999999999</v>
      </c>
      <c r="G63">
        <f ca="1">_xll.ciqfunctions.udf.CIQ($B63,"IQ_CDS_mid",G$2)</f>
        <v>54.0929</v>
      </c>
      <c r="H63">
        <f ca="1">_xll.ciqfunctions.udf.CIQ($B63,"IQ_CDS_mid",H$2)</f>
        <v>54.170400000000001</v>
      </c>
      <c r="I63">
        <f ca="1">_xll.ciqfunctions.udf.CIQ($B63,"IQ_CDS_mid",I$2)</f>
        <v>54.145400000000002</v>
      </c>
      <c r="J63">
        <f ca="1">_xll.ciqfunctions.udf.CIQ($B63,"IQ_CDS_mid",J$2)</f>
        <v>53.604500000000002</v>
      </c>
      <c r="K63">
        <f ca="1">_xll.ciqfunctions.udf.CIQ($B63,"IQ_CDS_mid",K$2)</f>
        <v>53.079099999999997</v>
      </c>
      <c r="L63">
        <f ca="1">_xll.ciqfunctions.udf.CIQ($B63,"IQ_CDS_mid",L$2)</f>
        <v>53.079099999999997</v>
      </c>
      <c r="M63">
        <f ca="1">_xll.ciqfunctions.udf.CIQ($B63,"IQ_CDS_mid",M$2)</f>
        <v>53.079099999999997</v>
      </c>
      <c r="N63">
        <f ca="1">_xll.ciqfunctions.udf.CIQ($B63,"IQ_CDS_mid",N$2)</f>
        <v>53.560400000000001</v>
      </c>
      <c r="O63">
        <f ca="1">_xll.ciqfunctions.udf.CIQ($B63,"IQ_CDS_mid",O$2)</f>
        <v>53.929299999999998</v>
      </c>
      <c r="P63">
        <f ca="1">_xll.ciqfunctions.udf.CIQ($B63,"IQ_CDS_mid",P$2)</f>
        <v>54.010599999999997</v>
      </c>
      <c r="Q63">
        <f ca="1">_xll.ciqfunctions.udf.CIQ($B63,"IQ_CDS_mid",Q$2)</f>
        <v>53.759099999999997</v>
      </c>
      <c r="R63">
        <f ca="1">_xll.ciqfunctions.udf.CIQ($B63,"IQ_CDS_mid",R$2)</f>
        <v>66.367699999999999</v>
      </c>
      <c r="S63">
        <f ca="1">_xll.ciqfunctions.udf.CIQ($B63,"IQ_CDS_mid",S$2)</f>
        <v>59.464300000000001</v>
      </c>
      <c r="T63">
        <f ca="1">C63-H63</f>
        <v>-0.41980000000000217</v>
      </c>
      <c r="U63">
        <f ca="1">C63-M63</f>
        <v>0.67150000000000176</v>
      </c>
      <c r="V63">
        <f ca="1">C63-Q63</f>
        <v>-8.4999999999979536E-3</v>
      </c>
      <c r="W63">
        <f ca="1">C63-R63</f>
        <v>-12.617100000000001</v>
      </c>
      <c r="X63">
        <f t="shared" ca="1" si="13"/>
        <v>-5.7137000000000029</v>
      </c>
    </row>
    <row r="64" spans="1:24" ht="15.5">
      <c r="A64" s="27" t="s">
        <v>25</v>
      </c>
      <c r="B64" s="25" t="s">
        <v>129</v>
      </c>
      <c r="C64">
        <f ca="1">_xll.ciqfunctions.udf.CIQ($B64,"IQ_CDS_mid",C$2)</f>
        <v>36.032600000000002</v>
      </c>
      <c r="D64">
        <f ca="1">_xll.ciqfunctions.udf.CIQ($B64,"IQ_CDS_mid",D$2)</f>
        <v>36.032600000000002</v>
      </c>
      <c r="E64">
        <f ca="1">_xll.ciqfunctions.udf.CIQ($B64,"IQ_CDS_mid",E$2)</f>
        <v>36.032600000000002</v>
      </c>
      <c r="F64">
        <f ca="1">_xll.ciqfunctions.udf.CIQ($B64,"IQ_CDS_mid",F$2)</f>
        <v>36.032600000000002</v>
      </c>
      <c r="G64">
        <f ca="1">_xll.ciqfunctions.udf.CIQ($B64,"IQ_CDS_mid",G$2)</f>
        <v>36.549999999999997</v>
      </c>
      <c r="H64">
        <f ca="1">_xll.ciqfunctions.udf.CIQ($B64,"IQ_CDS_mid",H$2)</f>
        <v>36.445799999999998</v>
      </c>
      <c r="I64">
        <f ca="1">_xll.ciqfunctions.udf.CIQ($B64,"IQ_CDS_mid",I$2)</f>
        <v>36.497500000000002</v>
      </c>
      <c r="J64">
        <f ca="1">_xll.ciqfunctions.udf.CIQ($B64,"IQ_CDS_mid",J$2)</f>
        <v>36.178800000000003</v>
      </c>
      <c r="K64">
        <f ca="1">_xll.ciqfunctions.udf.CIQ($B64,"IQ_CDS_mid",K$2)</f>
        <v>36.15</v>
      </c>
      <c r="L64">
        <f ca="1">_xll.ciqfunctions.udf.CIQ($B64,"IQ_CDS_mid",L$2)</f>
        <v>36.15</v>
      </c>
      <c r="M64">
        <f ca="1">_xll.ciqfunctions.udf.CIQ($B64,"IQ_CDS_mid",M$2)</f>
        <v>36.15</v>
      </c>
      <c r="N64">
        <f ca="1">_xll.ciqfunctions.udf.CIQ($B64,"IQ_CDS_mid",N$2)</f>
        <v>36.375</v>
      </c>
      <c r="O64">
        <f ca="1">_xll.ciqfunctions.udf.CIQ($B64,"IQ_CDS_mid",O$2)</f>
        <v>36.916699999999999</v>
      </c>
      <c r="P64">
        <f ca="1">_xll.ciqfunctions.udf.CIQ($B64,"IQ_CDS_mid",P$2)</f>
        <v>36.9</v>
      </c>
      <c r="Q64">
        <f ca="1">_xll.ciqfunctions.udf.CIQ($B64,"IQ_CDS_mid",Q$2)</f>
        <v>36.718200000000003</v>
      </c>
      <c r="R64">
        <f ca="1">_xll.ciqfunctions.udf.CIQ($B64,"IQ_CDS_mid",R$2)</f>
        <v>42.799700000000001</v>
      </c>
      <c r="S64">
        <f ca="1">_xll.ciqfunctions.udf.CIQ($B64,"IQ_CDS_mid",S$2)</f>
        <v>45.839799999999997</v>
      </c>
      <c r="T64">
        <f ca="1">C64-H64</f>
        <v>-0.41319999999999624</v>
      </c>
      <c r="U64">
        <f ca="1">C64-M64</f>
        <v>-0.1173999999999964</v>
      </c>
      <c r="V64">
        <f ca="1">C64-Q64</f>
        <v>-0.68560000000000088</v>
      </c>
      <c r="W64">
        <f ca="1">C64-R64</f>
        <v>-6.7670999999999992</v>
      </c>
      <c r="X64">
        <f t="shared" ca="1" si="13"/>
        <v>-9.8071999999999946</v>
      </c>
    </row>
    <row r="65" spans="1:24" ht="15.5">
      <c r="A65" s="27" t="s">
        <v>26</v>
      </c>
      <c r="B65" s="25" t="s">
        <v>128</v>
      </c>
      <c r="C65">
        <f ca="1">_xll.ciqfunctions.udf.CIQ($B65,"IQ_CDS_mid",C$2)</f>
        <v>51.6509</v>
      </c>
      <c r="D65">
        <f ca="1">_xll.ciqfunctions.udf.CIQ($B65,"IQ_CDS_mid",D$2)</f>
        <v>51.6509</v>
      </c>
      <c r="E65">
        <f ca="1">_xll.ciqfunctions.udf.CIQ($B65,"IQ_CDS_mid",E$2)</f>
        <v>51.6509</v>
      </c>
      <c r="F65">
        <f ca="1">_xll.ciqfunctions.udf.CIQ($B65,"IQ_CDS_mid",F$2)</f>
        <v>51.6509</v>
      </c>
      <c r="G65">
        <f ca="1">_xll.ciqfunctions.udf.CIQ($B65,"IQ_CDS_mid",G$2)</f>
        <v>51.75</v>
      </c>
      <c r="H65">
        <f ca="1">_xll.ciqfunctions.udf.CIQ($B65,"IQ_CDS_mid",H$2)</f>
        <v>51.573700000000002</v>
      </c>
      <c r="I65">
        <f ca="1">_xll.ciqfunctions.udf.CIQ($B65,"IQ_CDS_mid",I$2)</f>
        <v>51.624000000000002</v>
      </c>
      <c r="J65">
        <f ca="1">_xll.ciqfunctions.udf.CIQ($B65,"IQ_CDS_mid",J$2)</f>
        <v>50.932099999999998</v>
      </c>
      <c r="K65">
        <f ca="1">_xll.ciqfunctions.udf.CIQ($B65,"IQ_CDS_mid",K$2)</f>
        <v>51.17</v>
      </c>
      <c r="L65">
        <f ca="1">_xll.ciqfunctions.udf.CIQ($B65,"IQ_CDS_mid",L$2)</f>
        <v>51.17</v>
      </c>
      <c r="M65">
        <f ca="1">_xll.ciqfunctions.udf.CIQ($B65,"IQ_CDS_mid",M$2)</f>
        <v>51.17</v>
      </c>
      <c r="N65">
        <f ca="1">_xll.ciqfunctions.udf.CIQ($B65,"IQ_CDS_mid",N$2)</f>
        <v>50.763300000000001</v>
      </c>
      <c r="O65">
        <f ca="1">_xll.ciqfunctions.udf.CIQ($B65,"IQ_CDS_mid",O$2)</f>
        <v>51.333300000000001</v>
      </c>
      <c r="P65">
        <f ca="1">_xll.ciqfunctions.udf.CIQ($B65,"IQ_CDS_mid",P$2)</f>
        <v>51.505499999999998</v>
      </c>
      <c r="Q65">
        <f ca="1">_xll.ciqfunctions.udf.CIQ($B65,"IQ_CDS_mid",Q$2)</f>
        <v>51.380400000000002</v>
      </c>
      <c r="R65">
        <f ca="1">_xll.ciqfunctions.udf.CIQ($B65,"IQ_CDS_mid",R$2)</f>
        <v>59.973999999999997</v>
      </c>
      <c r="S65">
        <f ca="1">_xll.ciqfunctions.udf.CIQ($B65,"IQ_CDS_mid",S$2)</f>
        <v>52.6081</v>
      </c>
      <c r="T65">
        <f ca="1">C65-H65</f>
        <v>7.7199999999997715E-2</v>
      </c>
      <c r="U65">
        <f ca="1">C65-M65</f>
        <v>0.48089999999999833</v>
      </c>
      <c r="V65">
        <f ca="1">C65-Q65</f>
        <v>0.27049999999999841</v>
      </c>
      <c r="W65">
        <f ca="1">C65-R65</f>
        <v>-8.3230999999999966</v>
      </c>
      <c r="X65">
        <f t="shared" ca="1" si="13"/>
        <v>-0.95720000000000027</v>
      </c>
    </row>
    <row r="66" spans="1:24" ht="15.5">
      <c r="A66" s="27" t="s">
        <v>127</v>
      </c>
      <c r="B66" s="25" t="s">
        <v>126</v>
      </c>
      <c r="C66">
        <f ca="1">_xll.ciqfunctions.udf.CIQ($B66,"IQ_CDS_mid",C$2)</f>
        <v>38.869799999999998</v>
      </c>
      <c r="D66">
        <f ca="1">_xll.ciqfunctions.udf.CIQ($B66,"IQ_CDS_mid",D$2)</f>
        <v>38.869799999999998</v>
      </c>
      <c r="E66">
        <f ca="1">_xll.ciqfunctions.udf.CIQ($B66,"IQ_CDS_mid",E$2)</f>
        <v>38.869799999999998</v>
      </c>
      <c r="F66">
        <f ca="1">_xll.ciqfunctions.udf.CIQ($B66,"IQ_CDS_mid",F$2)</f>
        <v>38.869799999999998</v>
      </c>
      <c r="G66">
        <f ca="1">_xll.ciqfunctions.udf.CIQ($B66,"IQ_CDS_mid",G$2)</f>
        <v>39.198700000000002</v>
      </c>
      <c r="H66">
        <f ca="1">_xll.ciqfunctions.udf.CIQ($B66,"IQ_CDS_mid",H$2)</f>
        <v>39.036499999999997</v>
      </c>
      <c r="I66">
        <f ca="1">_xll.ciqfunctions.udf.CIQ($B66,"IQ_CDS_mid",I$2)</f>
        <v>38.892899999999997</v>
      </c>
      <c r="J66">
        <f ca="1">_xll.ciqfunctions.udf.CIQ($B66,"IQ_CDS_mid",J$2)</f>
        <v>38.465699999999998</v>
      </c>
      <c r="K66">
        <f ca="1">_xll.ciqfunctions.udf.CIQ($B66,"IQ_CDS_mid",K$2)</f>
        <v>38.497500000000002</v>
      </c>
      <c r="L66">
        <f ca="1">_xll.ciqfunctions.udf.CIQ($B66,"IQ_CDS_mid",L$2)</f>
        <v>38.497500000000002</v>
      </c>
      <c r="M66">
        <f ca="1">_xll.ciqfunctions.udf.CIQ($B66,"IQ_CDS_mid",M$2)</f>
        <v>38.497500000000002</v>
      </c>
      <c r="N66">
        <f ca="1">_xll.ciqfunctions.udf.CIQ($B66,"IQ_CDS_mid",N$2)</f>
        <v>38.471400000000003</v>
      </c>
      <c r="O66">
        <f ca="1">_xll.ciqfunctions.udf.CIQ($B66,"IQ_CDS_mid",O$2)</f>
        <v>38.916699999999999</v>
      </c>
      <c r="P66">
        <f ca="1">_xll.ciqfunctions.udf.CIQ($B66,"IQ_CDS_mid",P$2)</f>
        <v>39.125</v>
      </c>
      <c r="Q66">
        <f ca="1">_xll.ciqfunctions.udf.CIQ($B66,"IQ_CDS_mid",Q$2)</f>
        <v>38.9621</v>
      </c>
      <c r="R66">
        <f ca="1">_xll.ciqfunctions.udf.CIQ($B66,"IQ_CDS_mid",R$2)</f>
        <v>48.975900000000003</v>
      </c>
      <c r="S66">
        <f ca="1">_xll.ciqfunctions.udf.CIQ($B66,"IQ_CDS_mid",S$2)</f>
        <v>53.087400000000002</v>
      </c>
      <c r="T66">
        <f ca="1">C66-H66</f>
        <v>-0.16669999999999874</v>
      </c>
      <c r="U66">
        <f ca="1">C66-M66</f>
        <v>0.37229999999999563</v>
      </c>
      <c r="V66">
        <f ca="1">C66-Q66</f>
        <v>-9.2300000000001603E-2</v>
      </c>
      <c r="W66">
        <f ca="1">C66-R66</f>
        <v>-10.106100000000005</v>
      </c>
      <c r="X66">
        <f t="shared" ca="1" si="13"/>
        <v>-14.217600000000004</v>
      </c>
    </row>
    <row r="67" spans="1:24" ht="15.5">
      <c r="A67" s="28" t="s">
        <v>28</v>
      </c>
      <c r="X67">
        <f t="shared" si="13"/>
        <v>0</v>
      </c>
    </row>
    <row r="68" spans="1:24" ht="15.5">
      <c r="A68" s="27" t="s">
        <v>125</v>
      </c>
      <c r="B68" s="25" t="s">
        <v>124</v>
      </c>
      <c r="C68">
        <f ca="1">_xll.ciqfunctions.udf.CIQ($B68,"IQ_CDS_mid",C$2)</f>
        <v>44.085599999999999</v>
      </c>
      <c r="D68">
        <f ca="1">_xll.ciqfunctions.udf.CIQ($B68,"IQ_CDS_mid",D$2)</f>
        <v>44.085599999999999</v>
      </c>
      <c r="E68">
        <f ca="1">_xll.ciqfunctions.udf.CIQ($B68,"IQ_CDS_mid",E$2)</f>
        <v>44.085599999999999</v>
      </c>
      <c r="F68">
        <f ca="1">_xll.ciqfunctions.udf.CIQ($B68,"IQ_CDS_mid",F$2)</f>
        <v>44.085599999999999</v>
      </c>
      <c r="G68">
        <f ca="1">_xll.ciqfunctions.udf.CIQ($B68,"IQ_CDS_mid",G$2)</f>
        <v>44.460700000000003</v>
      </c>
      <c r="H68">
        <f ca="1">_xll.ciqfunctions.udf.CIQ($B68,"IQ_CDS_mid",H$2)</f>
        <v>44.054099999999998</v>
      </c>
      <c r="I68">
        <f ca="1">_xll.ciqfunctions.udf.CIQ($B68,"IQ_CDS_mid",I$2)</f>
        <v>44.3</v>
      </c>
      <c r="J68">
        <f ca="1">_xll.ciqfunctions.udf.CIQ($B68,"IQ_CDS_mid",J$2)</f>
        <v>43.9375</v>
      </c>
      <c r="K68">
        <f ca="1">_xll.ciqfunctions.udf.CIQ($B68,"IQ_CDS_mid",K$2)</f>
        <v>44.0032</v>
      </c>
      <c r="L68">
        <f ca="1">_xll.ciqfunctions.udf.CIQ($B68,"IQ_CDS_mid",L$2)</f>
        <v>44.0032</v>
      </c>
      <c r="M68">
        <f ca="1">_xll.ciqfunctions.udf.CIQ($B68,"IQ_CDS_mid",M$2)</f>
        <v>44.0032</v>
      </c>
      <c r="N68">
        <f ca="1">_xll.ciqfunctions.udf.CIQ($B68,"IQ_CDS_mid",N$2)</f>
        <v>44.042700000000004</v>
      </c>
      <c r="O68">
        <f ca="1">_xll.ciqfunctions.udf.CIQ($B68,"IQ_CDS_mid",O$2)</f>
        <v>44.2</v>
      </c>
      <c r="P68">
        <f ca="1">_xll.ciqfunctions.udf.CIQ($B68,"IQ_CDS_mid",P$2)</f>
        <v>44.549700000000001</v>
      </c>
      <c r="Q68">
        <f ca="1">_xll.ciqfunctions.udf.CIQ($B68,"IQ_CDS_mid",Q$2)</f>
        <v>44.052199999999999</v>
      </c>
      <c r="R68">
        <f ca="1">_xll.ciqfunctions.udf.CIQ($B68,"IQ_CDS_mid",R$2)</f>
        <v>54.767299999999999</v>
      </c>
      <c r="S68">
        <f ca="1">_xll.ciqfunctions.udf.CIQ($B68,"IQ_CDS_mid",S$2)</f>
        <v>51.902200000000001</v>
      </c>
      <c r="T68">
        <f ca="1">C68-H68</f>
        <v>3.1500000000001194E-2</v>
      </c>
      <c r="U68">
        <f ca="1">C68-M68</f>
        <v>8.2399999999999807E-2</v>
      </c>
      <c r="V68">
        <f ca="1">C68-Q68</f>
        <v>3.3400000000000318E-2</v>
      </c>
      <c r="W68">
        <f ca="1">C68-R68</f>
        <v>-10.681699999999999</v>
      </c>
      <c r="X68">
        <f t="shared" ca="1" si="13"/>
        <v>-7.8166000000000011</v>
      </c>
    </row>
    <row r="69" spans="1:24" ht="15.5">
      <c r="A69" s="29" t="s">
        <v>30</v>
      </c>
      <c r="B69" s="25" t="s">
        <v>123</v>
      </c>
      <c r="C69">
        <f ca="1">_xll.ciqfunctions.udf.CIQ($B69,"IQ_CDS_mid",C$2)</f>
        <v>33.25</v>
      </c>
      <c r="D69">
        <f ca="1">_xll.ciqfunctions.udf.CIQ($B69,"IQ_CDS_mid",D$2)</f>
        <v>33.25</v>
      </c>
      <c r="E69">
        <f ca="1">_xll.ciqfunctions.udf.CIQ($B69,"IQ_CDS_mid",E$2)</f>
        <v>33.25</v>
      </c>
      <c r="F69">
        <f ca="1">_xll.ciqfunctions.udf.CIQ($B69,"IQ_CDS_mid",F$2)</f>
        <v>33.25</v>
      </c>
      <c r="G69">
        <f ca="1">_xll.ciqfunctions.udf.CIQ($B69,"IQ_CDS_mid",G$2)</f>
        <v>33.5</v>
      </c>
      <c r="H69">
        <f ca="1">_xll.ciqfunctions.udf.CIQ($B69,"IQ_CDS_mid",H$2)</f>
        <v>33.434100000000001</v>
      </c>
      <c r="I69">
        <f ca="1">_xll.ciqfunctions.udf.CIQ($B69,"IQ_CDS_mid",I$2)</f>
        <v>33.626300000000001</v>
      </c>
      <c r="J69">
        <f ca="1">_xll.ciqfunctions.udf.CIQ($B69,"IQ_CDS_mid",J$2)</f>
        <v>33.433799999999998</v>
      </c>
      <c r="K69">
        <f ca="1">_xll.ciqfunctions.udf.CIQ($B69,"IQ_CDS_mid",K$2)</f>
        <v>33.6</v>
      </c>
      <c r="L69">
        <f ca="1">_xll.ciqfunctions.udf.CIQ($B69,"IQ_CDS_mid",L$2)</f>
        <v>33.6</v>
      </c>
      <c r="M69">
        <f ca="1">_xll.ciqfunctions.udf.CIQ($B69,"IQ_CDS_mid",M$2)</f>
        <v>33.6</v>
      </c>
      <c r="N69">
        <f ca="1">_xll.ciqfunctions.udf.CIQ($B69,"IQ_CDS_mid",N$2)</f>
        <v>33.799999999999997</v>
      </c>
      <c r="O69">
        <f ca="1">_xll.ciqfunctions.udf.CIQ($B69,"IQ_CDS_mid",O$2)</f>
        <v>33.958300000000001</v>
      </c>
      <c r="P69">
        <f ca="1">_xll.ciqfunctions.udf.CIQ($B69,"IQ_CDS_mid",P$2)</f>
        <v>34.25</v>
      </c>
      <c r="Q69">
        <f ca="1">_xll.ciqfunctions.udf.CIQ($B69,"IQ_CDS_mid",Q$2)</f>
        <v>34.436700000000002</v>
      </c>
      <c r="R69">
        <f ca="1">_xll.ciqfunctions.udf.CIQ($B69,"IQ_CDS_mid",R$2)</f>
        <v>43.6203</v>
      </c>
      <c r="S69">
        <f ca="1">_xll.ciqfunctions.udf.CIQ($B69,"IQ_CDS_mid",S$2)</f>
        <v>41.7502</v>
      </c>
      <c r="T69">
        <f ca="1">C69-H69</f>
        <v>-0.18410000000000082</v>
      </c>
      <c r="U69">
        <f ca="1">C69-M69</f>
        <v>-0.35000000000000142</v>
      </c>
      <c r="V69">
        <f ca="1">C69-Q69</f>
        <v>-1.1867000000000019</v>
      </c>
      <c r="W69">
        <f ca="1">C69-R69</f>
        <v>-10.3703</v>
      </c>
      <c r="X69">
        <f t="shared" ca="1" si="13"/>
        <v>-8.5001999999999995</v>
      </c>
    </row>
    <row r="70" spans="1:24" ht="15.5">
      <c r="A70" s="28" t="s">
        <v>31</v>
      </c>
      <c r="B70" s="25"/>
      <c r="X70">
        <f t="shared" si="13"/>
        <v>0</v>
      </c>
    </row>
    <row r="71" spans="1:24" ht="15.5">
      <c r="A71" s="29" t="s">
        <v>32</v>
      </c>
      <c r="B71" s="25" t="s">
        <v>122</v>
      </c>
      <c r="C71">
        <f ca="1">_xll.ciqfunctions.udf.CIQ($B71,"IQ_CDS_mid",C$2)</f>
        <v>23.601099999999999</v>
      </c>
      <c r="D71">
        <f ca="1">_xll.ciqfunctions.udf.CIQ($B71,"IQ_CDS_mid",D$2)</f>
        <v>23.601099999999999</v>
      </c>
      <c r="E71">
        <f ca="1">_xll.ciqfunctions.udf.CIQ($B71,"IQ_CDS_mid",E$2)</f>
        <v>23.601099999999999</v>
      </c>
      <c r="F71">
        <f ca="1">_xll.ciqfunctions.udf.CIQ($B71,"IQ_CDS_mid",F$2)</f>
        <v>23.601099999999999</v>
      </c>
      <c r="G71">
        <f ca="1">_xll.ciqfunctions.udf.CIQ($B71,"IQ_CDS_mid",G$2)</f>
        <v>23.666699999999999</v>
      </c>
      <c r="H71">
        <f ca="1">_xll.ciqfunctions.udf.CIQ($B71,"IQ_CDS_mid",H$2)</f>
        <v>23.6</v>
      </c>
      <c r="I71">
        <f ca="1">_xll.ciqfunctions.udf.CIQ($B71,"IQ_CDS_mid",I$2)</f>
        <v>23.7</v>
      </c>
      <c r="J71">
        <f ca="1">_xll.ciqfunctions.udf.CIQ($B71,"IQ_CDS_mid",J$2)</f>
        <v>23.5</v>
      </c>
      <c r="K71">
        <f ca="1">_xll.ciqfunctions.udf.CIQ($B71,"IQ_CDS_mid",K$2)</f>
        <v>23.5</v>
      </c>
      <c r="L71">
        <f ca="1">_xll.ciqfunctions.udf.CIQ($B71,"IQ_CDS_mid",L$2)</f>
        <v>23.5</v>
      </c>
      <c r="M71">
        <f ca="1">_xll.ciqfunctions.udf.CIQ($B71,"IQ_CDS_mid",M$2)</f>
        <v>23.5</v>
      </c>
      <c r="N71">
        <f ca="1">_xll.ciqfunctions.udf.CIQ($B71,"IQ_CDS_mid",N$2)</f>
        <v>23.56</v>
      </c>
      <c r="O71">
        <f ca="1">_xll.ciqfunctions.udf.CIQ($B71,"IQ_CDS_mid",O$2)</f>
        <v>23.8</v>
      </c>
      <c r="P71">
        <f ca="1">_xll.ciqfunctions.udf.CIQ($B71,"IQ_CDS_mid",P$2)</f>
        <v>24.06</v>
      </c>
      <c r="Q71">
        <f ca="1">_xll.ciqfunctions.udf.CIQ($B71,"IQ_CDS_mid",Q$2)</f>
        <v>23.936699999999998</v>
      </c>
      <c r="R71">
        <f ca="1">_xll.ciqfunctions.udf.CIQ($B71,"IQ_CDS_mid",R$2)</f>
        <v>27.074999999999999</v>
      </c>
      <c r="S71">
        <f ca="1">_xll.ciqfunctions.udf.CIQ($B71,"IQ_CDS_mid",S$2)</f>
        <v>33.913200000000003</v>
      </c>
      <c r="T71">
        <f ca="1">C71-H71</f>
        <v>1.0999999999974364E-3</v>
      </c>
      <c r="U71">
        <f ca="1">C71-M71</f>
        <v>0.10109999999999886</v>
      </c>
      <c r="V71">
        <f ca="1">C71-Q71</f>
        <v>-0.33559999999999945</v>
      </c>
      <c r="W71">
        <f ca="1">C71-R71</f>
        <v>-3.4739000000000004</v>
      </c>
      <c r="X71">
        <f t="shared" ca="1" si="13"/>
        <v>-10.312100000000004</v>
      </c>
    </row>
    <row r="72" spans="1:24" ht="15.5">
      <c r="A72" s="28" t="s">
        <v>33</v>
      </c>
      <c r="X72">
        <f t="shared" si="13"/>
        <v>0</v>
      </c>
    </row>
    <row r="73" spans="1:24" ht="15.5">
      <c r="A73" s="27" t="s">
        <v>35</v>
      </c>
      <c r="B73" s="25" t="s">
        <v>121</v>
      </c>
      <c r="C73">
        <f ca="1">_xll.ciqfunctions.udf.CIQ($B73,"IQ_CDS_mid",C$2)</f>
        <v>43.05</v>
      </c>
      <c r="D73">
        <f ca="1">_xll.ciqfunctions.udf.CIQ($B73,"IQ_CDS_mid",D$2)</f>
        <v>43.05</v>
      </c>
      <c r="E73">
        <f ca="1">_xll.ciqfunctions.udf.CIQ($B73,"IQ_CDS_mid",E$2)</f>
        <v>43.05</v>
      </c>
      <c r="F73">
        <f ca="1">_xll.ciqfunctions.udf.CIQ($B73,"IQ_CDS_mid",F$2)</f>
        <v>43.05</v>
      </c>
      <c r="G73">
        <f ca="1">_xll.ciqfunctions.udf.CIQ($B73,"IQ_CDS_mid",G$2)</f>
        <v>44.126300000000001</v>
      </c>
      <c r="H73">
        <f ca="1">_xll.ciqfunctions.udf.CIQ($B73,"IQ_CDS_mid",H$2)</f>
        <v>44.243600000000001</v>
      </c>
      <c r="I73">
        <f ca="1">_xll.ciqfunctions.udf.CIQ($B73,"IQ_CDS_mid",I$2)</f>
        <v>44.396500000000003</v>
      </c>
      <c r="J73">
        <f ca="1">_xll.ciqfunctions.udf.CIQ($B73,"IQ_CDS_mid",J$2)</f>
        <v>44.537700000000001</v>
      </c>
      <c r="K73">
        <f ca="1">_xll.ciqfunctions.udf.CIQ($B73,"IQ_CDS_mid",K$2)</f>
        <v>43.496400000000001</v>
      </c>
      <c r="L73">
        <f ca="1">_xll.ciqfunctions.udf.CIQ($B73,"IQ_CDS_mid",L$2)</f>
        <v>43.496400000000001</v>
      </c>
      <c r="M73">
        <f ca="1">_xll.ciqfunctions.udf.CIQ($B73,"IQ_CDS_mid",M$2)</f>
        <v>43.496400000000001</v>
      </c>
      <c r="N73">
        <f ca="1">_xll.ciqfunctions.udf.CIQ($B73,"IQ_CDS_mid",N$2)</f>
        <v>43.514000000000003</v>
      </c>
      <c r="O73">
        <f ca="1">_xll.ciqfunctions.udf.CIQ($B73,"IQ_CDS_mid",O$2)</f>
        <v>43.499299999999998</v>
      </c>
      <c r="P73">
        <f ca="1">_xll.ciqfunctions.udf.CIQ($B73,"IQ_CDS_mid",P$2)</f>
        <v>43.440899999999999</v>
      </c>
      <c r="Q73">
        <f ca="1">_xll.ciqfunctions.udf.CIQ($B73,"IQ_CDS_mid",Q$2)</f>
        <v>43.611199999999997</v>
      </c>
      <c r="R73">
        <f ca="1">_xll.ciqfunctions.udf.CIQ($B73,"IQ_CDS_mid",R$2)</f>
        <v>41.255200000000002</v>
      </c>
      <c r="S73">
        <f ca="1">_xll.ciqfunctions.udf.CIQ($B73,"IQ_CDS_mid",S$2)</f>
        <v>34.4375</v>
      </c>
      <c r="T73">
        <f ca="1">C73-H73</f>
        <v>-1.1936000000000035</v>
      </c>
      <c r="U73">
        <f ca="1">C73-M73</f>
        <v>-0.44640000000000413</v>
      </c>
      <c r="V73">
        <f ca="1">C73-Q73</f>
        <v>-0.56119999999999948</v>
      </c>
      <c r="W73">
        <f ca="1">C73-R73</f>
        <v>1.7947999999999951</v>
      </c>
      <c r="X73">
        <f t="shared" ca="1" si="13"/>
        <v>8.6124999999999972</v>
      </c>
    </row>
    <row r="74" spans="1:24" ht="15.5">
      <c r="A74" s="27" t="s">
        <v>36</v>
      </c>
      <c r="B74" s="25" t="s">
        <v>120</v>
      </c>
      <c r="C74">
        <f ca="1">_xll.ciqfunctions.udf.CIQ($B74,"IQ_CDS_mid",C$2)</f>
        <v>41.041699999999999</v>
      </c>
      <c r="D74">
        <f ca="1">_xll.ciqfunctions.udf.CIQ($B74,"IQ_CDS_mid",D$2)</f>
        <v>41.041699999999999</v>
      </c>
      <c r="E74">
        <f ca="1">_xll.ciqfunctions.udf.CIQ($B74,"IQ_CDS_mid",E$2)</f>
        <v>41.041699999999999</v>
      </c>
      <c r="F74">
        <f ca="1">_xll.ciqfunctions.udf.CIQ($B74,"IQ_CDS_mid",F$2)</f>
        <v>41.041699999999999</v>
      </c>
      <c r="G74">
        <f ca="1">_xll.ciqfunctions.udf.CIQ($B74,"IQ_CDS_mid",G$2)</f>
        <v>41.244199999999999</v>
      </c>
      <c r="H74">
        <f ca="1">_xll.ciqfunctions.udf.CIQ($B74,"IQ_CDS_mid",H$2)</f>
        <v>40.955399999999997</v>
      </c>
      <c r="I74">
        <f ca="1">_xll.ciqfunctions.udf.CIQ($B74,"IQ_CDS_mid",I$2)</f>
        <v>41.748399999999997</v>
      </c>
      <c r="J74">
        <f ca="1">_xll.ciqfunctions.udf.CIQ($B74,"IQ_CDS_mid",J$2)</f>
        <v>42.525300000000001</v>
      </c>
      <c r="K74">
        <f ca="1">_xll.ciqfunctions.udf.CIQ($B74,"IQ_CDS_mid",K$2)</f>
        <v>42.427199999999999</v>
      </c>
      <c r="L74">
        <f ca="1">_xll.ciqfunctions.udf.CIQ($B74,"IQ_CDS_mid",L$2)</f>
        <v>42.427199999999999</v>
      </c>
      <c r="M74">
        <f ca="1">_xll.ciqfunctions.udf.CIQ($B74,"IQ_CDS_mid",M$2)</f>
        <v>42.427199999999999</v>
      </c>
      <c r="N74">
        <f ca="1">_xll.ciqfunctions.udf.CIQ($B74,"IQ_CDS_mid",N$2)</f>
        <v>43.344099999999997</v>
      </c>
      <c r="O74">
        <f ca="1">_xll.ciqfunctions.udf.CIQ($B74,"IQ_CDS_mid",O$2)</f>
        <v>43.3386</v>
      </c>
      <c r="P74">
        <f ca="1">_xll.ciqfunctions.udf.CIQ($B74,"IQ_CDS_mid",P$2)</f>
        <v>43.522599999999997</v>
      </c>
      <c r="Q74">
        <f ca="1">_xll.ciqfunctions.udf.CIQ($B74,"IQ_CDS_mid",Q$2)</f>
        <v>43.139499999999998</v>
      </c>
      <c r="R74">
        <f ca="1">_xll.ciqfunctions.udf.CIQ($B74,"IQ_CDS_mid",R$2)</f>
        <v>41.255200000000002</v>
      </c>
      <c r="S74">
        <f ca="1">_xll.ciqfunctions.udf.CIQ($B74,"IQ_CDS_mid",S$2)</f>
        <v>28.9878</v>
      </c>
      <c r="T74">
        <f ca="1">C74-H74</f>
        <v>8.6300000000001376E-2</v>
      </c>
      <c r="U74">
        <f ca="1">C74-M74</f>
        <v>-1.3855000000000004</v>
      </c>
      <c r="V74">
        <f ca="1">C74-Q74</f>
        <v>-2.0977999999999994</v>
      </c>
      <c r="W74">
        <f ca="1">C74-R74</f>
        <v>-0.21350000000000335</v>
      </c>
      <c r="X74">
        <f t="shared" ca="1" si="13"/>
        <v>12.053899999999999</v>
      </c>
    </row>
    <row r="75" spans="1:24" ht="15.5">
      <c r="A75" s="27" t="s">
        <v>37</v>
      </c>
      <c r="B75" s="25" t="s">
        <v>119</v>
      </c>
      <c r="C75">
        <f ca="1">_xll.ciqfunctions.udf.CIQ($B75,"IQ_CDS_mid",C$2)</f>
        <v>40.492899999999999</v>
      </c>
      <c r="D75">
        <f ca="1">_xll.ciqfunctions.udf.CIQ($B75,"IQ_CDS_mid",D$2)</f>
        <v>40.492899999999999</v>
      </c>
      <c r="E75">
        <f ca="1">_xll.ciqfunctions.udf.CIQ($B75,"IQ_CDS_mid",E$2)</f>
        <v>40.492899999999999</v>
      </c>
      <c r="F75">
        <f ca="1">_xll.ciqfunctions.udf.CIQ($B75,"IQ_CDS_mid",F$2)</f>
        <v>40.492899999999999</v>
      </c>
      <c r="G75">
        <f ca="1">_xll.ciqfunctions.udf.CIQ($B75,"IQ_CDS_mid",G$2)</f>
        <v>40.512099999999997</v>
      </c>
      <c r="H75">
        <f ca="1">_xll.ciqfunctions.udf.CIQ($B75,"IQ_CDS_mid",H$2)</f>
        <v>40.527000000000001</v>
      </c>
      <c r="I75">
        <f ca="1">_xll.ciqfunctions.udf.CIQ($B75,"IQ_CDS_mid",I$2)</f>
        <v>40.500700000000002</v>
      </c>
      <c r="J75">
        <f ca="1">_xll.ciqfunctions.udf.CIQ($B75,"IQ_CDS_mid",J$2)</f>
        <v>40.476199999999999</v>
      </c>
      <c r="K75">
        <f ca="1">_xll.ciqfunctions.udf.CIQ($B75,"IQ_CDS_mid",K$2)</f>
        <v>40.498699999999999</v>
      </c>
      <c r="L75">
        <f ca="1">_xll.ciqfunctions.udf.CIQ($B75,"IQ_CDS_mid",L$2)</f>
        <v>40.498699999999999</v>
      </c>
      <c r="M75">
        <f ca="1">_xll.ciqfunctions.udf.CIQ($B75,"IQ_CDS_mid",M$2)</f>
        <v>40.498699999999999</v>
      </c>
      <c r="N75">
        <f ca="1">_xll.ciqfunctions.udf.CIQ($B75,"IQ_CDS_mid",N$2)</f>
        <v>40.503</v>
      </c>
      <c r="O75">
        <f ca="1">_xll.ciqfunctions.udf.CIQ($B75,"IQ_CDS_mid",O$2)</f>
        <v>40.511600000000001</v>
      </c>
      <c r="P75">
        <f ca="1">_xll.ciqfunctions.udf.CIQ($B75,"IQ_CDS_mid",P$2)</f>
        <v>40.523000000000003</v>
      </c>
      <c r="Q75">
        <f ca="1">_xll.ciqfunctions.udf.CIQ($B75,"IQ_CDS_mid",Q$2)</f>
        <v>40.556699999999999</v>
      </c>
      <c r="R75">
        <f ca="1">_xll.ciqfunctions.udf.CIQ($B75,"IQ_CDS_mid",R$2)</f>
        <v>44.805300000000003</v>
      </c>
      <c r="S75">
        <f ca="1">_xll.ciqfunctions.udf.CIQ($B75,"IQ_CDS_mid",S$2)</f>
        <v>58.536000000000001</v>
      </c>
      <c r="T75">
        <f ca="1">C75-H75</f>
        <v>-3.410000000000224E-2</v>
      </c>
      <c r="U75">
        <f ca="1">C75-M75</f>
        <v>-5.8000000000006935E-3</v>
      </c>
      <c r="V75">
        <f ca="1">C75-Q75</f>
        <v>-6.3800000000000523E-2</v>
      </c>
      <c r="W75">
        <f ca="1">C75-R75</f>
        <v>-4.3124000000000038</v>
      </c>
      <c r="X75">
        <f t="shared" ca="1" si="13"/>
        <v>-18.043100000000003</v>
      </c>
    </row>
    <row r="76" spans="1:24" ht="15.5">
      <c r="A76" s="29" t="s">
        <v>38</v>
      </c>
      <c r="B76" s="25" t="s">
        <v>118</v>
      </c>
      <c r="C76">
        <f ca="1">_xll.ciqfunctions.udf.CIQ($B76,"IQ_CDS_mid",C$2)</f>
        <v>63.469099999999997</v>
      </c>
      <c r="D76">
        <f ca="1">_xll.ciqfunctions.udf.CIQ($B76,"IQ_CDS_mid",D$2)</f>
        <v>63.469099999999997</v>
      </c>
      <c r="E76">
        <f ca="1">_xll.ciqfunctions.udf.CIQ($B76,"IQ_CDS_mid",E$2)</f>
        <v>63.469099999999997</v>
      </c>
      <c r="F76">
        <f ca="1">_xll.ciqfunctions.udf.CIQ($B76,"IQ_CDS_mid",F$2)</f>
        <v>63.469099999999997</v>
      </c>
      <c r="G76">
        <f ca="1">_xll.ciqfunctions.udf.CIQ($B76,"IQ_CDS_mid",G$2)</f>
        <v>63.316299999999998</v>
      </c>
      <c r="H76">
        <f ca="1">_xll.ciqfunctions.udf.CIQ($B76,"IQ_CDS_mid",H$2)</f>
        <v>63.008600000000001</v>
      </c>
      <c r="I76">
        <f ca="1">_xll.ciqfunctions.udf.CIQ($B76,"IQ_CDS_mid",I$2)</f>
        <v>62.378999999999998</v>
      </c>
      <c r="J76">
        <f ca="1">_xll.ciqfunctions.udf.CIQ($B76,"IQ_CDS_mid",J$2)</f>
        <v>61.424100000000003</v>
      </c>
      <c r="K76">
        <f ca="1">_xll.ciqfunctions.udf.CIQ($B76,"IQ_CDS_mid",K$2)</f>
        <v>63.415999999999997</v>
      </c>
      <c r="L76">
        <f ca="1">_xll.ciqfunctions.udf.CIQ($B76,"IQ_CDS_mid",L$2)</f>
        <v>63.415999999999997</v>
      </c>
      <c r="M76">
        <f ca="1">_xll.ciqfunctions.udf.CIQ($B76,"IQ_CDS_mid",M$2)</f>
        <v>63.415999999999997</v>
      </c>
      <c r="N76">
        <f ca="1">_xll.ciqfunctions.udf.CIQ($B76,"IQ_CDS_mid",N$2)</f>
        <v>63.396299999999997</v>
      </c>
      <c r="O76">
        <f ca="1">_xll.ciqfunctions.udf.CIQ($B76,"IQ_CDS_mid",O$2)</f>
        <v>62.543799999999997</v>
      </c>
      <c r="P76">
        <f ca="1">_xll.ciqfunctions.udf.CIQ($B76,"IQ_CDS_mid",P$2)</f>
        <v>60.873199999999997</v>
      </c>
      <c r="Q76">
        <f ca="1">_xll.ciqfunctions.udf.CIQ($B76,"IQ_CDS_mid",Q$2)</f>
        <v>62.832999999999998</v>
      </c>
      <c r="R76">
        <f ca="1">_xll.ciqfunctions.udf.CIQ($B76,"IQ_CDS_mid",R$2)</f>
        <v>70.608500000000006</v>
      </c>
      <c r="S76">
        <f ca="1">_xll.ciqfunctions.udf.CIQ($B76,"IQ_CDS_mid",S$2)</f>
        <v>68.974699999999999</v>
      </c>
      <c r="T76">
        <f ca="1">C76-H76</f>
        <v>0.46049999999999613</v>
      </c>
      <c r="U76">
        <f ca="1">C76-M76</f>
        <v>5.3100000000000591E-2</v>
      </c>
      <c r="V76">
        <f ca="1">C76-Q76</f>
        <v>0.636099999999999</v>
      </c>
      <c r="W76">
        <f ca="1">C76-R76</f>
        <v>-7.1394000000000091</v>
      </c>
      <c r="X76">
        <f t="shared" ca="1" si="13"/>
        <v>-5.5056000000000012</v>
      </c>
    </row>
    <row r="77" spans="1:24" ht="15.5">
      <c r="A77" s="29" t="s">
        <v>39</v>
      </c>
      <c r="B77" s="25" t="s">
        <v>117</v>
      </c>
      <c r="C77">
        <f ca="1">_xll.ciqfunctions.udf.CIQ($B77,"IQ_CDS_mid",C$2)</f>
        <v>75.5441</v>
      </c>
      <c r="D77">
        <f ca="1">_xll.ciqfunctions.udf.CIQ($B77,"IQ_CDS_mid",D$2)</f>
        <v>75.5441</v>
      </c>
      <c r="E77">
        <f ca="1">_xll.ciqfunctions.udf.CIQ($B77,"IQ_CDS_mid",E$2)</f>
        <v>75.5441</v>
      </c>
      <c r="F77">
        <f ca="1">_xll.ciqfunctions.udf.CIQ($B77,"IQ_CDS_mid",F$2)</f>
        <v>75.5441</v>
      </c>
      <c r="G77">
        <f ca="1">_xll.ciqfunctions.udf.CIQ($B77,"IQ_CDS_mid",G$2)</f>
        <v>75.538899999999998</v>
      </c>
      <c r="H77">
        <f ca="1">_xll.ciqfunctions.udf.CIQ($B77,"IQ_CDS_mid",H$2)</f>
        <v>75.549300000000002</v>
      </c>
      <c r="I77">
        <f ca="1">_xll.ciqfunctions.udf.CIQ($B77,"IQ_CDS_mid",I$2)</f>
        <v>75.554900000000004</v>
      </c>
      <c r="J77">
        <f ca="1">_xll.ciqfunctions.udf.CIQ($B77,"IQ_CDS_mid",J$2)</f>
        <v>74.723200000000006</v>
      </c>
      <c r="K77">
        <f ca="1">_xll.ciqfunctions.udf.CIQ($B77,"IQ_CDS_mid",K$2)</f>
        <v>75.5505</v>
      </c>
      <c r="L77">
        <f ca="1">_xll.ciqfunctions.udf.CIQ($B77,"IQ_CDS_mid",L$2)</f>
        <v>75.5505</v>
      </c>
      <c r="M77">
        <f ca="1">_xll.ciqfunctions.udf.CIQ($B77,"IQ_CDS_mid",M$2)</f>
        <v>75.5505</v>
      </c>
      <c r="N77">
        <f ca="1">_xll.ciqfunctions.udf.CIQ($B77,"IQ_CDS_mid",N$2)</f>
        <v>75.548599999999993</v>
      </c>
      <c r="O77">
        <f ca="1">_xll.ciqfunctions.udf.CIQ($B77,"IQ_CDS_mid",O$2)</f>
        <v>75.537999999999997</v>
      </c>
      <c r="P77">
        <f ca="1">_xll.ciqfunctions.udf.CIQ($B77,"IQ_CDS_mid",P$2)</f>
        <v>74.726299999999995</v>
      </c>
      <c r="Q77">
        <f ca="1">_xll.ciqfunctions.udf.CIQ($B77,"IQ_CDS_mid",Q$2)</f>
        <v>75.548299999999998</v>
      </c>
      <c r="R77">
        <f ca="1">_xll.ciqfunctions.udf.CIQ($B77,"IQ_CDS_mid",R$2)</f>
        <v>74.777900000000002</v>
      </c>
      <c r="S77">
        <f ca="1">_xll.ciqfunctions.udf.CIQ($B77,"IQ_CDS_mid",S$2)</f>
        <v>75.605999999999995</v>
      </c>
      <c r="T77">
        <f ca="1">C77-H77</f>
        <v>-5.2000000000020918E-3</v>
      </c>
      <c r="U77">
        <f ca="1">C77-M77</f>
        <v>-6.3999999999992951E-3</v>
      </c>
      <c r="V77">
        <f ca="1">C77-Q77</f>
        <v>-4.199999999997317E-3</v>
      </c>
      <c r="W77">
        <f ca="1">C77-R77</f>
        <v>0.76619999999999777</v>
      </c>
      <c r="X77">
        <f t="shared" ca="1" si="13"/>
        <v>-6.1899999999994293E-2</v>
      </c>
    </row>
    <row r="78" spans="1:24" ht="15.5">
      <c r="A78" s="28" t="s">
        <v>40</v>
      </c>
      <c r="X78">
        <f t="shared" si="13"/>
        <v>0</v>
      </c>
    </row>
    <row r="79" spans="1:24" ht="15.5">
      <c r="A79" s="27" t="s">
        <v>42</v>
      </c>
      <c r="B79" s="25" t="s">
        <v>116</v>
      </c>
      <c r="C79">
        <f ca="1">_xll.ciqfunctions.udf.CIQ($B79,"IQ_CDS_mid",C$2)</f>
        <v>60</v>
      </c>
      <c r="D79">
        <f ca="1">_xll.ciqfunctions.udf.CIQ($B79,"IQ_CDS_mid",D$2)</f>
        <v>60</v>
      </c>
      <c r="E79">
        <f ca="1">_xll.ciqfunctions.udf.CIQ($B79,"IQ_CDS_mid",E$2)</f>
        <v>60</v>
      </c>
      <c r="F79">
        <f ca="1">_xll.ciqfunctions.udf.CIQ($B79,"IQ_CDS_mid",F$2)</f>
        <v>60</v>
      </c>
      <c r="G79">
        <f ca="1">_xll.ciqfunctions.udf.CIQ($B79,"IQ_CDS_mid",G$2)</f>
        <v>60.166699999999999</v>
      </c>
      <c r="H79">
        <f ca="1">_xll.ciqfunctions.udf.CIQ($B79,"IQ_CDS_mid",H$2)</f>
        <v>60</v>
      </c>
      <c r="I79">
        <f ca="1">_xll.ciqfunctions.udf.CIQ($B79,"IQ_CDS_mid",I$2)</f>
        <v>60.333300000000001</v>
      </c>
      <c r="J79">
        <f ca="1">_xll.ciqfunctions.udf.CIQ($B79,"IQ_CDS_mid",J$2)</f>
        <v>60.166699999999999</v>
      </c>
      <c r="K79">
        <f ca="1">_xll.ciqfunctions.udf.CIQ($B79,"IQ_CDS_mid",K$2)</f>
        <v>60</v>
      </c>
      <c r="L79">
        <f ca="1">_xll.ciqfunctions.udf.CIQ($B79,"IQ_CDS_mid",L$2)</f>
        <v>60</v>
      </c>
      <c r="M79">
        <f ca="1">_xll.ciqfunctions.udf.CIQ($B79,"IQ_CDS_mid",M$2)</f>
        <v>60</v>
      </c>
      <c r="N79">
        <f ca="1">_xll.ciqfunctions.udf.CIQ($B79,"IQ_CDS_mid",N$2)</f>
        <v>60.333300000000001</v>
      </c>
      <c r="O79">
        <f ca="1">_xll.ciqfunctions.udf.CIQ($B79,"IQ_CDS_mid",O$2)</f>
        <v>60.333300000000001</v>
      </c>
      <c r="P79">
        <f ca="1">_xll.ciqfunctions.udf.CIQ($B79,"IQ_CDS_mid",P$2)</f>
        <v>60.5</v>
      </c>
      <c r="Q79">
        <f ca="1">_xll.ciqfunctions.udf.CIQ($B79,"IQ_CDS_mid",Q$2)</f>
        <v>60.666699999999999</v>
      </c>
      <c r="R79">
        <f ca="1">_xll.ciqfunctions.udf.CIQ($B79,"IQ_CDS_mid",R$2)</f>
        <v>64.25</v>
      </c>
      <c r="S79">
        <f ca="1">_xll.ciqfunctions.udf.CIQ($B79,"IQ_CDS_mid",S$2)</f>
        <v>42.1143</v>
      </c>
      <c r="T79">
        <f t="shared" ref="T79:T84" ca="1" si="18">C79-H79</f>
        <v>0</v>
      </c>
      <c r="U79">
        <f t="shared" ref="U79:U84" ca="1" si="19">C79-M79</f>
        <v>0</v>
      </c>
      <c r="V79">
        <f t="shared" ref="V79:V84" ca="1" si="20">C79-Q79</f>
        <v>-0.66669999999999874</v>
      </c>
      <c r="W79">
        <f t="shared" ref="W79:W84" ca="1" si="21">C79-R79</f>
        <v>-4.25</v>
      </c>
      <c r="X79">
        <f t="shared" ca="1" si="13"/>
        <v>17.8857</v>
      </c>
    </row>
    <row r="80" spans="1:24" ht="15.5">
      <c r="A80" s="27" t="s">
        <v>43</v>
      </c>
      <c r="B80" s="25" t="s">
        <v>115</v>
      </c>
      <c r="C80">
        <f ca="1">_xll.ciqfunctions.udf.CIQ($B80,"IQ_CDS_mid",C$2)</f>
        <v>56.8185</v>
      </c>
      <c r="D80">
        <f ca="1">_xll.ciqfunctions.udf.CIQ($B80,"IQ_CDS_mid",D$2)</f>
        <v>56.8185</v>
      </c>
      <c r="E80">
        <f ca="1">_xll.ciqfunctions.udf.CIQ($B80,"IQ_CDS_mid",E$2)</f>
        <v>56.8185</v>
      </c>
      <c r="F80">
        <f ca="1">_xll.ciqfunctions.udf.CIQ($B80,"IQ_CDS_mid",F$2)</f>
        <v>56.8185</v>
      </c>
      <c r="G80">
        <f ca="1">_xll.ciqfunctions.udf.CIQ($B80,"IQ_CDS_mid",G$2)</f>
        <v>57.485900000000001</v>
      </c>
      <c r="H80">
        <f ca="1">_xll.ciqfunctions.udf.CIQ($B80,"IQ_CDS_mid",H$2)</f>
        <v>57.486199999999997</v>
      </c>
      <c r="I80">
        <f ca="1">_xll.ciqfunctions.udf.CIQ($B80,"IQ_CDS_mid",I$2)</f>
        <v>57.653399999999998</v>
      </c>
      <c r="J80">
        <f ca="1">_xll.ciqfunctions.udf.CIQ($B80,"IQ_CDS_mid",J$2)</f>
        <v>57.6539</v>
      </c>
      <c r="K80">
        <f ca="1">_xll.ciqfunctions.udf.CIQ($B80,"IQ_CDS_mid",K$2)</f>
        <v>57.488999999999997</v>
      </c>
      <c r="L80">
        <f ca="1">_xll.ciqfunctions.udf.CIQ($B80,"IQ_CDS_mid",L$2)</f>
        <v>57.488999999999997</v>
      </c>
      <c r="M80">
        <f ca="1">_xll.ciqfunctions.udf.CIQ($B80,"IQ_CDS_mid",M$2)</f>
        <v>57.488999999999997</v>
      </c>
      <c r="N80">
        <f ca="1">_xll.ciqfunctions.udf.CIQ($B80,"IQ_CDS_mid",N$2)</f>
        <v>57.822400000000002</v>
      </c>
      <c r="O80">
        <f ca="1">_xll.ciqfunctions.udf.CIQ($B80,"IQ_CDS_mid",O$2)</f>
        <v>57.822800000000001</v>
      </c>
      <c r="P80">
        <f ca="1">_xll.ciqfunctions.udf.CIQ($B80,"IQ_CDS_mid",P$2)</f>
        <v>57.8232</v>
      </c>
      <c r="Q80">
        <f ca="1">_xll.ciqfunctions.udf.CIQ($B80,"IQ_CDS_mid",Q$2)</f>
        <v>57.824100000000001</v>
      </c>
      <c r="R80">
        <f ca="1">_xll.ciqfunctions.udf.CIQ($B80,"IQ_CDS_mid",R$2)</f>
        <v>55.5</v>
      </c>
      <c r="S80">
        <f ca="1">_xll.ciqfunctions.udf.CIQ($B80,"IQ_CDS_mid",S$2)</f>
        <v>45.106400000000001</v>
      </c>
      <c r="T80">
        <f t="shared" ca="1" si="18"/>
        <v>-0.66769999999999641</v>
      </c>
      <c r="U80">
        <f t="shared" ca="1" si="19"/>
        <v>-0.67049999999999699</v>
      </c>
      <c r="V80">
        <f t="shared" ca="1" si="20"/>
        <v>-1.0056000000000012</v>
      </c>
      <c r="W80">
        <f t="shared" ca="1" si="21"/>
        <v>1.3185000000000002</v>
      </c>
      <c r="X80">
        <f t="shared" ca="1" si="13"/>
        <v>11.7121</v>
      </c>
    </row>
    <row r="81" spans="1:24" ht="15.5">
      <c r="A81" s="27" t="s">
        <v>44</v>
      </c>
      <c r="B81" t="s">
        <v>114</v>
      </c>
      <c r="C81">
        <f ca="1">_xll.ciqfunctions.udf.CIQ($B81,"IQ_CDS_mid",C$2)</f>
        <v>60.630200000000002</v>
      </c>
      <c r="D81">
        <f ca="1">_xll.ciqfunctions.udf.CIQ($B81,"IQ_CDS_mid",D$2)</f>
        <v>60.630200000000002</v>
      </c>
      <c r="E81">
        <f ca="1">_xll.ciqfunctions.udf.CIQ($B81,"IQ_CDS_mid",E$2)</f>
        <v>60.630200000000002</v>
      </c>
      <c r="F81">
        <f ca="1">_xll.ciqfunctions.udf.CIQ($B81,"IQ_CDS_mid",F$2)</f>
        <v>60.630200000000002</v>
      </c>
      <c r="G81">
        <f ca="1">_xll.ciqfunctions.udf.CIQ($B81,"IQ_CDS_mid",G$2)</f>
        <v>60.75</v>
      </c>
      <c r="H81">
        <f ca="1">_xll.ciqfunctions.udf.CIQ($B81,"IQ_CDS_mid",H$2)</f>
        <v>60.627400000000002</v>
      </c>
      <c r="I81">
        <f ca="1">_xll.ciqfunctions.udf.CIQ($B81,"IQ_CDS_mid",I$2)</f>
        <v>61.125</v>
      </c>
      <c r="J81">
        <f ca="1">_xll.ciqfunctions.udf.CIQ($B81,"IQ_CDS_mid",J$2)</f>
        <v>60.7517</v>
      </c>
      <c r="K81">
        <f ca="1">_xll.ciqfunctions.udf.CIQ($B81,"IQ_CDS_mid",K$2)</f>
        <v>60.5032</v>
      </c>
      <c r="L81">
        <f ca="1">_xll.ciqfunctions.udf.CIQ($B81,"IQ_CDS_mid",L$2)</f>
        <v>60.5032</v>
      </c>
      <c r="M81">
        <f ca="1">_xll.ciqfunctions.udf.CIQ($B81,"IQ_CDS_mid",M$2)</f>
        <v>60.5032</v>
      </c>
      <c r="N81">
        <f ca="1">_xll.ciqfunctions.udf.CIQ($B81,"IQ_CDS_mid",N$2)</f>
        <v>60.8369</v>
      </c>
      <c r="O81">
        <f ca="1">_xll.ciqfunctions.udf.CIQ($B81,"IQ_CDS_mid",O$2)</f>
        <v>60.835299999999997</v>
      </c>
      <c r="P81">
        <f ca="1">_xll.ciqfunctions.udf.CIQ($B81,"IQ_CDS_mid",P$2)</f>
        <v>60.833599999999997</v>
      </c>
      <c r="Q81">
        <f ca="1">_xll.ciqfunctions.udf.CIQ($B81,"IQ_CDS_mid",Q$2)</f>
        <v>60.838000000000001</v>
      </c>
      <c r="R81">
        <f ca="1">_xll.ciqfunctions.udf.CIQ($B81,"IQ_CDS_mid",R$2)</f>
        <v>62.5364</v>
      </c>
      <c r="S81">
        <f ca="1">_xll.ciqfunctions.udf.CIQ($B81,"IQ_CDS_mid",S$2)</f>
        <v>45.215499999999999</v>
      </c>
      <c r="T81">
        <f t="shared" ca="1" si="18"/>
        <v>2.8000000000005798E-3</v>
      </c>
      <c r="U81">
        <f t="shared" ca="1" si="19"/>
        <v>0.12700000000000244</v>
      </c>
      <c r="V81">
        <f t="shared" ca="1" si="20"/>
        <v>-0.20779999999999887</v>
      </c>
      <c r="W81">
        <f t="shared" ca="1" si="21"/>
        <v>-1.9061999999999983</v>
      </c>
      <c r="X81">
        <f t="shared" ca="1" si="13"/>
        <v>15.414700000000003</v>
      </c>
    </row>
    <row r="82" spans="1:24" ht="15.5">
      <c r="A82" s="27" t="s">
        <v>45</v>
      </c>
      <c r="B82" s="25" t="s">
        <v>113</v>
      </c>
      <c r="C82">
        <f ca="1">_xll.ciqfunctions.udf.CIQ($B82,"IQ_CDS_mid",C$2)</f>
        <v>55.985199999999999</v>
      </c>
      <c r="D82">
        <f ca="1">_xll.ciqfunctions.udf.CIQ($B82,"IQ_CDS_mid",D$2)</f>
        <v>55.985199999999999</v>
      </c>
      <c r="E82">
        <f ca="1">_xll.ciqfunctions.udf.CIQ($B82,"IQ_CDS_mid",E$2)</f>
        <v>55.985199999999999</v>
      </c>
      <c r="F82">
        <f ca="1">_xll.ciqfunctions.udf.CIQ($B82,"IQ_CDS_mid",F$2)</f>
        <v>55.985199999999999</v>
      </c>
      <c r="G82">
        <f ca="1">_xll.ciqfunctions.udf.CIQ($B82,"IQ_CDS_mid",G$2)</f>
        <v>55.986800000000002</v>
      </c>
      <c r="H82">
        <f ca="1">_xll.ciqfunctions.udf.CIQ($B82,"IQ_CDS_mid",H$2)</f>
        <v>56.006300000000003</v>
      </c>
      <c r="I82">
        <f ca="1">_xll.ciqfunctions.udf.CIQ($B82,"IQ_CDS_mid",I$2)</f>
        <v>56.166699999999999</v>
      </c>
      <c r="J82">
        <f ca="1">_xll.ciqfunctions.udf.CIQ($B82,"IQ_CDS_mid",J$2)</f>
        <v>56.166699999999999</v>
      </c>
      <c r="K82">
        <f ca="1">_xll.ciqfunctions.udf.CIQ($B82,"IQ_CDS_mid",K$2)</f>
        <v>56</v>
      </c>
      <c r="L82">
        <f ca="1">_xll.ciqfunctions.udf.CIQ($B82,"IQ_CDS_mid",L$2)</f>
        <v>56</v>
      </c>
      <c r="M82">
        <f ca="1">_xll.ciqfunctions.udf.CIQ($B82,"IQ_CDS_mid",M$2)</f>
        <v>56</v>
      </c>
      <c r="N82">
        <f ca="1">_xll.ciqfunctions.udf.CIQ($B82,"IQ_CDS_mid",N$2)</f>
        <v>56.333300000000001</v>
      </c>
      <c r="O82">
        <f ca="1">_xll.ciqfunctions.udf.CIQ($B82,"IQ_CDS_mid",O$2)</f>
        <v>56.3369</v>
      </c>
      <c r="P82">
        <f ca="1">_xll.ciqfunctions.udf.CIQ($B82,"IQ_CDS_mid",P$2)</f>
        <v>56.339500000000001</v>
      </c>
      <c r="Q82">
        <f ca="1">_xll.ciqfunctions.udf.CIQ($B82,"IQ_CDS_mid",Q$2)</f>
        <v>56.314900000000002</v>
      </c>
      <c r="R82">
        <f ca="1">_xll.ciqfunctions.udf.CIQ($B82,"IQ_CDS_mid",R$2)</f>
        <v>55.5</v>
      </c>
      <c r="S82">
        <f ca="1">_xll.ciqfunctions.udf.CIQ($B82,"IQ_CDS_mid",S$2)</f>
        <v>45.968600000000002</v>
      </c>
      <c r="T82">
        <f t="shared" ca="1" si="18"/>
        <v>-2.1100000000004115E-2</v>
      </c>
      <c r="U82">
        <f t="shared" ca="1" si="19"/>
        <v>-1.4800000000001035E-2</v>
      </c>
      <c r="V82">
        <f t="shared" ca="1" si="20"/>
        <v>-0.32970000000000255</v>
      </c>
      <c r="W82">
        <f t="shared" ca="1" si="21"/>
        <v>0.48519999999999897</v>
      </c>
      <c r="X82">
        <f t="shared" ca="1" si="13"/>
        <v>10.016599999999997</v>
      </c>
    </row>
    <row r="83" spans="1:24" ht="15.5">
      <c r="A83" s="27" t="s">
        <v>46</v>
      </c>
      <c r="B83" s="25" t="s">
        <v>112</v>
      </c>
      <c r="C83">
        <f ca="1">_xll.ciqfunctions.udf.CIQ($B83,"IQ_CDS_mid",C$2)</f>
        <v>60.424599999999998</v>
      </c>
      <c r="D83">
        <f ca="1">_xll.ciqfunctions.udf.CIQ($B83,"IQ_CDS_mid",D$2)</f>
        <v>60.424599999999998</v>
      </c>
      <c r="E83">
        <f ca="1">_xll.ciqfunctions.udf.CIQ($B83,"IQ_CDS_mid",E$2)</f>
        <v>60.424599999999998</v>
      </c>
      <c r="F83">
        <f ca="1">_xll.ciqfunctions.udf.CIQ($B83,"IQ_CDS_mid",F$2)</f>
        <v>60.424599999999998</v>
      </c>
      <c r="G83">
        <f ca="1">_xll.ciqfunctions.udf.CIQ($B83,"IQ_CDS_mid",G$2)</f>
        <v>60.348399999999998</v>
      </c>
      <c r="H83">
        <f ca="1">_xll.ciqfunctions.udf.CIQ($B83,"IQ_CDS_mid",H$2)</f>
        <v>60.203600000000002</v>
      </c>
      <c r="I83">
        <f ca="1">_xll.ciqfunctions.udf.CIQ($B83,"IQ_CDS_mid",I$2)</f>
        <v>59.910899999999998</v>
      </c>
      <c r="J83">
        <f ca="1">_xll.ciqfunctions.udf.CIQ($B83,"IQ_CDS_mid",J$2)</f>
        <v>58.806100000000001</v>
      </c>
      <c r="K83">
        <f ca="1">_xll.ciqfunctions.udf.CIQ($B83,"IQ_CDS_mid",K$2)</f>
        <v>60.796999999999997</v>
      </c>
      <c r="L83">
        <f ca="1">_xll.ciqfunctions.udf.CIQ($B83,"IQ_CDS_mid",L$2)</f>
        <v>60.796999999999997</v>
      </c>
      <c r="M83">
        <f ca="1">_xll.ciqfunctions.udf.CIQ($B83,"IQ_CDS_mid",M$2)</f>
        <v>60.796999999999997</v>
      </c>
      <c r="N83">
        <f ca="1">_xll.ciqfunctions.udf.CIQ($B83,"IQ_CDS_mid",N$2)</f>
        <v>61.036700000000003</v>
      </c>
      <c r="O83">
        <f ca="1">_xll.ciqfunctions.udf.CIQ($B83,"IQ_CDS_mid",O$2)</f>
        <v>61.034100000000002</v>
      </c>
      <c r="P83">
        <f ca="1">_xll.ciqfunctions.udf.CIQ($B83,"IQ_CDS_mid",P$2)</f>
        <v>61.031199999999998</v>
      </c>
      <c r="Q83">
        <f ca="1">_xll.ciqfunctions.udf.CIQ($B83,"IQ_CDS_mid",Q$2)</f>
        <v>61.0259</v>
      </c>
      <c r="R83">
        <f ca="1">_xll.ciqfunctions.udf.CIQ($B83,"IQ_CDS_mid",R$2)</f>
        <v>58.868699999999997</v>
      </c>
      <c r="S83">
        <f ca="1">_xll.ciqfunctions.udf.CIQ($B83,"IQ_CDS_mid",S$2)</f>
        <v>51.812899999999999</v>
      </c>
      <c r="T83">
        <f t="shared" ca="1" si="18"/>
        <v>0.22099999999999653</v>
      </c>
      <c r="U83">
        <f t="shared" ca="1" si="19"/>
        <v>-0.37239999999999895</v>
      </c>
      <c r="V83">
        <f t="shared" ca="1" si="20"/>
        <v>-0.60130000000000194</v>
      </c>
      <c r="W83">
        <f t="shared" ca="1" si="21"/>
        <v>1.5559000000000012</v>
      </c>
      <c r="X83">
        <f t="shared" ca="1" si="13"/>
        <v>8.611699999999999</v>
      </c>
    </row>
    <row r="84" spans="1:24" ht="15.5">
      <c r="A84" s="27" t="s">
        <v>47</v>
      </c>
      <c r="B84" t="s">
        <v>111</v>
      </c>
      <c r="C84">
        <f ca="1">_xll.ciqfunctions.udf.CIQ($B84,"IQ_CDS_mid",C$2)</f>
        <v>59.430999999999997</v>
      </c>
      <c r="D84">
        <f ca="1">_xll.ciqfunctions.udf.CIQ($B84,"IQ_CDS_mid",D$2)</f>
        <v>59.430999999999997</v>
      </c>
      <c r="E84">
        <f ca="1">_xll.ciqfunctions.udf.CIQ($B84,"IQ_CDS_mid",E$2)</f>
        <v>59.430999999999997</v>
      </c>
      <c r="F84">
        <f ca="1">_xll.ciqfunctions.udf.CIQ($B84,"IQ_CDS_mid",F$2)</f>
        <v>59.430999999999997</v>
      </c>
      <c r="G84">
        <f ca="1">_xll.ciqfunctions.udf.CIQ($B84,"IQ_CDS_mid",G$2)</f>
        <v>59.454300000000003</v>
      </c>
      <c r="H84">
        <f ca="1">_xll.ciqfunctions.udf.CIQ($B84,"IQ_CDS_mid",H$2)</f>
        <v>59.553899999999999</v>
      </c>
      <c r="I84">
        <f ca="1">_xll.ciqfunctions.udf.CIQ($B84,"IQ_CDS_mid",I$2)</f>
        <v>59.709000000000003</v>
      </c>
      <c r="J84">
        <f ca="1">_xll.ciqfunctions.udf.CIQ($B84,"IQ_CDS_mid",J$2)</f>
        <v>59.614699999999999</v>
      </c>
      <c r="K84">
        <f ca="1">_xll.ciqfunctions.udf.CIQ($B84,"IQ_CDS_mid",K$2)</f>
        <v>59.522300000000001</v>
      </c>
      <c r="L84">
        <f ca="1">_xll.ciqfunctions.udf.CIQ($B84,"IQ_CDS_mid",L$2)</f>
        <v>59.522300000000001</v>
      </c>
      <c r="M84">
        <f ca="1">_xll.ciqfunctions.udf.CIQ($B84,"IQ_CDS_mid",M$2)</f>
        <v>59.522300000000001</v>
      </c>
      <c r="N84">
        <f ca="1">_xll.ciqfunctions.udf.CIQ($B84,"IQ_CDS_mid",N$2)</f>
        <v>60.009700000000002</v>
      </c>
      <c r="O84">
        <f ca="1">_xll.ciqfunctions.udf.CIQ($B84,"IQ_CDS_mid",O$2)</f>
        <v>59.993600000000001</v>
      </c>
      <c r="P84">
        <f ca="1">_xll.ciqfunctions.udf.CIQ($B84,"IQ_CDS_mid",P$2)</f>
        <v>59.982999999999997</v>
      </c>
      <c r="Q84">
        <f ca="1">_xll.ciqfunctions.udf.CIQ($B84,"IQ_CDS_mid",Q$2)</f>
        <v>59.961399999999998</v>
      </c>
      <c r="R84">
        <f ca="1">_xll.ciqfunctions.udf.CIQ($B84,"IQ_CDS_mid",R$2)</f>
        <v>55.260899999999999</v>
      </c>
      <c r="S84">
        <f ca="1">_xll.ciqfunctions.udf.CIQ($B84,"IQ_CDS_mid",S$2)</f>
        <v>50.241900000000001</v>
      </c>
      <c r="T84">
        <f t="shared" ca="1" si="18"/>
        <v>-0.12290000000000134</v>
      </c>
      <c r="U84">
        <f t="shared" ca="1" si="19"/>
        <v>-9.1300000000003934E-2</v>
      </c>
      <c r="V84">
        <f t="shared" ca="1" si="20"/>
        <v>-0.5304000000000002</v>
      </c>
      <c r="W84">
        <f t="shared" ca="1" si="21"/>
        <v>4.1700999999999979</v>
      </c>
      <c r="X84">
        <f t="shared" ca="1" si="13"/>
        <v>9.1890999999999963</v>
      </c>
    </row>
    <row r="85" spans="1:24" ht="15.5">
      <c r="A85" s="26" t="s">
        <v>48</v>
      </c>
      <c r="B85" s="25"/>
    </row>
  </sheetData>
  <conditionalFormatting sqref="O3:S6 C3:N15 O8:S15 C16:S16 O17:S20 C17:N44 O22:S29 O31:S42 O44:S44 C45:C52 D48:S52 C53:S84">
    <cfRule type="cellIs" dxfId="1" priority="2" operator="greaterThan">
      <formula>150</formula>
    </cfRule>
    <cfRule type="cellIs" priority="3" operator="greaterThan">
      <formula>150</formula>
    </cfRule>
  </conditionalFormatting>
  <conditionalFormatting sqref="T3:U84">
    <cfRule type="cellIs" dxfId="0" priority="1" operator="greaterThan">
      <formula>10</formula>
    </cfRule>
  </conditionalFormatting>
  <pageMargins left="0.7" right="0.7" top="0.75" bottom="0.75" header="0.3" footer="0.3"/>
  <headerFooter>
    <oddHeader>&amp;R&amp;"Aptos"&amp;10&amp;K000000 Category/Catégorie: Non-Sensitive/Non-Délicat&amp;1#_x000D_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Risk Score Model</vt:lpstr>
      <vt:lpstr>CDS from CapitalIQ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Evangelista</dc:creator>
  <cp:lastModifiedBy>Josh Evangelista</cp:lastModifiedBy>
  <dcterms:created xsi:type="dcterms:W3CDTF">2026-06-08T17:51:02Z</dcterms:created>
  <dcterms:modified xsi:type="dcterms:W3CDTF">2026-08-24T18:57:24Z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bacc78-dcc9-4733-835b-33704aeb5fb9_Enabled">
    <vt:lpwstr>true</vt:lpwstr>
  </property>
  <property fmtid="{D5CDD505-2E9C-101B-9397-08002B2CF9AE}" pid="3" name="MSIP_Label_aebacc78-dcc9-4733-835b-33704aeb5fb9_SetDate">
    <vt:lpwstr>2026-07-20T17:11:27Z</vt:lpwstr>
  </property>
  <property fmtid="{D5CDD505-2E9C-101B-9397-08002B2CF9AE}" pid="4" name="MSIP_Label_aebacc78-dcc9-4733-835b-33704aeb5fb9_Method">
    <vt:lpwstr>Privileged</vt:lpwstr>
  </property>
  <property fmtid="{D5CDD505-2E9C-101B-9397-08002B2CF9AE}" pid="5" name="MSIP_Label_aebacc78-dcc9-4733-835b-33704aeb5fb9_Name">
    <vt:lpwstr>Non-Sensitive - Non-Délicat</vt:lpwstr>
  </property>
  <property fmtid="{D5CDD505-2E9C-101B-9397-08002B2CF9AE}" pid="6" name="MSIP_Label_aebacc78-dcc9-4733-835b-33704aeb5fb9_SiteId">
    <vt:lpwstr>164f988b-a2f4-4584-aeaa-21bd4a0234bc</vt:lpwstr>
  </property>
  <property fmtid="{D5CDD505-2E9C-101B-9397-08002B2CF9AE}" pid="7" name="MSIP_Label_aebacc78-dcc9-4733-835b-33704aeb5fb9_ActionId">
    <vt:lpwstr>01940038-6609-4fb7-8904-5c361468ad28</vt:lpwstr>
  </property>
  <property fmtid="{D5CDD505-2E9C-101B-9397-08002B2CF9AE}" pid="8" name="MSIP_Label_aebacc78-dcc9-4733-835b-33704aeb5fb9_ContentBits">
    <vt:lpwstr>1</vt:lpwstr>
  </property>
  <property fmtid="{D5CDD505-2E9C-101B-9397-08002B2CF9AE}" pid="9" name="MSIP_Label_aebacc78-dcc9-4733-835b-33704aeb5fb9_Tag">
    <vt:lpwstr>10, 0, 1, 1</vt:lpwstr>
  </property>
</Properties>
</file>